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3" autoFilterDateGrouping="1"/>
  </bookViews>
  <sheets>
    <sheet name="PRODUTOS" sheetId="1" state="visible" r:id="rId1"/>
    <sheet name="FARINHA DE TRIGO" sheetId="2" state="visible" r:id="rId2"/>
    <sheet name="PRE MISTURA" sheetId="3" state="visible" r:id="rId3"/>
    <sheet name="PM PAO DOCE" sheetId="4" state="visible" r:id="rId4"/>
    <sheet name="farinha de trigo50kg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??_-;_-@_-"/>
    <numFmt numFmtId="165" formatCode="_-* #,##0.00_-;\-* #,##0.00_-;_-* &quot;-&quot;??_-;_-@_-"/>
    <numFmt numFmtId="166" formatCode="#,##0_ ;\-#,##0\ "/>
    <numFmt numFmtId="167" formatCode="yyyy-mm-dd h:mm:ss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rgb="FF00B0F0"/>
      <sz val="16"/>
      <scheme val="minor"/>
    </font>
    <font>
      <name val="Calibri"/>
      <family val="2"/>
      <b val="1"/>
      <color rgb="FF00B050"/>
      <sz val="16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rgb="FF00B0F0"/>
      <sz val="12"/>
      <scheme val="minor"/>
    </font>
    <font>
      <name val="Calibri"/>
      <family val="2"/>
      <b val="1"/>
      <color rgb="FF00B050"/>
      <sz val="12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rgb="FF00B0F0"/>
      <sz val="20"/>
      <scheme val="minor"/>
    </font>
    <font>
      <name val="Calibri"/>
      <family val="2"/>
      <b val="1"/>
      <color rgb="FFC00000"/>
      <sz val="16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rgb="FF00B050"/>
      <sz val="18"/>
      <scheme val="minor"/>
    </font>
    <font>
      <name val="Calibri"/>
      <family val="2"/>
      <b val="1"/>
      <color theme="1"/>
      <sz val="11"/>
      <u val="singleAccounting"/>
      <scheme val="minor"/>
    </font>
    <font>
      <name val="Calibri"/>
      <family val="2"/>
      <b val="1"/>
      <color rgb="FF00B050"/>
      <sz val="11"/>
      <u val="single"/>
      <scheme val="minor"/>
    </font>
    <font>
      <name val="Calibri"/>
      <family val="2"/>
      <b val="1"/>
      <color rgb="FF00B050"/>
      <sz val="11"/>
      <u val="singleAccounting"/>
      <scheme val="minor"/>
    </font>
    <font>
      <name val="Calibri"/>
      <family val="2"/>
      <b val="1"/>
      <color rgb="FF00B0F0"/>
      <sz val="12"/>
      <u val="single"/>
      <scheme val="minor"/>
    </font>
    <font>
      <name val="Calibri"/>
      <family val="2"/>
      <b val="1"/>
      <color rgb="FF00B0F0"/>
      <sz val="11"/>
      <u val="single"/>
      <scheme val="minor"/>
    </font>
    <font>
      <name val="Calibri"/>
      <family val="2"/>
      <b val="1"/>
      <color rgb="FF00B0F0"/>
      <sz val="11"/>
      <u val="singleAccounting"/>
      <scheme val="minor"/>
    </font>
    <font>
      <name val="Calibri"/>
      <family val="2"/>
      <b val="1"/>
      <color rgb="FF00B0F0"/>
      <sz val="20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  <u val="singleAccounting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00B0F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B0F0"/>
      <sz val="24"/>
      <u val="single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u val="singleAccounting"/>
      <scheme val="minor"/>
    </font>
    <font>
      <name val="Calibri"/>
      <family val="2"/>
      <b val="1"/>
      <color rgb="FFFF0000"/>
      <sz val="11"/>
      <u val="singleAccounting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1" fillId="0" borderId="0"/>
    <xf numFmtId="43" fontId="1" fillId="0" borderId="0"/>
  </cellStyleXfs>
  <cellXfs count="765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14" fontId="3" fillId="0" borderId="16" applyAlignment="1" pivotButton="0" quotePrefix="0" xfId="0">
      <alignment horizontal="left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49" fontId="6" fillId="0" borderId="14" applyAlignment="1" pivotButton="0" quotePrefix="0" xfId="0">
      <alignment horizontal="center" vertical="center"/>
    </xf>
    <xf numFmtId="0" fontId="6" fillId="0" borderId="14" pivotButton="0" quotePrefix="0" xfId="0"/>
    <xf numFmtId="0" fontId="6" fillId="0" borderId="29" pivotButton="0" quotePrefix="0" xfId="0"/>
    <xf numFmtId="0" fontId="6" fillId="0" borderId="3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/>
    </xf>
    <xf numFmtId="0" fontId="2" fillId="2" borderId="6" applyAlignment="1" pivotButton="0" quotePrefix="0" xfId="0">
      <alignment vertical="center"/>
    </xf>
    <xf numFmtId="164" fontId="2" fillId="2" borderId="26" applyAlignment="1" pivotButton="0" quotePrefix="0" xfId="1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/>
    </xf>
    <xf numFmtId="0" fontId="7" fillId="0" borderId="7" applyAlignment="1" pivotButton="0" quotePrefix="0" xfId="0">
      <alignment horizontal="center" vertical="center"/>
    </xf>
    <xf numFmtId="49" fontId="7" fillId="0" borderId="14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49" fontId="8" fillId="0" borderId="14" applyAlignment="1" pivotButton="0" quotePrefix="0" xfId="0">
      <alignment horizontal="center" vertical="center"/>
    </xf>
    <xf numFmtId="14" fontId="9" fillId="0" borderId="12" applyAlignment="1" pivotButton="0" quotePrefix="0" xfId="0">
      <alignment horizontal="center" vertical="center"/>
    </xf>
    <xf numFmtId="49" fontId="9" fillId="0" borderId="7" applyAlignment="1" pivotButton="0" quotePrefix="0" xfId="1">
      <alignment horizontal="center" vertical="center"/>
    </xf>
    <xf numFmtId="2" fontId="9" fillId="0" borderId="7" applyAlignment="1" pivotButton="0" quotePrefix="0" xfId="0">
      <alignment horizontal="center" vertical="center"/>
    </xf>
    <xf numFmtId="164" fontId="9" fillId="0" borderId="7" applyAlignment="1" pivotButton="0" quotePrefix="0" xfId="1">
      <alignment horizontal="center" vertical="center"/>
    </xf>
    <xf numFmtId="165" fontId="9" fillId="0" borderId="7" applyAlignment="1" pivotButton="0" quotePrefix="0" xfId="1">
      <alignment horizontal="center" vertical="center"/>
    </xf>
    <xf numFmtId="49" fontId="9" fillId="0" borderId="1" applyAlignment="1" pivotButton="0" quotePrefix="0" xfId="1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1">
      <alignment horizontal="center" vertical="center"/>
    </xf>
    <xf numFmtId="165" fontId="9" fillId="0" borderId="1" applyAlignment="1" pivotButton="0" quotePrefix="0" xfId="1">
      <alignment horizontal="center" vertical="center"/>
    </xf>
    <xf numFmtId="14" fontId="2" fillId="0" borderId="12" applyAlignment="1" pivotButton="0" quotePrefix="0" xfId="0">
      <alignment horizontal="center" vertical="center"/>
    </xf>
    <xf numFmtId="49" fontId="2" fillId="0" borderId="7" applyAlignment="1" pivotButton="0" quotePrefix="0" xfId="1">
      <alignment horizontal="center" vertical="center"/>
    </xf>
    <xf numFmtId="49" fontId="2" fillId="0" borderId="1" applyAlignment="1" pivotButton="0" quotePrefix="0" xfId="1">
      <alignment horizontal="center"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1">
      <alignment horizontal="center" vertical="center"/>
    </xf>
    <xf numFmtId="165" fontId="2" fillId="0" borderId="1" applyAlignment="1" pivotButton="0" quotePrefix="0" xfId="1">
      <alignment horizontal="center" vertical="center"/>
    </xf>
    <xf numFmtId="164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1">
      <alignment horizontal="center" vertical="center"/>
    </xf>
    <xf numFmtId="14" fontId="12" fillId="0" borderId="12" applyAlignment="1" pivotButton="0" quotePrefix="0" xfId="0">
      <alignment horizontal="center" vertical="center"/>
    </xf>
    <xf numFmtId="49" fontId="12" fillId="0" borderId="7" applyAlignment="1" pivotButton="0" quotePrefix="0" xfId="1">
      <alignment horizontal="center" vertical="center"/>
    </xf>
    <xf numFmtId="49" fontId="12" fillId="0" borderId="1" applyAlignment="1" pivotButton="0" quotePrefix="0" xfId="1">
      <alignment horizontal="center" vertical="center"/>
    </xf>
    <xf numFmtId="2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1">
      <alignment horizontal="center" vertical="center"/>
    </xf>
    <xf numFmtId="165" fontId="12" fillId="0" borderId="1" applyAlignment="1" pivotButton="0" quotePrefix="0" xfId="1">
      <alignment horizontal="center" vertical="center"/>
    </xf>
    <xf numFmtId="165" fontId="12" fillId="0" borderId="15" applyAlignment="1" pivotButton="0" quotePrefix="0" xfId="1">
      <alignment horizontal="center" vertical="center"/>
    </xf>
    <xf numFmtId="164" fontId="12" fillId="0" borderId="7" applyAlignment="1" pivotButton="0" quotePrefix="0" xfId="1">
      <alignment horizontal="center" vertical="center"/>
    </xf>
    <xf numFmtId="164" fontId="11" fillId="0" borderId="1" applyAlignment="1" pivotButton="0" quotePrefix="0" xfId="1">
      <alignment horizontal="center" vertical="center"/>
    </xf>
    <xf numFmtId="0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1">
      <alignment horizontal="center" vertical="center"/>
    </xf>
    <xf numFmtId="165" fontId="11" fillId="0" borderId="15" applyAlignment="1" pivotButton="0" quotePrefix="0" xfId="1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14" fontId="3" fillId="0" borderId="16" applyAlignment="1" pivotButton="0" quotePrefix="0" xfId="0">
      <alignment horizontal="left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14" fontId="3" fillId="0" borderId="16" applyAlignment="1" pivotButton="0" quotePrefix="0" xfId="0">
      <alignment horizontal="left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2" fontId="12" fillId="0" borderId="7" applyAlignment="1" pivotButton="0" quotePrefix="0" xfId="0">
      <alignment horizontal="center" vertical="center"/>
    </xf>
    <xf numFmtId="165" fontId="12" fillId="0" borderId="7" applyAlignment="1" pivotButton="0" quotePrefix="0" xfId="1">
      <alignment horizontal="center" vertical="center"/>
    </xf>
    <xf numFmtId="165" fontId="12" fillId="0" borderId="13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4" fontId="0" fillId="0" borderId="0" applyAlignment="1" pivotButton="0" quotePrefix="0" xfId="0">
      <alignment horizontal="left" vertical="center"/>
    </xf>
    <xf numFmtId="165" fontId="9" fillId="0" borderId="33" applyAlignment="1" pivotButton="0" quotePrefix="0" xfId="1">
      <alignment horizontal="center" vertical="center"/>
    </xf>
    <xf numFmtId="165" fontId="2" fillId="0" borderId="20" applyAlignment="1" pivotButton="0" quotePrefix="0" xfId="1">
      <alignment horizontal="center" vertical="center"/>
    </xf>
    <xf numFmtId="165" fontId="10" fillId="0" borderId="20" applyAlignment="1" pivotButton="0" quotePrefix="0" xfId="1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17" fillId="2" borderId="26" applyAlignment="1" pivotButton="0" quotePrefix="0" xfId="1">
      <alignment horizontal="right" vertical="center"/>
    </xf>
    <xf numFmtId="0" fontId="9" fillId="0" borderId="7" applyAlignment="1" pivotButton="0" quotePrefix="0" xfId="1">
      <alignment horizontal="center" vertical="center"/>
    </xf>
    <xf numFmtId="14" fontId="18" fillId="0" borderId="12" applyAlignment="1" pivotButton="0" quotePrefix="0" xfId="0">
      <alignment horizontal="center" vertical="center"/>
    </xf>
    <xf numFmtId="164" fontId="19" fillId="0" borderId="7" applyAlignment="1" pivotButton="0" quotePrefix="0" xfId="1">
      <alignment horizontal="center" vertical="center"/>
    </xf>
    <xf numFmtId="0" fontId="20" fillId="0" borderId="1" applyAlignment="1" pivotButton="0" quotePrefix="0" xfId="0">
      <alignment horizontal="center" vertical="center"/>
    </xf>
    <xf numFmtId="14" fontId="21" fillId="0" borderId="12" applyAlignment="1" pivotButton="0" quotePrefix="0" xfId="0">
      <alignment horizontal="center" vertical="center"/>
    </xf>
    <xf numFmtId="165" fontId="22" fillId="0" borderId="1" applyAlignment="1" pivotButton="0" quotePrefix="0" xfId="1">
      <alignment horizontal="center" vertical="center"/>
    </xf>
    <xf numFmtId="165" fontId="22" fillId="0" borderId="7" applyAlignment="1" pivotButton="0" quotePrefix="0" xfId="1">
      <alignment horizontal="center" vertical="center"/>
    </xf>
    <xf numFmtId="14" fontId="25" fillId="0" borderId="12" applyAlignment="1" pivotButton="0" quotePrefix="0" xfId="0">
      <alignment horizontal="center" vertical="center"/>
    </xf>
    <xf numFmtId="49" fontId="25" fillId="0" borderId="7" applyAlignment="1" pivotButton="0" quotePrefix="0" xfId="1">
      <alignment horizontal="center" vertical="center"/>
    </xf>
    <xf numFmtId="2" fontId="25" fillId="0" borderId="7" applyAlignment="1" pivotButton="0" quotePrefix="0" xfId="0">
      <alignment horizontal="center" vertical="center"/>
    </xf>
    <xf numFmtId="164" fontId="25" fillId="0" borderId="7" applyAlignment="1" pivotButton="0" quotePrefix="0" xfId="1">
      <alignment horizontal="center" vertical="center"/>
    </xf>
    <xf numFmtId="49" fontId="25" fillId="0" borderId="1" applyAlignment="1" pivotButton="0" quotePrefix="0" xfId="1">
      <alignment horizontal="center" vertical="center"/>
    </xf>
    <xf numFmtId="2" fontId="25" fillId="0" borderId="1" applyAlignment="1" pivotButton="0" quotePrefix="0" xfId="0">
      <alignment horizontal="center" vertical="center"/>
    </xf>
    <xf numFmtId="164" fontId="25" fillId="0" borderId="1" applyAlignment="1" pivotButton="0" quotePrefix="0" xfId="1">
      <alignment horizontal="center" vertical="center"/>
    </xf>
    <xf numFmtId="2" fontId="21" fillId="0" borderId="1" applyAlignment="1" pivotButton="0" quotePrefix="0" xfId="0">
      <alignment horizontal="center" vertical="center"/>
    </xf>
    <xf numFmtId="164" fontId="26" fillId="0" borderId="7" applyAlignment="1" pivotButton="0" quotePrefix="0" xfId="1">
      <alignment horizontal="center" vertical="center"/>
    </xf>
    <xf numFmtId="164" fontId="22" fillId="0" borderId="1" applyAlignment="1" pivotButton="0" quotePrefix="0" xfId="1">
      <alignment horizontal="center" vertical="center"/>
    </xf>
    <xf numFmtId="14" fontId="27" fillId="0" borderId="12" applyAlignment="1" pivotButton="0" quotePrefix="0" xfId="0">
      <alignment horizontal="center" vertical="center"/>
    </xf>
    <xf numFmtId="49" fontId="27" fillId="0" borderId="7" applyAlignment="1" pivotButton="0" quotePrefix="0" xfId="1">
      <alignment horizontal="center" vertical="center"/>
    </xf>
    <xf numFmtId="14" fontId="2" fillId="0" borderId="34" applyAlignment="1" pivotButton="0" quotePrefix="0" xfId="0">
      <alignment horizontal="center" vertical="center"/>
    </xf>
    <xf numFmtId="49" fontId="2" fillId="0" borderId="35" applyAlignment="1" pivotButton="0" quotePrefix="0" xfId="1">
      <alignment horizontal="center" vertical="center"/>
    </xf>
    <xf numFmtId="49" fontId="2" fillId="0" borderId="17" applyAlignment="1" pivotButton="0" quotePrefix="0" xfId="1">
      <alignment horizontal="center" vertical="center"/>
    </xf>
    <xf numFmtId="2" fontId="2" fillId="0" borderId="17" applyAlignment="1" pivotButton="0" quotePrefix="0" xfId="0">
      <alignment horizontal="center" vertical="center"/>
    </xf>
    <xf numFmtId="2" fontId="2" fillId="0" borderId="18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18" fillId="0" borderId="7" applyAlignment="1" pivotButton="0" quotePrefix="0" xfId="1">
      <alignment horizontal="center" vertical="center"/>
    </xf>
    <xf numFmtId="14" fontId="28" fillId="0" borderId="0" applyAlignment="1" pivotButton="0" quotePrefix="0" xfId="0">
      <alignment horizontal="left" vertical="center"/>
    </xf>
    <xf numFmtId="2" fontId="18" fillId="0" borderId="7" applyAlignment="1" pivotButton="0" quotePrefix="0" xfId="0">
      <alignment horizontal="center" vertical="center"/>
    </xf>
    <xf numFmtId="164" fontId="27" fillId="0" borderId="7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9" fillId="0" borderId="0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5" fontId="25" fillId="0" borderId="1" applyAlignment="1" pivotButton="0" quotePrefix="0" xfId="1">
      <alignment horizontal="center" vertical="center"/>
    </xf>
    <xf numFmtId="165" fontId="26" fillId="0" borderId="7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5" fillId="0" borderId="7" applyAlignment="1" pivotButton="0" quotePrefix="0" xfId="1">
      <alignment horizontal="center" vertical="center"/>
    </xf>
    <xf numFmtId="14" fontId="29" fillId="0" borderId="0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9" fillId="0" borderId="0" applyAlignment="1" pivotButton="0" quotePrefix="0" xfId="0">
      <alignment vertical="center"/>
    </xf>
    <xf numFmtId="14" fontId="30" fillId="0" borderId="0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12" fillId="0" borderId="0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31" fillId="0" borderId="12" applyAlignment="1" pivotButton="0" quotePrefix="0" xfId="0">
      <alignment horizontal="center" vertical="center"/>
    </xf>
    <xf numFmtId="49" fontId="31" fillId="0" borderId="7" applyAlignment="1" pivotButton="0" quotePrefix="0" xfId="1">
      <alignment horizontal="center" vertical="center"/>
    </xf>
    <xf numFmtId="49" fontId="31" fillId="0" borderId="1" applyAlignment="1" pivotButton="0" quotePrefix="0" xfId="1">
      <alignment horizontal="center" vertical="center"/>
    </xf>
    <xf numFmtId="2" fontId="31" fillId="0" borderId="1" applyAlignment="1" pivotButton="0" quotePrefix="0" xfId="0">
      <alignment horizontal="center" vertical="center"/>
    </xf>
    <xf numFmtId="164" fontId="31" fillId="0" borderId="1" applyAlignment="1" pivotButton="0" quotePrefix="0" xfId="1">
      <alignment horizontal="center" vertical="center"/>
    </xf>
    <xf numFmtId="164" fontId="31" fillId="0" borderId="7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8" fillId="0" borderId="0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49" fontId="9" fillId="0" borderId="7" applyAlignment="1" pivotButton="0" quotePrefix="0" xfId="1">
      <alignment horizontal="right" vertical="center"/>
    </xf>
    <xf numFmtId="14" fontId="21" fillId="0" borderId="36" applyAlignment="1" pivotButton="0" quotePrefix="0" xfId="0">
      <alignment horizontal="center" vertical="center"/>
    </xf>
    <xf numFmtId="49" fontId="9" fillId="0" borderId="37" applyAlignment="1" pivotButton="0" quotePrefix="0" xfId="1">
      <alignment horizontal="center" vertical="center"/>
    </xf>
    <xf numFmtId="49" fontId="9" fillId="0" borderId="38" applyAlignment="1" pivotButton="0" quotePrefix="0" xfId="1">
      <alignment horizontal="center" vertical="center"/>
    </xf>
    <xf numFmtId="2" fontId="9" fillId="0" borderId="38" applyAlignment="1" pivotButton="0" quotePrefix="0" xfId="0">
      <alignment horizontal="center" vertical="center"/>
    </xf>
    <xf numFmtId="164" fontId="9" fillId="0" borderId="38" applyAlignment="1" pivotButton="0" quotePrefix="0" xfId="1">
      <alignment horizontal="center" vertical="center"/>
    </xf>
    <xf numFmtId="164" fontId="9" fillId="0" borderId="37" applyAlignment="1" pivotButton="0" quotePrefix="0" xfId="1">
      <alignment horizontal="center" vertical="center"/>
    </xf>
    <xf numFmtId="165" fontId="9" fillId="0" borderId="38" applyAlignment="1" pivotButton="0" quotePrefix="0" xfId="1">
      <alignment horizontal="center" vertical="center"/>
    </xf>
    <xf numFmtId="165" fontId="22" fillId="0" borderId="37" applyAlignment="1" pivotButton="0" quotePrefix="0" xfId="1">
      <alignment horizontal="center" vertical="center"/>
    </xf>
    <xf numFmtId="165" fontId="9" fillId="0" borderId="39" applyAlignment="1" pivotButton="0" quotePrefix="0" xfId="1">
      <alignment horizontal="center" vertical="center"/>
    </xf>
    <xf numFmtId="0" fontId="0" fillId="0" borderId="38" pivotButton="0" quotePrefix="0" xfId="0"/>
    <xf numFmtId="14" fontId="21" fillId="0" borderId="0" applyAlignment="1" pivotButton="0" quotePrefix="0" xfId="0">
      <alignment horizontal="center" vertical="center"/>
    </xf>
    <xf numFmtId="49" fontId="9" fillId="0" borderId="0" applyAlignment="1" pivotButton="0" quotePrefix="0" xfId="1">
      <alignment horizontal="center" vertical="center"/>
    </xf>
    <xf numFmtId="2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1">
      <alignment horizontal="center" vertical="center"/>
    </xf>
    <xf numFmtId="165" fontId="9" fillId="0" borderId="0" applyAlignment="1" pivotButton="0" quotePrefix="0" xfId="1">
      <alignment horizontal="center" vertical="center"/>
    </xf>
    <xf numFmtId="165" fontId="22" fillId="0" borderId="0" applyAlignment="1" pivotButton="0" quotePrefix="0" xfId="1">
      <alignment horizontal="center" vertical="center"/>
    </xf>
    <xf numFmtId="0" fontId="0" fillId="0" borderId="0" pivotButton="0" quotePrefix="0" xfId="0"/>
    <xf numFmtId="14" fontId="12" fillId="0" borderId="36" applyAlignment="1" pivotButton="0" quotePrefix="0" xfId="0">
      <alignment horizontal="center" vertical="center"/>
    </xf>
    <xf numFmtId="49" fontId="12" fillId="0" borderId="37" applyAlignment="1" pivotButton="0" quotePrefix="0" xfId="1">
      <alignment horizontal="center" vertical="center"/>
    </xf>
    <xf numFmtId="2" fontId="12" fillId="0" borderId="37" applyAlignment="1" pivotButton="0" quotePrefix="0" xfId="0">
      <alignment horizontal="center" vertical="center"/>
    </xf>
    <xf numFmtId="164" fontId="12" fillId="0" borderId="37" applyAlignment="1" pivotButton="0" quotePrefix="0" xfId="1">
      <alignment horizontal="center" vertical="center"/>
    </xf>
    <xf numFmtId="165" fontId="12" fillId="0" borderId="38" applyAlignment="1" pivotButton="0" quotePrefix="0" xfId="1">
      <alignment horizontal="center" vertical="center"/>
    </xf>
    <xf numFmtId="165" fontId="12" fillId="0" borderId="40" applyAlignment="1" pivotButton="0" quotePrefix="0" xfId="1">
      <alignment horizontal="center" vertical="center"/>
    </xf>
    <xf numFmtId="14" fontId="12" fillId="0" borderId="0" applyAlignment="1" pivotButton="0" quotePrefix="0" xfId="0">
      <alignment horizontal="center" vertical="center"/>
    </xf>
    <xf numFmtId="49" fontId="12" fillId="0" borderId="0" applyAlignment="1" pivotButton="0" quotePrefix="0" xfId="1">
      <alignment horizontal="center" vertical="center"/>
    </xf>
    <xf numFmtId="2" fontId="12" fillId="0" borderId="0" applyAlignment="1" pivotButton="0" quotePrefix="0" xfId="0">
      <alignment horizontal="center" vertical="center"/>
    </xf>
    <xf numFmtId="165" fontId="12" fillId="0" borderId="0" applyAlignment="1" pivotButton="0" quotePrefix="0" xfId="1">
      <alignment horizontal="center" vertical="center"/>
    </xf>
    <xf numFmtId="14" fontId="12" fillId="0" borderId="24" applyAlignment="1" pivotButton="0" quotePrefix="0" xfId="0">
      <alignment horizontal="center" vertical="center"/>
    </xf>
    <xf numFmtId="165" fontId="12" fillId="0" borderId="32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33" fillId="0" borderId="12" applyAlignment="1" pivotButton="0" quotePrefix="0" xfId="0">
      <alignment horizontal="center" vertical="center"/>
    </xf>
    <xf numFmtId="49" fontId="33" fillId="0" borderId="7" applyAlignment="1" pivotButton="0" quotePrefix="0" xfId="1">
      <alignment horizontal="center" vertical="center"/>
    </xf>
    <xf numFmtId="49" fontId="33" fillId="0" borderId="1" applyAlignment="1" pivotButton="0" quotePrefix="0" xfId="1">
      <alignment horizontal="center" vertical="center"/>
    </xf>
    <xf numFmtId="2" fontId="33" fillId="0" borderId="1" applyAlignment="1" pivotButton="0" quotePrefix="0" xfId="0">
      <alignment horizontal="center" vertical="center"/>
    </xf>
    <xf numFmtId="164" fontId="33" fillId="0" borderId="1" applyAlignment="1" pivotButton="0" quotePrefix="0" xfId="1">
      <alignment horizontal="center" vertical="center"/>
    </xf>
    <xf numFmtId="164" fontId="33" fillId="0" borderId="7" applyAlignment="1" pivotButton="0" quotePrefix="0" xfId="1">
      <alignment horizontal="center" vertical="center"/>
    </xf>
    <xf numFmtId="2" fontId="33" fillId="0" borderId="7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34" fillId="0" borderId="12" applyAlignment="1" pivotButton="0" quotePrefix="0" xfId="0">
      <alignment horizontal="center" vertical="center"/>
    </xf>
    <xf numFmtId="49" fontId="34" fillId="0" borderId="7" applyAlignment="1" pivotButton="0" quotePrefix="0" xfId="1">
      <alignment horizontal="center" vertical="center"/>
    </xf>
    <xf numFmtId="2" fontId="34" fillId="0" borderId="7" applyAlignment="1" pivotButton="0" quotePrefix="0" xfId="0">
      <alignment horizontal="center" vertical="center"/>
    </xf>
    <xf numFmtId="164" fontId="34" fillId="0" borderId="7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9" fillId="0" borderId="1" applyAlignment="1" pivotButton="0" quotePrefix="0" xfId="0">
      <alignment horizontal="center" vertical="center"/>
    </xf>
    <xf numFmtId="14" fontId="25" fillId="0" borderId="1" applyAlignment="1" pivotButton="0" quotePrefix="0" xfId="0">
      <alignment horizontal="center" vertical="center"/>
    </xf>
    <xf numFmtId="14" fontId="0" fillId="0" borderId="1" pivotButton="0" quotePrefix="0" xfId="0"/>
    <xf numFmtId="2" fontId="0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35" fillId="0" borderId="1" pivotButton="0" quotePrefix="0" xfId="0"/>
    <xf numFmtId="0" fontId="35" fillId="0" borderId="1" pivotButton="0" quotePrefix="0" xfId="0"/>
    <xf numFmtId="2" fontId="35" fillId="0" borderId="1" pivotButton="0" quotePrefix="0" xfId="0"/>
    <xf numFmtId="14" fontId="25" fillId="0" borderId="41" applyAlignment="1" pivotButton="0" quotePrefix="0" xfId="0">
      <alignment horizontal="center" vertical="center"/>
    </xf>
    <xf numFmtId="165" fontId="12" fillId="0" borderId="33" applyAlignment="1" pivotButton="0" quotePrefix="0" xfId="1">
      <alignment horizontal="center" vertical="center"/>
    </xf>
    <xf numFmtId="14" fontId="33" fillId="0" borderId="41" applyAlignment="1" pivotButton="0" quotePrefix="0" xfId="0">
      <alignment horizontal="center" vertical="center"/>
    </xf>
    <xf numFmtId="14" fontId="33" fillId="0" borderId="1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29" fillId="0" borderId="1" pivotButton="0" quotePrefix="0" xfId="0"/>
    <xf numFmtId="0" fontId="29" fillId="0" borderId="1" pivotButton="0" quotePrefix="0" xfId="0"/>
    <xf numFmtId="164" fontId="0" fillId="0" borderId="1" pivotButton="0" quotePrefix="0" xfId="0"/>
    <xf numFmtId="164" fontId="35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2" fillId="0" borderId="1" pivotButton="0" quotePrefix="0" xfId="0"/>
    <xf numFmtId="0" fontId="2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" fontId="0" fillId="0" borderId="1" pivotButton="0" quotePrefix="0" xfId="0"/>
    <xf numFmtId="16" fontId="35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37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2" fillId="2" borderId="26" applyAlignment="1" pivotButton="0" quotePrefix="0" xfId="1">
      <alignment horizontal="right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8" fillId="0" borderId="1" pivotButton="0" quotePrefix="0" xfId="0"/>
    <xf numFmtId="166" fontId="25" fillId="0" borderId="1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6" fontId="33" fillId="0" borderId="1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0" fillId="0" borderId="0" pivotButton="0" quotePrefix="0" xfId="0"/>
    <xf numFmtId="14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35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4" fontId="0" fillId="0" borderId="0" pivotButton="0" quotePrefix="0" xfId="0"/>
    <xf numFmtId="14" fontId="25" fillId="0" borderId="0" applyAlignment="1" pivotButton="0" quotePrefix="0" xfId="0">
      <alignment horizontal="center" vertical="center"/>
    </xf>
    <xf numFmtId="49" fontId="25" fillId="0" borderId="0" applyAlignment="1" pivotButton="0" quotePrefix="0" xfId="1">
      <alignment horizontal="center" vertical="center"/>
    </xf>
    <xf numFmtId="2" fontId="25" fillId="0" borderId="0" applyAlignment="1" pivotButton="0" quotePrefix="0" xfId="0">
      <alignment horizontal="center" vertical="center"/>
    </xf>
    <xf numFmtId="164" fontId="25" fillId="0" borderId="0" applyAlignment="1" pivotButton="0" quotePrefix="0" xfId="1">
      <alignment horizontal="center" vertical="center"/>
    </xf>
    <xf numFmtId="166" fontId="25" fillId="0" borderId="0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164" fontId="0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36" fillId="0" borderId="1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0" fillId="0" borderId="42" pivotButton="0" quotePrefix="0" xfId="0"/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3" pivotButton="0" quotePrefix="0" xfId="0"/>
    <xf numFmtId="166" fontId="33" fillId="0" borderId="7" applyAlignment="1" pivotButton="0" quotePrefix="0" xfId="1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14" fontId="0" fillId="0" borderId="1" pivotButton="0" quotePrefix="1" xfId="0"/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164" fontId="37" fillId="0" borderId="1" pivotButton="0" quotePrefix="0" xfId="0"/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164" fontId="19" fillId="0" borderId="1" applyAlignment="1" pivotButton="0" quotePrefix="0" xfId="1">
      <alignment horizontal="center" vertical="center"/>
    </xf>
    <xf numFmtId="14" fontId="28" fillId="0" borderId="1" pivotButton="0" quotePrefix="0" xfId="0"/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164" fontId="38" fillId="0" borderId="1" applyAlignment="1" pivotButton="0" quotePrefix="0" xfId="1">
      <alignment horizontal="center" vertical="center"/>
    </xf>
    <xf numFmtId="14" fontId="0" fillId="0" borderId="1" pivotButton="0" quotePrefix="0" xfId="0"/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33" fillId="0" borderId="1" applyAlignment="1" pivotButton="0" quotePrefix="0" xfId="1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164" fontId="26" fillId="0" borderId="1" applyAlignment="1" pivotButton="0" quotePrefix="0" xfId="1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14" fontId="32" fillId="0" borderId="3" applyAlignment="1" pivotButton="0" quotePrefix="0" xfId="0">
      <alignment horizontal="center" vertical="center"/>
    </xf>
    <xf numFmtId="14" fontId="32" fillId="0" borderId="5" applyAlignment="1" pivotButton="0" quotePrefix="0" xfId="0">
      <alignment horizontal="center" vertical="center"/>
    </xf>
    <xf numFmtId="14" fontId="32" fillId="0" borderId="4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0" fontId="24" fillId="2" borderId="11" applyAlignment="1" pivotButton="0" quotePrefix="0" xfId="0">
      <alignment horizontal="center" vertical="center"/>
    </xf>
    <xf numFmtId="0" fontId="24" fillId="2" borderId="24" applyAlignment="1" pivotButton="0" quotePrefix="0" xfId="0">
      <alignment horizontal="center" vertical="center"/>
    </xf>
    <xf numFmtId="0" fontId="24" fillId="2" borderId="32" applyAlignment="1" pivotButton="0" quotePrefix="0" xfId="0">
      <alignment horizontal="center" vertical="center"/>
    </xf>
    <xf numFmtId="0" fontId="24" fillId="2" borderId="26" applyAlignment="1" pivotButton="0" quotePrefix="0" xfId="0">
      <alignment horizontal="center" vertical="center"/>
    </xf>
    <xf numFmtId="0" fontId="24" fillId="2" borderId="2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7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24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3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2" fillId="2" borderId="26" applyAlignment="1" pivotButton="0" quotePrefix="0" xfId="0">
      <alignment horizontal="right" vertical="center"/>
    </xf>
    <xf numFmtId="0" fontId="2" fillId="2" borderId="25" applyAlignment="1" pivotButton="0" quotePrefix="0" xfId="0">
      <alignment horizontal="right" vertical="center"/>
    </xf>
    <xf numFmtId="0" fontId="2" fillId="2" borderId="27" applyAlignment="1" pivotButton="0" quotePrefix="0" xfId="0">
      <alignment horizontal="right" vertical="center"/>
    </xf>
    <xf numFmtId="0" fontId="23" fillId="0" borderId="26" applyAlignment="1" pivotButton="0" quotePrefix="0" xfId="0">
      <alignment horizontal="center" vertical="center"/>
    </xf>
    <xf numFmtId="0" fontId="23" fillId="0" borderId="27" applyAlignment="1" pivotButton="0" quotePrefix="0" xfId="0">
      <alignment horizontal="center" vertical="center"/>
    </xf>
    <xf numFmtId="0" fontId="23" fillId="0" borderId="25" applyAlignment="1" pivotButton="0" quotePrefix="0" xfId="0">
      <alignment horizontal="center" vertical="center"/>
    </xf>
    <xf numFmtId="49" fontId="0" fillId="0" borderId="20" applyAlignment="1" pivotButton="0" quotePrefix="0" xfId="1">
      <alignment horizontal="left" vertical="center"/>
    </xf>
    <xf numFmtId="49" fontId="0" fillId="0" borderId="17" applyAlignment="1" pivotButton="0" quotePrefix="0" xfId="1">
      <alignment horizontal="left" vertical="center"/>
    </xf>
    <xf numFmtId="14" fontId="0" fillId="0" borderId="21" applyAlignment="1" pivotButton="0" quotePrefix="0" xfId="0">
      <alignment horizontal="left" vertical="center"/>
    </xf>
    <xf numFmtId="14" fontId="0" fillId="0" borderId="22" applyAlignment="1" pivotButton="0" quotePrefix="0" xfId="0">
      <alignment horizontal="left" vertical="center"/>
    </xf>
    <xf numFmtId="0" fontId="15" fillId="0" borderId="3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24" fillId="2" borderId="2" applyAlignment="1" pivotButton="0" quotePrefix="0" xfId="0">
      <alignment horizontal="center" vertical="center"/>
    </xf>
    <xf numFmtId="0" fontId="24" fillId="2" borderId="8" applyAlignment="1" pivotButton="0" quotePrefix="0" xfId="0">
      <alignment horizontal="center" vertical="center"/>
    </xf>
    <xf numFmtId="14" fontId="10" fillId="0" borderId="16" applyAlignment="1" pivotButton="0" quotePrefix="0" xfId="0">
      <alignment horizontal="right" vertical="center"/>
    </xf>
    <xf numFmtId="14" fontId="10" fillId="0" borderId="17" applyAlignment="1" pivotButton="0" quotePrefix="0" xfId="0">
      <alignment horizontal="right" vertical="center"/>
    </xf>
    <xf numFmtId="14" fontId="10" fillId="0" borderId="18" applyAlignment="1" pivotButton="0" quotePrefix="0" xfId="0">
      <alignment horizontal="right" vertical="center"/>
    </xf>
    <xf numFmtId="49" fontId="0" fillId="0" borderId="19" applyAlignment="1" pivotButton="0" quotePrefix="0" xfId="1">
      <alignment horizontal="left" vertical="center"/>
    </xf>
    <xf numFmtId="14" fontId="0" fillId="0" borderId="23" applyAlignment="1" pivotButton="0" quotePrefix="0" xfId="0">
      <alignment horizontal="left" vertical="center"/>
    </xf>
    <xf numFmtId="0" fontId="13" fillId="0" borderId="3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17" fontId="14" fillId="0" borderId="3" applyAlignment="1" pivotButton="0" quotePrefix="0" xfId="0">
      <alignment horizontal="center" vertical="center"/>
    </xf>
    <xf numFmtId="17" fontId="14" fillId="0" borderId="5" applyAlignment="1" pivotButton="0" quotePrefix="0" xfId="0">
      <alignment horizontal="center" vertical="center"/>
    </xf>
    <xf numFmtId="17" fontId="14" fillId="0" borderId="4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14" fontId="11" fillId="0" borderId="16" applyAlignment="1" pivotButton="0" quotePrefix="0" xfId="0">
      <alignment horizontal="right" vertical="center"/>
    </xf>
    <xf numFmtId="14" fontId="11" fillId="0" borderId="17" applyAlignment="1" pivotButton="0" quotePrefix="0" xfId="0">
      <alignment horizontal="right" vertical="center"/>
    </xf>
    <xf numFmtId="14" fontId="11" fillId="0" borderId="18" applyAlignment="1" pivotButton="0" quotePrefix="0" xfId="0">
      <alignment horizontal="right" vertical="center"/>
    </xf>
    <xf numFmtId="0" fontId="4" fillId="3" borderId="6" applyAlignment="1" pivotButton="0" quotePrefix="0" xfId="0">
      <alignment horizontal="center" vertical="center"/>
    </xf>
    <xf numFmtId="0" fontId="0" fillId="0" borderId="8" pivotButton="0" quotePrefix="0" xfId="0"/>
    <xf numFmtId="0" fontId="15" fillId="0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14" fillId="0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6" applyAlignment="1" pivotButton="0" quotePrefix="0" xfId="0">
      <alignment horizontal="center"/>
    </xf>
    <xf numFmtId="0" fontId="0" fillId="0" borderId="24" pivotButton="0" quotePrefix="0" xfId="0"/>
    <xf numFmtId="0" fontId="0" fillId="0" borderId="28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5" pivotButton="0" quotePrefix="0" xfId="0"/>
    <xf numFmtId="0" fontId="24" fillId="2" borderId="6" applyAlignment="1" pivotButton="0" quotePrefix="0" xfId="0">
      <alignment horizontal="center" vertical="center"/>
    </xf>
    <xf numFmtId="165" fontId="9" fillId="0" borderId="7" applyAlignment="1" pivotButton="0" quotePrefix="0" xfId="1">
      <alignment horizontal="center" vertical="center"/>
    </xf>
    <xf numFmtId="165" fontId="9" fillId="0" borderId="33" applyAlignment="1" pivotButton="0" quotePrefix="0" xfId="1">
      <alignment horizontal="center" vertical="center"/>
    </xf>
    <xf numFmtId="165" fontId="9" fillId="0" borderId="1" applyAlignment="1" pivotButton="0" quotePrefix="0" xfId="1">
      <alignment horizontal="center" vertical="center"/>
    </xf>
    <xf numFmtId="165" fontId="2" fillId="0" borderId="1" applyAlignment="1" pivotButton="0" quotePrefix="0" xfId="1">
      <alignment horizontal="center" vertical="center"/>
    </xf>
    <xf numFmtId="165" fontId="2" fillId="0" borderId="20" applyAlignment="1" pivotButton="0" quotePrefix="0" xfId="1">
      <alignment horizontal="center" vertical="center"/>
    </xf>
    <xf numFmtId="14" fontId="10" fillId="0" borderId="14" applyAlignment="1" pivotButton="0" quotePrefix="0" xfId="0">
      <alignment horizontal="right" vertical="center"/>
    </xf>
    <xf numFmtId="0" fontId="0" fillId="0" borderId="17" pivotButton="0" quotePrefix="0" xfId="0"/>
    <xf numFmtId="0" fontId="0" fillId="0" borderId="18" pivotButton="0" quotePrefix="0" xfId="0"/>
    <xf numFmtId="165" fontId="10" fillId="0" borderId="1" applyAlignment="1" pivotButton="0" quotePrefix="0" xfId="1">
      <alignment horizontal="center" vertical="center"/>
    </xf>
    <xf numFmtId="165" fontId="10" fillId="0" borderId="20" applyAlignment="1" pivotButton="0" quotePrefix="0" xfId="1">
      <alignment horizontal="center" vertical="center"/>
    </xf>
    <xf numFmtId="0" fontId="0" fillId="0" borderId="22" pivotButton="0" quotePrefix="0" xfId="0"/>
    <xf numFmtId="0" fontId="23" fillId="0" borderId="6" applyAlignment="1" pivotButton="0" quotePrefix="0" xfId="0">
      <alignment horizontal="center" vertical="center"/>
    </xf>
    <xf numFmtId="165" fontId="22" fillId="0" borderId="1" applyAlignment="1" pivotButton="0" quotePrefix="0" xfId="1">
      <alignment horizontal="center" vertical="center"/>
    </xf>
    <xf numFmtId="165" fontId="22" fillId="0" borderId="7" applyAlignment="1" pivotButton="0" quotePrefix="0" xfId="1">
      <alignment horizontal="center" vertical="center"/>
    </xf>
    <xf numFmtId="49" fontId="0" fillId="0" borderId="15" applyAlignment="1" pivotButton="0" quotePrefix="0" xfId="1">
      <alignment horizontal="left" vertical="center"/>
    </xf>
    <xf numFmtId="0" fontId="0" fillId="0" borderId="19" pivotButton="0" quotePrefix="0" xfId="0"/>
    <xf numFmtId="14" fontId="0" fillId="0" borderId="48" applyAlignment="1" pivotButton="0" quotePrefix="0" xfId="0">
      <alignment horizontal="left" vertical="center"/>
    </xf>
    <xf numFmtId="0" fontId="0" fillId="0" borderId="23" pivotButton="0" quotePrefix="0" xfId="0"/>
    <xf numFmtId="165" fontId="25" fillId="0" borderId="1" applyAlignment="1" pivotButton="0" quotePrefix="0" xfId="1">
      <alignment horizontal="center" vertical="center"/>
    </xf>
    <xf numFmtId="165" fontId="26" fillId="0" borderId="7" applyAlignment="1" pivotButton="0" quotePrefix="0" xfId="1">
      <alignment horizontal="center" vertical="center"/>
    </xf>
    <xf numFmtId="165" fontId="9" fillId="0" borderId="38" applyAlignment="1" pivotButton="0" quotePrefix="0" xfId="1">
      <alignment horizontal="center" vertical="center"/>
    </xf>
    <xf numFmtId="165" fontId="22" fillId="0" borderId="37" applyAlignment="1" pivotButton="0" quotePrefix="0" xfId="1">
      <alignment horizontal="center" vertical="center"/>
    </xf>
    <xf numFmtId="165" fontId="9" fillId="0" borderId="39" applyAlignment="1" pivotButton="0" quotePrefix="0" xfId="1">
      <alignment horizontal="center" vertical="center"/>
    </xf>
    <xf numFmtId="165" fontId="9" fillId="0" borderId="0" applyAlignment="1" pivotButton="0" quotePrefix="0" xfId="1">
      <alignment horizontal="center" vertical="center"/>
    </xf>
    <xf numFmtId="165" fontId="22" fillId="0" borderId="0" applyAlignment="1" pivotButton="0" quotePrefix="0" xfId="1">
      <alignment horizontal="center" vertical="center"/>
    </xf>
    <xf numFmtId="0" fontId="23" fillId="0" borderId="8" applyAlignment="1" pivotButton="0" quotePrefix="0" xfId="0">
      <alignment horizontal="center" vertical="center"/>
    </xf>
    <xf numFmtId="14" fontId="32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0" pivotButton="0" quotePrefix="0" xfId="0"/>
    <xf numFmtId="0" fontId="0" fillId="0" borderId="44" applyAlignment="1" pivotButton="0" quotePrefix="0" xfId="0">
      <alignment horizontal="center"/>
    </xf>
    <xf numFmtId="0" fontId="2" fillId="2" borderId="8" applyAlignment="1" pivotButton="0" quotePrefix="0" xfId="0">
      <alignment horizontal="right" vertical="center"/>
    </xf>
    <xf numFmtId="0" fontId="0" fillId="0" borderId="43" pivotButton="0" quotePrefix="0" xfId="0"/>
    <xf numFmtId="14" fontId="1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0" fontId="14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165" fontId="12" fillId="0" borderId="7" applyAlignment="1" pivotButton="0" quotePrefix="0" xfId="1">
      <alignment horizontal="center" vertical="center"/>
    </xf>
    <xf numFmtId="165" fontId="12" fillId="0" borderId="13" applyAlignment="1" pivotButton="0" quotePrefix="0" xfId="1">
      <alignment horizontal="center" vertical="center"/>
    </xf>
    <xf numFmtId="165" fontId="12" fillId="0" borderId="1" applyAlignment="1" pivotButton="0" quotePrefix="0" xfId="1">
      <alignment horizontal="center" vertical="center"/>
    </xf>
    <xf numFmtId="165" fontId="12" fillId="0" borderId="15" applyAlignment="1" pivotButton="0" quotePrefix="0" xfId="1">
      <alignment horizontal="center" vertical="center"/>
    </xf>
    <xf numFmtId="14" fontId="11" fillId="0" borderId="14" applyAlignment="1" pivotButton="0" quotePrefix="0" xfId="0">
      <alignment horizontal="right" vertical="center"/>
    </xf>
    <xf numFmtId="165" fontId="11" fillId="0" borderId="1" applyAlignment="1" pivotButton="0" quotePrefix="0" xfId="1">
      <alignment horizontal="center" vertical="center"/>
    </xf>
    <xf numFmtId="165" fontId="11" fillId="0" borderId="15" applyAlignment="1" pivotButton="0" quotePrefix="0" xfId="1">
      <alignment horizontal="center" vertical="center"/>
    </xf>
    <xf numFmtId="165" fontId="12" fillId="0" borderId="38" applyAlignment="1" pivotButton="0" quotePrefix="0" xfId="1">
      <alignment horizontal="center" vertical="center"/>
    </xf>
    <xf numFmtId="165" fontId="12" fillId="0" borderId="40" applyAlignment="1" pivotButton="0" quotePrefix="0" xfId="1">
      <alignment horizontal="center" vertical="center"/>
    </xf>
    <xf numFmtId="165" fontId="12" fillId="0" borderId="0" applyAlignment="1" pivotButton="0" quotePrefix="0" xfId="1">
      <alignment horizontal="center" vertical="center"/>
    </xf>
    <xf numFmtId="17" fontId="14" fillId="0" borderId="6" applyAlignment="1" pivotButton="0" quotePrefix="0" xfId="0">
      <alignment horizontal="center" vertical="center"/>
    </xf>
    <xf numFmtId="165" fontId="12" fillId="0" borderId="33" applyAlignment="1" pivotButton="0" quotePrefix="0" xfId="1">
      <alignment horizontal="center" vertical="center"/>
    </xf>
    <xf numFmtId="0" fontId="16" fillId="0" borderId="6" applyAlignment="1" pivotButton="0" quotePrefix="0" xfId="0">
      <alignment horizontal="center" vertical="center"/>
    </xf>
    <xf numFmtId="165" fontId="12" fillId="0" borderId="32" applyAlignment="1" pivotButton="0" quotePrefix="0" xfId="1">
      <alignment horizontal="center" vertical="center"/>
    </xf>
    <xf numFmtId="166" fontId="25" fillId="0" borderId="1" applyAlignment="1" pivotButton="0" quotePrefix="0" xfId="1">
      <alignment horizontal="center" vertical="center"/>
    </xf>
    <xf numFmtId="166" fontId="33" fillId="0" borderId="1" applyAlignment="1" pivotButton="0" quotePrefix="0" xfId="1">
      <alignment horizontal="center" vertical="center"/>
    </xf>
    <xf numFmtId="166" fontId="25" fillId="0" borderId="0" applyAlignment="1" pivotButton="0" quotePrefix="0" xfId="1">
      <alignment horizontal="center" vertical="center"/>
    </xf>
    <xf numFmtId="166" fontId="33" fillId="0" borderId="7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F34"/>
  <sheetViews>
    <sheetView workbookViewId="0">
      <selection activeCell="B17" sqref="B17"/>
    </sheetView>
  </sheetViews>
  <sheetFormatPr baseColWidth="8" defaultRowHeight="15"/>
  <cols>
    <col width="12.42578125" customWidth="1" style="436" min="1" max="1"/>
    <col width="113.85546875" customWidth="1" style="436" min="2" max="2"/>
    <col width="11.5703125" customWidth="1" style="436" min="3" max="3"/>
    <col width="1.42578125" customWidth="1" style="436" min="4" max="4"/>
    <col width="21.5703125" customWidth="1" style="436" min="5" max="5"/>
    <col width="7" customWidth="1" style="436" min="6" max="6"/>
  </cols>
  <sheetData>
    <row r="1" ht="21" customHeight="1" s="436">
      <c r="A1" s="623" t="inlineStr">
        <is>
          <t xml:space="preserve">CÓDIGO </t>
        </is>
      </c>
      <c r="B1" s="694" t="inlineStr">
        <is>
          <t>PRODUTO</t>
        </is>
      </c>
      <c r="C1" s="694" t="inlineStr">
        <is>
          <t>UNIDADE</t>
        </is>
      </c>
      <c r="D1" s="694" t="n"/>
      <c r="E1" s="694" t="inlineStr">
        <is>
          <t xml:space="preserve">DESCRIÇÃO </t>
        </is>
      </c>
    </row>
    <row r="2" ht="19.5" customHeight="1" s="436" thickBot="1">
      <c r="A2" s="624" t="inlineStr">
        <is>
          <t>PRODUTO</t>
        </is>
      </c>
      <c r="B2" s="695" t="n"/>
      <c r="C2" s="695" t="n"/>
      <c r="D2" s="695" t="n"/>
      <c r="E2" s="695" t="n"/>
    </row>
    <row r="3" ht="21" customHeight="1" s="436">
      <c r="A3" s="21" t="n">
        <v>4</v>
      </c>
      <c r="B3" s="22" t="inlineStr">
        <is>
          <t>FARINHA 065 FARISUR X 50 KG</t>
        </is>
      </c>
      <c r="C3" s="23" t="inlineStr">
        <is>
          <t>SC</t>
        </is>
      </c>
      <c r="D3" s="20" t="inlineStr">
        <is>
          <t>-</t>
        </is>
      </c>
      <c r="E3" s="60" t="inlineStr">
        <is>
          <t>SACAS DE 50 KG</t>
        </is>
      </c>
      <c r="F3" s="19" t="n">
        <v>1</v>
      </c>
    </row>
    <row r="4" ht="21" customHeight="1" s="436">
      <c r="A4" s="21" t="n">
        <v>23</v>
      </c>
      <c r="B4" s="22" t="inlineStr">
        <is>
          <t xml:space="preserve">FARINHA DE TRIGO TIPO 1 COMUM INTEIRA 50KG </t>
        </is>
      </c>
      <c r="C4" s="20" t="inlineStr">
        <is>
          <t>SC</t>
        </is>
      </c>
      <c r="D4" s="20" t="inlineStr">
        <is>
          <t>-</t>
        </is>
      </c>
      <c r="E4" s="61" t="inlineStr">
        <is>
          <t>SACAS DE 50 KG</t>
        </is>
      </c>
      <c r="F4" s="19" t="n">
        <v>2</v>
      </c>
    </row>
    <row r="5" ht="21" customHeight="1" s="436">
      <c r="A5" s="24" t="inlineStr">
        <is>
          <t>000263</t>
        </is>
      </c>
      <c r="B5" s="25" t="inlineStr">
        <is>
          <t>FARINHA DE TRIGO TIPO 1 000 EM SACA 50 KG</t>
        </is>
      </c>
      <c r="C5" s="20" t="inlineStr">
        <is>
          <t>SACA</t>
        </is>
      </c>
      <c r="D5" s="20" t="inlineStr">
        <is>
          <t>-</t>
        </is>
      </c>
      <c r="E5" s="61" t="inlineStr">
        <is>
          <t>SACAS DE 50 KG</t>
        </is>
      </c>
      <c r="F5" s="19" t="n">
        <v>3</v>
      </c>
    </row>
    <row r="6" ht="21" customHeight="1" s="436">
      <c r="A6" s="26" t="n">
        <v>20117</v>
      </c>
      <c r="B6" s="27" t="inlineStr">
        <is>
          <t xml:space="preserve">DORATA MIX PÃO FRANCES 25 KG </t>
        </is>
      </c>
      <c r="C6" s="28" t="inlineStr">
        <is>
          <t>SC</t>
        </is>
      </c>
      <c r="D6" s="28" t="inlineStr">
        <is>
          <t>-</t>
        </is>
      </c>
      <c r="E6" s="62" t="inlineStr">
        <is>
          <t>SACAS DE 25 KG</t>
        </is>
      </c>
      <c r="F6" s="19" t="n">
        <v>4</v>
      </c>
    </row>
    <row r="7" ht="21" customHeight="1" s="436">
      <c r="A7" s="24" t="inlineStr">
        <is>
          <t>002499</t>
        </is>
      </c>
      <c r="B7" s="25" t="inlineStr">
        <is>
          <t>FARINHA DE TRIGO COSTA BLANCA 0000 TIPO: 1</t>
        </is>
      </c>
      <c r="C7" s="20" t="inlineStr">
        <is>
          <t>BLS</t>
        </is>
      </c>
      <c r="D7" s="20" t="inlineStr">
        <is>
          <t>-</t>
        </is>
      </c>
      <c r="E7" s="61" t="inlineStr">
        <is>
          <t>SACAS DE 50 KG</t>
        </is>
      </c>
      <c r="F7" s="19" t="n">
        <v>5</v>
      </c>
    </row>
    <row r="8" ht="21" customHeight="1" s="436">
      <c r="A8" s="29" t="inlineStr">
        <is>
          <t>002500</t>
        </is>
      </c>
      <c r="B8" s="27" t="inlineStr">
        <is>
          <t>FARINHA DE TRIGO 0,52 MARCA FARISUL, FORTIFICADA C/FERRO E ACIDO FOLICO, TIPO 1</t>
        </is>
      </c>
      <c r="C8" s="28" t="inlineStr">
        <is>
          <t>TM</t>
        </is>
      </c>
      <c r="D8" s="28" t="inlineStr">
        <is>
          <t>-</t>
        </is>
      </c>
      <c r="E8" s="62" t="inlineStr">
        <is>
          <t>SACAS DE 25 KG</t>
        </is>
      </c>
      <c r="F8" s="19" t="n">
        <v>6</v>
      </c>
    </row>
    <row r="9" ht="21" customHeight="1" s="436">
      <c r="A9" s="29" t="inlineStr">
        <is>
          <t>002501</t>
        </is>
      </c>
      <c r="B9" s="27" t="inlineStr">
        <is>
          <t xml:space="preserve">FARINHA DE TRIGO TIPO 1 - 000 MARCA BELLA </t>
        </is>
      </c>
      <c r="C9" s="28" t="inlineStr">
        <is>
          <t>TM</t>
        </is>
      </c>
      <c r="D9" s="28" t="inlineStr">
        <is>
          <t>-</t>
        </is>
      </c>
      <c r="E9" s="62" t="inlineStr">
        <is>
          <t>SACAS DE 25 KG</t>
        </is>
      </c>
      <c r="F9" s="19" t="n">
        <v>7</v>
      </c>
    </row>
    <row r="10" ht="21" customHeight="1" s="436">
      <c r="A10" s="29" t="inlineStr">
        <is>
          <t>002521</t>
        </is>
      </c>
      <c r="B10" s="27" t="inlineStr">
        <is>
          <t xml:space="preserve">FARINHA DE TRIGO TIPO 1 - 000 MARCA COSTA BLANCA </t>
        </is>
      </c>
      <c r="C10" s="28" t="inlineStr">
        <is>
          <t>TM</t>
        </is>
      </c>
      <c r="D10" s="28" t="inlineStr">
        <is>
          <t>-</t>
        </is>
      </c>
      <c r="E10" s="62" t="inlineStr">
        <is>
          <t>SACAS DE 25 KG</t>
        </is>
      </c>
      <c r="F10" s="19" t="n">
        <v>8</v>
      </c>
    </row>
    <row r="11" ht="21" customHeight="1" s="436">
      <c r="A11" s="29" t="inlineStr">
        <is>
          <t>002522</t>
        </is>
      </c>
      <c r="B11" s="27" t="inlineStr">
        <is>
          <t xml:space="preserve">FARINHA DE TRIGO TIPO 1 - 000 MARCA CRYSTALINA </t>
        </is>
      </c>
      <c r="C11" s="28" t="inlineStr">
        <is>
          <t>TM</t>
        </is>
      </c>
      <c r="D11" s="28" t="inlineStr">
        <is>
          <t>-</t>
        </is>
      </c>
      <c r="E11" s="62" t="inlineStr">
        <is>
          <t>SACAS DE 25 KG</t>
        </is>
      </c>
      <c r="F11" s="19" t="n">
        <v>9</v>
      </c>
    </row>
    <row r="12" ht="21" customHeight="1" s="436">
      <c r="A12" s="24" t="inlineStr">
        <is>
          <t>002523</t>
        </is>
      </c>
      <c r="B12" s="25" t="inlineStr">
        <is>
          <t>FARINHA DE TRIGO FARISUR 0,65 TIPO: 1 BLS: 50 KG</t>
        </is>
      </c>
      <c r="C12" s="20" t="inlineStr">
        <is>
          <t>BLS</t>
        </is>
      </c>
      <c r="D12" s="20" t="inlineStr">
        <is>
          <t>-</t>
        </is>
      </c>
      <c r="E12" s="61" t="inlineStr">
        <is>
          <t>SACAS DE 50 KG</t>
        </is>
      </c>
      <c r="F12" s="19" t="n">
        <v>10</v>
      </c>
    </row>
    <row r="13" ht="21" customHeight="1" s="436">
      <c r="A13" s="29" t="inlineStr">
        <is>
          <t>002524</t>
        </is>
      </c>
      <c r="B13" s="27" t="inlineStr">
        <is>
          <t>FARINHA DE TRIGO FARISUR 0,65 TIPO: 1 BLS: 25 KG</t>
        </is>
      </c>
      <c r="C13" s="28" t="inlineStr">
        <is>
          <t>TM</t>
        </is>
      </c>
      <c r="D13" s="28" t="inlineStr">
        <is>
          <t>-</t>
        </is>
      </c>
      <c r="E13" s="62" t="inlineStr">
        <is>
          <t>SACAS DE 25 KG</t>
        </is>
      </c>
      <c r="F13" s="19" t="n">
        <v>11</v>
      </c>
    </row>
    <row r="14" ht="21" customHeight="1" s="436">
      <c r="A14" s="24" t="inlineStr">
        <is>
          <t>002526</t>
        </is>
      </c>
      <c r="B14" s="25" t="inlineStr">
        <is>
          <t>FARINHA DE TRIGO CINCUENTENARIA TIPO: 1   000  KG</t>
        </is>
      </c>
      <c r="C14" s="20" t="inlineStr">
        <is>
          <t>TM</t>
        </is>
      </c>
      <c r="D14" s="20" t="inlineStr">
        <is>
          <t>-</t>
        </is>
      </c>
      <c r="E14" s="61" t="inlineStr">
        <is>
          <t>SACAS DE 50 KG</t>
        </is>
      </c>
      <c r="F14" s="19" t="n">
        <v>12</v>
      </c>
    </row>
    <row r="15" ht="21" customHeight="1" s="436">
      <c r="A15" s="29" t="inlineStr">
        <is>
          <t>002527</t>
        </is>
      </c>
      <c r="B15" s="27" t="inlineStr">
        <is>
          <t>FARINHA DE TRIGO 000 TIPO 1, MARCA IDEAL</t>
        </is>
      </c>
      <c r="C15" s="28" t="inlineStr">
        <is>
          <t>TM</t>
        </is>
      </c>
      <c r="D15" s="28" t="inlineStr">
        <is>
          <t>-</t>
        </is>
      </c>
      <c r="E15" s="62" t="inlineStr">
        <is>
          <t>SACAS DE 25 KG</t>
        </is>
      </c>
      <c r="F15" s="19" t="n">
        <v>13</v>
      </c>
    </row>
    <row r="16" ht="21" customHeight="1" s="436">
      <c r="A16" s="29" t="inlineStr">
        <is>
          <t>002528</t>
        </is>
      </c>
      <c r="B16" s="27" t="inlineStr">
        <is>
          <t>FARINHA DE TRIGO 0,52 MARCA FARISUR, FORTIFICADA C/FERRO E ACIDO FOLICO, TIPO 1</t>
        </is>
      </c>
      <c r="C16" s="28" t="inlineStr">
        <is>
          <t>TM</t>
        </is>
      </c>
      <c r="D16" s="28" t="inlineStr">
        <is>
          <t>-</t>
        </is>
      </c>
      <c r="E16" s="62" t="inlineStr">
        <is>
          <t>SACAS DE 25 KG</t>
        </is>
      </c>
      <c r="F16" s="19" t="n">
        <v>14</v>
      </c>
    </row>
    <row r="17" ht="21" customHeight="1" s="436">
      <c r="A17" s="24" t="inlineStr">
        <is>
          <t>002541</t>
        </is>
      </c>
      <c r="B17" s="25" t="inlineStr">
        <is>
          <t>FARINHA DE TRIGO TIPO 1 - 000, MARCA RIO SEGUNDO</t>
        </is>
      </c>
      <c r="C17" s="20" t="inlineStr">
        <is>
          <t>BLS</t>
        </is>
      </c>
      <c r="D17" s="20" t="inlineStr">
        <is>
          <t>-</t>
        </is>
      </c>
      <c r="E17" s="61" t="inlineStr">
        <is>
          <t>SACAS DE 50 KG</t>
        </is>
      </c>
      <c r="F17" s="19" t="n">
        <v>15</v>
      </c>
    </row>
    <row r="18" ht="21" customHeight="1" s="436">
      <c r="A18" s="24" t="inlineStr">
        <is>
          <t>002586</t>
        </is>
      </c>
      <c r="B18" s="25" t="inlineStr">
        <is>
          <t xml:space="preserve">FARINHA DE TRIGO ARTESANA TIPO 1 - 000 EM SACA 50 KG </t>
        </is>
      </c>
      <c r="C18" s="20" t="inlineStr">
        <is>
          <t>SACA</t>
        </is>
      </c>
      <c r="D18" s="20" t="inlineStr">
        <is>
          <t>-</t>
        </is>
      </c>
      <c r="E18" s="61" t="inlineStr">
        <is>
          <t>SACAS DE 50 KG</t>
        </is>
      </c>
      <c r="F18" s="19" t="n">
        <v>16</v>
      </c>
    </row>
    <row r="19" ht="21" customHeight="1" s="436">
      <c r="A19" s="24" t="inlineStr">
        <is>
          <t>002588</t>
        </is>
      </c>
      <c r="B19" s="25" t="inlineStr">
        <is>
          <t xml:space="preserve">FARINHA DE TRIGO TIPO 1 - 0000 EM SACA 50KG </t>
        </is>
      </c>
      <c r="C19" s="20" t="inlineStr">
        <is>
          <t>BLS</t>
        </is>
      </c>
      <c r="D19" s="20" t="inlineStr">
        <is>
          <t>-</t>
        </is>
      </c>
      <c r="E19" s="61" t="inlineStr">
        <is>
          <t>SACAS DE 50 KG</t>
        </is>
      </c>
      <c r="F19" s="19" t="n">
        <v>17</v>
      </c>
    </row>
    <row r="20" ht="21" customHeight="1" s="436">
      <c r="A20" s="24" t="inlineStr">
        <is>
          <t>002589</t>
        </is>
      </c>
      <c r="B20" s="25" t="inlineStr">
        <is>
          <t xml:space="preserve">FARINHA DE TRIGO TIPO 1 - 000 BELLA - SC 50 KG </t>
        </is>
      </c>
      <c r="C20" s="20" t="inlineStr">
        <is>
          <t>SC</t>
        </is>
      </c>
      <c r="D20" s="20" t="inlineStr">
        <is>
          <t>-</t>
        </is>
      </c>
      <c r="E20" s="61" t="inlineStr">
        <is>
          <t>SACAS DE 50 KG</t>
        </is>
      </c>
      <c r="F20" s="19" t="n">
        <v>18</v>
      </c>
    </row>
    <row r="21" ht="21" customHeight="1" s="436">
      <c r="A21" s="29" t="inlineStr">
        <is>
          <t>002591</t>
        </is>
      </c>
      <c r="B21" s="27" t="inlineStr">
        <is>
          <t>FARINHA DE TRIGO 000 TIPO 1, 0,45, MARCA ADÉLIA MARIA</t>
        </is>
      </c>
      <c r="C21" s="28" t="inlineStr">
        <is>
          <t>TM</t>
        </is>
      </c>
      <c r="D21" s="28" t="inlineStr">
        <is>
          <t>-</t>
        </is>
      </c>
      <c r="E21" s="62" t="inlineStr">
        <is>
          <t>SACAS DE 25 KG</t>
        </is>
      </c>
      <c r="F21" s="19" t="n">
        <v>19</v>
      </c>
    </row>
    <row r="22" ht="21" customHeight="1" s="436">
      <c r="A22" s="24" t="inlineStr">
        <is>
          <t>002604</t>
        </is>
      </c>
      <c r="B22" s="25" t="inlineStr">
        <is>
          <t>FARINHA DE TRIGO TIPO 1 0000 50 KG</t>
        </is>
      </c>
      <c r="C22" s="20" t="inlineStr">
        <is>
          <t>BLS</t>
        </is>
      </c>
      <c r="D22" s="20" t="inlineStr">
        <is>
          <t>-</t>
        </is>
      </c>
      <c r="E22" s="61" t="inlineStr">
        <is>
          <t>SACAS DE 50 KG</t>
        </is>
      </c>
      <c r="F22" s="19" t="n">
        <v>20</v>
      </c>
    </row>
    <row r="23" ht="21" customHeight="1" s="436">
      <c r="A23" s="29" t="inlineStr">
        <is>
          <t>100258</t>
        </is>
      </c>
      <c r="B23" s="27" t="inlineStr">
        <is>
          <t>MELHORADOR DE FARINHA ENZIPAN 40X250 GR</t>
        </is>
      </c>
      <c r="C23" s="28" t="inlineStr">
        <is>
          <t>FD</t>
        </is>
      </c>
      <c r="D23" s="28" t="inlineStr">
        <is>
          <t>-</t>
        </is>
      </c>
      <c r="E23" s="62" t="inlineStr">
        <is>
          <t>SACAS DE 25 KG</t>
        </is>
      </c>
      <c r="F23" s="19" t="n">
        <v>21</v>
      </c>
    </row>
    <row r="24" ht="21" customHeight="1" s="436">
      <c r="A24" s="10" t="n"/>
      <c r="B24" s="4" t="n"/>
      <c r="C24" s="5" t="n"/>
      <c r="D24" s="14" t="inlineStr">
        <is>
          <t>-</t>
        </is>
      </c>
      <c r="E24" s="63" t="n"/>
    </row>
    <row r="25" ht="21" customHeight="1" s="436">
      <c r="A25" s="10" t="n"/>
      <c r="B25" s="4" t="n"/>
      <c r="C25" s="5" t="n"/>
      <c r="D25" s="14" t="inlineStr">
        <is>
          <t>-</t>
        </is>
      </c>
      <c r="E25" s="63" t="n"/>
    </row>
    <row r="26" ht="21" customHeight="1" s="436">
      <c r="A26" s="10" t="n"/>
      <c r="B26" s="4" t="n"/>
      <c r="C26" s="5" t="n"/>
      <c r="D26" s="14" t="inlineStr">
        <is>
          <t>-</t>
        </is>
      </c>
      <c r="E26" s="63" t="n"/>
    </row>
    <row r="27" ht="21" customHeight="1" s="436">
      <c r="A27" s="10" t="n"/>
      <c r="B27" s="4" t="n"/>
      <c r="C27" s="5" t="n"/>
      <c r="D27" s="14" t="inlineStr">
        <is>
          <t>-</t>
        </is>
      </c>
      <c r="E27" s="63" t="n"/>
    </row>
    <row r="28" ht="21" customHeight="1" s="436">
      <c r="A28" s="10" t="n"/>
      <c r="B28" s="4" t="n"/>
      <c r="C28" s="5" t="n"/>
      <c r="D28" s="14" t="inlineStr">
        <is>
          <t>-</t>
        </is>
      </c>
      <c r="E28" s="63" t="n"/>
    </row>
    <row r="29" ht="21" customHeight="1" s="436">
      <c r="A29" s="10" t="n"/>
      <c r="B29" s="4" t="n"/>
      <c r="C29" s="5" t="n"/>
      <c r="D29" s="14" t="inlineStr">
        <is>
          <t>-</t>
        </is>
      </c>
      <c r="E29" s="63" t="n"/>
    </row>
    <row r="30" ht="21" customHeight="1" s="436">
      <c r="A30" s="10" t="n"/>
      <c r="B30" s="4" t="n"/>
      <c r="C30" s="5" t="n"/>
      <c r="D30" s="14" t="inlineStr">
        <is>
          <t>-</t>
        </is>
      </c>
      <c r="E30" s="63" t="n"/>
    </row>
    <row r="31" ht="21" customHeight="1" s="436">
      <c r="A31" s="10" t="n"/>
      <c r="B31" s="4" t="n"/>
      <c r="C31" s="5" t="n"/>
      <c r="D31" s="14" t="inlineStr">
        <is>
          <t>-</t>
        </is>
      </c>
      <c r="E31" s="63" t="n"/>
    </row>
    <row r="32" ht="21" customHeight="1" s="436">
      <c r="A32" s="11" t="n"/>
      <c r="B32" s="4" t="n"/>
      <c r="C32" s="6" t="n"/>
      <c r="D32" s="14" t="inlineStr">
        <is>
          <t>-</t>
        </is>
      </c>
      <c r="E32" s="63" t="n"/>
    </row>
    <row r="33" ht="21" customHeight="1" s="436">
      <c r="A33" s="11" t="n"/>
      <c r="B33" s="4" t="n"/>
      <c r="C33" s="6" t="n"/>
      <c r="D33" s="14" t="inlineStr">
        <is>
          <t>-</t>
        </is>
      </c>
      <c r="E33" s="63" t="n"/>
    </row>
    <row r="34" ht="21.75" customHeight="1" s="436" thickBot="1">
      <c r="A34" s="12" t="n"/>
      <c r="B34" s="16" t="n"/>
      <c r="C34" s="13" t="n"/>
      <c r="D34" s="15" t="inlineStr">
        <is>
          <t>-</t>
        </is>
      </c>
      <c r="E34" s="64" t="n"/>
    </row>
  </sheetData>
  <mergeCells count="4">
    <mergeCell ref="C1:C2"/>
    <mergeCell ref="B1:B2"/>
    <mergeCell ref="E1:E2"/>
    <mergeCell ref="D1:D2"/>
  </mergeCells>
  <printOptions horizontalCentered="1"/>
  <pageMargins left="0.03937007874015748" right="0.03937007874015748" top="0.03937007874015748" bottom="0.03937007874015748" header="0.03937007874015748" footer="0.03937007874015748"/>
  <pageSetup orientation="landscape" paperSize="9" scale="85" horizontalDpi="0" verticalDpi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N5638"/>
  <sheetViews>
    <sheetView topLeftCell="A5619" workbookViewId="0">
      <selection activeCell="H5607" sqref="H5607"/>
    </sheetView>
  </sheetViews>
  <sheetFormatPr baseColWidth="8" defaultRowHeight="15"/>
  <cols>
    <col width="11" customWidth="1" style="436" min="1" max="1"/>
    <col width="10.7109375" bestFit="1" customWidth="1" style="436" min="2" max="2"/>
    <col width="8.7109375" bestFit="1" customWidth="1" style="436" min="3" max="3"/>
    <col width="10.7109375" bestFit="1" customWidth="1" style="436" min="4" max="4"/>
    <col width="7.85546875" customWidth="1" style="436" min="5" max="5"/>
    <col width="9.7109375" customWidth="1" style="436" min="6" max="6"/>
    <col width="12.140625" customWidth="1" style="436" min="7" max="7"/>
    <col width="20.28515625" customWidth="1" style="436" min="8" max="8"/>
    <col width="8.85546875" customWidth="1" style="436" min="9" max="9"/>
    <col width="16.140625" customWidth="1" style="436" min="10" max="10"/>
    <col width="19.140625" customWidth="1" style="436" min="11" max="11"/>
    <col width="21.140625" customWidth="1" style="436" min="12" max="12"/>
    <col width="15.85546875" customWidth="1" style="436" min="13" max="13"/>
  </cols>
  <sheetData>
    <row r="1" ht="22.5" customHeight="1" s="436" thickBot="1">
      <c r="A1" s="696" t="inlineStr">
        <is>
          <t>PLANILHA CONTROLE DE ESTOQUE</t>
        </is>
      </c>
      <c r="B1" s="697" t="n"/>
      <c r="C1" s="697" t="n"/>
      <c r="D1" s="697" t="n"/>
      <c r="E1" s="697" t="n"/>
      <c r="F1" s="697" t="n"/>
      <c r="G1" s="697" t="n"/>
      <c r="H1" s="697" t="n"/>
      <c r="I1" s="697" t="n"/>
      <c r="J1" s="697" t="n"/>
      <c r="K1" s="697" t="n"/>
      <c r="L1" s="697" t="n"/>
      <c r="M1" s="698" t="n"/>
    </row>
    <row r="2" ht="21.75" customHeight="1" s="436" thickBot="1">
      <c r="A2" s="699" t="inlineStr">
        <is>
          <t xml:space="preserve">021 - DENISE FURTADO DE SOUZA - ME </t>
        </is>
      </c>
      <c r="B2" s="697" t="n"/>
      <c r="C2" s="697" t="n"/>
      <c r="D2" s="697" t="n"/>
      <c r="E2" s="697" t="n"/>
      <c r="F2" s="697" t="n"/>
      <c r="G2" s="697" t="n"/>
      <c r="H2" s="697" t="n"/>
      <c r="I2" s="697" t="n"/>
      <c r="J2" s="697" t="n"/>
      <c r="K2" s="697" t="n"/>
      <c r="L2" s="697" t="n"/>
      <c r="M2" s="698" t="n"/>
    </row>
    <row r="3" ht="27" customHeight="1" s="436" thickBot="1">
      <c r="A3" s="700" t="inlineStr">
        <is>
          <t xml:space="preserve"> FARINHA DE TRIGO TIPO: 1 - 50 KG</t>
        </is>
      </c>
      <c r="B3" s="697" t="n"/>
      <c r="C3" s="697" t="n"/>
      <c r="D3" s="697" t="n"/>
      <c r="E3" s="697" t="n"/>
      <c r="F3" s="697" t="n"/>
      <c r="G3" s="697" t="n"/>
      <c r="H3" s="697" t="n"/>
      <c r="I3" s="697" t="n"/>
      <c r="J3" s="697" t="n"/>
      <c r="K3" s="697" t="n"/>
      <c r="L3" s="697" t="n"/>
      <c r="M3" s="698" t="n"/>
    </row>
    <row r="4" ht="13.7" customHeight="1" s="436">
      <c r="A4" s="643" t="inlineStr">
        <is>
          <t>DATA</t>
        </is>
      </c>
      <c r="B4" s="633" t="inlineStr">
        <is>
          <t>N.F.</t>
        </is>
      </c>
      <c r="C4" s="633" t="inlineStr">
        <is>
          <t>TIPO</t>
        </is>
      </c>
      <c r="D4" s="633" t="inlineStr">
        <is>
          <t>PREÇO UNITÁRIO</t>
        </is>
      </c>
      <c r="E4" s="701" t="n"/>
      <c r="F4" s="633" t="inlineStr">
        <is>
          <t>QUANTIDADE / KG</t>
        </is>
      </c>
      <c r="H4" s="701" t="n"/>
      <c r="I4" s="632" t="inlineStr">
        <is>
          <t>PREÇO</t>
        </is>
      </c>
      <c r="J4" s="632" t="inlineStr">
        <is>
          <t>VALORES</t>
        </is>
      </c>
      <c r="L4" s="701" t="n"/>
      <c r="M4" s="702" t="n"/>
    </row>
    <row r="5" ht="13.7" customHeight="1" s="436" thickBot="1">
      <c r="A5" s="703" t="n"/>
      <c r="B5" s="704" t="n"/>
      <c r="C5" s="704" t="n"/>
      <c r="D5" s="703" t="n"/>
      <c r="E5" s="701" t="n"/>
      <c r="F5" s="705" t="n"/>
      <c r="G5" s="706" t="n"/>
      <c r="H5" s="707" t="n"/>
      <c r="I5" s="704" t="n"/>
      <c r="J5" s="703" t="n"/>
      <c r="L5" s="701" t="n"/>
      <c r="M5" s="704" t="n"/>
    </row>
    <row r="6" ht="13.7" customHeight="1" s="436" thickBot="1">
      <c r="A6" s="703" t="n"/>
      <c r="B6" s="704" t="n"/>
      <c r="C6" s="704" t="n"/>
      <c r="D6" s="705" t="n"/>
      <c r="E6" s="707" t="n"/>
      <c r="F6" s="708" t="inlineStr">
        <is>
          <t>ENTRADA</t>
        </is>
      </c>
      <c r="G6" s="3" t="inlineStr">
        <is>
          <t>SAÍDA</t>
        </is>
      </c>
      <c r="H6" s="640" t="inlineStr">
        <is>
          <t>SALDO EM 30/12/2017</t>
        </is>
      </c>
      <c r="I6" s="633" t="inlineStr">
        <is>
          <t>MÉDIO</t>
        </is>
      </c>
      <c r="J6" s="652" t="inlineStr">
        <is>
          <t>SALDO EM 30/11/2017</t>
        </is>
      </c>
      <c r="K6" s="706" t="n"/>
      <c r="L6" s="17" t="n"/>
      <c r="M6" s="695" t="n"/>
    </row>
    <row r="7" ht="13.7" customHeight="1" s="436" thickBot="1">
      <c r="A7" s="705" t="n"/>
      <c r="B7" s="695" t="n"/>
      <c r="C7" s="695" t="n"/>
      <c r="D7" s="3" t="inlineStr">
        <is>
          <t>C/ICMS</t>
        </is>
      </c>
      <c r="E7" s="3" t="inlineStr">
        <is>
          <t>S/ICMS</t>
        </is>
      </c>
      <c r="F7" s="695" t="n"/>
      <c r="G7" s="695" t="n"/>
      <c r="H7" s="18" t="n"/>
      <c r="I7" s="695" t="n"/>
      <c r="J7" s="645" t="inlineStr">
        <is>
          <t>ENTRADA</t>
        </is>
      </c>
      <c r="K7" s="633" t="inlineStr">
        <is>
          <t>SAÍDA / CMV</t>
        </is>
      </c>
      <c r="L7" s="633" t="inlineStr">
        <is>
          <t>SALDO</t>
        </is>
      </c>
      <c r="M7" s="631" t="inlineStr">
        <is>
          <t>ICMS S/VENDAS</t>
        </is>
      </c>
    </row>
    <row r="8">
      <c r="A8" s="30" t="n"/>
      <c r="B8" s="31" t="n"/>
      <c r="C8" s="31" t="n"/>
      <c r="D8" s="32" t="n"/>
      <c r="E8" s="32" t="n"/>
      <c r="F8" s="33" t="n"/>
      <c r="G8" s="33" t="n">
        <v>0</v>
      </c>
      <c r="H8" s="33" t="n">
        <v>200</v>
      </c>
      <c r="I8" s="32" t="n"/>
      <c r="J8" s="709">
        <f>F8*I8</f>
        <v/>
      </c>
      <c r="K8" s="709" t="n">
        <v>0</v>
      </c>
      <c r="L8" s="710">
        <f>J8-K8</f>
        <v/>
      </c>
      <c r="M8" s="1" t="n"/>
    </row>
    <row r="9">
      <c r="A9" s="30" t="n">
        <v>43106</v>
      </c>
      <c r="B9" s="31" t="inlineStr">
        <is>
          <t>5484</t>
        </is>
      </c>
      <c r="C9" s="35" t="n"/>
      <c r="D9" s="36" t="n">
        <v>80</v>
      </c>
      <c r="E9" s="36" t="n"/>
      <c r="F9" s="37" t="n"/>
      <c r="G9" s="37" t="n">
        <v>20</v>
      </c>
      <c r="H9" s="37">
        <f>H8-G9</f>
        <v/>
      </c>
      <c r="I9" s="36" t="n"/>
      <c r="J9" s="711" t="n"/>
      <c r="K9" s="709">
        <f>G9*D9</f>
        <v/>
      </c>
      <c r="L9" s="710" t="n"/>
      <c r="M9" s="1" t="n"/>
    </row>
    <row r="10">
      <c r="A10" s="30" t="n">
        <v>43111</v>
      </c>
      <c r="B10" s="31" t="inlineStr">
        <is>
          <t>5495</t>
        </is>
      </c>
      <c r="C10" s="31" t="n"/>
      <c r="D10" s="32" t="n">
        <v>95</v>
      </c>
      <c r="E10" s="32" t="n"/>
      <c r="F10" s="33" t="n"/>
      <c r="G10" s="33" t="n">
        <v>30</v>
      </c>
      <c r="H10" s="37">
        <f>H9-G10</f>
        <v/>
      </c>
      <c r="I10" s="32" t="n"/>
      <c r="J10" s="711" t="n"/>
      <c r="K10" s="709">
        <f>G10*D10</f>
        <v/>
      </c>
      <c r="L10" s="710" t="n"/>
      <c r="M10" s="1" t="n"/>
    </row>
    <row r="11">
      <c r="A11" s="92" t="n">
        <v>43115</v>
      </c>
      <c r="B11" s="93" t="inlineStr">
        <is>
          <t>2213</t>
        </is>
      </c>
      <c r="C11" s="93" t="n"/>
      <c r="D11" s="94" t="n">
        <v>63.3</v>
      </c>
      <c r="E11" s="94" t="n"/>
      <c r="F11" s="95" t="n">
        <v>50</v>
      </c>
      <c r="G11" s="95" t="n"/>
      <c r="H11" s="98">
        <f>H10+F11</f>
        <v/>
      </c>
      <c r="I11" s="32" t="n"/>
      <c r="J11" s="711" t="n"/>
      <c r="K11" s="709" t="n"/>
      <c r="L11" s="710" t="n"/>
      <c r="M11" s="1" t="n"/>
    </row>
    <row r="12">
      <c r="A12" s="30" t="n">
        <v>43115</v>
      </c>
      <c r="B12" s="31" t="inlineStr">
        <is>
          <t>5502</t>
        </is>
      </c>
      <c r="C12" s="35" t="n"/>
      <c r="D12" s="36" t="n">
        <v>80</v>
      </c>
      <c r="E12" s="36" t="n"/>
      <c r="F12" s="37" t="n"/>
      <c r="G12" s="37" t="n">
        <v>30</v>
      </c>
      <c r="H12" s="37">
        <f>H11-G12</f>
        <v/>
      </c>
      <c r="I12" s="36" t="n"/>
      <c r="J12" s="711" t="n"/>
      <c r="K12" s="709">
        <f>G12*D12</f>
        <v/>
      </c>
      <c r="L12" s="710" t="n"/>
      <c r="M12" s="1" t="n"/>
    </row>
    <row r="13">
      <c r="A13" s="30" t="n">
        <v>43116</v>
      </c>
      <c r="B13" s="31" t="inlineStr">
        <is>
          <t>5511</t>
        </is>
      </c>
      <c r="C13" s="35" t="n"/>
      <c r="D13" s="36" t="n">
        <v>90</v>
      </c>
      <c r="E13" s="36" t="n"/>
      <c r="F13" s="37" t="n"/>
      <c r="G13" s="37" t="n">
        <v>10</v>
      </c>
      <c r="H13" s="37">
        <f>H12-G13</f>
        <v/>
      </c>
      <c r="I13" s="36" t="n"/>
      <c r="J13" s="711" t="n"/>
      <c r="K13" s="709">
        <f>G13*D13</f>
        <v/>
      </c>
      <c r="L13" s="710" t="n"/>
      <c r="M13" s="1" t="n"/>
    </row>
    <row r="14">
      <c r="A14" s="92" t="n">
        <v>43122</v>
      </c>
      <c r="B14" s="93" t="inlineStr">
        <is>
          <t>2223</t>
        </is>
      </c>
      <c r="C14" s="96" t="n"/>
      <c r="D14" s="97" t="n">
        <v>63</v>
      </c>
      <c r="E14" s="97" t="n"/>
      <c r="F14" s="98" t="n">
        <v>40</v>
      </c>
      <c r="G14" s="98" t="n"/>
      <c r="H14" s="98">
        <f>H13+F14</f>
        <v/>
      </c>
      <c r="I14" s="36" t="n"/>
      <c r="J14" s="711" t="n"/>
      <c r="K14" s="709" t="n"/>
      <c r="L14" s="710" t="n"/>
      <c r="M14" s="1" t="n"/>
    </row>
    <row r="15">
      <c r="A15" s="30" t="n">
        <v>43124</v>
      </c>
      <c r="B15" s="31" t="inlineStr">
        <is>
          <t>5532</t>
        </is>
      </c>
      <c r="C15" s="35" t="n"/>
      <c r="D15" s="36" t="n">
        <v>90</v>
      </c>
      <c r="E15" s="36" t="n"/>
      <c r="F15" s="37" t="n"/>
      <c r="G15" s="37" t="n">
        <v>20</v>
      </c>
      <c r="H15" s="37">
        <f>H14-G15</f>
        <v/>
      </c>
      <c r="I15" s="36" t="n"/>
      <c r="J15" s="711" t="n"/>
      <c r="K15" s="709">
        <f>G15*D15</f>
        <v/>
      </c>
      <c r="L15" s="710" t="n"/>
      <c r="M15" s="1" t="n"/>
    </row>
    <row r="16">
      <c r="A16" s="30" t="n">
        <v>43124</v>
      </c>
      <c r="B16" s="31" t="inlineStr">
        <is>
          <t>5536</t>
        </is>
      </c>
      <c r="C16" s="35" t="n"/>
      <c r="D16" s="36" t="n">
        <v>95</v>
      </c>
      <c r="E16" s="36" t="n"/>
      <c r="F16" s="37" t="n"/>
      <c r="G16" s="37" t="n">
        <v>10</v>
      </c>
      <c r="H16" s="37">
        <f>H15-G16</f>
        <v/>
      </c>
      <c r="I16" s="36" t="n"/>
      <c r="J16" s="711" t="n"/>
      <c r="K16" s="709">
        <f>G16*D16</f>
        <v/>
      </c>
      <c r="L16" s="710" t="n"/>
      <c r="M16" s="1" t="n"/>
    </row>
    <row r="17">
      <c r="A17" s="30" t="n">
        <v>43131</v>
      </c>
      <c r="B17" s="31" t="inlineStr">
        <is>
          <t>5549</t>
        </is>
      </c>
      <c r="C17" s="35" t="n"/>
      <c r="D17" s="36" t="n">
        <v>80</v>
      </c>
      <c r="E17" s="36" t="n"/>
      <c r="F17" s="37" t="n"/>
      <c r="G17" s="37" t="n">
        <v>30</v>
      </c>
      <c r="H17" s="37">
        <f>H16-G17</f>
        <v/>
      </c>
      <c r="I17" s="36" t="n"/>
      <c r="J17" s="711" t="n"/>
      <c r="K17" s="709">
        <f>G17*D17</f>
        <v/>
      </c>
      <c r="L17" s="710" t="n"/>
      <c r="M17" s="1" t="n"/>
    </row>
    <row r="18">
      <c r="A18" s="30" t="n">
        <v>43131</v>
      </c>
      <c r="B18" s="31" t="inlineStr">
        <is>
          <t>5551</t>
        </is>
      </c>
      <c r="C18" s="35" t="n"/>
      <c r="D18" s="36" t="n">
        <v>90</v>
      </c>
      <c r="E18" s="36" t="n"/>
      <c r="F18" s="37" t="n"/>
      <c r="G18" s="37" t="n">
        <v>10</v>
      </c>
      <c r="H18" s="37">
        <f>H17-G18</f>
        <v/>
      </c>
      <c r="I18" s="36" t="n"/>
      <c r="J18" s="711" t="n"/>
      <c r="K18" s="709">
        <f>G18*D18</f>
        <v/>
      </c>
      <c r="L18" s="710" t="n"/>
      <c r="M18" s="1" t="n"/>
    </row>
    <row r="19">
      <c r="A19" s="30" t="n">
        <v>43131</v>
      </c>
      <c r="B19" s="31" t="inlineStr">
        <is>
          <t>5552</t>
        </is>
      </c>
      <c r="C19" s="35" t="n"/>
      <c r="D19" s="36" t="n">
        <v>80</v>
      </c>
      <c r="E19" s="36" t="n"/>
      <c r="F19" s="37" t="n"/>
      <c r="G19" s="37" t="n">
        <v>20</v>
      </c>
      <c r="H19" s="37">
        <f>H18-G19</f>
        <v/>
      </c>
      <c r="I19" s="36" t="n"/>
      <c r="J19" s="711" t="n"/>
      <c r="K19" s="709">
        <f>G19*D19</f>
        <v/>
      </c>
      <c r="L19" s="710" t="n"/>
      <c r="M19" s="1" t="n"/>
    </row>
    <row r="20">
      <c r="A20" s="92" t="n">
        <v>43131</v>
      </c>
      <c r="B20" s="93" t="inlineStr">
        <is>
          <t>5553</t>
        </is>
      </c>
      <c r="C20" s="96" t="n"/>
      <c r="D20" s="97" t="n">
        <v>80</v>
      </c>
      <c r="E20" s="97" t="n"/>
      <c r="F20" s="98" t="n"/>
      <c r="G20" s="98" t="n">
        <v>20</v>
      </c>
      <c r="H20" s="98">
        <f>H19-G20</f>
        <v/>
      </c>
      <c r="I20" s="36" t="n"/>
      <c r="J20" s="711" t="n"/>
      <c r="K20" s="709">
        <f>G20*D20</f>
        <v/>
      </c>
      <c r="L20" s="710" t="n"/>
      <c r="M20" s="1" t="n"/>
    </row>
    <row r="21">
      <c r="A21" s="102" t="n"/>
      <c r="B21" s="93" t="n"/>
      <c r="C21" s="96" t="n"/>
      <c r="D21" s="97" t="n"/>
      <c r="E21" s="97" t="n"/>
      <c r="F21" s="98" t="n"/>
      <c r="G21" s="98" t="n"/>
      <c r="H21" s="98">
        <f>H20-G21</f>
        <v/>
      </c>
      <c r="I21" s="36" t="n"/>
      <c r="J21" s="711" t="n"/>
      <c r="K21" s="709" t="n"/>
      <c r="L21" s="710" t="n"/>
      <c r="M21" s="1" t="n"/>
    </row>
    <row r="22">
      <c r="A22" s="30" t="n">
        <v>43144</v>
      </c>
      <c r="B22" s="31" t="inlineStr">
        <is>
          <t>5571</t>
        </is>
      </c>
      <c r="C22" s="35" t="n"/>
      <c r="D22" s="36" t="n">
        <v>80</v>
      </c>
      <c r="E22" s="36" t="n"/>
      <c r="F22" s="37" t="n"/>
      <c r="G22" s="37" t="n">
        <v>30</v>
      </c>
      <c r="H22" s="37">
        <f>H21-G22</f>
        <v/>
      </c>
      <c r="I22" s="36" t="n"/>
      <c r="J22" s="711" t="n"/>
      <c r="K22" s="709" t="n"/>
      <c r="L22" s="710" t="n"/>
      <c r="M22" s="1" t="n"/>
    </row>
    <row r="23">
      <c r="A23" s="30" t="n">
        <v>43137</v>
      </c>
      <c r="B23" s="31" t="inlineStr">
        <is>
          <t>5564</t>
        </is>
      </c>
      <c r="C23" s="35" t="n"/>
      <c r="D23" s="36" t="n">
        <v>70</v>
      </c>
      <c r="E23" s="36" t="n"/>
      <c r="F23" s="37" t="n"/>
      <c r="G23" s="37" t="n">
        <v>10</v>
      </c>
      <c r="H23" s="37">
        <f>H22-G23</f>
        <v/>
      </c>
      <c r="I23" s="36" t="n"/>
      <c r="J23" s="711" t="n"/>
      <c r="K23" s="709" t="n"/>
      <c r="L23" s="710" t="n"/>
      <c r="M23" s="1" t="n"/>
    </row>
    <row r="24">
      <c r="A24" s="30" t="n">
        <v>43137</v>
      </c>
      <c r="B24" s="31" t="inlineStr">
        <is>
          <t>5567</t>
        </is>
      </c>
      <c r="C24" s="35" t="n"/>
      <c r="D24" s="36" t="n">
        <v>95</v>
      </c>
      <c r="E24" s="36" t="n"/>
      <c r="F24" s="37" t="n"/>
      <c r="G24" s="37" t="n">
        <v>30</v>
      </c>
      <c r="H24" s="37">
        <f>H23-G24</f>
        <v/>
      </c>
      <c r="I24" s="36" t="n"/>
      <c r="J24" s="711" t="n"/>
      <c r="K24" s="709" t="n"/>
      <c r="L24" s="710" t="n"/>
      <c r="M24" s="1" t="n"/>
    </row>
    <row r="25">
      <c r="A25" s="92" t="n">
        <v>43137</v>
      </c>
      <c r="B25" s="93" t="inlineStr">
        <is>
          <t>2234</t>
        </is>
      </c>
      <c r="C25" s="35" t="n"/>
      <c r="D25" s="97" t="n">
        <v>58</v>
      </c>
      <c r="E25" s="97" t="n"/>
      <c r="F25" s="98" t="n">
        <v>85</v>
      </c>
      <c r="G25" s="98" t="n"/>
      <c r="H25" s="37">
        <f>H24+F25</f>
        <v/>
      </c>
      <c r="I25" s="36" t="n"/>
      <c r="J25" s="711" t="n"/>
      <c r="K25" s="709" t="n"/>
      <c r="L25" s="710" t="n"/>
      <c r="M25" s="1" t="n"/>
    </row>
    <row r="26">
      <c r="A26" s="92" t="n">
        <v>43137</v>
      </c>
      <c r="B26" s="93" t="inlineStr">
        <is>
          <t>2234</t>
        </is>
      </c>
      <c r="C26" s="96" t="n"/>
      <c r="D26" s="97" t="n">
        <v>49</v>
      </c>
      <c r="E26" s="97" t="n"/>
      <c r="F26" s="98" t="n">
        <v>30</v>
      </c>
      <c r="G26" s="98" t="n"/>
      <c r="H26" s="37">
        <f>H25+F26</f>
        <v/>
      </c>
      <c r="I26" s="36" t="n"/>
      <c r="J26" s="711" t="n"/>
      <c r="K26" s="709" t="n"/>
      <c r="L26" s="710" t="n"/>
      <c r="M26" s="1" t="n"/>
    </row>
    <row r="27">
      <c r="A27" s="30" t="n">
        <v>43145</v>
      </c>
      <c r="B27" s="31" t="inlineStr">
        <is>
          <t>5580</t>
        </is>
      </c>
      <c r="C27" s="35" t="n"/>
      <c r="D27" s="36" t="n">
        <v>80</v>
      </c>
      <c r="E27" s="36" t="n"/>
      <c r="F27" s="37" t="n"/>
      <c r="G27" s="37" t="n">
        <v>10</v>
      </c>
      <c r="H27" s="37">
        <f>H26-G27</f>
        <v/>
      </c>
      <c r="I27" s="36" t="n"/>
      <c r="J27" s="711" t="n"/>
      <c r="K27" s="709" t="n"/>
      <c r="L27" s="710" t="n"/>
      <c r="M27" s="1" t="n"/>
    </row>
    <row r="28" ht="17.25" customHeight="1" s="436">
      <c r="A28" s="30" t="n">
        <v>43150</v>
      </c>
      <c r="B28" s="31" t="inlineStr">
        <is>
          <t>5582</t>
        </is>
      </c>
      <c r="C28" s="35" t="n"/>
      <c r="D28" s="36" t="n">
        <v>90</v>
      </c>
      <c r="E28" s="36" t="n"/>
      <c r="F28" s="37" t="n"/>
      <c r="G28" s="101" t="n">
        <v>20</v>
      </c>
      <c r="H28" s="37">
        <f>H27-G28</f>
        <v/>
      </c>
      <c r="I28" s="36" t="n"/>
      <c r="J28" s="711" t="n"/>
      <c r="K28" s="709" t="n"/>
      <c r="L28" s="710" t="n"/>
      <c r="M28" s="1" t="n"/>
    </row>
    <row r="29">
      <c r="A29" s="30" t="n">
        <v>43150</v>
      </c>
      <c r="B29" s="31" t="inlineStr">
        <is>
          <t>5583</t>
        </is>
      </c>
      <c r="C29" s="35" t="n"/>
      <c r="D29" s="36" t="n">
        <v>95</v>
      </c>
      <c r="E29" s="36" t="n"/>
      <c r="F29" s="37" t="n"/>
      <c r="G29" s="37" t="n">
        <v>10</v>
      </c>
      <c r="H29" s="37">
        <f>H28-G29</f>
        <v/>
      </c>
      <c r="I29" s="36" t="n"/>
      <c r="J29" s="711" t="n"/>
      <c r="K29" s="709" t="n"/>
      <c r="L29" s="710" t="n"/>
      <c r="M29" s="1" t="n"/>
    </row>
    <row r="30">
      <c r="A30" s="30" t="n">
        <v>43150</v>
      </c>
      <c r="B30" s="31" t="inlineStr">
        <is>
          <t>5589</t>
        </is>
      </c>
      <c r="C30" s="35" t="n"/>
      <c r="D30" s="36" t="n">
        <v>80</v>
      </c>
      <c r="E30" s="36" t="n"/>
      <c r="F30" s="37" t="n"/>
      <c r="G30" s="37" t="n">
        <v>10</v>
      </c>
      <c r="H30" s="37">
        <f>H29-G30</f>
        <v/>
      </c>
      <c r="I30" s="36" t="n"/>
      <c r="J30" s="711" t="n"/>
      <c r="K30" s="709" t="n"/>
      <c r="L30" s="710" t="n"/>
      <c r="M30" s="1" t="n"/>
    </row>
    <row r="31">
      <c r="A31" s="30" t="n">
        <v>43157</v>
      </c>
      <c r="B31" s="31" t="inlineStr">
        <is>
          <t>5596</t>
        </is>
      </c>
      <c r="C31" s="35" t="n"/>
      <c r="D31" s="36" t="n">
        <v>95</v>
      </c>
      <c r="E31" s="36" t="n"/>
      <c r="F31" s="37" t="n"/>
      <c r="G31" s="37" t="n">
        <v>30</v>
      </c>
      <c r="H31" s="37">
        <f>H30-G31</f>
        <v/>
      </c>
      <c r="I31" s="36" t="n"/>
      <c r="J31" s="711" t="n"/>
      <c r="K31" s="709" t="n"/>
      <c r="L31" s="710" t="n"/>
      <c r="M31" s="1" t="n"/>
    </row>
    <row r="32">
      <c r="A32" s="92" t="n">
        <v>43158</v>
      </c>
      <c r="B32" s="93" t="inlineStr">
        <is>
          <t>2249</t>
        </is>
      </c>
      <c r="C32" s="96" t="n"/>
      <c r="D32" s="97" t="n">
        <v>50</v>
      </c>
      <c r="E32" s="97" t="n"/>
      <c r="F32" s="98" t="n">
        <v>150</v>
      </c>
      <c r="G32" s="98" t="n"/>
      <c r="H32" s="98" t="n">
        <v>205</v>
      </c>
      <c r="I32" s="36" t="n"/>
      <c r="J32" s="711" t="n"/>
      <c r="K32" s="709" t="n"/>
      <c r="L32" s="710" t="n"/>
      <c r="M32" s="1" t="n"/>
    </row>
    <row r="33">
      <c r="A33" s="30" t="n"/>
      <c r="B33" s="31" t="n"/>
      <c r="C33" s="35" t="n"/>
      <c r="D33" s="36" t="n"/>
      <c r="E33" s="36" t="n"/>
      <c r="F33" s="37" t="n"/>
      <c r="G33" s="37" t="n"/>
      <c r="H33" s="37">
        <f>H32-G33</f>
        <v/>
      </c>
      <c r="I33" s="36" t="n"/>
      <c r="J33" s="711" t="n"/>
      <c r="K33" s="709" t="n"/>
      <c r="L33" s="710" t="n"/>
      <c r="M33" s="1" t="n"/>
    </row>
    <row r="34">
      <c r="A34" s="30" t="n"/>
      <c r="B34" s="31" t="n"/>
      <c r="C34" s="35" t="n"/>
      <c r="D34" s="36" t="n"/>
      <c r="E34" s="36" t="n"/>
      <c r="F34" s="37" t="n"/>
      <c r="G34" s="37" t="n"/>
      <c r="H34" s="37">
        <f>H33-G34</f>
        <v/>
      </c>
      <c r="I34" s="36" t="n"/>
      <c r="J34" s="711" t="n"/>
      <c r="K34" s="709" t="n"/>
      <c r="L34" s="710" t="n"/>
      <c r="M34" s="1" t="n"/>
    </row>
    <row r="35">
      <c r="A35" s="30" t="n"/>
      <c r="B35" s="31" t="n"/>
      <c r="C35" s="35" t="n"/>
      <c r="D35" s="36" t="n"/>
      <c r="E35" s="36" t="n"/>
      <c r="F35" s="37" t="n"/>
      <c r="G35" s="37" t="n"/>
      <c r="H35" s="37">
        <f>H34-G35</f>
        <v/>
      </c>
      <c r="I35" s="36" t="n"/>
      <c r="J35" s="711" t="n"/>
      <c r="K35" s="709" t="n"/>
      <c r="L35" s="710" t="n"/>
      <c r="M35" s="1" t="n"/>
    </row>
    <row r="36">
      <c r="A36" s="30" t="n"/>
      <c r="B36" s="31" t="n"/>
      <c r="C36" s="35" t="n"/>
      <c r="D36" s="36" t="n"/>
      <c r="E36" s="36" t="n"/>
      <c r="F36" s="37" t="n"/>
      <c r="G36" s="37" t="n"/>
      <c r="H36" s="37">
        <f>H35-G36</f>
        <v/>
      </c>
      <c r="I36" s="36" t="n"/>
      <c r="J36" s="711" t="n"/>
      <c r="K36" s="709" t="n"/>
      <c r="L36" s="710" t="n"/>
      <c r="M36" s="1" t="n"/>
    </row>
    <row r="37">
      <c r="A37" s="30" t="n"/>
      <c r="B37" s="31" t="n"/>
      <c r="C37" s="35" t="n"/>
      <c r="D37" s="36" t="n"/>
      <c r="E37" s="36" t="n"/>
      <c r="F37" s="37" t="n"/>
      <c r="G37" s="37" t="n"/>
      <c r="H37" s="37">
        <f>H36-G37</f>
        <v/>
      </c>
      <c r="I37" s="36" t="n"/>
      <c r="J37" s="711" t="n"/>
      <c r="K37" s="709" t="n"/>
      <c r="L37" s="710" t="n"/>
      <c r="M37" s="1" t="n"/>
    </row>
    <row r="38">
      <c r="A38" s="30" t="n"/>
      <c r="B38" s="31" t="n"/>
      <c r="C38" s="35" t="n"/>
      <c r="D38" s="36" t="n"/>
      <c r="E38" s="36" t="n"/>
      <c r="F38" s="37" t="n"/>
      <c r="G38" s="37" t="n"/>
      <c r="H38" s="37">
        <f>H37-G38</f>
        <v/>
      </c>
      <c r="I38" s="36" t="n"/>
      <c r="J38" s="711" t="n"/>
      <c r="K38" s="709" t="n"/>
      <c r="L38" s="710" t="n"/>
      <c r="M38" s="1" t="n"/>
    </row>
    <row r="39">
      <c r="A39" s="30" t="n"/>
      <c r="B39" s="31" t="n"/>
      <c r="C39" s="35" t="n"/>
      <c r="D39" s="36" t="n"/>
      <c r="E39" s="36" t="n"/>
      <c r="F39" s="37" t="n"/>
      <c r="G39" s="37" t="n"/>
      <c r="H39" s="37">
        <f>H38-G39</f>
        <v/>
      </c>
      <c r="I39" s="36" t="n"/>
      <c r="J39" s="711" t="n"/>
      <c r="K39" s="709" t="n"/>
      <c r="L39" s="710" t="n"/>
      <c r="M39" s="1" t="n"/>
    </row>
    <row r="40">
      <c r="A40" s="30" t="n"/>
      <c r="B40" s="31" t="n"/>
      <c r="C40" s="35" t="n"/>
      <c r="D40" s="36" t="n"/>
      <c r="E40" s="36" t="n"/>
      <c r="F40" s="37" t="n"/>
      <c r="G40" s="37" t="n"/>
      <c r="H40" s="37">
        <f>H39-G40</f>
        <v/>
      </c>
      <c r="I40" s="36" t="n"/>
      <c r="J40" s="711" t="n"/>
      <c r="K40" s="709" t="n"/>
      <c r="L40" s="710" t="n"/>
      <c r="M40" s="1" t="n"/>
    </row>
    <row r="41">
      <c r="A41" s="30" t="n"/>
      <c r="B41" s="31" t="n"/>
      <c r="C41" s="35" t="n"/>
      <c r="D41" s="36" t="n"/>
      <c r="E41" s="36" t="n"/>
      <c r="F41" s="37" t="n"/>
      <c r="G41" s="37" t="n"/>
      <c r="H41" s="37">
        <f>H40-G41</f>
        <v/>
      </c>
      <c r="I41" s="36" t="n"/>
      <c r="J41" s="711" t="n"/>
      <c r="K41" s="709" t="n"/>
      <c r="L41" s="710" t="n"/>
      <c r="M41" s="1" t="n"/>
    </row>
    <row r="42">
      <c r="A42" s="30" t="n"/>
      <c r="B42" s="31" t="n"/>
      <c r="C42" s="35" t="n"/>
      <c r="D42" s="36" t="n"/>
      <c r="E42" s="36" t="n"/>
      <c r="F42" s="37" t="n"/>
      <c r="G42" s="37" t="n"/>
      <c r="H42" s="37" t="n"/>
      <c r="I42" s="36" t="n"/>
      <c r="J42" s="711" t="n"/>
      <c r="K42" s="709" t="n"/>
      <c r="L42" s="710" t="n"/>
      <c r="M42" s="1" t="n"/>
    </row>
    <row r="43">
      <c r="A43" s="30" t="n"/>
      <c r="B43" s="31" t="n"/>
      <c r="C43" s="35" t="n"/>
      <c r="D43" s="36" t="n"/>
      <c r="E43" s="36" t="n"/>
      <c r="F43" s="37" t="n"/>
      <c r="G43" s="37" t="n"/>
      <c r="H43" s="37" t="n"/>
      <c r="I43" s="36" t="n"/>
      <c r="J43" s="711" t="n"/>
      <c r="K43" s="709" t="n"/>
      <c r="L43" s="710" t="n"/>
      <c r="M43" s="1" t="n"/>
    </row>
    <row r="44">
      <c r="A44" s="39" t="n"/>
      <c r="B44" s="40" t="n"/>
      <c r="C44" s="41" t="n"/>
      <c r="D44" s="42" t="n"/>
      <c r="E44" s="42" t="n"/>
      <c r="F44" s="43" t="n"/>
      <c r="G44" s="43" t="n"/>
      <c r="H44" s="43" t="n"/>
      <c r="I44" s="42" t="n"/>
      <c r="J44" s="712" t="n"/>
      <c r="K44" s="712" t="n"/>
      <c r="L44" s="713" t="n"/>
      <c r="M44" s="1" t="n"/>
    </row>
    <row r="45" ht="15.75" customHeight="1" s="436">
      <c r="A45" s="714" t="inlineStr">
        <is>
          <t>TOTAL DO MÊS DE DEZEMBRO / 2017</t>
        </is>
      </c>
      <c r="B45" s="715" t="n"/>
      <c r="C45" s="715" t="n"/>
      <c r="D45" s="715" t="n"/>
      <c r="E45" s="716" t="n"/>
      <c r="F45" s="45">
        <f>SUM(F8:F44)+H7</f>
        <v/>
      </c>
      <c r="G45" s="45">
        <f>SUM(G8:G44)</f>
        <v/>
      </c>
      <c r="H45" s="45" t="n"/>
      <c r="I45" s="46" t="n"/>
      <c r="J45" s="717">
        <f>SUM(J8:J44)</f>
        <v/>
      </c>
      <c r="K45" s="717">
        <f>SUM(K8:K44)</f>
        <v/>
      </c>
      <c r="L45" s="718">
        <f>SUM(L8:L44)</f>
        <v/>
      </c>
      <c r="M45" s="1" t="n"/>
    </row>
    <row r="46" ht="15.75" customHeight="1" s="436">
      <c r="A46" s="68" t="n"/>
      <c r="B46" s="658" t="n"/>
      <c r="C46" s="715" t="n"/>
      <c r="D46" s="715" t="n"/>
      <c r="E46" s="715" t="n"/>
      <c r="F46" s="715" t="n"/>
      <c r="G46" s="715" t="n"/>
      <c r="H46" s="715" t="n"/>
      <c r="I46" s="715" t="n"/>
      <c r="J46" s="715" t="n"/>
      <c r="K46" s="715" t="n"/>
      <c r="L46" s="715" t="n"/>
      <c r="M46" s="1" t="n"/>
    </row>
    <row r="47" ht="15.75" customHeight="1" s="436" thickBot="1">
      <c r="A47" s="660" t="inlineStr">
        <is>
          <t xml:space="preserve">O  PREÇO MÉDIO DO DIA = SALDO ATUAL DO DIA DIVIDIDO PELO SALDO ANTERIOR DO DIA </t>
        </is>
      </c>
      <c r="B47" s="719" t="n"/>
      <c r="C47" s="719" t="n"/>
      <c r="D47" s="719" t="n"/>
      <c r="E47" s="719" t="n"/>
      <c r="F47" s="719" t="n"/>
      <c r="G47" s="719" t="n"/>
      <c r="H47" s="719" t="n"/>
      <c r="I47" s="719" t="n"/>
      <c r="J47" s="719" t="n"/>
      <c r="K47" s="719" t="n"/>
      <c r="L47" s="719" t="n"/>
      <c r="M47" s="1" t="n"/>
    </row>
    <row r="48">
      <c r="A48" s="76" t="n"/>
      <c r="B48" s="76" t="n"/>
      <c r="C48" s="76" t="n"/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114" t="n"/>
    </row>
    <row r="49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76" t="n"/>
      <c r="M49" s="114" t="n"/>
    </row>
    <row r="50">
      <c r="A50" s="76" t="n"/>
      <c r="B50" s="76" t="n"/>
      <c r="C50" s="76" t="n"/>
      <c r="D50" s="76" t="n"/>
      <c r="E50" s="76" t="n"/>
      <c r="F50" s="76" t="n"/>
      <c r="G50" s="76" t="n"/>
      <c r="H50" s="76" t="n"/>
      <c r="I50" s="76" t="n"/>
      <c r="J50" s="76" t="n"/>
      <c r="K50" s="76" t="n"/>
      <c r="L50" s="76" t="n"/>
      <c r="M50" s="114" t="n"/>
    </row>
    <row r="51">
      <c r="A51" s="76" t="n"/>
      <c r="B51" s="76" t="n"/>
      <c r="C51" s="76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76" t="n"/>
      <c r="M51" s="114" t="n"/>
    </row>
    <row r="52" ht="15.75" customHeight="1" s="436" thickBot="1">
      <c r="A52" s="76" t="n"/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  <c r="M52" s="114" t="n"/>
    </row>
    <row r="53" ht="29.25" customHeight="1" s="436" thickBot="1">
      <c r="A53" s="696" t="inlineStr">
        <is>
          <t>PLANILHA CONTROLE DE ESTOQUE</t>
        </is>
      </c>
      <c r="B53" s="697" t="n"/>
      <c r="C53" s="697" t="n"/>
      <c r="D53" s="697" t="n"/>
      <c r="E53" s="697" t="n"/>
      <c r="F53" s="697" t="n"/>
      <c r="G53" s="697" t="n"/>
      <c r="H53" s="697" t="n"/>
      <c r="I53" s="697" t="n"/>
      <c r="J53" s="697" t="n"/>
      <c r="K53" s="697" t="n"/>
      <c r="L53" s="697" t="n"/>
      <c r="M53" s="698" t="n"/>
    </row>
    <row r="54" ht="21.75" customHeight="1" s="436" thickBot="1">
      <c r="A54" s="699" t="inlineStr">
        <is>
          <t xml:space="preserve">021 - DENISE FURTADO DE SOUZA - ME </t>
        </is>
      </c>
      <c r="B54" s="697" t="n"/>
      <c r="C54" s="697" t="n"/>
      <c r="D54" s="697" t="n"/>
      <c r="E54" s="697" t="n"/>
      <c r="F54" s="697" t="n"/>
      <c r="G54" s="697" t="n"/>
      <c r="H54" s="697" t="n"/>
      <c r="I54" s="697" t="n"/>
      <c r="J54" s="697" t="n"/>
      <c r="K54" s="697" t="n"/>
      <c r="L54" s="697" t="n"/>
      <c r="M54" s="698" t="n"/>
    </row>
    <row r="55" ht="27" customHeight="1" s="436" thickBot="1">
      <c r="A55" s="700" t="inlineStr">
        <is>
          <t xml:space="preserve"> FARINHA DE TRIGO TIPO: 1 - 50 KG</t>
        </is>
      </c>
      <c r="B55" s="697" t="n"/>
      <c r="C55" s="697" t="n"/>
      <c r="D55" s="697" t="n"/>
      <c r="E55" s="697" t="n"/>
      <c r="F55" s="697" t="n"/>
      <c r="G55" s="697" t="n"/>
      <c r="H55" s="697" t="n"/>
      <c r="I55" s="697" t="n"/>
      <c r="J55" s="697" t="n"/>
      <c r="K55" s="697" t="n"/>
      <c r="L55" s="697" t="n"/>
      <c r="M55" s="698" t="n"/>
    </row>
    <row r="56">
      <c r="A56" s="643" t="inlineStr">
        <is>
          <t>DATA</t>
        </is>
      </c>
      <c r="B56" s="633" t="inlineStr">
        <is>
          <t>N.F.</t>
        </is>
      </c>
      <c r="C56" s="633" t="inlineStr">
        <is>
          <t>TIPO</t>
        </is>
      </c>
      <c r="D56" s="633" t="inlineStr">
        <is>
          <t>PREÇO UNITÁRIO</t>
        </is>
      </c>
      <c r="E56" s="701" t="n"/>
      <c r="F56" s="633" t="inlineStr">
        <is>
          <t>QUANTIDADE / KG</t>
        </is>
      </c>
      <c r="H56" s="701" t="n"/>
      <c r="I56" s="632" t="inlineStr">
        <is>
          <t>PREÇO</t>
        </is>
      </c>
      <c r="J56" s="632" t="inlineStr">
        <is>
          <t>VALORES</t>
        </is>
      </c>
      <c r="L56" s="701" t="n"/>
      <c r="M56" s="702" t="n"/>
    </row>
    <row r="57" ht="15.75" customHeight="1" s="436" thickBot="1">
      <c r="A57" s="703" t="n"/>
      <c r="B57" s="704" t="n"/>
      <c r="C57" s="704" t="n"/>
      <c r="D57" s="703" t="n"/>
      <c r="E57" s="701" t="n"/>
      <c r="F57" s="705" t="n"/>
      <c r="G57" s="706" t="n"/>
      <c r="H57" s="707" t="n"/>
      <c r="I57" s="704" t="n"/>
      <c r="J57" s="703" t="n"/>
      <c r="L57" s="701" t="n"/>
      <c r="M57" s="704" t="n"/>
    </row>
    <row r="58" ht="15.75" customHeight="1" s="436" thickBot="1">
      <c r="A58" s="703" t="n"/>
      <c r="B58" s="704" t="n"/>
      <c r="C58" s="704" t="n"/>
      <c r="D58" s="705" t="n"/>
      <c r="E58" s="707" t="n"/>
      <c r="F58" s="708" t="inlineStr">
        <is>
          <t>ENTRADA</t>
        </is>
      </c>
      <c r="G58" s="3" t="inlineStr">
        <is>
          <t>SAÍDA</t>
        </is>
      </c>
      <c r="H58" s="640" t="inlineStr">
        <is>
          <t>SALDO EM 30/12/2017</t>
        </is>
      </c>
      <c r="I58" s="633" t="inlineStr">
        <is>
          <t>MÉDIO</t>
        </is>
      </c>
      <c r="J58" s="652" t="inlineStr">
        <is>
          <t>SALDO EM 30/11/2017</t>
        </is>
      </c>
      <c r="K58" s="706" t="n"/>
      <c r="L58" s="17" t="n"/>
      <c r="M58" s="695" t="n"/>
    </row>
    <row r="59" ht="15.75" customHeight="1" s="436" thickBot="1">
      <c r="A59" s="705" t="n"/>
      <c r="B59" s="695" t="n"/>
      <c r="C59" s="695" t="n"/>
      <c r="D59" s="3" t="inlineStr">
        <is>
          <t>C/ICMS</t>
        </is>
      </c>
      <c r="E59" s="3" t="inlineStr">
        <is>
          <t>S/ICMS</t>
        </is>
      </c>
      <c r="F59" s="695" t="n"/>
      <c r="G59" s="695" t="n"/>
      <c r="H59" s="18" t="n"/>
      <c r="I59" s="695" t="n"/>
      <c r="J59" s="645" t="inlineStr">
        <is>
          <t>ENTRADA</t>
        </is>
      </c>
      <c r="K59" s="633" t="inlineStr">
        <is>
          <t>SAÍDA / CMV</t>
        </is>
      </c>
      <c r="L59" s="633" t="inlineStr">
        <is>
          <t>SALDO</t>
        </is>
      </c>
      <c r="M59" s="631" t="inlineStr">
        <is>
          <t>ICMS S/VENDAS</t>
        </is>
      </c>
    </row>
    <row r="60">
      <c r="A60" s="30" t="n"/>
      <c r="B60" s="31" t="n"/>
      <c r="C60" s="31" t="n"/>
      <c r="D60" s="32" t="n"/>
      <c r="E60" s="32" t="n"/>
      <c r="F60" s="33" t="n"/>
      <c r="G60" s="33" t="n">
        <v>0</v>
      </c>
      <c r="H60" s="33" t="n"/>
      <c r="I60" s="32" t="n"/>
      <c r="J60" s="709">
        <f>F60*I60</f>
        <v/>
      </c>
      <c r="K60" s="709" t="n">
        <v>0</v>
      </c>
      <c r="L60" s="710">
        <f>J60-K60</f>
        <v/>
      </c>
      <c r="M60" s="1" t="n"/>
    </row>
    <row r="61">
      <c r="A61" s="92" t="n">
        <v>43160</v>
      </c>
      <c r="B61" s="93" t="n"/>
      <c r="C61" s="96" t="n"/>
      <c r="D61" s="97" t="n"/>
      <c r="E61" s="97" t="n"/>
      <c r="F61" s="98" t="n"/>
      <c r="G61" s="98" t="n"/>
      <c r="H61" s="98" t="n">
        <v>205</v>
      </c>
      <c r="I61" s="36" t="n"/>
      <c r="J61" s="711" t="n"/>
      <c r="K61" s="709">
        <f>G61*D61</f>
        <v/>
      </c>
      <c r="L61" s="710" t="n"/>
      <c r="M61" s="1" t="n"/>
    </row>
    <row r="62">
      <c r="A62" s="30" t="n"/>
      <c r="B62" s="31" t="n"/>
      <c r="C62" s="31" t="n"/>
      <c r="D62" s="32" t="n"/>
      <c r="E62" s="32" t="n"/>
      <c r="F62" s="33" t="n"/>
      <c r="G62" s="33" t="n"/>
      <c r="H62" s="37" t="n">
        <v>205</v>
      </c>
      <c r="I62" s="32" t="n"/>
      <c r="J62" s="711" t="n"/>
      <c r="K62" s="709">
        <f>G62*D62</f>
        <v/>
      </c>
      <c r="L62" s="710" t="n"/>
      <c r="M62" s="1" t="n"/>
    </row>
    <row r="63">
      <c r="A63" s="30" t="n">
        <v>43160</v>
      </c>
      <c r="B63" s="31" t="inlineStr">
        <is>
          <t>5608</t>
        </is>
      </c>
      <c r="C63" s="31" t="n"/>
      <c r="D63" s="32" t="n">
        <v>84</v>
      </c>
      <c r="E63" s="32" t="n"/>
      <c r="F63" s="33" t="n"/>
      <c r="G63" s="33" t="n">
        <v>60</v>
      </c>
      <c r="H63" s="37">
        <f>H62-G63</f>
        <v/>
      </c>
      <c r="I63" s="32" t="n"/>
      <c r="J63" s="711" t="n"/>
      <c r="K63" s="709" t="n"/>
      <c r="L63" s="710" t="n"/>
      <c r="M63" s="1" t="n"/>
    </row>
    <row r="64">
      <c r="A64" s="30" t="n">
        <v>43162</v>
      </c>
      <c r="B64" s="31" t="inlineStr">
        <is>
          <t>5611</t>
        </is>
      </c>
      <c r="C64" s="35" t="n"/>
      <c r="D64" s="36" t="n">
        <v>80</v>
      </c>
      <c r="E64" s="36" t="n"/>
      <c r="F64" s="37" t="n"/>
      <c r="G64" s="37" t="n">
        <v>40</v>
      </c>
      <c r="H64" s="37">
        <f>H63-G64</f>
        <v/>
      </c>
      <c r="I64" s="36" t="n"/>
      <c r="J64" s="711" t="n"/>
      <c r="K64" s="709">
        <f>G64*D64</f>
        <v/>
      </c>
      <c r="L64" s="710" t="n"/>
      <c r="M64" s="1" t="n"/>
    </row>
    <row r="65">
      <c r="A65" s="30" t="n">
        <v>43165</v>
      </c>
      <c r="B65" s="31" t="inlineStr">
        <is>
          <t>5614</t>
        </is>
      </c>
      <c r="C65" s="35" t="n"/>
      <c r="D65" s="36" t="n">
        <v>80</v>
      </c>
      <c r="E65" s="36" t="n"/>
      <c r="F65" s="37" t="n"/>
      <c r="G65" s="37" t="n">
        <v>10</v>
      </c>
      <c r="H65" s="37">
        <f>H64-G65</f>
        <v/>
      </c>
      <c r="I65" s="36" t="n"/>
      <c r="J65" s="711" t="n"/>
      <c r="K65" s="709">
        <f>G65*D65</f>
        <v/>
      </c>
      <c r="L65" s="710" t="n"/>
      <c r="M65" s="1" t="n"/>
    </row>
    <row r="66">
      <c r="A66" s="30" t="n">
        <v>43165</v>
      </c>
      <c r="B66" s="31" t="inlineStr">
        <is>
          <t>5616</t>
        </is>
      </c>
      <c r="C66" s="35" t="n"/>
      <c r="D66" s="36" t="n">
        <v>80</v>
      </c>
      <c r="E66" s="36" t="n"/>
      <c r="F66" s="37" t="n"/>
      <c r="G66" s="37" t="n">
        <v>10</v>
      </c>
      <c r="H66" s="37">
        <f>H65-G66</f>
        <v/>
      </c>
      <c r="I66" s="36" t="n"/>
      <c r="J66" s="711" t="n"/>
      <c r="K66" s="709">
        <f>G66*D66</f>
        <v/>
      </c>
      <c r="L66" s="710" t="n"/>
      <c r="M66" s="1" t="n"/>
    </row>
    <row r="67">
      <c r="A67" s="92" t="n">
        <v>43164</v>
      </c>
      <c r="B67" s="93" t="inlineStr">
        <is>
          <t>2257</t>
        </is>
      </c>
      <c r="C67" s="96" t="n"/>
      <c r="D67" s="97" t="n">
        <v>59</v>
      </c>
      <c r="E67" s="97" t="n"/>
      <c r="F67" s="98" t="n">
        <v>50</v>
      </c>
      <c r="G67" s="98" t="n"/>
      <c r="H67" s="98" t="n">
        <v>135</v>
      </c>
      <c r="I67" s="36" t="n"/>
      <c r="J67" s="711" t="n"/>
      <c r="K67" s="709">
        <f>G67*D67</f>
        <v/>
      </c>
      <c r="L67" s="710" t="n"/>
      <c r="M67" s="1" t="n"/>
    </row>
    <row r="68">
      <c r="A68" s="30" t="n">
        <v>43166</v>
      </c>
      <c r="B68" s="31" t="inlineStr">
        <is>
          <t>5620</t>
        </is>
      </c>
      <c r="C68" s="35" t="n"/>
      <c r="D68" s="36" t="n">
        <v>80</v>
      </c>
      <c r="E68" s="36" t="n"/>
      <c r="F68" s="37" t="n"/>
      <c r="G68" s="37" t="n">
        <v>15</v>
      </c>
      <c r="H68" s="37">
        <f>H67-G68</f>
        <v/>
      </c>
      <c r="I68" s="36" t="n"/>
      <c r="J68" s="711" t="n"/>
      <c r="K68" s="709">
        <f>G68*D68</f>
        <v/>
      </c>
      <c r="L68" s="710" t="n"/>
      <c r="M68" s="1" t="n"/>
    </row>
    <row r="69">
      <c r="A69" s="30" t="n">
        <v>43166</v>
      </c>
      <c r="B69" s="31" t="inlineStr">
        <is>
          <t>5623</t>
        </is>
      </c>
      <c r="C69" s="35" t="n"/>
      <c r="D69" s="36" t="n">
        <v>80</v>
      </c>
      <c r="E69" s="36" t="n"/>
      <c r="F69" s="37" t="n"/>
      <c r="G69" s="37" t="n">
        <v>10</v>
      </c>
      <c r="H69" s="37">
        <f>H68-G69</f>
        <v/>
      </c>
      <c r="I69" s="36" t="n"/>
      <c r="J69" s="711" t="n"/>
      <c r="K69" s="709">
        <f>G69*D69</f>
        <v/>
      </c>
      <c r="L69" s="710" t="n"/>
      <c r="M69" s="1" t="n"/>
    </row>
    <row r="70">
      <c r="A70" s="30" t="n">
        <v>43172</v>
      </c>
      <c r="B70" s="31" t="inlineStr">
        <is>
          <t>5630</t>
        </is>
      </c>
      <c r="C70" s="35" t="n"/>
      <c r="D70" s="36" t="n">
        <v>95</v>
      </c>
      <c r="E70" s="36" t="n"/>
      <c r="F70" s="37" t="n"/>
      <c r="G70" s="37" t="n">
        <v>10</v>
      </c>
      <c r="H70" s="37">
        <f>H69-G70</f>
        <v/>
      </c>
      <c r="I70" s="36" t="n"/>
      <c r="J70" s="711" t="n"/>
      <c r="K70" s="709">
        <f>G70*D70</f>
        <v/>
      </c>
      <c r="L70" s="710" t="n"/>
      <c r="M70" s="1" t="n"/>
    </row>
    <row r="71">
      <c r="A71" s="30" t="n">
        <v>43176</v>
      </c>
      <c r="B71" s="31" t="inlineStr">
        <is>
          <t>5638</t>
        </is>
      </c>
      <c r="C71" s="35" t="n"/>
      <c r="D71" s="36" t="n">
        <v>95</v>
      </c>
      <c r="E71" s="36" t="n"/>
      <c r="F71" s="37" t="n"/>
      <c r="G71" s="37" t="n">
        <v>30</v>
      </c>
      <c r="H71" s="37">
        <f>H70-G71</f>
        <v/>
      </c>
      <c r="I71" s="36" t="n"/>
      <c r="J71" s="711" t="n"/>
      <c r="K71" s="709">
        <f>G71*D71</f>
        <v/>
      </c>
      <c r="L71" s="710" t="n"/>
      <c r="M71" s="1" t="n"/>
    </row>
    <row r="72">
      <c r="A72" s="92" t="n">
        <v>43171</v>
      </c>
      <c r="B72" s="93" t="inlineStr">
        <is>
          <t>2264</t>
        </is>
      </c>
      <c r="C72" s="96" t="n"/>
      <c r="D72" s="97" t="n">
        <v>59</v>
      </c>
      <c r="E72" s="97" t="n"/>
      <c r="F72" s="98" t="n">
        <v>100</v>
      </c>
      <c r="G72" s="98" t="n"/>
      <c r="H72" s="98" t="n">
        <v>170</v>
      </c>
      <c r="I72" s="36" t="n"/>
      <c r="J72" s="711" t="n"/>
      <c r="K72" s="709" t="n"/>
      <c r="L72" s="710" t="n"/>
      <c r="M72" s="1" t="n"/>
    </row>
    <row r="73">
      <c r="A73" s="30" t="n"/>
      <c r="B73" s="31" t="n"/>
      <c r="C73" s="35" t="n"/>
      <c r="D73" s="36" t="n"/>
      <c r="E73" s="36" t="n"/>
      <c r="F73" s="37" t="n"/>
      <c r="G73" s="37" t="n"/>
      <c r="H73" s="37">
        <f>H72-G73</f>
        <v/>
      </c>
      <c r="I73" s="36" t="n"/>
      <c r="J73" s="711" t="n"/>
      <c r="K73" s="709" t="n"/>
      <c r="L73" s="710" t="n"/>
      <c r="M73" s="1" t="n"/>
    </row>
    <row r="74">
      <c r="A74" s="30" t="n"/>
      <c r="B74" s="31" t="n"/>
      <c r="C74" s="35" t="n"/>
      <c r="D74" s="36" t="n"/>
      <c r="E74" s="36" t="n"/>
      <c r="F74" s="37" t="n"/>
      <c r="G74" s="37" t="n"/>
      <c r="H74" s="37">
        <f>H73-G74</f>
        <v/>
      </c>
      <c r="I74" s="36" t="n"/>
      <c r="J74" s="711" t="n"/>
      <c r="K74" s="709" t="n"/>
      <c r="L74" s="710" t="n"/>
      <c r="M74" s="1" t="n"/>
    </row>
    <row r="75">
      <c r="A75" s="30" t="n"/>
      <c r="B75" s="31" t="n"/>
      <c r="C75" s="35" t="n"/>
      <c r="D75" s="36" t="n"/>
      <c r="E75" s="36" t="n"/>
      <c r="F75" s="37" t="n"/>
      <c r="G75" s="37" t="n"/>
      <c r="H75" s="37">
        <f>H74-G75</f>
        <v/>
      </c>
      <c r="I75" s="36" t="n"/>
      <c r="J75" s="711" t="n"/>
      <c r="K75" s="709" t="n"/>
      <c r="L75" s="710" t="n"/>
      <c r="M75" s="1" t="n"/>
    </row>
    <row r="76">
      <c r="A76" s="30" t="n"/>
      <c r="B76" s="31" t="n"/>
      <c r="C76" s="35" t="n"/>
      <c r="D76" s="36" t="n"/>
      <c r="E76" s="36" t="n"/>
      <c r="F76" s="37" t="n"/>
      <c r="G76" s="37" t="n"/>
      <c r="H76" s="37">
        <f>H75-G76</f>
        <v/>
      </c>
      <c r="I76" s="36" t="n"/>
      <c r="J76" s="711" t="n"/>
      <c r="K76" s="709" t="n"/>
      <c r="L76" s="710" t="n"/>
      <c r="M76" s="1" t="n"/>
    </row>
    <row r="77">
      <c r="A77" s="30" t="n"/>
      <c r="B77" s="31" t="n"/>
      <c r="C77" s="35" t="n"/>
      <c r="D77" s="36" t="n"/>
      <c r="E77" s="36" t="n"/>
      <c r="F77" s="37" t="n"/>
      <c r="G77" s="37" t="n"/>
      <c r="H77" s="37">
        <f>H76-G77</f>
        <v/>
      </c>
      <c r="I77" s="36" t="n"/>
      <c r="J77" s="711" t="n"/>
      <c r="K77" s="709" t="n"/>
      <c r="L77" s="710" t="n"/>
      <c r="M77" s="1" t="n"/>
    </row>
    <row r="78">
      <c r="A78" s="30" t="n"/>
      <c r="B78" s="31" t="n"/>
      <c r="C78" s="35" t="n"/>
      <c r="D78" s="36" t="n"/>
      <c r="E78" s="36" t="n"/>
      <c r="F78" s="37" t="n"/>
      <c r="G78" s="37" t="n"/>
      <c r="H78" s="37" t="n"/>
      <c r="I78" s="36" t="n"/>
      <c r="J78" s="711" t="n"/>
      <c r="K78" s="709">
        <f>G78*D78</f>
        <v/>
      </c>
      <c r="L78" s="710" t="n"/>
      <c r="M78" s="1" t="n"/>
    </row>
    <row r="79">
      <c r="A79" s="76" t="n"/>
      <c r="B79" s="76" t="n"/>
      <c r="C79" s="76" t="n"/>
      <c r="D79" s="76" t="n"/>
      <c r="E79" s="76" t="n"/>
      <c r="F79" s="76" t="n"/>
      <c r="G79" s="76" t="n"/>
      <c r="H79" s="76" t="n"/>
      <c r="I79" s="76" t="n"/>
      <c r="J79" s="76" t="n"/>
      <c r="K79" s="76" t="n"/>
      <c r="L79" s="76" t="n"/>
      <c r="M79" s="114" t="n"/>
    </row>
    <row r="80">
      <c r="A80" s="76" t="n"/>
      <c r="B80" s="76" t="n"/>
      <c r="C80" s="76" t="n"/>
      <c r="D80" s="76" t="n"/>
      <c r="E80" s="76" t="n"/>
      <c r="F80" s="76" t="n"/>
      <c r="G80" s="76" t="n"/>
      <c r="H80" s="76" t="n"/>
      <c r="I80" s="76" t="n"/>
      <c r="J80" s="76" t="n"/>
      <c r="K80" s="76" t="n"/>
      <c r="L80" s="76" t="n"/>
      <c r="M80" s="114" t="n"/>
    </row>
    <row r="81">
      <c r="A81" s="76" t="n"/>
      <c r="B81" s="76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114" t="n"/>
    </row>
    <row r="82">
      <c r="A82" s="76" t="n"/>
      <c r="B82" s="76" t="n"/>
      <c r="C82" s="76" t="n"/>
      <c r="D82" s="76" t="n"/>
      <c r="E82" s="76" t="n"/>
      <c r="F82" s="76" t="n"/>
      <c r="G82" s="76" t="n"/>
      <c r="H82" s="76" t="n"/>
      <c r="I82" s="76" t="n"/>
      <c r="J82" s="76" t="n"/>
      <c r="K82" s="76" t="n"/>
      <c r="L82" s="76" t="n"/>
      <c r="M82" s="114" t="n"/>
    </row>
    <row r="83">
      <c r="A83" s="76" t="n"/>
      <c r="B83" s="76" t="n"/>
      <c r="C83" s="76" t="n"/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114" t="n"/>
    </row>
    <row r="84" ht="15.75" customHeight="1" s="436" thickBot="1">
      <c r="A84" s="76" t="n"/>
      <c r="B84" s="76" t="n"/>
      <c r="C84" s="76" t="n"/>
      <c r="D84" s="76" t="n"/>
      <c r="E84" s="76" t="n"/>
      <c r="F84" s="76" t="n"/>
      <c r="G84" s="76" t="n"/>
      <c r="H84" s="76" t="n"/>
      <c r="I84" s="76" t="n"/>
      <c r="J84" s="76" t="n"/>
      <c r="K84" s="76" t="n"/>
      <c r="L84" s="76" t="n"/>
      <c r="M84" s="114" t="n"/>
    </row>
    <row r="85" ht="29.25" customHeight="1" s="436" thickBot="1">
      <c r="A85" s="696" t="inlineStr">
        <is>
          <t>PLANILHA CONTROLE DE ESTOQUE</t>
        </is>
      </c>
      <c r="B85" s="697" t="n"/>
      <c r="C85" s="697" t="n"/>
      <c r="D85" s="697" t="n"/>
      <c r="E85" s="697" t="n"/>
      <c r="F85" s="697" t="n"/>
      <c r="G85" s="697" t="n"/>
      <c r="H85" s="697" t="n"/>
      <c r="I85" s="697" t="n"/>
      <c r="J85" s="697" t="n"/>
      <c r="K85" s="697" t="n"/>
      <c r="L85" s="697" t="n"/>
      <c r="M85" s="698" t="n"/>
    </row>
    <row r="86" ht="21.75" customHeight="1" s="436" thickBot="1">
      <c r="A86" s="699" t="inlineStr">
        <is>
          <t xml:space="preserve">021 - DENISE FURTADO DE SOUZA - ME </t>
        </is>
      </c>
      <c r="B86" s="697" t="n"/>
      <c r="C86" s="697" t="n"/>
      <c r="D86" s="697" t="n"/>
      <c r="E86" s="697" t="n"/>
      <c r="F86" s="697" t="n"/>
      <c r="G86" s="697" t="n"/>
      <c r="H86" s="697" t="n"/>
      <c r="I86" s="697" t="n"/>
      <c r="J86" s="697" t="n"/>
      <c r="K86" s="697" t="n"/>
      <c r="L86" s="697" t="n"/>
      <c r="M86" s="698" t="n"/>
    </row>
    <row r="87" ht="27" customHeight="1" s="436" thickBot="1">
      <c r="A87" s="700" t="inlineStr">
        <is>
          <t xml:space="preserve"> FARINHA DE TRIGO TIPO: 1 - 50 KG</t>
        </is>
      </c>
      <c r="B87" s="697" t="n"/>
      <c r="C87" s="697" t="n"/>
      <c r="D87" s="697" t="n"/>
      <c r="E87" s="697" t="n"/>
      <c r="F87" s="697" t="n"/>
      <c r="G87" s="697" t="n"/>
      <c r="H87" s="697" t="n"/>
      <c r="I87" s="697" t="n"/>
      <c r="J87" s="697" t="n"/>
      <c r="K87" s="697" t="n"/>
      <c r="L87" s="697" t="n"/>
      <c r="M87" s="698" t="n"/>
    </row>
    <row r="88">
      <c r="A88" s="643" t="inlineStr">
        <is>
          <t>DATA</t>
        </is>
      </c>
      <c r="B88" s="633" t="inlineStr">
        <is>
          <t>N.F.</t>
        </is>
      </c>
      <c r="C88" s="633" t="inlineStr">
        <is>
          <t>TIPO</t>
        </is>
      </c>
      <c r="D88" s="633" t="inlineStr">
        <is>
          <t>PREÇO UNITÁRIO</t>
        </is>
      </c>
      <c r="E88" s="701" t="n"/>
      <c r="F88" s="633" t="inlineStr">
        <is>
          <t>QUANTIDADE / KG</t>
        </is>
      </c>
      <c r="H88" s="701" t="n"/>
      <c r="I88" s="632" t="inlineStr">
        <is>
          <t>PREÇO</t>
        </is>
      </c>
      <c r="J88" s="632" t="inlineStr">
        <is>
          <t>VALORES</t>
        </is>
      </c>
      <c r="L88" s="701" t="n"/>
      <c r="M88" s="702" t="n"/>
    </row>
    <row r="89" ht="15.75" customHeight="1" s="436" thickBot="1">
      <c r="A89" s="703" t="n"/>
      <c r="B89" s="704" t="n"/>
      <c r="C89" s="704" t="n"/>
      <c r="D89" s="703" t="n"/>
      <c r="E89" s="701" t="n"/>
      <c r="F89" s="705" t="n"/>
      <c r="G89" s="706" t="n"/>
      <c r="H89" s="707" t="n"/>
      <c r="I89" s="704" t="n"/>
      <c r="J89" s="703" t="n"/>
      <c r="L89" s="701" t="n"/>
      <c r="M89" s="704" t="n"/>
    </row>
    <row r="90" ht="15.75" customHeight="1" s="436" thickBot="1">
      <c r="A90" s="703" t="n"/>
      <c r="B90" s="704" t="n"/>
      <c r="C90" s="704" t="n"/>
      <c r="D90" s="705" t="n"/>
      <c r="E90" s="707" t="n"/>
      <c r="F90" s="708" t="inlineStr">
        <is>
          <t>ENTRADA</t>
        </is>
      </c>
      <c r="G90" s="3" t="inlineStr">
        <is>
          <t>SAÍDA</t>
        </is>
      </c>
      <c r="H90" s="640" t="inlineStr">
        <is>
          <t>saldo em 31/03/2018</t>
        </is>
      </c>
      <c r="I90" s="633" t="inlineStr">
        <is>
          <t>MÉDIO</t>
        </is>
      </c>
      <c r="J90" s="652" t="inlineStr">
        <is>
          <t>SALDO EM 30/11/2017</t>
        </is>
      </c>
      <c r="K90" s="706" t="n"/>
      <c r="L90" s="17" t="n"/>
      <c r="M90" s="695" t="n"/>
    </row>
    <row r="91" ht="15.75" customHeight="1" s="436" thickBot="1">
      <c r="A91" s="705" t="n"/>
      <c r="B91" s="695" t="n"/>
      <c r="C91" s="695" t="n"/>
      <c r="D91" s="3" t="inlineStr">
        <is>
          <t>C/ICMS</t>
        </is>
      </c>
      <c r="E91" s="3" t="inlineStr">
        <is>
          <t>S/ICMS</t>
        </is>
      </c>
      <c r="F91" s="695" t="n"/>
      <c r="G91" s="695" t="n"/>
      <c r="H91" s="18" t="n"/>
      <c r="I91" s="695" t="n"/>
      <c r="J91" s="645" t="inlineStr">
        <is>
          <t>ENTRADA</t>
        </is>
      </c>
      <c r="K91" s="633" t="inlineStr">
        <is>
          <t>SAÍDA / CMV</t>
        </is>
      </c>
      <c r="L91" s="633" t="inlineStr">
        <is>
          <t>SALDO</t>
        </is>
      </c>
      <c r="M91" s="631" t="inlineStr">
        <is>
          <t>ICMS S/VENDAS</t>
        </is>
      </c>
    </row>
    <row r="92">
      <c r="A92" s="30" t="n"/>
      <c r="B92" s="31" t="n"/>
      <c r="C92" s="31" t="n"/>
      <c r="D92" s="32" t="n"/>
      <c r="E92" s="32" t="n"/>
      <c r="F92" s="33" t="n"/>
      <c r="G92" s="33" t="n">
        <v>0</v>
      </c>
      <c r="H92" s="33" t="n"/>
      <c r="I92" s="32" t="n"/>
      <c r="J92" s="709">
        <f>F92*I92</f>
        <v/>
      </c>
      <c r="K92" s="709" t="n">
        <v>0</v>
      </c>
      <c r="L92" s="710">
        <f>J92-K92</f>
        <v/>
      </c>
      <c r="M92" s="1" t="n"/>
    </row>
    <row r="93">
      <c r="A93" s="92" t="n">
        <v>43191</v>
      </c>
      <c r="B93" s="93" t="n"/>
      <c r="C93" s="96" t="n"/>
      <c r="D93" s="97" t="n"/>
      <c r="E93" s="97" t="n"/>
      <c r="F93" s="98" t="n"/>
      <c r="G93" s="98" t="n"/>
      <c r="H93" s="98" t="n">
        <v>170</v>
      </c>
      <c r="I93" s="36" t="n"/>
      <c r="J93" s="711" t="n"/>
      <c r="K93" s="709">
        <f>G93*D93</f>
        <v/>
      </c>
      <c r="L93" s="710" t="n"/>
      <c r="M93" s="1" t="n"/>
    </row>
    <row r="94">
      <c r="A94" s="30" t="n">
        <v>43192</v>
      </c>
      <c r="B94" s="31" t="n"/>
      <c r="C94" s="31" t="n"/>
      <c r="D94" s="32" t="n">
        <v>80</v>
      </c>
      <c r="E94" s="32" t="n"/>
      <c r="F94" s="33" t="n"/>
      <c r="G94" s="33" t="n">
        <v>20</v>
      </c>
      <c r="H94" s="37">
        <f>H93-G94</f>
        <v/>
      </c>
      <c r="I94" s="32" t="n"/>
      <c r="J94" s="711" t="n"/>
      <c r="K94" s="709">
        <f>G94*D94</f>
        <v/>
      </c>
      <c r="L94" s="710" t="n"/>
      <c r="M94" s="1" t="n"/>
    </row>
    <row r="95">
      <c r="A95" s="30" t="n">
        <v>43194</v>
      </c>
      <c r="B95" s="31" t="inlineStr">
        <is>
          <t>5668</t>
        </is>
      </c>
      <c r="C95" s="31" t="n"/>
      <c r="D95" s="32" t="n">
        <v>84</v>
      </c>
      <c r="E95" s="32" t="n"/>
      <c r="F95" s="33" t="n"/>
      <c r="G95" s="33" t="n">
        <v>30</v>
      </c>
      <c r="H95" s="37">
        <f>H94-G95</f>
        <v/>
      </c>
      <c r="I95" s="32" t="n"/>
      <c r="J95" s="711" t="n"/>
      <c r="K95" s="709" t="n"/>
      <c r="L95" s="710" t="n"/>
      <c r="M95" s="1" t="n"/>
    </row>
    <row r="96">
      <c r="A96" s="30" t="n">
        <v>43197</v>
      </c>
      <c r="B96" s="31" t="inlineStr">
        <is>
          <t>5676</t>
        </is>
      </c>
      <c r="C96" s="35" t="n"/>
      <c r="D96" s="36" t="n">
        <v>70</v>
      </c>
      <c r="E96" s="36" t="n"/>
      <c r="F96" s="37" t="n"/>
      <c r="G96" s="37" t="n">
        <v>30</v>
      </c>
      <c r="H96" s="37">
        <f>H95-G96</f>
        <v/>
      </c>
      <c r="I96" s="36" t="n"/>
      <c r="J96" s="711" t="n"/>
      <c r="K96" s="709">
        <f>G96*D96</f>
        <v/>
      </c>
      <c r="L96" s="710" t="n"/>
      <c r="M96" s="1" t="n"/>
    </row>
    <row r="97">
      <c r="A97" s="30" t="n">
        <v>43207</v>
      </c>
      <c r="B97" s="31" t="inlineStr">
        <is>
          <t>5690</t>
        </is>
      </c>
      <c r="C97" s="35" t="n"/>
      <c r="D97" s="36" t="n">
        <v>80</v>
      </c>
      <c r="E97" s="36" t="n"/>
      <c r="F97" s="37" t="n"/>
      <c r="G97" s="37" t="n">
        <v>10</v>
      </c>
      <c r="H97" s="37">
        <f>H96-G97</f>
        <v/>
      </c>
      <c r="I97" s="36" t="n"/>
      <c r="J97" s="711" t="n"/>
      <c r="K97" s="709">
        <f>G97*D97</f>
        <v/>
      </c>
      <c r="L97" s="710" t="n"/>
      <c r="M97" s="1" t="n"/>
    </row>
    <row r="98">
      <c r="A98" s="30" t="n">
        <v>43212</v>
      </c>
      <c r="B98" s="31" t="inlineStr">
        <is>
          <t>5700</t>
        </is>
      </c>
      <c r="C98" s="35" t="n"/>
      <c r="D98" s="36" t="n">
        <v>80</v>
      </c>
      <c r="E98" s="36" t="n"/>
      <c r="F98" s="37" t="n"/>
      <c r="G98" s="37" t="n">
        <v>10</v>
      </c>
      <c r="H98" s="37">
        <f>H97-G98</f>
        <v/>
      </c>
      <c r="I98" s="36" t="n"/>
      <c r="J98" s="711" t="n"/>
      <c r="K98" s="709">
        <f>G98*D98</f>
        <v/>
      </c>
      <c r="L98" s="710" t="n"/>
      <c r="M98" s="1" t="n"/>
    </row>
    <row r="99">
      <c r="A99" s="30" t="n">
        <v>43214</v>
      </c>
      <c r="B99" s="31" t="inlineStr">
        <is>
          <t>5706</t>
        </is>
      </c>
      <c r="C99" s="35" t="n"/>
      <c r="D99" s="36" t="n">
        <v>98</v>
      </c>
      <c r="E99" s="36" t="n"/>
      <c r="F99" s="37" t="n"/>
      <c r="G99" s="37" t="n">
        <v>30</v>
      </c>
      <c r="H99" s="37">
        <f>H98-G99</f>
        <v/>
      </c>
      <c r="I99" s="36" t="n"/>
      <c r="J99" s="711" t="n"/>
      <c r="K99" s="709">
        <f>G99*D99</f>
        <v/>
      </c>
      <c r="L99" s="710" t="n"/>
      <c r="M99" s="1" t="n"/>
    </row>
    <row r="100">
      <c r="A100" s="30" t="n"/>
      <c r="B100" s="31" t="n"/>
      <c r="C100" s="35" t="n"/>
      <c r="D100" s="36" t="n"/>
      <c r="E100" s="36" t="n"/>
      <c r="F100" s="37" t="n"/>
      <c r="G100" s="37" t="n"/>
      <c r="H100" s="37">
        <f>H99-G100</f>
        <v/>
      </c>
      <c r="I100" s="36" t="n"/>
      <c r="J100" s="711" t="n"/>
      <c r="K100" s="709" t="n"/>
      <c r="L100" s="710" t="n"/>
      <c r="M100" s="1" t="n"/>
    </row>
    <row r="101">
      <c r="A101" s="30" t="n"/>
      <c r="B101" s="31" t="n"/>
      <c r="C101" s="35" t="n"/>
      <c r="D101" s="36" t="n"/>
      <c r="E101" s="36" t="n"/>
      <c r="F101" s="37" t="n"/>
      <c r="G101" s="37" t="n"/>
      <c r="H101" s="37">
        <f>H100-G101</f>
        <v/>
      </c>
      <c r="I101" s="36" t="n"/>
      <c r="J101" s="711" t="n"/>
      <c r="K101" s="709" t="n"/>
      <c r="L101" s="710" t="n"/>
      <c r="M101" s="1" t="n"/>
    </row>
    <row r="102">
      <c r="A102" s="30" t="n"/>
      <c r="B102" s="31" t="n"/>
      <c r="C102" s="35" t="n"/>
      <c r="D102" s="36" t="n"/>
      <c r="E102" s="36" t="n"/>
      <c r="F102" s="37" t="n"/>
      <c r="G102" s="37" t="n"/>
      <c r="H102" s="37">
        <f>H101-G102</f>
        <v/>
      </c>
      <c r="I102" s="36" t="n"/>
      <c r="J102" s="711" t="n"/>
      <c r="K102" s="709" t="n"/>
      <c r="L102" s="710" t="n"/>
      <c r="M102" s="1" t="n"/>
    </row>
    <row r="103">
      <c r="A103" s="30" t="n"/>
      <c r="B103" s="31" t="n"/>
      <c r="C103" s="35" t="n"/>
      <c r="D103" s="36" t="n"/>
      <c r="E103" s="36" t="n"/>
      <c r="F103" s="37" t="n"/>
      <c r="G103" s="37" t="n"/>
      <c r="H103" s="37">
        <f>H102-G103</f>
        <v/>
      </c>
      <c r="I103" s="36" t="n"/>
      <c r="J103" s="711" t="n"/>
      <c r="K103" s="709" t="n"/>
      <c r="L103" s="710" t="n"/>
      <c r="M103" s="1" t="n"/>
    </row>
    <row r="104">
      <c r="A104" s="30" t="n"/>
      <c r="B104" s="31" t="n"/>
      <c r="C104" s="35" t="n"/>
      <c r="D104" s="36" t="n"/>
      <c r="E104" s="36" t="n"/>
      <c r="F104" s="37" t="n"/>
      <c r="G104" s="37" t="n"/>
      <c r="H104" s="37">
        <f>H103-G104</f>
        <v/>
      </c>
      <c r="I104" s="36" t="n"/>
      <c r="J104" s="711" t="n"/>
      <c r="K104" s="709" t="n"/>
      <c r="L104" s="710" t="n"/>
      <c r="M104" s="1" t="n"/>
    </row>
    <row r="105">
      <c r="A105" s="30" t="n">
        <v>43165</v>
      </c>
      <c r="B105" s="31" t="n"/>
      <c r="C105" s="35" t="n"/>
      <c r="D105" s="36" t="n">
        <v>80</v>
      </c>
      <c r="E105" s="36" t="n"/>
      <c r="F105" s="37" t="n"/>
      <c r="G105" s="37" t="n"/>
      <c r="H105" s="37">
        <f>H104-G105</f>
        <v/>
      </c>
      <c r="I105" s="36" t="n"/>
      <c r="J105" s="711" t="n"/>
      <c r="K105" s="709">
        <f>G105*D105</f>
        <v/>
      </c>
      <c r="L105" s="710" t="n"/>
      <c r="M105" s="1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114" t="n"/>
    </row>
    <row r="107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114" t="n"/>
    </row>
    <row r="108">
      <c r="A108" s="76" t="n"/>
      <c r="B108" s="76" t="n"/>
      <c r="C108" s="76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114" t="n"/>
    </row>
    <row r="109" ht="15.75" customHeight="1" s="436" thickBot="1">
      <c r="A109" s="76" t="n"/>
      <c r="B109" s="76" t="n"/>
      <c r="C109" s="76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114" t="n"/>
    </row>
    <row r="110" ht="29.25" customHeight="1" s="436" thickBot="1">
      <c r="A110" s="696" t="inlineStr">
        <is>
          <t>PLANILHA CONTROLE DE ESTOQUE</t>
        </is>
      </c>
      <c r="B110" s="697" t="n"/>
      <c r="C110" s="697" t="n"/>
      <c r="D110" s="697" t="n"/>
      <c r="E110" s="697" t="n"/>
      <c r="F110" s="697" t="n"/>
      <c r="G110" s="697" t="n"/>
      <c r="H110" s="697" t="n"/>
      <c r="I110" s="697" t="n"/>
      <c r="J110" s="697" t="n"/>
      <c r="K110" s="697" t="n"/>
      <c r="L110" s="697" t="n"/>
      <c r="M110" s="698" t="n"/>
    </row>
    <row r="111" ht="21.75" customHeight="1" s="436" thickBot="1">
      <c r="A111" s="699" t="inlineStr">
        <is>
          <t xml:space="preserve">021 - DENISE FURTADO DE SOUZA - ME </t>
        </is>
      </c>
      <c r="B111" s="697" t="n"/>
      <c r="C111" s="697" t="n"/>
      <c r="D111" s="697" t="n"/>
      <c r="E111" s="697" t="n"/>
      <c r="F111" s="697" t="n"/>
      <c r="G111" s="697" t="n"/>
      <c r="H111" s="697" t="n"/>
      <c r="I111" s="697" t="n"/>
      <c r="J111" s="697" t="n"/>
      <c r="K111" s="697" t="n"/>
      <c r="L111" s="697" t="n"/>
      <c r="M111" s="698" t="n"/>
    </row>
    <row r="112" ht="27" customHeight="1" s="436" thickBot="1">
      <c r="A112" s="700" t="inlineStr">
        <is>
          <t xml:space="preserve"> FARINHA DE TRIGO TIPO: 1 - 50 KG</t>
        </is>
      </c>
      <c r="B112" s="697" t="n"/>
      <c r="C112" s="697" t="n"/>
      <c r="D112" s="697" t="n"/>
      <c r="E112" s="697" t="n"/>
      <c r="F112" s="697" t="n"/>
      <c r="G112" s="697" t="n"/>
      <c r="H112" s="697" t="n"/>
      <c r="I112" s="697" t="n"/>
      <c r="J112" s="697" t="n"/>
      <c r="K112" s="697" t="n"/>
      <c r="L112" s="697" t="n"/>
      <c r="M112" s="698" t="n"/>
    </row>
    <row r="113">
      <c r="A113" s="643" t="inlineStr">
        <is>
          <t>DATA</t>
        </is>
      </c>
      <c r="B113" s="633" t="inlineStr">
        <is>
          <t>N.F.</t>
        </is>
      </c>
      <c r="C113" s="633" t="inlineStr">
        <is>
          <t>TIPO</t>
        </is>
      </c>
      <c r="D113" s="633" t="inlineStr">
        <is>
          <t>PREÇO UNITÁRIO</t>
        </is>
      </c>
      <c r="E113" s="701" t="n"/>
      <c r="F113" s="633" t="inlineStr">
        <is>
          <t>QUANTIDADE / KG</t>
        </is>
      </c>
      <c r="H113" s="701" t="n"/>
      <c r="I113" s="632" t="inlineStr">
        <is>
          <t>PREÇO</t>
        </is>
      </c>
      <c r="J113" s="632" t="inlineStr">
        <is>
          <t>VALORES</t>
        </is>
      </c>
      <c r="L113" s="701" t="n"/>
      <c r="M113" s="702" t="n"/>
    </row>
    <row r="114" ht="15.75" customHeight="1" s="436" thickBot="1">
      <c r="A114" s="703" t="n"/>
      <c r="B114" s="704" t="n"/>
      <c r="C114" s="704" t="n"/>
      <c r="D114" s="703" t="n"/>
      <c r="E114" s="701" t="n"/>
      <c r="F114" s="705" t="n"/>
      <c r="G114" s="706" t="n"/>
      <c r="H114" s="707" t="n"/>
      <c r="I114" s="704" t="n"/>
      <c r="J114" s="703" t="n"/>
      <c r="L114" s="701" t="n"/>
      <c r="M114" s="704" t="n"/>
    </row>
    <row r="115" ht="15.75" customHeight="1" s="436" thickBot="1">
      <c r="A115" s="703" t="n"/>
      <c r="B115" s="704" t="n"/>
      <c r="C115" s="704" t="n"/>
      <c r="D115" s="705" t="n"/>
      <c r="E115" s="707" t="n"/>
      <c r="F115" s="708" t="inlineStr">
        <is>
          <t>ENTRADA</t>
        </is>
      </c>
      <c r="G115" s="3" t="inlineStr">
        <is>
          <t>SAÍDA</t>
        </is>
      </c>
      <c r="H115" s="640" t="inlineStr">
        <is>
          <t>SALDO EM 31/04/2018</t>
        </is>
      </c>
      <c r="I115" s="633" t="inlineStr">
        <is>
          <t>MÉDIO</t>
        </is>
      </c>
      <c r="J115" s="652" t="inlineStr">
        <is>
          <t>SALDO EM 30/11/2017</t>
        </is>
      </c>
      <c r="K115" s="706" t="n"/>
      <c r="L115" s="17" t="n"/>
      <c r="M115" s="695" t="n"/>
    </row>
    <row r="116" ht="15.75" customHeight="1" s="436" thickBot="1">
      <c r="A116" s="705" t="n"/>
      <c r="B116" s="695" t="n"/>
      <c r="C116" s="695" t="n"/>
      <c r="D116" s="3" t="inlineStr">
        <is>
          <t>C/ICMS</t>
        </is>
      </c>
      <c r="E116" s="3" t="inlineStr">
        <is>
          <t>S/ICMS</t>
        </is>
      </c>
      <c r="F116" s="695" t="n"/>
      <c r="G116" s="695" t="n"/>
      <c r="H116" s="18" t="n"/>
      <c r="I116" s="695" t="n"/>
      <c r="J116" s="645" t="inlineStr">
        <is>
          <t>ENTRADA</t>
        </is>
      </c>
      <c r="K116" s="633" t="inlineStr">
        <is>
          <t>SAÍDA / CMV</t>
        </is>
      </c>
      <c r="L116" s="633" t="inlineStr">
        <is>
          <t>SALDO</t>
        </is>
      </c>
      <c r="M116" s="631" t="inlineStr">
        <is>
          <t>ICMS S/VENDAS</t>
        </is>
      </c>
    </row>
    <row r="117">
      <c r="A117" s="30" t="n"/>
      <c r="B117" s="31" t="n"/>
      <c r="C117" s="31" t="n"/>
      <c r="D117" s="32" t="n"/>
      <c r="E117" s="32" t="n"/>
      <c r="F117" s="33" t="n"/>
      <c r="G117" s="33" t="n">
        <v>0</v>
      </c>
      <c r="H117" s="33" t="n"/>
      <c r="I117" s="32" t="n"/>
      <c r="J117" s="709">
        <f>F117*I117</f>
        <v/>
      </c>
      <c r="K117" s="709" t="n">
        <v>0</v>
      </c>
      <c r="L117" s="710">
        <f>J117-K117</f>
        <v/>
      </c>
      <c r="M117" s="1" t="n"/>
    </row>
    <row r="118">
      <c r="A118" s="92" t="n">
        <v>43221</v>
      </c>
      <c r="B118" s="93" t="n"/>
      <c r="C118" s="96" t="n"/>
      <c r="D118" s="97" t="n"/>
      <c r="E118" s="97" t="n"/>
      <c r="F118" s="98" t="n"/>
      <c r="G118" s="98" t="n"/>
      <c r="H118" s="98" t="n">
        <v>40</v>
      </c>
      <c r="I118" s="36" t="n"/>
      <c r="J118" s="711" t="n"/>
      <c r="K118" s="709">
        <f>G118*D118</f>
        <v/>
      </c>
      <c r="L118" s="710" t="n"/>
      <c r="M118" s="1" t="n"/>
    </row>
    <row r="119">
      <c r="A119" s="30" t="n">
        <v>43228</v>
      </c>
      <c r="B119" s="31" t="inlineStr">
        <is>
          <t>5732</t>
        </is>
      </c>
      <c r="C119" s="31" t="n"/>
      <c r="D119" s="32" t="n">
        <v>80</v>
      </c>
      <c r="E119" s="32" t="n"/>
      <c r="F119" s="33" t="n"/>
      <c r="G119" s="33" t="n">
        <v>10</v>
      </c>
      <c r="H119" s="37">
        <f>H118-G119</f>
        <v/>
      </c>
      <c r="I119" s="32" t="n"/>
      <c r="J119" s="711" t="n"/>
      <c r="K119" s="709">
        <f>G119*D119</f>
        <v/>
      </c>
      <c r="L119" s="710" t="n"/>
      <c r="M119" s="1" t="n"/>
    </row>
    <row r="120">
      <c r="A120" s="30" t="n">
        <v>43228</v>
      </c>
      <c r="B120" s="31" t="inlineStr">
        <is>
          <t>5734</t>
        </is>
      </c>
      <c r="C120" s="31" t="n"/>
      <c r="D120" s="32" t="n">
        <v>80</v>
      </c>
      <c r="E120" s="32" t="n"/>
      <c r="F120" s="33" t="n"/>
      <c r="G120" s="33" t="n">
        <v>20</v>
      </c>
      <c r="H120" s="37">
        <f>H119-G120</f>
        <v/>
      </c>
      <c r="I120" s="32" t="n"/>
      <c r="J120" s="711" t="n"/>
      <c r="K120" s="709" t="n"/>
      <c r="L120" s="710" t="n"/>
      <c r="M120" s="1" t="n"/>
    </row>
    <row r="121">
      <c r="A121" s="30" t="n">
        <v>43234</v>
      </c>
      <c r="B121" s="31" t="inlineStr">
        <is>
          <t>5737</t>
        </is>
      </c>
      <c r="C121" s="35" t="n"/>
      <c r="D121" s="36" t="n">
        <v>70</v>
      </c>
      <c r="E121" s="36" t="n"/>
      <c r="F121" s="37" t="n"/>
      <c r="G121" s="37" t="n">
        <v>10</v>
      </c>
      <c r="H121" s="37">
        <f>H120-G121</f>
        <v/>
      </c>
      <c r="I121" s="36" t="n"/>
      <c r="J121" s="711" t="n"/>
      <c r="K121" s="709">
        <f>G121*D121</f>
        <v/>
      </c>
      <c r="L121" s="710" t="n"/>
      <c r="M121" s="1" t="n"/>
    </row>
    <row r="122">
      <c r="A122" s="30" t="n">
        <v>43207</v>
      </c>
      <c r="B122" s="31" t="n"/>
      <c r="C122" s="35" t="n"/>
      <c r="D122" s="36" t="n">
        <v>80</v>
      </c>
      <c r="E122" s="36" t="n"/>
      <c r="F122" s="37" t="n"/>
      <c r="G122" s="37" t="n"/>
      <c r="H122" s="37">
        <f>H121-G122</f>
        <v/>
      </c>
      <c r="I122" s="36" t="n"/>
      <c r="J122" s="711" t="n"/>
      <c r="K122" s="709">
        <f>G122*D122</f>
        <v/>
      </c>
      <c r="L122" s="710" t="n"/>
      <c r="M122" s="1" t="n"/>
    </row>
    <row r="123">
      <c r="A123" s="30" t="n">
        <v>43212</v>
      </c>
      <c r="B123" s="31" t="n"/>
      <c r="C123" s="35" t="n"/>
      <c r="D123" s="36" t="n">
        <v>80</v>
      </c>
      <c r="E123" s="36" t="n"/>
      <c r="F123" s="37" t="n"/>
      <c r="G123" s="37" t="n"/>
      <c r="H123" s="37">
        <f>H122-G123</f>
        <v/>
      </c>
      <c r="I123" s="36" t="n"/>
      <c r="J123" s="711" t="n"/>
      <c r="K123" s="709">
        <f>G123*D123</f>
        <v/>
      </c>
      <c r="L123" s="710" t="n"/>
      <c r="M123" s="1" t="n"/>
    </row>
    <row r="124">
      <c r="A124" s="30" t="n">
        <v>43214</v>
      </c>
      <c r="B124" s="31" t="n"/>
      <c r="C124" s="35" t="n"/>
      <c r="D124" s="36" t="n">
        <v>98</v>
      </c>
      <c r="E124" s="36" t="n"/>
      <c r="F124" s="37" t="n"/>
      <c r="G124" s="37" t="n"/>
      <c r="H124" s="37">
        <f>H123-G124</f>
        <v/>
      </c>
      <c r="I124" s="36" t="n"/>
      <c r="J124" s="711" t="n"/>
      <c r="K124" s="709">
        <f>G124*D124</f>
        <v/>
      </c>
      <c r="L124" s="710" t="n"/>
      <c r="M124" s="1" t="n"/>
    </row>
    <row r="125">
      <c r="A125" s="30" t="n"/>
      <c r="B125" s="31" t="n"/>
      <c r="C125" s="35" t="n"/>
      <c r="D125" s="36" t="n"/>
      <c r="E125" s="36" t="n"/>
      <c r="F125" s="37" t="n"/>
      <c r="G125" s="37" t="n"/>
      <c r="H125" s="37">
        <f>H124-G125</f>
        <v/>
      </c>
      <c r="I125" s="36" t="n"/>
      <c r="J125" s="711" t="n"/>
      <c r="K125" s="709" t="n"/>
      <c r="L125" s="710" t="n"/>
      <c r="M125" s="1" t="n"/>
    </row>
    <row r="126">
      <c r="A126" s="30" t="n"/>
      <c r="B126" s="31" t="n"/>
      <c r="C126" s="35" t="n"/>
      <c r="D126" s="36" t="n"/>
      <c r="E126" s="36" t="n"/>
      <c r="F126" s="37" t="n"/>
      <c r="G126" s="37" t="n"/>
      <c r="H126" s="37">
        <f>H125-G126</f>
        <v/>
      </c>
      <c r="I126" s="36" t="n"/>
      <c r="J126" s="711" t="n"/>
      <c r="K126" s="709" t="n"/>
      <c r="L126" s="710" t="n"/>
      <c r="M126" s="1" t="n"/>
    </row>
    <row r="127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  <c r="J127" s="76" t="n"/>
      <c r="K127" s="76" t="n"/>
      <c r="L127" s="76" t="n"/>
      <c r="M127" s="114" t="n"/>
    </row>
    <row r="128">
      <c r="A128" s="76" t="n"/>
      <c r="B128" s="76" t="n"/>
      <c r="C128" s="76" t="n"/>
      <c r="D128" s="76" t="n"/>
      <c r="E128" s="76" t="n"/>
      <c r="F128" s="76" t="n"/>
      <c r="G128" s="76" t="n"/>
      <c r="H128" s="76" t="n"/>
      <c r="I128" s="76" t="n"/>
      <c r="J128" s="76" t="n"/>
      <c r="K128" s="76" t="n"/>
      <c r="L128" s="76" t="n"/>
      <c r="M128" s="114" t="n"/>
    </row>
    <row r="129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  <c r="J129" s="76" t="n"/>
      <c r="K129" s="76" t="n"/>
      <c r="L129" s="76" t="n"/>
      <c r="M129" s="114" t="n"/>
    </row>
    <row r="130">
      <c r="A130" s="76" t="n"/>
      <c r="B130" s="76" t="n"/>
      <c r="C130" s="76" t="n"/>
      <c r="D130" s="76" t="n"/>
      <c r="E130" s="76" t="n"/>
      <c r="F130" s="76" t="n"/>
      <c r="G130" s="76" t="n"/>
      <c r="H130" s="76" t="n"/>
      <c r="I130" s="76" t="n"/>
      <c r="J130" s="76" t="n"/>
      <c r="K130" s="76" t="n"/>
      <c r="L130" s="76" t="n"/>
      <c r="M130" s="114" t="n"/>
    </row>
    <row r="131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  <c r="J131" s="76" t="n"/>
      <c r="K131" s="76" t="n"/>
      <c r="L131" s="76" t="n"/>
      <c r="M131" s="114" t="n"/>
    </row>
    <row r="132">
      <c r="A132" s="76" t="n"/>
      <c r="B132" s="76" t="n"/>
      <c r="C132" s="76" t="n"/>
      <c r="D132" s="76" t="n"/>
      <c r="E132" s="76" t="n"/>
      <c r="F132" s="76" t="n"/>
      <c r="G132" s="76" t="n"/>
      <c r="H132" s="76" t="n"/>
      <c r="I132" s="76" t="n"/>
      <c r="J132" s="76" t="n"/>
      <c r="K132" s="76" t="n"/>
      <c r="L132" s="76" t="n"/>
      <c r="M132" s="114" t="n"/>
    </row>
    <row r="133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  <c r="J133" s="76" t="n"/>
      <c r="K133" s="76" t="n"/>
      <c r="L133" s="76" t="n"/>
      <c r="M133" s="114" t="n"/>
    </row>
    <row r="134">
      <c r="A134" s="76" t="n"/>
      <c r="B134" s="76" t="n"/>
      <c r="C134" s="76" t="n"/>
      <c r="D134" s="76" t="n"/>
      <c r="E134" s="76" t="n"/>
      <c r="F134" s="76" t="n"/>
      <c r="G134" s="76" t="n"/>
      <c r="H134" s="76" t="n"/>
      <c r="I134" s="76" t="n"/>
      <c r="J134" s="76" t="n"/>
      <c r="K134" s="76" t="n"/>
      <c r="L134" s="76" t="n"/>
      <c r="M134" s="114" t="n"/>
    </row>
    <row r="135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6" t="n"/>
      <c r="M135" s="114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114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114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114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114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114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114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114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114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114" t="n"/>
    </row>
    <row r="145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114" t="n"/>
    </row>
    <row r="146">
      <c r="A146" s="76" t="n"/>
      <c r="B146" s="76" t="n"/>
      <c r="C146" s="76" t="n"/>
      <c r="D146" s="76" t="n"/>
      <c r="E146" s="76" t="n"/>
      <c r="F146" s="76" t="n"/>
      <c r="G146" s="76" t="n"/>
      <c r="H146" s="76" t="n"/>
      <c r="I146" s="76" t="n"/>
      <c r="J146" s="76" t="n"/>
      <c r="K146" s="76" t="n"/>
      <c r="L146" s="76" t="n"/>
      <c r="M146" s="114" t="n"/>
    </row>
    <row r="147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  <c r="J147" s="76" t="n"/>
      <c r="K147" s="76" t="n"/>
      <c r="L147" s="76" t="n"/>
      <c r="M147" s="114" t="n"/>
    </row>
    <row r="148">
      <c r="A148" s="76" t="n"/>
      <c r="B148" s="76" t="n"/>
      <c r="C148" s="76" t="n"/>
      <c r="D148" s="76" t="n"/>
      <c r="E148" s="76" t="n"/>
      <c r="F148" s="76" t="n"/>
      <c r="G148" s="76" t="n"/>
      <c r="H148" s="76" t="n"/>
      <c r="I148" s="76" t="n"/>
      <c r="J148" s="76" t="n"/>
      <c r="K148" s="76" t="n"/>
      <c r="L148" s="76" t="n"/>
      <c r="M148" s="114" t="n"/>
    </row>
    <row r="149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  <c r="J149" s="76" t="n"/>
      <c r="K149" s="76" t="n"/>
      <c r="L149" s="76" t="n"/>
      <c r="M149" s="114" t="n"/>
    </row>
    <row r="150">
      <c r="A150" s="76" t="n"/>
      <c r="B150" s="76" t="n"/>
      <c r="C150" s="76" t="n"/>
      <c r="D150" s="76" t="n"/>
      <c r="E150" s="76" t="n"/>
      <c r="F150" s="76" t="n"/>
      <c r="G150" s="76" t="n"/>
      <c r="H150" s="76" t="n"/>
      <c r="I150" s="76" t="n"/>
      <c r="J150" s="76" t="n"/>
      <c r="K150" s="76" t="n"/>
      <c r="L150" s="76" t="n"/>
      <c r="M150" s="114" t="n"/>
    </row>
    <row r="151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  <c r="J151" s="76" t="n"/>
      <c r="K151" s="76" t="n"/>
      <c r="L151" s="76" t="n"/>
      <c r="M151" s="114" t="n"/>
    </row>
    <row r="152" ht="15.75" customHeight="1" s="436" thickBot="1"/>
    <row r="153" ht="27" customHeight="1" s="436" thickBot="1">
      <c r="A153" s="720" t="inlineStr">
        <is>
          <t xml:space="preserve"> FARINHA DE TRIGO TIPO: 1 - 25 KG</t>
        </is>
      </c>
      <c r="B153" s="697" t="n"/>
      <c r="C153" s="697" t="n"/>
      <c r="D153" s="697" t="n"/>
      <c r="E153" s="697" t="n"/>
      <c r="F153" s="697" t="n"/>
      <c r="G153" s="697" t="n"/>
      <c r="H153" s="697" t="n"/>
      <c r="I153" s="697" t="n"/>
      <c r="J153" s="697" t="n"/>
      <c r="K153" s="697" t="n"/>
      <c r="L153" s="697" t="n"/>
      <c r="M153" s="698" t="n"/>
    </row>
    <row r="154" ht="13.7" customHeight="1" s="436">
      <c r="A154" s="643" t="inlineStr">
        <is>
          <t>DATA</t>
        </is>
      </c>
      <c r="B154" s="633" t="inlineStr">
        <is>
          <t>N.F.</t>
        </is>
      </c>
      <c r="C154" s="633" t="inlineStr">
        <is>
          <t>TIPO</t>
        </is>
      </c>
      <c r="D154" s="633" t="inlineStr">
        <is>
          <t>PREÇO UNITÁRIO</t>
        </is>
      </c>
      <c r="E154" s="701" t="n"/>
      <c r="F154" s="633" t="inlineStr">
        <is>
          <t>QUANTIDADE / KG</t>
        </is>
      </c>
      <c r="H154" s="701" t="n"/>
      <c r="I154" s="632" t="inlineStr">
        <is>
          <t>PREÇO</t>
        </is>
      </c>
      <c r="J154" s="632" t="inlineStr">
        <is>
          <t>VALORES</t>
        </is>
      </c>
      <c r="L154" s="701" t="n"/>
      <c r="M154" s="649" t="n"/>
    </row>
    <row r="155" ht="13.7" customHeight="1" s="436" thickBot="1">
      <c r="A155" s="703" t="n"/>
      <c r="B155" s="704" t="n"/>
      <c r="C155" s="704" t="n"/>
      <c r="D155" s="703" t="n"/>
      <c r="E155" s="701" t="n"/>
      <c r="F155" s="705" t="n"/>
      <c r="G155" s="706" t="n"/>
      <c r="H155" s="707" t="n"/>
      <c r="I155" s="704" t="n"/>
      <c r="J155" s="703" t="n"/>
      <c r="L155" s="701" t="n"/>
      <c r="M155" s="704" t="n"/>
    </row>
    <row r="156" ht="13.7" customHeight="1" s="436" thickBot="1">
      <c r="A156" s="703" t="n"/>
      <c r="B156" s="704" t="n"/>
      <c r="C156" s="704" t="n"/>
      <c r="D156" s="705" t="n"/>
      <c r="E156" s="707" t="n"/>
      <c r="F156" s="3" t="inlineStr">
        <is>
          <t>ENTRADA</t>
        </is>
      </c>
      <c r="G156" s="3" t="inlineStr">
        <is>
          <t>SAÍDA</t>
        </is>
      </c>
      <c r="H156" s="640" t="inlineStr">
        <is>
          <t>SALDO EM 30/12/2018</t>
        </is>
      </c>
      <c r="I156" s="633" t="inlineStr">
        <is>
          <t>MÉDIO</t>
        </is>
      </c>
      <c r="J156" s="652" t="inlineStr">
        <is>
          <t>SALDO EM 30/11/2017</t>
        </is>
      </c>
      <c r="K156" s="706" t="n"/>
      <c r="L156" s="17" t="n"/>
      <c r="M156" s="704" t="n"/>
    </row>
    <row r="157" ht="13.7" customHeight="1" s="436" thickBot="1">
      <c r="A157" s="705" t="n"/>
      <c r="B157" s="695" t="n"/>
      <c r="C157" s="695" t="n"/>
      <c r="D157" s="3" t="inlineStr">
        <is>
          <t>C/ICMS</t>
        </is>
      </c>
      <c r="E157" s="3" t="inlineStr">
        <is>
          <t>S/ICMS</t>
        </is>
      </c>
      <c r="F157" s="695" t="n"/>
      <c r="G157" s="695" t="n"/>
      <c r="H157" s="84" t="n"/>
      <c r="I157" s="695" t="n"/>
      <c r="J157" s="645" t="inlineStr">
        <is>
          <t>ENTRADA</t>
        </is>
      </c>
      <c r="K157" s="633" t="inlineStr">
        <is>
          <t>SAÍDA / CMV</t>
        </is>
      </c>
      <c r="L157" s="643" t="inlineStr">
        <is>
          <t>SALDO</t>
        </is>
      </c>
      <c r="M157" s="392" t="n"/>
    </row>
    <row r="158" ht="17.25" customHeight="1" s="436">
      <c r="A158" s="30" t="n"/>
      <c r="B158" s="31" t="n"/>
      <c r="C158" s="35" t="n"/>
      <c r="D158" s="36" t="n"/>
      <c r="E158" s="36" t="n"/>
      <c r="F158" s="37" t="n"/>
      <c r="G158" s="37" t="n">
        <v>0</v>
      </c>
      <c r="H158" s="37" t="n">
        <v>400</v>
      </c>
      <c r="I158" s="36" t="n"/>
      <c r="J158" s="711">
        <f>F158*I158</f>
        <v/>
      </c>
      <c r="K158" s="721" t="n">
        <v>0</v>
      </c>
      <c r="L158" s="710">
        <f>J158-K158</f>
        <v/>
      </c>
      <c r="M158" s="392" t="n"/>
    </row>
    <row r="159" ht="17.25" customHeight="1" s="436">
      <c r="A159" s="92" t="n">
        <v>43103</v>
      </c>
      <c r="B159" s="93" t="inlineStr">
        <is>
          <t>2206</t>
        </is>
      </c>
      <c r="C159" s="93" t="n"/>
      <c r="D159" s="94" t="n">
        <v>31</v>
      </c>
      <c r="E159" s="94" t="n"/>
      <c r="F159" s="95" t="n">
        <v>440</v>
      </c>
      <c r="G159" s="95" t="n"/>
      <c r="H159" s="95">
        <f>H158+F159</f>
        <v/>
      </c>
      <c r="I159" s="32" t="n"/>
      <c r="J159" s="711" t="n"/>
      <c r="K159" s="722" t="n"/>
      <c r="L159" s="710" t="n"/>
      <c r="M159" s="392" t="n"/>
    </row>
    <row r="160" ht="17.25" customHeight="1" s="436">
      <c r="A160" s="30" t="n">
        <v>43101</v>
      </c>
      <c r="B160" s="31" t="inlineStr">
        <is>
          <t>5469</t>
        </is>
      </c>
      <c r="C160" s="31" t="n"/>
      <c r="D160" s="32" t="n">
        <v>43</v>
      </c>
      <c r="E160" s="32" t="n"/>
      <c r="F160" s="33" t="n"/>
      <c r="G160" s="33" t="n">
        <v>100</v>
      </c>
      <c r="H160" s="33">
        <f>H159-G160</f>
        <v/>
      </c>
      <c r="I160" s="32" t="n"/>
      <c r="J160" s="711">
        <f>F160*I160</f>
        <v/>
      </c>
      <c r="K160" s="722">
        <f>G160*D160</f>
        <v/>
      </c>
      <c r="L160" s="710">
        <f>J160-K160</f>
        <v/>
      </c>
      <c r="M160" s="392" t="n"/>
    </row>
    <row r="161" ht="17.25" customHeight="1" s="436">
      <c r="A161" s="30" t="n">
        <v>43102</v>
      </c>
      <c r="B161" s="85" t="n">
        <v>5472</v>
      </c>
      <c r="C161" s="35" t="n"/>
      <c r="D161" s="36" t="n">
        <v>40</v>
      </c>
      <c r="E161" s="36" t="n"/>
      <c r="F161" s="37" t="n"/>
      <c r="G161" s="37" t="n">
        <v>10</v>
      </c>
      <c r="H161" s="33">
        <f>H160+F161-G161</f>
        <v/>
      </c>
      <c r="I161" s="99" t="n"/>
      <c r="J161" s="711" t="n"/>
      <c r="K161" s="722">
        <f>G161*D161</f>
        <v/>
      </c>
      <c r="L161" s="710" t="n"/>
      <c r="M161" s="392" t="n"/>
    </row>
    <row r="162" ht="17.25" customHeight="1" s="436">
      <c r="A162" s="30" t="n">
        <v>43102</v>
      </c>
      <c r="B162" s="31" t="inlineStr">
        <is>
          <t>5474</t>
        </is>
      </c>
      <c r="C162" s="35" t="n"/>
      <c r="D162" s="36" t="n">
        <v>40</v>
      </c>
      <c r="E162" s="36" t="n"/>
      <c r="F162" s="37" t="n"/>
      <c r="G162" s="37" t="n">
        <v>30</v>
      </c>
      <c r="H162" s="33">
        <f>H161+F162-G162</f>
        <v/>
      </c>
      <c r="I162" s="36" t="n"/>
      <c r="J162" s="711" t="n"/>
      <c r="K162" s="722">
        <f>G162*D162</f>
        <v/>
      </c>
      <c r="L162" s="710" t="n"/>
      <c r="M162" s="392" t="n"/>
    </row>
    <row r="163" ht="17.25" customHeight="1" s="436">
      <c r="A163" s="30" t="n">
        <v>43103</v>
      </c>
      <c r="B163" s="31" t="inlineStr">
        <is>
          <t>5476</t>
        </is>
      </c>
      <c r="C163" s="35" t="n"/>
      <c r="D163" s="36" t="n">
        <v>42</v>
      </c>
      <c r="E163" s="36" t="n"/>
      <c r="F163" s="37" t="n"/>
      <c r="G163" s="37" t="n">
        <v>15</v>
      </c>
      <c r="H163" s="33">
        <f>H162+F163-G163</f>
        <v/>
      </c>
      <c r="I163" s="36" t="n"/>
      <c r="J163" s="711" t="n"/>
      <c r="K163" s="722">
        <f>G163*D163</f>
        <v/>
      </c>
      <c r="L163" s="710" t="n"/>
      <c r="M163" s="392" t="n"/>
    </row>
    <row r="164" ht="17.25" customHeight="1" s="436">
      <c r="A164" s="30" t="n">
        <v>43103</v>
      </c>
      <c r="B164" s="31" t="inlineStr">
        <is>
          <t>5477</t>
        </is>
      </c>
      <c r="C164" s="35" t="n"/>
      <c r="D164" s="36" t="n">
        <v>40</v>
      </c>
      <c r="E164" s="36" t="n"/>
      <c r="F164" s="37" t="n"/>
      <c r="G164" s="37" t="n">
        <v>10</v>
      </c>
      <c r="H164" s="33">
        <f>H163+F164-G164</f>
        <v/>
      </c>
      <c r="I164" s="36" t="n"/>
      <c r="J164" s="711" t="n"/>
      <c r="K164" s="722">
        <f>G164*D164</f>
        <v/>
      </c>
      <c r="L164" s="710" t="n"/>
      <c r="M164" s="392" t="n"/>
    </row>
    <row r="165" ht="17.25" customHeight="1" s="436">
      <c r="A165" s="30" t="n">
        <v>43103</v>
      </c>
      <c r="B165" s="31" t="inlineStr">
        <is>
          <t>5480</t>
        </is>
      </c>
      <c r="C165" s="35" t="n"/>
      <c r="D165" s="36" t="n">
        <v>40</v>
      </c>
      <c r="E165" s="36" t="n"/>
      <c r="F165" s="37" t="n"/>
      <c r="G165" s="37" t="n">
        <v>20</v>
      </c>
      <c r="H165" s="33">
        <f>H164+F165-G165</f>
        <v/>
      </c>
      <c r="I165" s="36" t="n"/>
      <c r="J165" s="711" t="n"/>
      <c r="K165" s="722">
        <f>G165*D165</f>
        <v/>
      </c>
      <c r="L165" s="710" t="n"/>
      <c r="M165" s="392" t="n"/>
    </row>
    <row r="166" ht="17.25" customHeight="1" s="436">
      <c r="A166" s="30" t="n">
        <v>43108</v>
      </c>
      <c r="B166" s="31" t="inlineStr">
        <is>
          <t>5485</t>
        </is>
      </c>
      <c r="C166" s="35" t="n"/>
      <c r="D166" s="36" t="n">
        <v>45</v>
      </c>
      <c r="E166" s="36" t="n"/>
      <c r="F166" s="37" t="n"/>
      <c r="G166" s="37" t="n">
        <v>40</v>
      </c>
      <c r="H166" s="33">
        <f>H165+F166-G166</f>
        <v/>
      </c>
      <c r="I166" s="36" t="n"/>
      <c r="J166" s="711" t="n"/>
      <c r="K166" s="722">
        <f>G166*D166</f>
        <v/>
      </c>
      <c r="L166" s="710" t="n"/>
      <c r="M166" s="392" t="n"/>
    </row>
    <row r="167" ht="17.25" customHeight="1" s="436">
      <c r="A167" s="30" t="n">
        <v>43108</v>
      </c>
      <c r="B167" s="31" t="inlineStr">
        <is>
          <t>5488</t>
        </is>
      </c>
      <c r="C167" s="35" t="n"/>
      <c r="D167" s="36" t="n">
        <v>42</v>
      </c>
      <c r="E167" s="36" t="n"/>
      <c r="F167" s="37" t="n"/>
      <c r="G167" s="37" t="n">
        <v>30</v>
      </c>
      <c r="H167" s="33">
        <f>H166+F167-G167</f>
        <v/>
      </c>
      <c r="I167" s="36" t="n"/>
      <c r="J167" s="711" t="n"/>
      <c r="K167" s="722">
        <f>G167*D167</f>
        <v/>
      </c>
      <c r="L167" s="710" t="n"/>
      <c r="M167" s="392" t="n"/>
    </row>
    <row r="168" ht="17.25" customHeight="1" s="436">
      <c r="A168" s="30" t="n">
        <v>43109</v>
      </c>
      <c r="B168" s="31" t="inlineStr">
        <is>
          <t>5490</t>
        </is>
      </c>
      <c r="C168" s="35" t="n"/>
      <c r="D168" s="36" t="n">
        <v>38</v>
      </c>
      <c r="E168" s="36" t="n"/>
      <c r="F168" s="37" t="n"/>
      <c r="G168" s="37" t="n">
        <v>100</v>
      </c>
      <c r="H168" s="33">
        <f>H167+F168-G168</f>
        <v/>
      </c>
      <c r="I168" s="36" t="n"/>
      <c r="J168" s="711" t="n"/>
      <c r="K168" s="722">
        <f>G168*D168</f>
        <v/>
      </c>
      <c r="L168" s="710" t="n"/>
      <c r="M168" s="392" t="n"/>
    </row>
    <row r="169" ht="17.25" customHeight="1" s="436">
      <c r="A169" s="92" t="n">
        <v>43115</v>
      </c>
      <c r="B169" s="93" t="inlineStr">
        <is>
          <t>2213</t>
        </is>
      </c>
      <c r="C169" s="96" t="n"/>
      <c r="D169" s="97" t="n">
        <v>25</v>
      </c>
      <c r="E169" s="97" t="n"/>
      <c r="F169" s="98" t="n">
        <v>320</v>
      </c>
      <c r="G169" s="98" t="n"/>
      <c r="H169" s="95">
        <f>H168+F169</f>
        <v/>
      </c>
      <c r="I169" s="36" t="n"/>
      <c r="J169" s="711" t="n"/>
      <c r="K169" s="722" t="n"/>
      <c r="L169" s="710" t="n"/>
      <c r="M169" s="392" t="n"/>
    </row>
    <row r="170" ht="17.25" customHeight="1" s="436">
      <c r="A170" s="30" t="n">
        <v>43115</v>
      </c>
      <c r="B170" s="31" t="inlineStr">
        <is>
          <t>5500</t>
        </is>
      </c>
      <c r="C170" s="35" t="n"/>
      <c r="D170" s="36" t="n">
        <v>41</v>
      </c>
      <c r="E170" s="36" t="n"/>
      <c r="F170" s="37" t="n"/>
      <c r="G170" s="37" t="n">
        <v>20</v>
      </c>
      <c r="H170" s="33">
        <f>H169-G170</f>
        <v/>
      </c>
      <c r="I170" s="36" t="n"/>
      <c r="J170" s="711" t="n"/>
      <c r="K170" s="722">
        <f>G170*D170</f>
        <v/>
      </c>
      <c r="L170" s="710" t="n"/>
      <c r="M170" s="392" t="n"/>
    </row>
    <row r="171" ht="17.25" customHeight="1" s="436">
      <c r="A171" s="30" t="n">
        <v>43115</v>
      </c>
      <c r="B171" s="31" t="inlineStr">
        <is>
          <t>5499</t>
        </is>
      </c>
      <c r="C171" s="35" t="n"/>
      <c r="D171" s="36" t="n">
        <v>40</v>
      </c>
      <c r="E171" s="36" t="n"/>
      <c r="F171" s="37" t="n"/>
      <c r="G171" s="37" t="n">
        <v>20</v>
      </c>
      <c r="H171" s="33">
        <f>H170+F171-G171</f>
        <v/>
      </c>
      <c r="I171" s="36" t="n"/>
      <c r="J171" s="711" t="n"/>
      <c r="K171" s="722">
        <f>G171*D171</f>
        <v/>
      </c>
      <c r="L171" s="710" t="n"/>
      <c r="M171" s="392" t="n"/>
    </row>
    <row r="172" ht="17.25" customHeight="1" s="436">
      <c r="A172" s="30" t="n">
        <v>43116</v>
      </c>
      <c r="B172" s="31" t="inlineStr">
        <is>
          <t>5509</t>
        </is>
      </c>
      <c r="C172" s="35" t="n"/>
      <c r="D172" s="36" t="n">
        <v>40</v>
      </c>
      <c r="E172" s="36" t="n"/>
      <c r="F172" s="37" t="n"/>
      <c r="G172" s="37" t="n">
        <v>50</v>
      </c>
      <c r="H172" s="33">
        <f>H171+F172-G172</f>
        <v/>
      </c>
      <c r="I172" s="36" t="n"/>
      <c r="J172" s="711" t="n"/>
      <c r="K172" s="722">
        <f>G172*D172</f>
        <v/>
      </c>
      <c r="L172" s="710" t="n"/>
      <c r="M172" s="392" t="n"/>
    </row>
    <row r="173" ht="17.25" customHeight="1" s="436">
      <c r="A173" s="30" t="n">
        <v>43116</v>
      </c>
      <c r="B173" s="31" t="inlineStr">
        <is>
          <t>5510</t>
        </is>
      </c>
      <c r="C173" s="35" t="n"/>
      <c r="D173" s="36" t="n">
        <v>40</v>
      </c>
      <c r="E173" s="36" t="n"/>
      <c r="F173" s="37" t="n"/>
      <c r="G173" s="37" t="n">
        <v>10</v>
      </c>
      <c r="H173" s="33">
        <f>H172+F173-G173</f>
        <v/>
      </c>
      <c r="I173" s="36" t="n"/>
      <c r="J173" s="711" t="n"/>
      <c r="K173" s="722">
        <f>G173*D173</f>
        <v/>
      </c>
      <c r="L173" s="710" t="n"/>
      <c r="M173" s="392" t="n"/>
    </row>
    <row r="174" ht="17.25" customHeight="1" s="436">
      <c r="A174" s="30" t="n">
        <v>43116</v>
      </c>
      <c r="B174" s="31" t="inlineStr">
        <is>
          <t>5512</t>
        </is>
      </c>
      <c r="C174" s="35" t="n"/>
      <c r="D174" s="36" t="n">
        <v>40</v>
      </c>
      <c r="E174" s="36" t="n"/>
      <c r="F174" s="37" t="n"/>
      <c r="G174" s="37" t="n">
        <v>10</v>
      </c>
      <c r="H174" s="33">
        <f>H173+F174-G174</f>
        <v/>
      </c>
      <c r="I174" s="36" t="n"/>
      <c r="J174" s="711" t="n"/>
      <c r="K174" s="722">
        <f>G174*D174</f>
        <v/>
      </c>
      <c r="L174" s="710" t="n"/>
      <c r="M174" s="392" t="n"/>
    </row>
    <row r="175" ht="17.25" customHeight="1" s="436">
      <c r="A175" s="30" t="n">
        <v>43116</v>
      </c>
      <c r="B175" s="31" t="inlineStr">
        <is>
          <t>5513</t>
        </is>
      </c>
      <c r="C175" s="35" t="n"/>
      <c r="D175" s="36" t="n">
        <v>45</v>
      </c>
      <c r="E175" s="36" t="n"/>
      <c r="F175" s="37" t="n"/>
      <c r="G175" s="37" t="n">
        <v>40</v>
      </c>
      <c r="H175" s="33">
        <f>H174+F175-G175</f>
        <v/>
      </c>
      <c r="I175" s="36" t="n"/>
      <c r="J175" s="711" t="n"/>
      <c r="K175" s="722">
        <f>G175*D175</f>
        <v/>
      </c>
      <c r="L175" s="710" t="n"/>
      <c r="M175" s="392" t="n"/>
    </row>
    <row r="176" ht="17.25" customHeight="1" s="436">
      <c r="A176" s="92" t="n">
        <v>43122</v>
      </c>
      <c r="B176" s="93" t="inlineStr">
        <is>
          <t>2223</t>
        </is>
      </c>
      <c r="C176" s="96" t="n"/>
      <c r="D176" s="97" t="n">
        <v>25</v>
      </c>
      <c r="E176" s="97" t="n"/>
      <c r="F176" s="98" t="n">
        <v>440</v>
      </c>
      <c r="G176" s="98" t="n"/>
      <c r="H176" s="95">
        <f>H175+F176</f>
        <v/>
      </c>
      <c r="I176" s="36" t="n"/>
      <c r="J176" s="711" t="n"/>
      <c r="K176" s="722">
        <f>G176*D176</f>
        <v/>
      </c>
      <c r="L176" s="710" t="n"/>
      <c r="M176" s="392" t="n"/>
    </row>
    <row r="177" ht="17.25" customHeight="1" s="436">
      <c r="A177" s="30" t="n">
        <v>43123</v>
      </c>
      <c r="B177" s="31" t="inlineStr">
        <is>
          <t>5527</t>
        </is>
      </c>
      <c r="C177" s="35" t="n"/>
      <c r="D177" s="36" t="n">
        <v>42</v>
      </c>
      <c r="E177" s="36" t="n"/>
      <c r="F177" s="37" t="n"/>
      <c r="G177" s="37" t="n">
        <v>30</v>
      </c>
      <c r="H177" s="33">
        <f>H176+F177-G177</f>
        <v/>
      </c>
      <c r="I177" s="36" t="n"/>
      <c r="J177" s="711" t="n"/>
      <c r="K177" s="722">
        <f>G177*D177</f>
        <v/>
      </c>
      <c r="L177" s="710" t="n"/>
      <c r="M177" s="392" t="n"/>
    </row>
    <row r="178" ht="17.25" customHeight="1" s="436">
      <c r="A178" s="30" t="n">
        <v>43123</v>
      </c>
      <c r="B178" s="31" t="inlineStr">
        <is>
          <t>5524</t>
        </is>
      </c>
      <c r="C178" s="35" t="n"/>
      <c r="D178" s="36" t="n">
        <v>42</v>
      </c>
      <c r="E178" s="36" t="n"/>
      <c r="F178" s="37" t="n"/>
      <c r="G178" s="37" t="n">
        <v>20</v>
      </c>
      <c r="H178" s="33">
        <f>H177+F178-G178</f>
        <v/>
      </c>
      <c r="I178" s="36" t="n"/>
      <c r="J178" s="711" t="n"/>
      <c r="K178" s="722">
        <f>G178*D178</f>
        <v/>
      </c>
      <c r="L178" s="710" t="n"/>
      <c r="M178" s="392" t="n"/>
    </row>
    <row r="179" ht="17.25" customHeight="1" s="436">
      <c r="A179" s="30" t="n">
        <v>43123</v>
      </c>
      <c r="B179" s="31" t="inlineStr">
        <is>
          <t>5523</t>
        </is>
      </c>
      <c r="C179" s="35" t="n"/>
      <c r="D179" s="36" t="n">
        <v>42</v>
      </c>
      <c r="E179" s="36" t="n"/>
      <c r="F179" s="37" t="n"/>
      <c r="G179" s="37" t="n">
        <v>25</v>
      </c>
      <c r="H179" s="33">
        <f>H178+F179-G179</f>
        <v/>
      </c>
      <c r="I179" s="36" t="n"/>
      <c r="J179" s="711" t="n"/>
      <c r="K179" s="722">
        <f>G179*D179</f>
        <v/>
      </c>
      <c r="L179" s="710" t="n"/>
      <c r="M179" s="392" t="n"/>
    </row>
    <row r="180" ht="17.25" customHeight="1" s="436">
      <c r="A180" s="30" t="n">
        <v>43123</v>
      </c>
      <c r="B180" s="31" t="inlineStr">
        <is>
          <t>5529</t>
        </is>
      </c>
      <c r="C180" s="35" t="n"/>
      <c r="D180" s="36" t="n">
        <v>43</v>
      </c>
      <c r="E180" s="36" t="n"/>
      <c r="F180" s="37" t="n"/>
      <c r="G180" s="37" t="n">
        <v>30</v>
      </c>
      <c r="H180" s="33">
        <f>H179+F180-G180</f>
        <v/>
      </c>
      <c r="I180" s="36" t="n"/>
      <c r="J180" s="711" t="n"/>
      <c r="K180" s="722">
        <f>G180*D180</f>
        <v/>
      </c>
      <c r="L180" s="710" t="n"/>
      <c r="M180" s="392" t="n"/>
    </row>
    <row r="181" ht="17.25" customHeight="1" s="436">
      <c r="A181" s="30" t="n">
        <v>43123</v>
      </c>
      <c r="B181" s="31" t="inlineStr">
        <is>
          <t>5528</t>
        </is>
      </c>
      <c r="C181" s="35" t="n"/>
      <c r="D181" s="36" t="n">
        <v>43</v>
      </c>
      <c r="E181" s="36" t="n"/>
      <c r="F181" s="37" t="n"/>
      <c r="G181" s="37" t="n">
        <v>100</v>
      </c>
      <c r="H181" s="33">
        <f>H180+F181-G181</f>
        <v/>
      </c>
      <c r="I181" s="36" t="n"/>
      <c r="J181" s="711" t="n"/>
      <c r="K181" s="722">
        <f>G181*D181</f>
        <v/>
      </c>
      <c r="L181" s="710" t="n"/>
      <c r="M181" s="392" t="n"/>
    </row>
    <row r="182" ht="17.25" customHeight="1" s="436">
      <c r="A182" s="30" t="n">
        <v>43117</v>
      </c>
      <c r="B182" s="31" t="inlineStr">
        <is>
          <t>5517</t>
        </is>
      </c>
      <c r="C182" s="35" t="n"/>
      <c r="D182" s="36" t="n">
        <v>43</v>
      </c>
      <c r="E182" s="36" t="n"/>
      <c r="F182" s="37" t="n"/>
      <c r="G182" s="37" t="n">
        <v>15</v>
      </c>
      <c r="H182" s="33">
        <f>H181+F182-G182</f>
        <v/>
      </c>
      <c r="I182" s="36" t="n"/>
      <c r="J182" s="711" t="n"/>
      <c r="K182" s="722">
        <f>G182*D182</f>
        <v/>
      </c>
      <c r="L182" s="710" t="n"/>
      <c r="M182" s="392" t="n"/>
    </row>
    <row r="183" ht="17.25" customHeight="1" s="436">
      <c r="A183" s="30" t="n">
        <v>43117</v>
      </c>
      <c r="B183" s="31" t="inlineStr">
        <is>
          <t>5520</t>
        </is>
      </c>
      <c r="C183" s="35" t="n"/>
      <c r="D183" s="36" t="n">
        <v>40</v>
      </c>
      <c r="E183" s="36" t="n"/>
      <c r="F183" s="37" t="n"/>
      <c r="G183" s="37" t="n">
        <v>15</v>
      </c>
      <c r="H183" s="33">
        <f>H182+F183-G183</f>
        <v/>
      </c>
      <c r="I183" s="36" t="n"/>
      <c r="J183" s="711" t="n"/>
      <c r="K183" s="722">
        <f>G183*D183</f>
        <v/>
      </c>
      <c r="L183" s="710" t="n"/>
      <c r="M183" s="392" t="n"/>
    </row>
    <row r="184" ht="17.25" customHeight="1" s="436">
      <c r="A184" s="89" t="n">
        <v>43117</v>
      </c>
      <c r="B184" s="31" t="inlineStr">
        <is>
          <t>5522</t>
        </is>
      </c>
      <c r="C184" s="35" t="n"/>
      <c r="D184" s="36" t="n">
        <v>37</v>
      </c>
      <c r="E184" s="36" t="n"/>
      <c r="F184" s="37" t="n"/>
      <c r="G184" s="37" t="n">
        <v>30</v>
      </c>
      <c r="H184" s="33">
        <f>H183+F184-G184</f>
        <v/>
      </c>
      <c r="I184" s="36" t="n"/>
      <c r="J184" s="711" t="n"/>
      <c r="K184" s="722">
        <f>G184*D184</f>
        <v/>
      </c>
      <c r="L184" s="710" t="n"/>
      <c r="M184" s="392" t="n"/>
    </row>
    <row r="185" ht="17.25" customHeight="1" s="436">
      <c r="A185" s="89" t="n">
        <v>43124</v>
      </c>
      <c r="B185" s="31" t="inlineStr">
        <is>
          <t>5531</t>
        </is>
      </c>
      <c r="C185" s="35" t="n"/>
      <c r="D185" s="36" t="n">
        <v>40</v>
      </c>
      <c r="E185" s="36" t="n"/>
      <c r="F185" s="37" t="n"/>
      <c r="G185" s="37" t="n">
        <v>10</v>
      </c>
      <c r="H185" s="33">
        <f>H184+F185-G185</f>
        <v/>
      </c>
      <c r="I185" s="36" t="n"/>
      <c r="J185" s="711" t="n"/>
      <c r="K185" s="722">
        <f>G185*D185</f>
        <v/>
      </c>
      <c r="L185" s="710" t="n"/>
      <c r="M185" s="392" t="n"/>
    </row>
    <row r="186" ht="17.25" customHeight="1" s="436">
      <c r="A186" s="30" t="n">
        <v>43124</v>
      </c>
      <c r="B186" s="31" t="inlineStr">
        <is>
          <t>5533</t>
        </is>
      </c>
      <c r="C186" s="35" t="n"/>
      <c r="D186" s="36" t="n">
        <v>40</v>
      </c>
      <c r="E186" s="36" t="n"/>
      <c r="F186" s="37" t="n"/>
      <c r="G186" s="37" t="n">
        <v>20</v>
      </c>
      <c r="H186" s="33">
        <f>H185+F186-G186</f>
        <v/>
      </c>
      <c r="I186" s="36" t="n"/>
      <c r="J186" s="711" t="n"/>
      <c r="K186" s="722">
        <f>G186*D186</f>
        <v/>
      </c>
      <c r="L186" s="710" t="n"/>
      <c r="M186" s="392" t="n"/>
    </row>
    <row r="187" ht="17.25" customHeight="1" s="436">
      <c r="A187" s="30" t="n">
        <v>43124</v>
      </c>
      <c r="B187" s="31" t="inlineStr">
        <is>
          <t>5534</t>
        </is>
      </c>
      <c r="C187" s="35" t="n"/>
      <c r="D187" s="36" t="n">
        <v>40</v>
      </c>
      <c r="E187" s="36" t="n"/>
      <c r="F187" s="37" t="n"/>
      <c r="G187" s="37" t="n">
        <v>20</v>
      </c>
      <c r="H187" s="33">
        <f>H186+F187-G187</f>
        <v/>
      </c>
      <c r="I187" s="36" t="n"/>
      <c r="J187" s="711" t="n"/>
      <c r="K187" s="722">
        <f>G187*D187</f>
        <v/>
      </c>
      <c r="L187" s="710" t="n"/>
      <c r="M187" s="392" t="n"/>
    </row>
    <row r="188" ht="17.25" customHeight="1" s="436">
      <c r="A188" s="30" t="n">
        <v>43124</v>
      </c>
      <c r="B188" s="31" t="inlineStr">
        <is>
          <t>5535</t>
        </is>
      </c>
      <c r="C188" s="35" t="n"/>
      <c r="D188" s="36" t="n">
        <v>43</v>
      </c>
      <c r="E188" s="36" t="n"/>
      <c r="F188" s="37" t="n"/>
      <c r="G188" s="37" t="n">
        <v>30</v>
      </c>
      <c r="H188" s="33">
        <f>H187+F188-G188</f>
        <v/>
      </c>
      <c r="I188" s="36" t="n"/>
      <c r="J188" s="711" t="n"/>
      <c r="K188" s="722">
        <f>G188*D188</f>
        <v/>
      </c>
      <c r="L188" s="710" t="n"/>
      <c r="M188" s="392" t="n"/>
    </row>
    <row r="189" ht="17.25" customHeight="1" s="436">
      <c r="A189" s="30" t="n">
        <v>43124</v>
      </c>
      <c r="B189" s="31" t="inlineStr">
        <is>
          <t>5537</t>
        </is>
      </c>
      <c r="C189" s="35" t="n"/>
      <c r="D189" s="36" t="n">
        <v>40</v>
      </c>
      <c r="E189" s="36" t="n"/>
      <c r="F189" s="37" t="n"/>
      <c r="G189" s="37" t="n">
        <v>30</v>
      </c>
      <c r="H189" s="33">
        <f>H188+F189-G189</f>
        <v/>
      </c>
      <c r="I189" s="36" t="n"/>
      <c r="J189" s="711" t="n"/>
      <c r="K189" s="722">
        <f>G189*D189</f>
        <v/>
      </c>
      <c r="L189" s="710" t="n"/>
      <c r="M189" s="392" t="n"/>
    </row>
    <row r="190" ht="17.25" customHeight="1" s="436">
      <c r="A190" s="92" t="n">
        <v>43126</v>
      </c>
      <c r="B190" s="93" t="inlineStr">
        <is>
          <t>2229</t>
        </is>
      </c>
      <c r="C190" s="96" t="n"/>
      <c r="D190" s="97" t="n"/>
      <c r="E190" s="97" t="n"/>
      <c r="F190" s="98" t="n">
        <v>300</v>
      </c>
      <c r="G190" s="98" t="n"/>
      <c r="H190" s="95">
        <f>H189+F190</f>
        <v/>
      </c>
      <c r="I190" s="36" t="n"/>
      <c r="J190" s="711" t="n"/>
      <c r="K190" s="722" t="n"/>
      <c r="L190" s="710" t="n"/>
      <c r="M190" s="392" t="n"/>
    </row>
    <row r="191" ht="17.25" customHeight="1" s="436">
      <c r="A191" s="89" t="n">
        <v>43129</v>
      </c>
      <c r="B191" s="31" t="inlineStr">
        <is>
          <t>5538</t>
        </is>
      </c>
      <c r="C191" s="35" t="n"/>
      <c r="D191" s="36" t="n">
        <v>40</v>
      </c>
      <c r="E191" s="36" t="n"/>
      <c r="F191" s="37" t="n"/>
      <c r="G191" s="37" t="n">
        <v>25</v>
      </c>
      <c r="H191" s="33">
        <f>H190+F191-G191</f>
        <v/>
      </c>
      <c r="I191" s="36" t="n"/>
      <c r="J191" s="711" t="n"/>
      <c r="K191" s="722">
        <f>G191*D191</f>
        <v/>
      </c>
      <c r="L191" s="710" t="n"/>
      <c r="M191" s="392" t="n"/>
    </row>
    <row r="192" ht="17.25" customHeight="1" s="436">
      <c r="A192" s="30" t="n">
        <v>43129</v>
      </c>
      <c r="B192" s="31" t="inlineStr">
        <is>
          <t>5539</t>
        </is>
      </c>
      <c r="C192" s="35" t="n"/>
      <c r="D192" s="36" t="n">
        <v>40</v>
      </c>
      <c r="E192" s="36" t="n"/>
      <c r="F192" s="37" t="n"/>
      <c r="G192" s="37" t="n">
        <v>10</v>
      </c>
      <c r="H192" s="33">
        <f>H191+F192-G192</f>
        <v/>
      </c>
      <c r="I192" s="36" t="n"/>
      <c r="J192" s="711" t="n"/>
      <c r="K192" s="722">
        <f>G192*D192</f>
        <v/>
      </c>
      <c r="L192" s="710" t="n"/>
      <c r="M192" s="392" t="n"/>
    </row>
    <row r="193" ht="17.25" customHeight="1" s="436">
      <c r="A193" s="30" t="n">
        <v>43129</v>
      </c>
      <c r="B193" s="31" t="inlineStr">
        <is>
          <t>5541</t>
        </is>
      </c>
      <c r="C193" s="35" t="n"/>
      <c r="D193" s="36" t="n">
        <v>40</v>
      </c>
      <c r="E193" s="36" t="n"/>
      <c r="F193" s="37" t="n"/>
      <c r="G193" s="37" t="n">
        <v>20</v>
      </c>
      <c r="H193" s="33">
        <f>H192+F193-G193</f>
        <v/>
      </c>
      <c r="I193" s="36" t="n"/>
      <c r="J193" s="711" t="n"/>
      <c r="K193" s="722">
        <f>G193*D193</f>
        <v/>
      </c>
      <c r="L193" s="710" t="n"/>
      <c r="M193" s="392" t="n"/>
    </row>
    <row r="194" ht="17.25" customHeight="1" s="436">
      <c r="A194" s="30" t="n">
        <v>43129</v>
      </c>
      <c r="B194" s="31" t="inlineStr">
        <is>
          <t>5542</t>
        </is>
      </c>
      <c r="C194" s="35" t="n"/>
      <c r="D194" s="36" t="n">
        <v>42</v>
      </c>
      <c r="E194" s="36" t="n"/>
      <c r="F194" s="37" t="n"/>
      <c r="G194" s="37" t="n">
        <v>60</v>
      </c>
      <c r="H194" s="33">
        <f>H193+F194-G194</f>
        <v/>
      </c>
      <c r="I194" s="36" t="n"/>
      <c r="J194" s="711" t="n"/>
      <c r="K194" s="722">
        <f>G194*D194</f>
        <v/>
      </c>
      <c r="L194" s="710" t="n"/>
      <c r="M194" s="392" t="n"/>
    </row>
    <row r="195" ht="17.25" customHeight="1" s="436">
      <c r="A195" s="30" t="n">
        <v>43129</v>
      </c>
      <c r="B195" s="31" t="inlineStr">
        <is>
          <t>5543</t>
        </is>
      </c>
      <c r="C195" s="35" t="n"/>
      <c r="D195" s="36" t="n">
        <v>40</v>
      </c>
      <c r="E195" s="36" t="n"/>
      <c r="F195" s="37" t="n"/>
      <c r="G195" s="37" t="n">
        <v>50</v>
      </c>
      <c r="H195" s="33">
        <f>H194+F195-G195</f>
        <v/>
      </c>
      <c r="I195" s="36" t="n"/>
      <c r="J195" s="711" t="n"/>
      <c r="K195" s="722">
        <f>G195*D195</f>
        <v/>
      </c>
      <c r="L195" s="710" t="n"/>
      <c r="M195" s="392" t="n"/>
    </row>
    <row r="196" ht="17.25" customHeight="1" s="436">
      <c r="A196" s="30" t="n">
        <v>43131</v>
      </c>
      <c r="B196" s="31" t="inlineStr">
        <is>
          <t>5544</t>
        </is>
      </c>
      <c r="C196" s="35" t="n"/>
      <c r="D196" s="36" t="n">
        <v>42</v>
      </c>
      <c r="E196" s="36" t="n"/>
      <c r="F196" s="37" t="n"/>
      <c r="G196" s="37" t="n">
        <v>20</v>
      </c>
      <c r="H196" s="33">
        <f>H195+F196-G196</f>
        <v/>
      </c>
      <c r="I196" s="36" t="n"/>
      <c r="J196" s="711" t="n"/>
      <c r="K196" s="722">
        <f>G196*D196</f>
        <v/>
      </c>
      <c r="L196" s="710" t="n"/>
      <c r="M196" s="392" t="n"/>
    </row>
    <row r="197" ht="17.25" customHeight="1" s="436">
      <c r="A197" s="30" t="n">
        <v>43131</v>
      </c>
      <c r="B197" s="31" t="inlineStr">
        <is>
          <t>5545</t>
        </is>
      </c>
      <c r="C197" s="35" t="n"/>
      <c r="D197" s="36" t="n">
        <v>42</v>
      </c>
      <c r="E197" s="36" t="n"/>
      <c r="F197" s="37" t="n"/>
      <c r="G197" s="37" t="n">
        <v>15</v>
      </c>
      <c r="H197" s="33">
        <f>H196+F197-G197</f>
        <v/>
      </c>
      <c r="I197" s="36" t="n"/>
      <c r="J197" s="711" t="n"/>
      <c r="K197" s="722">
        <f>G197*D197</f>
        <v/>
      </c>
      <c r="L197" s="710" t="n"/>
      <c r="M197" s="392" t="n"/>
    </row>
    <row r="198" ht="17.25" customHeight="1" s="436">
      <c r="A198" s="30" t="n">
        <v>43131</v>
      </c>
      <c r="B198" s="31" t="inlineStr">
        <is>
          <t>5546</t>
        </is>
      </c>
      <c r="C198" s="35" t="n"/>
      <c r="D198" s="36" t="n">
        <v>42</v>
      </c>
      <c r="E198" s="36" t="n"/>
      <c r="F198" s="37" t="n"/>
      <c r="G198" s="37" t="n">
        <v>15</v>
      </c>
      <c r="H198" s="33">
        <f>H197+F198-G198</f>
        <v/>
      </c>
      <c r="I198" s="36" t="n"/>
      <c r="J198" s="711" t="n"/>
      <c r="K198" s="722">
        <f>G198*D198</f>
        <v/>
      </c>
      <c r="L198" s="710" t="n"/>
      <c r="M198" s="392" t="n"/>
    </row>
    <row r="199" ht="17.25" customHeight="1" s="436">
      <c r="A199" s="30" t="n">
        <v>43131</v>
      </c>
      <c r="B199" s="31" t="inlineStr">
        <is>
          <t>5548</t>
        </is>
      </c>
      <c r="C199" s="35" t="n"/>
      <c r="D199" s="36" t="n">
        <v>43</v>
      </c>
      <c r="E199" s="36" t="n"/>
      <c r="F199" s="37" t="n"/>
      <c r="G199" s="37" t="n">
        <v>10</v>
      </c>
      <c r="H199" s="33">
        <f>H198+F199-G199</f>
        <v/>
      </c>
      <c r="I199" s="36" t="n"/>
      <c r="J199" s="711" t="n"/>
      <c r="K199" s="722">
        <f>G199*D199</f>
        <v/>
      </c>
      <c r="L199" s="710" t="n"/>
      <c r="M199" s="392" t="n"/>
    </row>
    <row r="200" ht="17.25" customHeight="1" s="436">
      <c r="A200" s="92" t="n">
        <v>43131</v>
      </c>
      <c r="B200" s="93" t="inlineStr">
        <is>
          <t>5551</t>
        </is>
      </c>
      <c r="C200" s="96" t="n"/>
      <c r="D200" s="97" t="n">
        <v>45</v>
      </c>
      <c r="E200" s="97" t="n"/>
      <c r="F200" s="98" t="n"/>
      <c r="G200" s="98" t="n">
        <v>20</v>
      </c>
      <c r="H200" s="95">
        <f>H199+F200-G200</f>
        <v/>
      </c>
      <c r="I200" s="36" t="n"/>
      <c r="J200" s="711" t="n"/>
      <c r="K200" s="722">
        <f>G200*D200</f>
        <v/>
      </c>
      <c r="L200" s="710" t="n"/>
      <c r="M200" s="392" t="n"/>
    </row>
    <row r="201" ht="17.25" customHeight="1" s="436">
      <c r="A201" s="92" t="n"/>
      <c r="B201" s="93" t="n"/>
      <c r="C201" s="96" t="n"/>
      <c r="D201" s="97" t="n"/>
      <c r="E201" s="97" t="n"/>
      <c r="F201" s="98" t="n"/>
      <c r="G201" s="98" t="n"/>
      <c r="H201" s="95">
        <f>H200+F201-G201</f>
        <v/>
      </c>
      <c r="I201" s="36" t="n"/>
      <c r="J201" s="711" t="n"/>
      <c r="K201" s="722" t="n"/>
      <c r="L201" s="710" t="n"/>
      <c r="M201" s="392" t="n"/>
    </row>
    <row r="202" ht="17.25" customHeight="1" s="436">
      <c r="A202" s="30" t="n">
        <v>43136</v>
      </c>
      <c r="B202" s="31" t="inlineStr">
        <is>
          <t>5556</t>
        </is>
      </c>
      <c r="C202" s="35" t="n"/>
      <c r="D202" s="36" t="n">
        <v>35</v>
      </c>
      <c r="E202" s="36" t="n"/>
      <c r="F202" s="37" t="n"/>
      <c r="G202" s="37" t="n">
        <v>30</v>
      </c>
      <c r="H202" s="33">
        <f>H201+F202-G202</f>
        <v/>
      </c>
      <c r="I202" s="36" t="n"/>
      <c r="J202" s="711" t="n"/>
      <c r="K202" s="722" t="n"/>
      <c r="L202" s="710" t="n"/>
      <c r="M202" s="392" t="n"/>
    </row>
    <row r="203" ht="17.25" customHeight="1" s="436">
      <c r="A203" s="30" t="n">
        <v>43136</v>
      </c>
      <c r="B203" s="31" t="inlineStr">
        <is>
          <t>5557</t>
        </is>
      </c>
      <c r="C203" s="35" t="n"/>
      <c r="D203" s="36" t="n">
        <v>35</v>
      </c>
      <c r="E203" s="36" t="n"/>
      <c r="F203" s="37" t="n"/>
      <c r="G203" s="37" t="n">
        <v>20</v>
      </c>
      <c r="H203" s="33">
        <f>H202+F203-G203</f>
        <v/>
      </c>
      <c r="I203" s="36" t="n"/>
      <c r="J203" s="711" t="n"/>
      <c r="K203" s="722" t="n"/>
      <c r="L203" s="710" t="n"/>
      <c r="M203" s="392" t="n"/>
    </row>
    <row r="204">
      <c r="A204" s="30" t="n">
        <v>43136</v>
      </c>
      <c r="B204" s="31" t="inlineStr">
        <is>
          <t>5559</t>
        </is>
      </c>
      <c r="C204" s="35" t="n"/>
      <c r="D204" s="36" t="n">
        <v>42</v>
      </c>
      <c r="E204" s="36" t="n"/>
      <c r="F204" s="37" t="n"/>
      <c r="G204" s="37" t="n">
        <v>25</v>
      </c>
      <c r="H204" s="33">
        <f>H203+F204-G204</f>
        <v/>
      </c>
      <c r="I204" s="36" t="n"/>
      <c r="J204" s="711" t="n"/>
      <c r="K204" s="709" t="n"/>
      <c r="L204" s="710" t="n"/>
      <c r="M204" s="392" t="n"/>
    </row>
    <row r="205">
      <c r="A205" s="30" t="n">
        <v>43136</v>
      </c>
      <c r="B205" s="31" t="inlineStr">
        <is>
          <t>5562</t>
        </is>
      </c>
      <c r="C205" s="35" t="n"/>
      <c r="D205" s="36" t="n">
        <v>35</v>
      </c>
      <c r="E205" s="36" t="n"/>
      <c r="F205" s="37" t="n"/>
      <c r="G205" s="37" t="n">
        <v>20</v>
      </c>
      <c r="H205" s="33">
        <f>H204+F205-G205</f>
        <v/>
      </c>
      <c r="I205" s="36" t="n"/>
      <c r="J205" s="711" t="n"/>
      <c r="K205" s="709" t="n"/>
      <c r="L205" s="710" t="n"/>
      <c r="M205" s="392" t="n"/>
    </row>
    <row r="206">
      <c r="A206" s="30" t="n">
        <v>43137</v>
      </c>
      <c r="B206" s="31" t="inlineStr">
        <is>
          <t>5565</t>
        </is>
      </c>
      <c r="C206" s="35" t="n"/>
      <c r="D206" s="36" t="n">
        <v>45</v>
      </c>
      <c r="E206" s="36" t="n"/>
      <c r="F206" s="37" t="n"/>
      <c r="G206" s="37" t="n">
        <v>30</v>
      </c>
      <c r="H206" s="33">
        <f>H205+F206-G206</f>
        <v/>
      </c>
      <c r="I206" s="36" t="n"/>
      <c r="J206" s="711" t="n"/>
      <c r="K206" s="709" t="n"/>
      <c r="L206" s="710" t="n"/>
      <c r="M206" s="392" t="n"/>
    </row>
    <row r="207">
      <c r="A207" s="92" t="n">
        <v>43137</v>
      </c>
      <c r="B207" s="93" t="inlineStr">
        <is>
          <t>2234</t>
        </is>
      </c>
      <c r="C207" s="96" t="n"/>
      <c r="D207" s="97" t="n">
        <v>29</v>
      </c>
      <c r="E207" s="97" t="n"/>
      <c r="F207" s="98" t="n">
        <v>200</v>
      </c>
      <c r="G207" s="98" t="n"/>
      <c r="H207" s="95">
        <f>H206+F207-G207</f>
        <v/>
      </c>
      <c r="I207" s="97" t="n"/>
      <c r="J207" s="711" t="n"/>
      <c r="K207" s="709" t="n"/>
      <c r="L207" s="710" t="n"/>
      <c r="M207" s="392" t="n"/>
    </row>
    <row r="208">
      <c r="A208" s="92" t="n">
        <v>43143</v>
      </c>
      <c r="B208" s="93" t="inlineStr">
        <is>
          <t>2240</t>
        </is>
      </c>
      <c r="C208" s="96" t="n"/>
      <c r="D208" s="97" t="n">
        <v>25</v>
      </c>
      <c r="E208" s="97" t="n"/>
      <c r="F208" s="98" t="n">
        <v>250</v>
      </c>
      <c r="G208" s="98" t="n"/>
      <c r="H208" s="95">
        <f>H207+F208-G208</f>
        <v/>
      </c>
      <c r="I208" s="36" t="n"/>
      <c r="J208" s="711" t="n"/>
      <c r="K208" s="709" t="n"/>
      <c r="L208" s="710" t="n"/>
      <c r="M208" s="392" t="n"/>
    </row>
    <row r="209">
      <c r="A209" s="30" t="n">
        <v>43144</v>
      </c>
      <c r="B209" s="31" t="inlineStr">
        <is>
          <t>5572</t>
        </is>
      </c>
      <c r="C209" s="35" t="n"/>
      <c r="D209" s="36" t="n">
        <v>35</v>
      </c>
      <c r="E209" s="36" t="n"/>
      <c r="F209" s="37" t="n"/>
      <c r="G209" s="37" t="n">
        <v>15</v>
      </c>
      <c r="H209" s="33">
        <f>H208+F209-G209</f>
        <v/>
      </c>
      <c r="I209" s="36" t="n"/>
      <c r="J209" s="711" t="n"/>
      <c r="K209" s="709" t="n"/>
      <c r="L209" s="710" t="n"/>
      <c r="M209" s="392" t="n"/>
    </row>
    <row r="210">
      <c r="A210" s="30" t="n">
        <v>43144</v>
      </c>
      <c r="B210" s="31" t="inlineStr">
        <is>
          <t>5573</t>
        </is>
      </c>
      <c r="C210" s="35" t="n"/>
      <c r="D210" s="36" t="n">
        <v>35</v>
      </c>
      <c r="E210" s="36" t="n"/>
      <c r="F210" s="37" t="n"/>
      <c r="G210" s="37" t="n">
        <v>20</v>
      </c>
      <c r="H210" s="33">
        <f>H209+F210-G210</f>
        <v/>
      </c>
      <c r="I210" s="36" t="n"/>
      <c r="J210" s="711" t="n"/>
      <c r="K210" s="709" t="n"/>
      <c r="L210" s="710" t="n"/>
      <c r="M210" s="392" t="n"/>
    </row>
    <row r="211">
      <c r="A211" s="30" t="n">
        <v>43144</v>
      </c>
      <c r="B211" s="31" t="inlineStr">
        <is>
          <t>5574</t>
        </is>
      </c>
      <c r="C211" s="35" t="n"/>
      <c r="D211" s="36" t="n">
        <v>43</v>
      </c>
      <c r="E211" s="36" t="n"/>
      <c r="F211" s="37" t="n"/>
      <c r="G211" s="37" t="n">
        <v>50</v>
      </c>
      <c r="H211" s="33">
        <f>H210+F211-G211</f>
        <v/>
      </c>
      <c r="I211" s="36" t="n"/>
      <c r="J211" s="711" t="n"/>
      <c r="K211" s="711" t="n"/>
      <c r="L211" s="710" t="n"/>
      <c r="M211" s="392" t="n"/>
    </row>
    <row r="212">
      <c r="A212" s="30" t="n">
        <v>43145</v>
      </c>
      <c r="B212" s="31" t="inlineStr">
        <is>
          <t>5579</t>
        </is>
      </c>
      <c r="C212" s="35" t="n"/>
      <c r="D212" s="36" t="n">
        <v>40</v>
      </c>
      <c r="E212" s="36" t="n"/>
      <c r="F212" s="37" t="n"/>
      <c r="G212" s="37" t="n">
        <v>30</v>
      </c>
      <c r="H212" s="33">
        <f>H211+F212-G212</f>
        <v/>
      </c>
      <c r="I212" s="36" t="n"/>
      <c r="J212" s="711" t="n"/>
      <c r="K212" s="711" t="n"/>
      <c r="L212" s="710" t="n"/>
      <c r="M212" s="392" t="n"/>
    </row>
    <row r="213">
      <c r="A213" s="92" t="n">
        <v>43146</v>
      </c>
      <c r="B213" s="93" t="inlineStr">
        <is>
          <t>31449</t>
        </is>
      </c>
      <c r="C213" s="96" t="n"/>
      <c r="D213" s="97" t="n">
        <v>34</v>
      </c>
      <c r="E213" s="97" t="n"/>
      <c r="F213" s="98" t="n">
        <v>560</v>
      </c>
      <c r="G213" s="98" t="n"/>
      <c r="H213" s="95">
        <f>H212+F213</f>
        <v/>
      </c>
      <c r="I213" s="36" t="n"/>
      <c r="J213" s="711" t="n"/>
      <c r="K213" s="711" t="n"/>
      <c r="L213" s="710" t="n"/>
      <c r="M213" s="392" t="n"/>
    </row>
    <row r="214">
      <c r="A214" s="30" t="n">
        <v>43150</v>
      </c>
      <c r="B214" s="31" t="inlineStr">
        <is>
          <t>5584</t>
        </is>
      </c>
      <c r="C214" s="35" t="n"/>
      <c r="D214" s="36" t="n">
        <v>35</v>
      </c>
      <c r="E214" s="36" t="n"/>
      <c r="F214" s="37" t="n"/>
      <c r="G214" s="37" t="n">
        <v>10</v>
      </c>
      <c r="H214" s="33">
        <f>H213+F214-G214</f>
        <v/>
      </c>
      <c r="I214" s="36" t="n"/>
      <c r="J214" s="711" t="n"/>
      <c r="K214" s="711" t="n"/>
      <c r="L214" s="710" t="n"/>
      <c r="M214" s="392" t="n"/>
    </row>
    <row r="215">
      <c r="A215" s="30" t="n">
        <v>43150</v>
      </c>
      <c r="B215" s="31" t="inlineStr">
        <is>
          <t>5586</t>
        </is>
      </c>
      <c r="C215" s="35" t="n"/>
      <c r="D215" s="36" t="n">
        <v>35</v>
      </c>
      <c r="E215" s="36" t="n"/>
      <c r="F215" s="37" t="n"/>
      <c r="G215" s="37" t="n">
        <v>15</v>
      </c>
      <c r="H215" s="33">
        <f>H214+F215-G215</f>
        <v/>
      </c>
      <c r="I215" s="36" t="n"/>
      <c r="J215" s="711" t="n"/>
      <c r="K215" s="711" t="n"/>
      <c r="L215" s="710" t="n"/>
      <c r="M215" s="392" t="n"/>
    </row>
    <row r="216">
      <c r="A216" s="30" t="n">
        <v>43150</v>
      </c>
      <c r="B216" s="31" t="inlineStr">
        <is>
          <t>5587</t>
        </is>
      </c>
      <c r="C216" s="35" t="n"/>
      <c r="D216" s="36" t="n">
        <v>42</v>
      </c>
      <c r="E216" s="36" t="n"/>
      <c r="F216" s="37" t="n"/>
      <c r="G216" s="37" t="n">
        <v>10</v>
      </c>
      <c r="H216" s="33">
        <f>H215+F216-G216</f>
        <v/>
      </c>
      <c r="I216" s="36" t="n"/>
      <c r="J216" s="711" t="n"/>
      <c r="K216" s="711" t="n"/>
      <c r="L216" s="710" t="n"/>
      <c r="M216" s="392" t="n"/>
    </row>
    <row r="217">
      <c r="A217" s="30" t="n">
        <v>43150</v>
      </c>
      <c r="B217" s="31" t="inlineStr">
        <is>
          <t>5588</t>
        </is>
      </c>
      <c r="C217" s="35" t="n"/>
      <c r="D217" s="36" t="n">
        <v>42</v>
      </c>
      <c r="E217" s="36" t="n"/>
      <c r="F217" s="37" t="n"/>
      <c r="G217" s="37" t="n">
        <v>25</v>
      </c>
      <c r="H217" s="33">
        <f>H216+F217-G217</f>
        <v/>
      </c>
      <c r="I217" s="36" t="n"/>
      <c r="J217" s="711" t="n"/>
      <c r="K217" s="711" t="n"/>
      <c r="L217" s="710" t="n"/>
      <c r="M217" s="392" t="n"/>
    </row>
    <row r="218">
      <c r="A218" s="30" t="n">
        <v>43150</v>
      </c>
      <c r="B218" s="31" t="inlineStr">
        <is>
          <t>5590</t>
        </is>
      </c>
      <c r="C218" s="35" t="n"/>
      <c r="D218" s="36" t="n">
        <v>40</v>
      </c>
      <c r="E218" s="36" t="n"/>
      <c r="F218" s="37" t="n"/>
      <c r="G218" s="37" t="n">
        <v>20</v>
      </c>
      <c r="H218" s="33">
        <f>H217+F218-G218</f>
        <v/>
      </c>
      <c r="I218" s="36" t="n"/>
      <c r="J218" s="711" t="n"/>
      <c r="K218" s="711" t="n"/>
      <c r="L218" s="710" t="n"/>
      <c r="M218" s="392" t="n"/>
    </row>
    <row r="219">
      <c r="A219" s="30" t="n">
        <v>43152</v>
      </c>
      <c r="B219" s="31" t="inlineStr">
        <is>
          <t>5592</t>
        </is>
      </c>
      <c r="C219" s="35" t="n"/>
      <c r="D219" s="36" t="n">
        <v>35</v>
      </c>
      <c r="E219" s="36" t="n"/>
      <c r="F219" s="37" t="n"/>
      <c r="G219" s="37" t="n">
        <v>40</v>
      </c>
      <c r="H219" s="33">
        <f>H218+F219-G219</f>
        <v/>
      </c>
      <c r="I219" s="36" t="n"/>
      <c r="J219" s="711" t="n"/>
      <c r="K219" s="711" t="n"/>
      <c r="L219" s="710" t="n"/>
      <c r="M219" s="392" t="n"/>
    </row>
    <row r="220">
      <c r="A220" s="30" t="n">
        <v>43152</v>
      </c>
      <c r="B220" s="31" t="inlineStr">
        <is>
          <t>5593</t>
        </is>
      </c>
      <c r="C220" s="35" t="n"/>
      <c r="D220" s="36" t="n">
        <v>43</v>
      </c>
      <c r="E220" s="36" t="n"/>
      <c r="F220" s="37" t="n"/>
      <c r="G220" s="37" t="n">
        <v>100</v>
      </c>
      <c r="H220" s="33">
        <f>H219+F220-G220</f>
        <v/>
      </c>
      <c r="I220" s="36" t="n"/>
      <c r="J220" s="711" t="n"/>
      <c r="K220" s="711" t="n"/>
      <c r="L220" s="710" t="n"/>
      <c r="M220" s="392" t="n"/>
    </row>
    <row r="221">
      <c r="A221" s="30" t="n">
        <v>43152</v>
      </c>
      <c r="B221" s="31" t="inlineStr">
        <is>
          <t>5594</t>
        </is>
      </c>
      <c r="C221" s="35" t="n"/>
      <c r="D221" s="36" t="n">
        <v>35</v>
      </c>
      <c r="E221" s="36" t="n"/>
      <c r="F221" s="37" t="n"/>
      <c r="G221" s="37" t="n">
        <v>60</v>
      </c>
      <c r="H221" s="33">
        <f>H220+F221-G221</f>
        <v/>
      </c>
      <c r="I221" s="36" t="n"/>
      <c r="J221" s="711" t="n"/>
      <c r="K221" s="711" t="n"/>
      <c r="L221" s="710" t="n"/>
      <c r="M221" s="392" t="n"/>
    </row>
    <row r="222">
      <c r="A222" s="30" t="n">
        <v>43157</v>
      </c>
      <c r="B222" s="31" t="inlineStr">
        <is>
          <t>5595</t>
        </is>
      </c>
      <c r="C222" s="35" t="n"/>
      <c r="D222" s="36" t="n">
        <v>35</v>
      </c>
      <c r="E222" s="36" t="n"/>
      <c r="F222" s="37" t="n"/>
      <c r="G222" s="37" t="n">
        <v>30</v>
      </c>
      <c r="H222" s="33">
        <f>H221+F222-G222</f>
        <v/>
      </c>
      <c r="I222" s="36" t="n"/>
      <c r="J222" s="711" t="n"/>
      <c r="K222" s="711" t="n"/>
      <c r="L222" s="710" t="n"/>
      <c r="M222" s="392" t="n"/>
    </row>
    <row r="223">
      <c r="A223" s="30" t="n">
        <v>43157</v>
      </c>
      <c r="B223" s="31" t="inlineStr">
        <is>
          <t>5597</t>
        </is>
      </c>
      <c r="C223" s="35" t="n"/>
      <c r="D223" s="36" t="n">
        <v>35</v>
      </c>
      <c r="E223" s="36" t="n"/>
      <c r="F223" s="37" t="n"/>
      <c r="G223" s="37" t="n">
        <v>20</v>
      </c>
      <c r="H223" s="33">
        <f>H222+F223-G223</f>
        <v/>
      </c>
      <c r="I223" s="36" t="n"/>
      <c r="J223" s="711" t="n"/>
      <c r="K223" s="711" t="n"/>
      <c r="L223" s="710" t="n"/>
      <c r="M223" s="392" t="n"/>
    </row>
    <row r="224">
      <c r="A224" s="30" t="n">
        <v>43157</v>
      </c>
      <c r="B224" s="31" t="inlineStr">
        <is>
          <t>5598</t>
        </is>
      </c>
      <c r="C224" s="35" t="n"/>
      <c r="D224" s="36" t="n">
        <v>40</v>
      </c>
      <c r="E224" s="36" t="n"/>
      <c r="F224" s="37" t="n"/>
      <c r="G224" s="37" t="n">
        <v>20</v>
      </c>
      <c r="H224" s="33">
        <f>H223+F224-G224</f>
        <v/>
      </c>
      <c r="I224" s="36" t="n"/>
      <c r="J224" s="711" t="n"/>
      <c r="K224" s="711" t="n"/>
      <c r="L224" s="710" t="n"/>
      <c r="M224" s="392" t="n"/>
    </row>
    <row r="225">
      <c r="A225" s="30" t="n">
        <v>43157</v>
      </c>
      <c r="B225" s="31" t="inlineStr">
        <is>
          <t>5599</t>
        </is>
      </c>
      <c r="C225" s="35" t="n"/>
      <c r="D225" s="36" t="n">
        <v>45</v>
      </c>
      <c r="E225" s="36" t="n"/>
      <c r="F225" s="37" t="n"/>
      <c r="G225" s="37" t="n">
        <v>40</v>
      </c>
      <c r="H225" s="33">
        <f>H224+F225-G225</f>
        <v/>
      </c>
      <c r="I225" s="36" t="n"/>
      <c r="J225" s="711" t="n"/>
      <c r="K225" s="711" t="n"/>
      <c r="L225" s="710" t="n"/>
      <c r="M225" s="392" t="n"/>
    </row>
    <row r="226">
      <c r="A226" s="30" t="n">
        <v>43157</v>
      </c>
      <c r="B226" s="31" t="inlineStr">
        <is>
          <t>5600</t>
        </is>
      </c>
      <c r="C226" s="35" t="n"/>
      <c r="D226" s="36" t="n">
        <v>42</v>
      </c>
      <c r="E226" s="36" t="n"/>
      <c r="F226" s="37" t="n"/>
      <c r="G226" s="37" t="n">
        <v>15</v>
      </c>
      <c r="H226" s="33">
        <f>H225+F226-G226</f>
        <v/>
      </c>
      <c r="I226" s="36" t="n"/>
      <c r="J226" s="711" t="n"/>
      <c r="K226" s="711" t="n"/>
      <c r="L226" s="710" t="n"/>
      <c r="M226" s="392" t="n"/>
    </row>
    <row r="227">
      <c r="A227" s="30" t="n">
        <v>43157</v>
      </c>
      <c r="B227" s="31" t="inlineStr">
        <is>
          <t>5601</t>
        </is>
      </c>
      <c r="C227" s="35" t="n"/>
      <c r="D227" s="36" t="n">
        <v>40</v>
      </c>
      <c r="E227" s="36" t="n"/>
      <c r="F227" s="37" t="n"/>
      <c r="G227" s="37" t="n">
        <v>60</v>
      </c>
      <c r="H227" s="33">
        <f>H226+F227-G227</f>
        <v/>
      </c>
      <c r="I227" s="36" t="n"/>
      <c r="J227" s="711" t="n"/>
      <c r="K227" s="711" t="n"/>
      <c r="L227" s="710" t="n"/>
      <c r="M227" s="392" t="n"/>
    </row>
    <row r="228">
      <c r="A228" s="30" t="n">
        <v>43159</v>
      </c>
      <c r="B228" s="31" t="inlineStr">
        <is>
          <t>5606</t>
        </is>
      </c>
      <c r="C228" s="35" t="n"/>
      <c r="D228" s="36" t="n">
        <v>35</v>
      </c>
      <c r="E228" s="36" t="n"/>
      <c r="F228" s="37" t="n"/>
      <c r="G228" s="37" t="n">
        <v>20</v>
      </c>
      <c r="H228" s="33">
        <f>H227+F228-G228</f>
        <v/>
      </c>
      <c r="I228" s="36" t="n"/>
      <c r="J228" s="711" t="n"/>
      <c r="K228" s="711" t="n"/>
      <c r="L228" s="710" t="n"/>
      <c r="M228" s="392" t="n"/>
    </row>
    <row r="229">
      <c r="A229" s="30" t="n">
        <v>43159</v>
      </c>
      <c r="B229" s="31" t="inlineStr">
        <is>
          <t>5607</t>
        </is>
      </c>
      <c r="C229" s="35" t="n"/>
      <c r="D229" s="36" t="n">
        <v>43</v>
      </c>
      <c r="E229" s="36" t="n"/>
      <c r="F229" s="37" t="n"/>
      <c r="G229" s="37" t="n">
        <v>25</v>
      </c>
      <c r="H229" s="33">
        <f>H228+F229-G229</f>
        <v/>
      </c>
      <c r="I229" s="36" t="n"/>
      <c r="J229" s="711" t="n"/>
      <c r="K229" s="711" t="n"/>
      <c r="L229" s="710" t="n"/>
      <c r="M229" s="392" t="n"/>
    </row>
    <row r="230">
      <c r="A230" s="30" t="n">
        <v>43158</v>
      </c>
      <c r="B230" s="31" t="inlineStr">
        <is>
          <t>5602</t>
        </is>
      </c>
      <c r="C230" s="35" t="n"/>
      <c r="D230" s="36" t="n">
        <v>43</v>
      </c>
      <c r="E230" s="36" t="n"/>
      <c r="F230" s="37" t="n"/>
      <c r="G230" s="37" t="n">
        <v>40</v>
      </c>
      <c r="H230" s="33">
        <f>H229+F230-G230</f>
        <v/>
      </c>
      <c r="I230" s="36" t="n"/>
      <c r="J230" s="711" t="n"/>
      <c r="K230" s="711" t="n"/>
      <c r="L230" s="710" t="n"/>
      <c r="M230" s="392" t="n"/>
    </row>
    <row r="231">
      <c r="A231" s="92" t="n">
        <v>43157</v>
      </c>
      <c r="B231" s="93" t="inlineStr">
        <is>
          <t>2249</t>
        </is>
      </c>
      <c r="C231" s="96" t="n"/>
      <c r="D231" s="97" t="n">
        <v>25</v>
      </c>
      <c r="E231" s="97" t="n"/>
      <c r="F231" s="98" t="n">
        <v>100</v>
      </c>
      <c r="G231" s="98" t="n"/>
      <c r="H231" s="95">
        <f>H230+F231-G231</f>
        <v/>
      </c>
      <c r="I231" s="36" t="n"/>
      <c r="J231" s="711" t="n"/>
      <c r="K231" s="711" t="n"/>
      <c r="L231" s="710" t="n"/>
      <c r="M231" s="392" t="n"/>
    </row>
    <row r="232">
      <c r="A232" s="92" t="n">
        <v>43157</v>
      </c>
      <c r="B232" s="93" t="inlineStr">
        <is>
          <t>2249</t>
        </is>
      </c>
      <c r="C232" s="96" t="n"/>
      <c r="D232" s="97" t="n">
        <v>23.1</v>
      </c>
      <c r="E232" s="97" t="n"/>
      <c r="F232" s="98" t="n">
        <v>100</v>
      </c>
      <c r="G232" s="98" t="n"/>
      <c r="H232" s="95">
        <f>H231+F232-G232</f>
        <v/>
      </c>
      <c r="I232" s="42" t="n"/>
      <c r="J232" s="712" t="n"/>
      <c r="K232" s="712" t="n"/>
      <c r="L232" s="713" t="n"/>
      <c r="M232" s="392" t="n"/>
    </row>
    <row r="233">
      <c r="A233" s="104" t="n"/>
      <c r="B233" s="105" t="n"/>
      <c r="C233" s="106" t="n"/>
      <c r="D233" s="107" t="n"/>
      <c r="E233" s="108" t="n"/>
      <c r="F233" s="43" t="n"/>
      <c r="G233" s="43" t="n"/>
      <c r="H233" s="33" t="n"/>
      <c r="I233" s="42" t="n"/>
      <c r="J233" s="712" t="n"/>
      <c r="K233" s="712" t="n"/>
      <c r="L233" s="713" t="n"/>
      <c r="M233" s="392" t="n"/>
    </row>
    <row r="234" ht="15.75" customHeight="1" s="436">
      <c r="A234" s="714" t="inlineStr">
        <is>
          <t>TOTAL DO MÊS DE DEZEMBRO / 2017</t>
        </is>
      </c>
      <c r="B234" s="715" t="n"/>
      <c r="C234" s="715" t="n"/>
      <c r="D234" s="715" t="n"/>
      <c r="E234" s="716" t="n"/>
      <c r="F234" s="45">
        <f>SUM(F158:F232)+H157</f>
        <v/>
      </c>
      <c r="G234" s="45">
        <f>SUM(G158:G232)</f>
        <v/>
      </c>
      <c r="H234" s="33" t="n"/>
      <c r="I234" s="88" t="n"/>
      <c r="J234" s="717">
        <f>SUM(J158:J232)</f>
        <v/>
      </c>
      <c r="K234" s="717">
        <f>SUM(K158:K232)</f>
        <v/>
      </c>
      <c r="L234" s="718">
        <f>SUM(L158:L232)</f>
        <v/>
      </c>
      <c r="M234" s="392" t="n"/>
    </row>
    <row r="235" ht="15.75" customHeight="1" s="436">
      <c r="A235" s="68" t="n"/>
      <c r="B235" s="723" t="n"/>
      <c r="C235" s="715" t="n"/>
      <c r="D235" s="715" t="n"/>
      <c r="E235" s="715" t="n"/>
      <c r="F235" s="715" t="n"/>
      <c r="G235" s="715" t="n"/>
      <c r="H235" s="715" t="n"/>
      <c r="I235" s="715" t="n"/>
      <c r="J235" s="715" t="n"/>
      <c r="K235" s="715" t="n"/>
      <c r="L235" s="724" t="n"/>
    </row>
    <row r="236" ht="15.75" customHeight="1" s="436" thickBot="1">
      <c r="A236" s="725" t="inlineStr">
        <is>
          <t xml:space="preserve">O  PREÇO MÉDIO DO DIA = SALDO ATUAL DO DIA DIVIDIDO PELO SALDO ANTERIOR DO DIA </t>
        </is>
      </c>
      <c r="B236" s="719" t="n"/>
      <c r="C236" s="719" t="n"/>
      <c r="D236" s="719" t="n"/>
      <c r="E236" s="719" t="n"/>
      <c r="F236" s="719" t="n"/>
      <c r="G236" s="719" t="n"/>
      <c r="H236" s="719" t="n"/>
      <c r="I236" s="719" t="n"/>
      <c r="J236" s="719" t="n"/>
      <c r="K236" s="719" t="n"/>
      <c r="L236" s="726" t="n"/>
    </row>
    <row r="237"/>
    <row r="238"/>
    <row r="239"/>
    <row r="240"/>
    <row r="241"/>
    <row r="242"/>
    <row r="243"/>
    <row r="244"/>
    <row r="245"/>
    <row r="246"/>
    <row r="247"/>
    <row r="248" ht="15.75" customHeight="1" s="436" thickBot="1"/>
    <row r="249" ht="27" customHeight="1" s="436" thickBot="1">
      <c r="A249" s="720" t="inlineStr">
        <is>
          <t xml:space="preserve"> FARINHA DE TRIGO TIPO: 1 - 25 KG</t>
        </is>
      </c>
      <c r="B249" s="697" t="n"/>
      <c r="C249" s="697" t="n"/>
      <c r="D249" s="697" t="n"/>
      <c r="E249" s="697" t="n"/>
      <c r="F249" s="697" t="n"/>
      <c r="G249" s="697" t="n"/>
      <c r="H249" s="697" t="n"/>
      <c r="I249" s="697" t="n"/>
      <c r="J249" s="697" t="n"/>
      <c r="K249" s="697" t="n"/>
      <c r="L249" s="697" t="n"/>
      <c r="M249" s="698" t="n"/>
    </row>
    <row r="250">
      <c r="A250" s="643" t="inlineStr">
        <is>
          <t>DATA</t>
        </is>
      </c>
      <c r="B250" s="633" t="inlineStr">
        <is>
          <t>N.F.</t>
        </is>
      </c>
      <c r="C250" s="633" t="inlineStr">
        <is>
          <t>TIPO</t>
        </is>
      </c>
      <c r="D250" s="633" t="inlineStr">
        <is>
          <t>PREÇO UNITÁRIO</t>
        </is>
      </c>
      <c r="E250" s="701" t="n"/>
      <c r="F250" s="633" t="inlineStr">
        <is>
          <t>QUANTIDADE / KG</t>
        </is>
      </c>
      <c r="H250" s="701" t="n"/>
      <c r="I250" s="632" t="inlineStr">
        <is>
          <t>PREÇO</t>
        </is>
      </c>
      <c r="J250" s="632" t="inlineStr">
        <is>
          <t>VALORES</t>
        </is>
      </c>
      <c r="L250" s="701" t="n"/>
      <c r="M250" s="649" t="n"/>
    </row>
    <row r="251" ht="15.75" customHeight="1" s="436" thickBot="1">
      <c r="A251" s="703" t="n"/>
      <c r="B251" s="704" t="n"/>
      <c r="C251" s="704" t="n"/>
      <c r="D251" s="703" t="n"/>
      <c r="E251" s="701" t="n"/>
      <c r="F251" s="705" t="n"/>
      <c r="G251" s="706" t="n"/>
      <c r="H251" s="707" t="n"/>
      <c r="I251" s="704" t="n"/>
      <c r="J251" s="703" t="n"/>
      <c r="L251" s="701" t="n"/>
      <c r="M251" s="704" t="n"/>
    </row>
    <row r="252" ht="15.75" customHeight="1" s="436" thickBot="1">
      <c r="A252" s="703" t="n"/>
      <c r="B252" s="704" t="n"/>
      <c r="C252" s="704" t="n"/>
      <c r="D252" s="705" t="n"/>
      <c r="E252" s="707" t="n"/>
      <c r="F252" s="3" t="inlineStr">
        <is>
          <t>ENTRADA</t>
        </is>
      </c>
      <c r="G252" s="3" t="inlineStr">
        <is>
          <t>SAÍDA</t>
        </is>
      </c>
      <c r="H252" s="640" t="inlineStr">
        <is>
          <t>SALDO EM 30/12/2018</t>
        </is>
      </c>
      <c r="I252" s="633" t="inlineStr">
        <is>
          <t>MÉDIO</t>
        </is>
      </c>
      <c r="J252" s="652" t="inlineStr">
        <is>
          <t>SALDO EM 30/11/2017</t>
        </is>
      </c>
      <c r="K252" s="706" t="n"/>
      <c r="L252" s="17" t="n"/>
      <c r="M252" s="704" t="n"/>
    </row>
    <row r="253" ht="18" customHeight="1" s="436" thickBot="1">
      <c r="A253" s="705" t="n"/>
      <c r="B253" s="695" t="n"/>
      <c r="C253" s="695" t="n"/>
      <c r="D253" s="3" t="inlineStr">
        <is>
          <t>C/ICMS</t>
        </is>
      </c>
      <c r="E253" s="3" t="inlineStr">
        <is>
          <t>S/ICMS</t>
        </is>
      </c>
      <c r="F253" s="695" t="n"/>
      <c r="G253" s="695" t="n"/>
      <c r="H253" s="84" t="n"/>
      <c r="I253" s="695" t="n"/>
      <c r="J253" s="645" t="inlineStr">
        <is>
          <t>ENTRADA</t>
        </is>
      </c>
      <c r="K253" s="633" t="inlineStr">
        <is>
          <t>SAÍDA / CMV</t>
        </is>
      </c>
      <c r="L253" s="643" t="inlineStr">
        <is>
          <t>SALDO</t>
        </is>
      </c>
      <c r="M253" s="392" t="n"/>
    </row>
    <row r="254" ht="17.25" customHeight="1" s="436">
      <c r="A254" s="30" t="n"/>
      <c r="B254" s="31" t="n"/>
      <c r="C254" s="35" t="n"/>
      <c r="D254" s="36" t="n"/>
      <c r="E254" s="36" t="n"/>
      <c r="F254" s="37" t="n"/>
      <c r="G254" s="37" t="n">
        <v>0</v>
      </c>
      <c r="H254" s="37" t="n"/>
      <c r="I254" s="36" t="n"/>
      <c r="J254" s="711">
        <f>F254*I254</f>
        <v/>
      </c>
      <c r="K254" s="721" t="n">
        <v>0</v>
      </c>
      <c r="L254" s="710">
        <f>J254-K254</f>
        <v/>
      </c>
      <c r="M254" s="392" t="n"/>
    </row>
    <row r="255" ht="17.25" customHeight="1" s="436">
      <c r="A255" s="92" t="n">
        <v>43160</v>
      </c>
      <c r="B255" s="93" t="n"/>
      <c r="C255" s="93" t="n"/>
      <c r="D255" s="94" t="n"/>
      <c r="E255" s="94" t="n"/>
      <c r="F255" s="95" t="n"/>
      <c r="G255" s="95" t="n"/>
      <c r="H255" s="95" t="n">
        <v>1195</v>
      </c>
      <c r="I255" s="32" t="n"/>
      <c r="J255" s="711" t="n"/>
      <c r="K255" s="722" t="n"/>
      <c r="L255" s="710" t="n"/>
      <c r="M255" s="392" t="n"/>
    </row>
    <row r="256" ht="17.25" customHeight="1" s="436">
      <c r="A256" s="30" t="n">
        <v>43160</v>
      </c>
      <c r="B256" s="31" t="inlineStr">
        <is>
          <t>5609</t>
        </is>
      </c>
      <c r="C256" s="31" t="n"/>
      <c r="D256" s="32" t="n">
        <v>47</v>
      </c>
      <c r="E256" s="32" t="n"/>
      <c r="F256" s="33" t="n"/>
      <c r="G256" s="33" t="n">
        <v>30</v>
      </c>
      <c r="H256" s="33">
        <f>H255-G256</f>
        <v/>
      </c>
      <c r="I256" s="32" t="n"/>
      <c r="J256" s="711">
        <f>F256*I256</f>
        <v/>
      </c>
      <c r="K256" s="722">
        <f>G256*D256</f>
        <v/>
      </c>
      <c r="L256" s="710">
        <f>J256-K256</f>
        <v/>
      </c>
      <c r="M256" s="392" t="n"/>
    </row>
    <row r="257" ht="17.25" customHeight="1" s="436">
      <c r="A257" s="30" t="n">
        <v>43162</v>
      </c>
      <c r="B257" s="85" t="n">
        <v>5610</v>
      </c>
      <c r="C257" s="35" t="n"/>
      <c r="D257" s="36" t="n">
        <v>40</v>
      </c>
      <c r="E257" s="36" t="n"/>
      <c r="F257" s="37" t="n"/>
      <c r="G257" s="37" t="n">
        <v>100</v>
      </c>
      <c r="H257" s="33">
        <f>H256-G257</f>
        <v/>
      </c>
      <c r="I257" s="99" t="n"/>
      <c r="J257" s="711" t="n"/>
      <c r="K257" s="722">
        <f>G257*D257</f>
        <v/>
      </c>
      <c r="L257" s="710" t="n"/>
      <c r="M257" s="392" t="n"/>
    </row>
    <row r="258" ht="17.25" customHeight="1" s="436">
      <c r="A258" s="30" t="n">
        <v>43165</v>
      </c>
      <c r="B258" s="31" t="inlineStr">
        <is>
          <t>5612</t>
        </is>
      </c>
      <c r="C258" s="35" t="n"/>
      <c r="D258" s="36" t="n">
        <v>42</v>
      </c>
      <c r="E258" s="36" t="n"/>
      <c r="F258" s="37" t="n"/>
      <c r="G258" s="37" t="n">
        <v>30</v>
      </c>
      <c r="H258" s="33">
        <f>H257-G258</f>
        <v/>
      </c>
      <c r="I258" s="36" t="n"/>
      <c r="J258" s="711" t="n"/>
      <c r="K258" s="722">
        <f>G258*D258</f>
        <v/>
      </c>
      <c r="L258" s="710" t="n"/>
      <c r="M258" s="392" t="n"/>
    </row>
    <row r="259" ht="17.25" customHeight="1" s="436">
      <c r="A259" s="30" t="n">
        <v>43165</v>
      </c>
      <c r="B259" s="31" t="inlineStr">
        <is>
          <t>5613</t>
        </is>
      </c>
      <c r="C259" s="35" t="n"/>
      <c r="D259" s="36" t="n">
        <v>40</v>
      </c>
      <c r="E259" s="36" t="n"/>
      <c r="F259" s="37" t="n"/>
      <c r="G259" s="37" t="n">
        <v>30</v>
      </c>
      <c r="H259" s="33">
        <f>H258-G259</f>
        <v/>
      </c>
      <c r="I259" s="36" t="n"/>
      <c r="J259" s="711" t="n"/>
      <c r="K259" s="722">
        <f>G259*D259</f>
        <v/>
      </c>
      <c r="L259" s="710" t="n"/>
      <c r="M259" s="392" t="n"/>
    </row>
    <row r="260" ht="17.25" customHeight="1" s="436">
      <c r="A260" s="30" t="n">
        <v>5619</v>
      </c>
      <c r="B260" s="31" t="inlineStr">
        <is>
          <t>5619</t>
        </is>
      </c>
      <c r="C260" s="35" t="n"/>
      <c r="D260" s="36" t="n">
        <v>47</v>
      </c>
      <c r="E260" s="36" t="n"/>
      <c r="F260" s="37" t="n"/>
      <c r="G260" s="37" t="n">
        <v>10</v>
      </c>
      <c r="H260" s="33">
        <f>H259-G260</f>
        <v/>
      </c>
      <c r="I260" s="36" t="n"/>
      <c r="J260" s="711" t="n"/>
      <c r="K260" s="722">
        <f>G260*D260</f>
        <v/>
      </c>
      <c r="L260" s="710" t="n"/>
      <c r="M260" s="392" t="n"/>
    </row>
    <row r="261" ht="17.25" customHeight="1" s="436">
      <c r="A261" s="92" t="n">
        <v>43164</v>
      </c>
      <c r="B261" s="93" t="inlineStr">
        <is>
          <t>2257</t>
        </is>
      </c>
      <c r="C261" s="96" t="n"/>
      <c r="D261" s="97" t="n">
        <v>25</v>
      </c>
      <c r="E261" s="97" t="n"/>
      <c r="F261" s="98" t="n">
        <v>300</v>
      </c>
      <c r="G261" s="98" t="n"/>
      <c r="H261" s="95" t="n">
        <v>1295</v>
      </c>
      <c r="I261" s="36" t="n"/>
      <c r="J261" s="711" t="n"/>
      <c r="K261" s="722">
        <f>G261*D261</f>
        <v/>
      </c>
      <c r="L261" s="710" t="n"/>
      <c r="M261" s="392" t="n"/>
    </row>
    <row r="262" ht="17.25" customHeight="1" s="436">
      <c r="A262" s="30" t="n">
        <v>43172</v>
      </c>
      <c r="B262" s="31" t="inlineStr">
        <is>
          <t>5624</t>
        </is>
      </c>
      <c r="C262" s="35" t="n"/>
      <c r="D262" s="36" t="n">
        <v>43</v>
      </c>
      <c r="E262" s="36" t="n"/>
      <c r="F262" s="37" t="n"/>
      <c r="G262" s="37" t="n">
        <v>40</v>
      </c>
      <c r="H262" s="33">
        <f>H261-G262</f>
        <v/>
      </c>
      <c r="I262" s="36" t="n"/>
      <c r="J262" s="711" t="n"/>
      <c r="K262" s="722">
        <f>G262*D262</f>
        <v/>
      </c>
      <c r="L262" s="710" t="n"/>
      <c r="M262" s="392" t="n"/>
    </row>
    <row r="263" ht="17.25" customHeight="1" s="436">
      <c r="A263" s="30" t="n">
        <v>43172</v>
      </c>
      <c r="B263" s="31" t="inlineStr">
        <is>
          <t>5625</t>
        </is>
      </c>
      <c r="C263" s="35" t="n"/>
      <c r="D263" s="36" t="n">
        <v>45</v>
      </c>
      <c r="E263" s="36" t="n"/>
      <c r="F263" s="37" t="n"/>
      <c r="G263" s="37" t="n">
        <v>30</v>
      </c>
      <c r="H263" s="33">
        <f>H262-G263</f>
        <v/>
      </c>
      <c r="I263" s="36" t="n"/>
      <c r="J263" s="711" t="n"/>
      <c r="K263" s="722">
        <f>G263*D263</f>
        <v/>
      </c>
      <c r="L263" s="710" t="n"/>
      <c r="M263" s="392" t="n"/>
    </row>
    <row r="264" ht="17.25" customHeight="1" s="436">
      <c r="A264" s="30" t="n">
        <v>43172</v>
      </c>
      <c r="B264" s="31" t="inlineStr">
        <is>
          <t>5626</t>
        </is>
      </c>
      <c r="C264" s="35" t="n"/>
      <c r="D264" s="36" t="n">
        <v>44</v>
      </c>
      <c r="E264" s="36" t="n"/>
      <c r="F264" s="37" t="n"/>
      <c r="G264" s="37" t="n">
        <v>30</v>
      </c>
      <c r="H264" s="33">
        <f>H263-G264</f>
        <v/>
      </c>
      <c r="I264" s="36" t="n"/>
      <c r="J264" s="711" t="n"/>
      <c r="K264" s="722">
        <f>G264*D264</f>
        <v/>
      </c>
      <c r="L264" s="710" t="n"/>
      <c r="M264" s="392" t="n"/>
    </row>
    <row r="265" ht="17.25" customHeight="1" s="436">
      <c r="A265" s="30" t="n">
        <v>43172</v>
      </c>
      <c r="B265" s="31" t="inlineStr">
        <is>
          <t>5627</t>
        </is>
      </c>
      <c r="C265" s="35" t="n"/>
      <c r="D265" s="36" t="n">
        <v>43</v>
      </c>
      <c r="E265" s="36" t="n"/>
      <c r="F265" s="37" t="n"/>
      <c r="G265" s="37" t="n">
        <v>50</v>
      </c>
      <c r="H265" s="33">
        <f>H264-G265</f>
        <v/>
      </c>
      <c r="I265" s="36" t="n"/>
      <c r="J265" s="711" t="n"/>
      <c r="K265" s="722">
        <f>G265*D265</f>
        <v/>
      </c>
      <c r="L265" s="710" t="n"/>
      <c r="M265" s="392" t="n"/>
    </row>
    <row r="266" ht="17.25" customHeight="1" s="436">
      <c r="A266" s="30" t="n">
        <v>43174</v>
      </c>
      <c r="B266" s="31" t="inlineStr">
        <is>
          <t>5636</t>
        </is>
      </c>
      <c r="C266" s="35" t="n"/>
      <c r="D266" s="36" t="n">
        <v>35</v>
      </c>
      <c r="E266" s="36" t="n"/>
      <c r="F266" s="37" t="n"/>
      <c r="G266" s="37" t="n">
        <v>30</v>
      </c>
      <c r="H266" s="33">
        <f>H265-G266</f>
        <v/>
      </c>
      <c r="I266" s="36" t="n"/>
      <c r="J266" s="711" t="n"/>
      <c r="K266" s="722">
        <f>G266*D266</f>
        <v/>
      </c>
      <c r="L266" s="710" t="n"/>
      <c r="M266" s="392" t="n"/>
    </row>
    <row r="267" ht="17.25" customHeight="1" s="436">
      <c r="A267" s="30" t="n">
        <v>43176</v>
      </c>
      <c r="B267" s="31" t="inlineStr">
        <is>
          <t>5639</t>
        </is>
      </c>
      <c r="C267" s="35" t="n"/>
      <c r="D267" s="36" t="n">
        <v>44</v>
      </c>
      <c r="E267" s="36" t="n"/>
      <c r="F267" s="37" t="n"/>
      <c r="G267" s="37" t="n">
        <v>20</v>
      </c>
      <c r="H267" s="33">
        <f>H266-G267</f>
        <v/>
      </c>
      <c r="I267" s="36" t="n"/>
      <c r="J267" s="711" t="n"/>
      <c r="K267" s="722">
        <f>G267*D267</f>
        <v/>
      </c>
      <c r="L267" s="710" t="n"/>
      <c r="M267" s="392" t="n"/>
    </row>
    <row r="268" ht="17.25" customHeight="1" s="436">
      <c r="A268" s="30" t="n">
        <v>43176</v>
      </c>
      <c r="B268" s="31" t="inlineStr">
        <is>
          <t>5640</t>
        </is>
      </c>
      <c r="C268" s="35" t="n"/>
      <c r="D268" s="36" t="n">
        <v>35</v>
      </c>
      <c r="E268" s="36" t="n"/>
      <c r="F268" s="37" t="n"/>
      <c r="G268" s="37" t="n">
        <v>20</v>
      </c>
      <c r="H268" s="33">
        <f>H267-G268</f>
        <v/>
      </c>
      <c r="I268" s="36" t="n"/>
      <c r="J268" s="711" t="n"/>
      <c r="K268" s="722">
        <f>G268*D268</f>
        <v/>
      </c>
      <c r="L268" s="710" t="n"/>
      <c r="M268" s="392" t="n"/>
    </row>
    <row r="269" ht="17.25" customHeight="1" s="436">
      <c r="A269" s="30" t="n">
        <v>43180</v>
      </c>
      <c r="B269" s="31" t="inlineStr">
        <is>
          <t>5643</t>
        </is>
      </c>
      <c r="C269" s="35" t="n"/>
      <c r="D269" s="36" t="n">
        <v>35</v>
      </c>
      <c r="E269" s="36" t="n"/>
      <c r="F269" s="37" t="n"/>
      <c r="G269" s="37" t="n">
        <v>20</v>
      </c>
      <c r="H269" s="33">
        <f>H268-G269</f>
        <v/>
      </c>
      <c r="I269" s="36" t="n"/>
      <c r="J269" s="711" t="n"/>
      <c r="K269" s="722">
        <f>G269*D269</f>
        <v/>
      </c>
      <c r="L269" s="710" t="n"/>
      <c r="M269" s="392" t="n"/>
    </row>
    <row r="270" ht="17.25" customHeight="1" s="436">
      <c r="A270" s="30" t="n">
        <v>43185</v>
      </c>
      <c r="B270" s="31" t="inlineStr">
        <is>
          <t>5648</t>
        </is>
      </c>
      <c r="C270" s="35" t="n"/>
      <c r="D270" s="36" t="n">
        <v>43</v>
      </c>
      <c r="E270" s="36" t="n"/>
      <c r="F270" s="37" t="n"/>
      <c r="G270" s="37" t="n">
        <v>40</v>
      </c>
      <c r="H270" s="33">
        <f>H269-G270</f>
        <v/>
      </c>
      <c r="I270" s="36" t="n"/>
      <c r="J270" s="711" t="n"/>
      <c r="K270" s="722">
        <f>G270*D270</f>
        <v/>
      </c>
      <c r="L270" s="710" t="n"/>
      <c r="M270" s="392" t="n"/>
    </row>
    <row r="271" ht="17.25" customHeight="1" s="436">
      <c r="A271" s="30" t="n">
        <v>43185</v>
      </c>
      <c r="B271" s="31" t="inlineStr">
        <is>
          <t>5649</t>
        </is>
      </c>
      <c r="C271" s="35" t="n"/>
      <c r="D271" s="36" t="n">
        <v>43.67</v>
      </c>
      <c r="E271" s="36" t="n"/>
      <c r="F271" s="37" t="n"/>
      <c r="G271" s="37" t="n">
        <v>30</v>
      </c>
      <c r="H271" s="33">
        <f>H270-G271</f>
        <v/>
      </c>
      <c r="I271" s="36" t="n"/>
      <c r="J271" s="711" t="n"/>
      <c r="K271" s="722">
        <f>G271*D271</f>
        <v/>
      </c>
      <c r="L271" s="710" t="n"/>
      <c r="M271" s="392" t="n"/>
    </row>
    <row r="272" ht="17.25" customHeight="1" s="436">
      <c r="A272" s="30" t="n">
        <v>43186</v>
      </c>
      <c r="B272" s="31" t="inlineStr">
        <is>
          <t>5658</t>
        </is>
      </c>
      <c r="C272" s="35" t="n"/>
      <c r="D272" s="36" t="n">
        <v>43</v>
      </c>
      <c r="E272" s="36" t="n"/>
      <c r="F272" s="37" t="n"/>
      <c r="G272" s="37" t="n">
        <v>30</v>
      </c>
      <c r="H272" s="33">
        <f>H271-G272</f>
        <v/>
      </c>
      <c r="I272" s="36" t="n"/>
      <c r="J272" s="711" t="n"/>
      <c r="K272" s="722">
        <f>G272*D272</f>
        <v/>
      </c>
      <c r="L272" s="710" t="n"/>
      <c r="M272" s="392" t="n"/>
    </row>
    <row r="273" ht="17.25" customHeight="1" s="436">
      <c r="A273" s="92" t="n">
        <v>43171</v>
      </c>
      <c r="B273" s="93" t="inlineStr">
        <is>
          <t>2264</t>
        </is>
      </c>
      <c r="C273" s="96" t="n"/>
      <c r="D273" s="97" t="n">
        <v>23.1</v>
      </c>
      <c r="E273" s="97" t="n"/>
      <c r="F273" s="98" t="n">
        <v>300</v>
      </c>
      <c r="G273" s="98" t="n"/>
      <c r="H273" s="95" t="n">
        <v>1255</v>
      </c>
      <c r="I273" s="36" t="n"/>
      <c r="J273" s="711" t="n"/>
      <c r="K273" s="722" t="n"/>
      <c r="L273" s="710" t="n"/>
      <c r="M273" s="392" t="n"/>
    </row>
    <row r="274" ht="17.25" customHeight="1" s="436">
      <c r="A274" s="92" t="n">
        <v>43181</v>
      </c>
      <c r="B274" s="93" t="inlineStr">
        <is>
          <t>2272</t>
        </is>
      </c>
      <c r="C274" s="96" t="n"/>
      <c r="D274" s="97" t="n">
        <v>26</v>
      </c>
      <c r="E274" s="97" t="n"/>
      <c r="F274" s="98" t="n">
        <v>500</v>
      </c>
      <c r="G274" s="98" t="n"/>
      <c r="H274" s="95" t="n">
        <v>1755</v>
      </c>
      <c r="I274" s="36" t="n"/>
      <c r="J274" s="711" t="n"/>
      <c r="K274" s="722" t="n"/>
      <c r="L274" s="710" t="n"/>
      <c r="M274" s="392" t="n"/>
    </row>
    <row r="275" ht="17.25" customHeight="1" s="436">
      <c r="A275" s="92" t="n">
        <v>43181</v>
      </c>
      <c r="B275" s="93" t="inlineStr">
        <is>
          <t>2272</t>
        </is>
      </c>
      <c r="C275" s="96" t="n"/>
      <c r="D275" s="97" t="n">
        <v>27.3</v>
      </c>
      <c r="E275" s="97" t="n"/>
      <c r="F275" s="98" t="n">
        <v>100</v>
      </c>
      <c r="G275" s="98" t="n"/>
      <c r="H275" s="95" t="n">
        <v>1855</v>
      </c>
      <c r="I275" s="36" t="n"/>
      <c r="J275" s="711" t="n"/>
      <c r="K275" s="722" t="n"/>
      <c r="L275" s="710" t="n"/>
      <c r="M275" s="392" t="n"/>
    </row>
    <row r="276" ht="17.25" customHeight="1" s="436">
      <c r="A276" s="92" t="n"/>
      <c r="B276" s="93" t="n"/>
      <c r="C276" s="96" t="n"/>
      <c r="D276" s="97" t="n"/>
      <c r="E276" s="97" t="n"/>
      <c r="F276" s="98" t="n"/>
      <c r="G276" s="98" t="n"/>
      <c r="H276" s="33" t="n">
        <v>1855</v>
      </c>
      <c r="I276" s="36" t="n"/>
      <c r="J276" s="711" t="n"/>
      <c r="K276" s="722" t="n"/>
      <c r="L276" s="710" t="n"/>
      <c r="M276" s="392" t="n"/>
    </row>
    <row r="277" ht="17.25" customHeight="1" s="436">
      <c r="A277" s="92" t="n"/>
      <c r="B277" s="93" t="n"/>
      <c r="C277" s="96" t="n"/>
      <c r="D277" s="97" t="n"/>
      <c r="E277" s="97" t="n"/>
      <c r="F277" s="98" t="n"/>
      <c r="G277" s="98" t="n"/>
      <c r="H277" s="33" t="n">
        <v>1855</v>
      </c>
      <c r="I277" s="36" t="n"/>
      <c r="J277" s="711" t="n"/>
      <c r="K277" s="722" t="n"/>
      <c r="L277" s="710" t="n"/>
      <c r="M277" s="392" t="n"/>
    </row>
    <row r="278" ht="17.25" customHeight="1" s="436">
      <c r="A278" s="92" t="n"/>
      <c r="B278" s="93" t="n"/>
      <c r="C278" s="96" t="n"/>
      <c r="D278" s="97" t="n"/>
      <c r="E278" s="97" t="n"/>
      <c r="F278" s="98" t="n"/>
      <c r="G278" s="98" t="n"/>
      <c r="H278" s="33" t="n">
        <v>1855</v>
      </c>
      <c r="I278" s="36" t="n"/>
      <c r="J278" s="711" t="n"/>
      <c r="K278" s="722" t="n"/>
      <c r="L278" s="710" t="n"/>
      <c r="M278" s="392" t="n"/>
    </row>
    <row r="279" ht="17.25" customHeight="1" s="436">
      <c r="A279" s="92" t="n"/>
      <c r="B279" s="93" t="n"/>
      <c r="C279" s="96" t="n"/>
      <c r="D279" s="97" t="n"/>
      <c r="E279" s="97" t="n"/>
      <c r="F279" s="98" t="n"/>
      <c r="G279" s="98" t="n"/>
      <c r="H279" s="33" t="n">
        <v>1855</v>
      </c>
      <c r="I279" s="36" t="n"/>
      <c r="J279" s="711" t="n"/>
      <c r="K279" s="722" t="n"/>
      <c r="L279" s="710" t="n"/>
      <c r="M279" s="392" t="n"/>
    </row>
    <row r="280" ht="17.25" customHeight="1" s="436">
      <c r="A280" s="92" t="n"/>
      <c r="B280" s="93" t="n"/>
      <c r="C280" s="96" t="n"/>
      <c r="D280" s="97" t="n"/>
      <c r="E280" s="97" t="n"/>
      <c r="F280" s="98" t="n"/>
      <c r="G280" s="98" t="n"/>
      <c r="H280" s="33" t="n">
        <v>1855</v>
      </c>
      <c r="I280" s="36" t="n"/>
      <c r="J280" s="711" t="n"/>
      <c r="K280" s="722" t="n"/>
      <c r="L280" s="710" t="n"/>
      <c r="M280" s="392" t="n"/>
    </row>
    <row r="281" ht="17.25" customHeight="1" s="436">
      <c r="A281" s="92" t="n"/>
      <c r="B281" s="93" t="n"/>
      <c r="C281" s="96" t="n"/>
      <c r="D281" s="97" t="n"/>
      <c r="E281" s="97" t="n"/>
      <c r="F281" s="98" t="n"/>
      <c r="G281" s="98" t="n"/>
      <c r="H281" s="33" t="n">
        <v>1855</v>
      </c>
      <c r="I281" s="36" t="n"/>
      <c r="J281" s="711" t="n"/>
      <c r="K281" s="722" t="n"/>
      <c r="L281" s="710" t="n"/>
      <c r="M281" s="392" t="n"/>
    </row>
    <row r="282" ht="17.25" customHeight="1" s="436">
      <c r="A282" s="30" t="n"/>
      <c r="B282" s="31" t="n"/>
      <c r="C282" s="35" t="n"/>
      <c r="D282" s="36" t="n"/>
      <c r="E282" s="36" t="n"/>
      <c r="F282" s="37" t="n"/>
      <c r="G282" s="37" t="n"/>
      <c r="H282" s="33" t="n">
        <v>1855</v>
      </c>
      <c r="I282" s="36" t="n"/>
      <c r="J282" s="711" t="n"/>
      <c r="K282" s="722" t="n"/>
      <c r="L282" s="710" t="n"/>
      <c r="M282" s="392" t="n"/>
    </row>
    <row r="283" ht="17.25" customHeight="1" s="436">
      <c r="A283" s="30" t="n"/>
      <c r="B283" s="31" t="n"/>
      <c r="C283" s="35" t="n"/>
      <c r="D283" s="36" t="n"/>
      <c r="E283" s="36" t="n"/>
      <c r="F283" s="37" t="n"/>
      <c r="G283" s="37" t="n"/>
      <c r="H283" s="33" t="n">
        <v>1855</v>
      </c>
      <c r="I283" s="36" t="n"/>
      <c r="J283" s="711" t="n"/>
      <c r="K283" s="722" t="n"/>
      <c r="L283" s="710" t="n"/>
      <c r="M283" s="392" t="n"/>
    </row>
    <row r="284" ht="17.25" customHeight="1" s="436">
      <c r="A284" s="30" t="n"/>
      <c r="B284" s="31" t="n"/>
      <c r="C284" s="35" t="n"/>
      <c r="D284" s="36" t="n"/>
      <c r="E284" s="36" t="n"/>
      <c r="F284" s="37" t="n"/>
      <c r="G284" s="37" t="n"/>
      <c r="H284" s="33" t="n">
        <v>1855</v>
      </c>
      <c r="I284" s="36" t="n"/>
      <c r="J284" s="711" t="n"/>
      <c r="K284" s="722" t="n"/>
      <c r="L284" s="710" t="n"/>
      <c r="M284" s="392" t="n"/>
    </row>
    <row r="285" ht="17.25" customHeight="1" s="436">
      <c r="A285" s="30" t="n"/>
      <c r="B285" s="31" t="n"/>
      <c r="C285" s="35" t="n"/>
      <c r="D285" s="36" t="n"/>
      <c r="E285" s="36" t="n"/>
      <c r="F285" s="37" t="n"/>
      <c r="G285" s="37" t="n"/>
      <c r="H285" s="33" t="n">
        <v>1855</v>
      </c>
      <c r="I285" s="36" t="n"/>
      <c r="J285" s="711" t="n"/>
      <c r="K285" s="722" t="n"/>
      <c r="L285" s="710" t="n"/>
      <c r="M285" s="392" t="n"/>
    </row>
    <row r="286" ht="17.25" customHeight="1" s="436">
      <c r="A286" s="30" t="n"/>
      <c r="B286" s="31" t="n"/>
      <c r="C286" s="35" t="n"/>
      <c r="D286" s="36" t="n"/>
      <c r="E286" s="36" t="n"/>
      <c r="F286" s="37" t="n"/>
      <c r="G286" s="37" t="n"/>
      <c r="H286" s="33" t="n">
        <v>1855</v>
      </c>
      <c r="I286" s="36" t="n"/>
      <c r="J286" s="711" t="n"/>
      <c r="K286" s="722">
        <f>G286*D286</f>
        <v/>
      </c>
      <c r="L286" s="710" t="n"/>
      <c r="M286" s="392" t="n"/>
    </row>
    <row r="287">
      <c r="H287" s="124" t="n"/>
    </row>
    <row r="288"/>
    <row r="289"/>
    <row r="290"/>
    <row r="291"/>
    <row r="292" ht="15.75" customHeight="1" s="436" thickBot="1"/>
    <row r="293" ht="27" customHeight="1" s="436" thickBot="1">
      <c r="A293" s="720" t="inlineStr">
        <is>
          <t xml:space="preserve"> FARINHA DE TRIGO TIPO: 1 - 25 KG</t>
        </is>
      </c>
      <c r="B293" s="697" t="n"/>
      <c r="C293" s="697" t="n"/>
      <c r="D293" s="697" t="n"/>
      <c r="E293" s="697" t="n"/>
      <c r="F293" s="697" t="n"/>
      <c r="G293" s="697" t="n"/>
      <c r="H293" s="697" t="n"/>
      <c r="I293" s="697" t="n"/>
      <c r="J293" s="697" t="n"/>
      <c r="K293" s="697" t="n"/>
      <c r="L293" s="697" t="n"/>
      <c r="M293" s="698" t="n"/>
    </row>
    <row r="294">
      <c r="A294" s="643" t="inlineStr">
        <is>
          <t>DATA</t>
        </is>
      </c>
      <c r="B294" s="633" t="inlineStr">
        <is>
          <t>N.F.</t>
        </is>
      </c>
      <c r="C294" s="633" t="inlineStr">
        <is>
          <t>TIPO</t>
        </is>
      </c>
      <c r="D294" s="633" t="inlineStr">
        <is>
          <t>PREÇO UNITÁRIO</t>
        </is>
      </c>
      <c r="E294" s="701" t="n"/>
      <c r="F294" s="633" t="inlineStr">
        <is>
          <t>QUANTIDADE / KG</t>
        </is>
      </c>
      <c r="H294" s="701" t="n"/>
      <c r="I294" s="632" t="inlineStr">
        <is>
          <t>PREÇO</t>
        </is>
      </c>
      <c r="J294" s="632" t="inlineStr">
        <is>
          <t>VALORES</t>
        </is>
      </c>
      <c r="L294" s="701" t="n"/>
      <c r="M294" s="649" t="n"/>
    </row>
    <row r="295" ht="15.75" customHeight="1" s="436" thickBot="1">
      <c r="A295" s="703" t="n"/>
      <c r="B295" s="704" t="n"/>
      <c r="C295" s="704" t="n"/>
      <c r="D295" s="703" t="n"/>
      <c r="E295" s="701" t="n"/>
      <c r="F295" s="705" t="n"/>
      <c r="G295" s="706" t="n"/>
      <c r="H295" s="707" t="n"/>
      <c r="I295" s="704" t="n"/>
      <c r="J295" s="703" t="n"/>
      <c r="L295" s="701" t="n"/>
      <c r="M295" s="704" t="n"/>
    </row>
    <row r="296" ht="15.75" customHeight="1" s="436" thickBot="1">
      <c r="A296" s="703" t="n"/>
      <c r="B296" s="704" t="n"/>
      <c r="C296" s="704" t="n"/>
      <c r="D296" s="705" t="n"/>
      <c r="E296" s="707" t="n"/>
      <c r="F296" s="3" t="inlineStr">
        <is>
          <t>ENTRADA</t>
        </is>
      </c>
      <c r="G296" s="3" t="inlineStr">
        <is>
          <t>SAÍDA</t>
        </is>
      </c>
      <c r="H296" s="640" t="inlineStr">
        <is>
          <t>Saldo em 31/03/2018</t>
        </is>
      </c>
      <c r="I296" s="633" t="inlineStr">
        <is>
          <t>MÉDIO</t>
        </is>
      </c>
      <c r="J296" s="652" t="inlineStr">
        <is>
          <t>SALDO EM 30/11/2017</t>
        </is>
      </c>
      <c r="K296" s="706" t="n"/>
      <c r="L296" s="17" t="n"/>
      <c r="M296" s="704" t="n"/>
    </row>
    <row r="297" ht="18" customHeight="1" s="436" thickBot="1">
      <c r="A297" s="705" t="n"/>
      <c r="B297" s="695" t="n"/>
      <c r="C297" s="695" t="n"/>
      <c r="D297" s="3" t="inlineStr">
        <is>
          <t>C/ICMS</t>
        </is>
      </c>
      <c r="E297" s="3" t="inlineStr">
        <is>
          <t>S/ICMS</t>
        </is>
      </c>
      <c r="F297" s="695" t="n"/>
      <c r="G297" s="695" t="n"/>
      <c r="H297" s="84" t="n"/>
      <c r="I297" s="695" t="n"/>
      <c r="J297" s="645" t="inlineStr">
        <is>
          <t>ENTRADA</t>
        </is>
      </c>
      <c r="K297" s="633" t="inlineStr">
        <is>
          <t>SAÍDA / CMV</t>
        </is>
      </c>
      <c r="L297" s="643" t="inlineStr">
        <is>
          <t>SALDO</t>
        </is>
      </c>
      <c r="M297" s="392" t="n"/>
    </row>
    <row r="298" ht="17.25" customHeight="1" s="436">
      <c r="A298" s="30" t="n"/>
      <c r="B298" s="31" t="n"/>
      <c r="C298" s="35" t="n"/>
      <c r="D298" s="36" t="n"/>
      <c r="E298" s="36" t="n"/>
      <c r="F298" s="37" t="n"/>
      <c r="G298" s="37" t="n">
        <v>0</v>
      </c>
      <c r="H298" s="37" t="n"/>
      <c r="I298" s="36" t="n"/>
      <c r="J298" s="711">
        <f>F298*I298</f>
        <v/>
      </c>
      <c r="K298" s="721" t="n">
        <v>0</v>
      </c>
      <c r="L298" s="710">
        <f>J298-K298</f>
        <v/>
      </c>
      <c r="M298" s="392" t="n"/>
    </row>
    <row r="299" ht="17.25" customHeight="1" s="436">
      <c r="A299" s="92" t="inlineStr">
        <is>
          <t>01/042018</t>
        </is>
      </c>
      <c r="B299" s="93" t="n"/>
      <c r="C299" s="93" t="n"/>
      <c r="D299" s="94" t="n"/>
      <c r="E299" s="94" t="n"/>
      <c r="F299" s="95" t="n"/>
      <c r="G299" s="95" t="n"/>
      <c r="H299" s="95" t="n">
        <v>1855</v>
      </c>
      <c r="I299" s="32" t="n"/>
      <c r="J299" s="711" t="n"/>
      <c r="K299" s="722" t="n"/>
      <c r="L299" s="710" t="n"/>
      <c r="M299" s="392" t="n"/>
    </row>
    <row r="300" ht="17.25" customHeight="1" s="436">
      <c r="A300" s="30" t="n">
        <v>43192</v>
      </c>
      <c r="B300" s="31" t="inlineStr">
        <is>
          <t>5660</t>
        </is>
      </c>
      <c r="C300" s="31" t="n"/>
      <c r="D300" s="32" t="n">
        <v>43</v>
      </c>
      <c r="E300" s="32" t="n"/>
      <c r="F300" s="33" t="n"/>
      <c r="G300" s="33" t="n">
        <v>40</v>
      </c>
      <c r="H300" s="33">
        <f>H299-G300</f>
        <v/>
      </c>
      <c r="I300" s="32" t="n"/>
      <c r="J300" s="711">
        <f>F300*I300</f>
        <v/>
      </c>
      <c r="K300" s="722">
        <f>G300*D300</f>
        <v/>
      </c>
      <c r="L300" s="710">
        <f>J300-K300</f>
        <v/>
      </c>
      <c r="M300" s="392" t="n"/>
    </row>
    <row r="301" ht="17.25" customHeight="1" s="436">
      <c r="A301" s="30" t="n">
        <v>43192</v>
      </c>
      <c r="B301" s="85" t="n">
        <v>5661</v>
      </c>
      <c r="C301" s="35" t="n"/>
      <c r="D301" s="36" t="n">
        <v>43</v>
      </c>
      <c r="E301" s="36" t="n"/>
      <c r="F301" s="37" t="n"/>
      <c r="G301" s="37" t="n">
        <v>30</v>
      </c>
      <c r="H301" s="33">
        <f>H300-G301</f>
        <v/>
      </c>
      <c r="I301" s="99" t="n"/>
      <c r="J301" s="711" t="n"/>
      <c r="K301" s="722">
        <f>G301*D301</f>
        <v/>
      </c>
      <c r="L301" s="710" t="n"/>
      <c r="M301" s="392" t="n"/>
    </row>
    <row r="302" ht="17.25" customHeight="1" s="436">
      <c r="A302" s="30" t="n">
        <v>43192</v>
      </c>
      <c r="B302" s="31" t="inlineStr">
        <is>
          <t>5662</t>
        </is>
      </c>
      <c r="C302" s="35" t="n"/>
      <c r="D302" s="36" t="n">
        <v>35</v>
      </c>
      <c r="E302" s="36" t="n"/>
      <c r="F302" s="37" t="n"/>
      <c r="G302" s="37" t="n">
        <v>10</v>
      </c>
      <c r="H302" s="33">
        <f>H301-G302</f>
        <v/>
      </c>
      <c r="I302" s="36" t="n"/>
      <c r="J302" s="711" t="n"/>
      <c r="K302" s="722">
        <f>G302*D302</f>
        <v/>
      </c>
      <c r="L302" s="710" t="n"/>
      <c r="M302" s="392" t="n"/>
    </row>
    <row r="303" ht="17.25" customHeight="1" s="436">
      <c r="A303" s="30" t="n">
        <v>43192</v>
      </c>
      <c r="B303" s="31" t="inlineStr">
        <is>
          <t>5663</t>
        </is>
      </c>
      <c r="C303" s="35" t="n"/>
      <c r="D303" s="36" t="n">
        <v>43</v>
      </c>
      <c r="E303" s="36" t="n"/>
      <c r="F303" s="37" t="n"/>
      <c r="G303" s="37" t="n">
        <v>20</v>
      </c>
      <c r="H303" s="33">
        <f>H302-G303</f>
        <v/>
      </c>
      <c r="I303" s="36" t="n"/>
      <c r="J303" s="711" t="n"/>
      <c r="K303" s="722">
        <f>G303*D303</f>
        <v/>
      </c>
      <c r="L303" s="710" t="n"/>
      <c r="M303" s="392" t="n"/>
    </row>
    <row r="304" ht="17.25" customHeight="1" s="436">
      <c r="A304" s="30" t="n">
        <v>43192</v>
      </c>
      <c r="B304" s="31" t="inlineStr">
        <is>
          <t>5664</t>
        </is>
      </c>
      <c r="C304" s="35" t="n"/>
      <c r="D304" s="36" t="n">
        <v>35</v>
      </c>
      <c r="E304" s="36" t="n"/>
      <c r="F304" s="37" t="n"/>
      <c r="G304" s="37" t="n">
        <v>20</v>
      </c>
      <c r="H304" s="33">
        <f>H303-G304</f>
        <v/>
      </c>
      <c r="I304" s="36" t="n"/>
      <c r="J304" s="711" t="n"/>
      <c r="K304" s="722">
        <f>G304*D304</f>
        <v/>
      </c>
      <c r="L304" s="710" t="n"/>
      <c r="M304" s="392" t="n"/>
    </row>
    <row r="305" ht="17.25" customHeight="1" s="436">
      <c r="A305" s="30" t="n">
        <v>43192</v>
      </c>
      <c r="B305" s="31" t="inlineStr">
        <is>
          <t>5666</t>
        </is>
      </c>
      <c r="C305" s="35" t="n"/>
      <c r="D305" s="36" t="n">
        <v>43</v>
      </c>
      <c r="E305" s="36" t="n"/>
      <c r="F305" s="37" t="n"/>
      <c r="G305" s="37" t="n">
        <v>30</v>
      </c>
      <c r="H305" s="33">
        <f>H304-G305</f>
        <v/>
      </c>
      <c r="I305" s="36" t="n"/>
      <c r="J305" s="711" t="n"/>
      <c r="K305" s="722">
        <f>G305*D305</f>
        <v/>
      </c>
      <c r="L305" s="710" t="n"/>
      <c r="M305" s="392" t="n"/>
    </row>
    <row r="306" ht="17.25" customHeight="1" s="436">
      <c r="A306" s="30" t="n">
        <v>43194</v>
      </c>
      <c r="B306" s="31" t="inlineStr">
        <is>
          <t>5667</t>
        </is>
      </c>
      <c r="C306" s="35" t="n"/>
      <c r="D306" s="36" t="n">
        <v>42</v>
      </c>
      <c r="E306" s="36" t="n"/>
      <c r="F306" s="37" t="inlineStr">
        <is>
          <t>cancelada</t>
        </is>
      </c>
      <c r="G306" s="37" t="n"/>
      <c r="H306" s="33" t="n">
        <v>1705</v>
      </c>
      <c r="I306" s="36" t="n"/>
      <c r="J306" s="711" t="n"/>
      <c r="K306" s="722">
        <f>G306*D306</f>
        <v/>
      </c>
      <c r="L306" s="710" t="n"/>
      <c r="M306" s="392" t="n"/>
    </row>
    <row r="307" ht="17.25" customHeight="1" s="436">
      <c r="A307" s="30" t="n">
        <v>43194</v>
      </c>
      <c r="B307" s="31" t="inlineStr">
        <is>
          <t>5670</t>
        </is>
      </c>
      <c r="C307" s="35" t="n"/>
      <c r="D307" s="36" t="n">
        <v>35</v>
      </c>
      <c r="E307" s="36" t="n"/>
      <c r="F307" s="37" t="n"/>
      <c r="G307" s="37" t="n">
        <v>20</v>
      </c>
      <c r="H307" s="33">
        <f>H306-G307</f>
        <v/>
      </c>
      <c r="I307" s="36" t="n"/>
      <c r="J307" s="711" t="n"/>
      <c r="K307" s="722">
        <f>G307*D307</f>
        <v/>
      </c>
      <c r="L307" s="710" t="n"/>
      <c r="M307" s="392" t="n"/>
    </row>
    <row r="308" ht="17.25" customHeight="1" s="436">
      <c r="A308" s="30" t="n">
        <v>43194</v>
      </c>
      <c r="B308" s="31" t="inlineStr">
        <is>
          <t>5671</t>
        </is>
      </c>
      <c r="C308" s="35" t="n"/>
      <c r="D308" s="36" t="n">
        <v>35</v>
      </c>
      <c r="E308" s="36" t="n"/>
      <c r="F308" s="37" t="n"/>
      <c r="G308" s="37" t="n">
        <v>20</v>
      </c>
      <c r="H308" s="33">
        <f>H307-G308</f>
        <v/>
      </c>
      <c r="I308" s="36" t="n"/>
      <c r="J308" s="711" t="n"/>
      <c r="K308" s="722">
        <f>G308*D308</f>
        <v/>
      </c>
      <c r="L308" s="710" t="n"/>
      <c r="M308" s="392" t="n"/>
    </row>
    <row r="309" ht="17.25" customHeight="1" s="436">
      <c r="A309" s="30" t="n">
        <v>43194</v>
      </c>
      <c r="B309" s="31" t="inlineStr">
        <is>
          <t>5672</t>
        </is>
      </c>
      <c r="C309" s="35" t="n"/>
      <c r="D309" s="36" t="n">
        <v>35</v>
      </c>
      <c r="E309" s="36" t="n"/>
      <c r="F309" s="37" t="n"/>
      <c r="G309" s="37" t="n">
        <v>30</v>
      </c>
      <c r="H309" s="33">
        <f>H308-G309</f>
        <v/>
      </c>
      <c r="I309" s="36" t="n"/>
      <c r="J309" s="711" t="n"/>
      <c r="K309" s="722">
        <f>G309*D309</f>
        <v/>
      </c>
      <c r="L309" s="710" t="n"/>
      <c r="M309" s="392" t="n"/>
    </row>
    <row r="310" ht="17.25" customHeight="1" s="436">
      <c r="A310" s="30" t="n">
        <v>43194</v>
      </c>
      <c r="B310" s="31" t="inlineStr">
        <is>
          <t>5673</t>
        </is>
      </c>
      <c r="C310" s="35" t="n"/>
      <c r="D310" s="36" t="n">
        <v>35</v>
      </c>
      <c r="E310" s="36" t="n"/>
      <c r="F310" s="37" t="n"/>
      <c r="G310" s="37" t="n">
        <v>30</v>
      </c>
      <c r="H310" s="33">
        <f>H309-G310</f>
        <v/>
      </c>
      <c r="I310" s="36" t="n"/>
      <c r="J310" s="711" t="n"/>
      <c r="K310" s="722">
        <f>G310*D310</f>
        <v/>
      </c>
      <c r="L310" s="710" t="n"/>
      <c r="M310" s="392" t="n"/>
    </row>
    <row r="311" ht="17.25" customHeight="1" s="436">
      <c r="A311" s="30" t="n">
        <v>43195</v>
      </c>
      <c r="B311" s="31" t="inlineStr">
        <is>
          <t>5674</t>
        </is>
      </c>
      <c r="C311" s="35" t="n"/>
      <c r="D311" s="36" t="n">
        <v>35</v>
      </c>
      <c r="E311" s="36" t="n"/>
      <c r="F311" s="37" t="n"/>
      <c r="G311" s="37" t="n">
        <v>20</v>
      </c>
      <c r="H311" s="33">
        <f>H310-G311</f>
        <v/>
      </c>
      <c r="I311" s="36" t="n"/>
      <c r="J311" s="711" t="n"/>
      <c r="K311" s="722">
        <f>G311*D311</f>
        <v/>
      </c>
      <c r="L311" s="710" t="n"/>
      <c r="M311" s="392" t="n"/>
    </row>
    <row r="312" ht="17.25" customHeight="1" s="436">
      <c r="A312" s="92" t="n">
        <v>43196</v>
      </c>
      <c r="B312" s="93" t="inlineStr">
        <is>
          <t>2283</t>
        </is>
      </c>
      <c r="C312" s="96" t="n"/>
      <c r="D312" s="97" t="n">
        <v>28</v>
      </c>
      <c r="E312" s="97" t="n"/>
      <c r="F312" s="98" t="n">
        <v>400</v>
      </c>
      <c r="G312" s="98" t="n"/>
      <c r="H312" s="95" t="n">
        <v>1985</v>
      </c>
      <c r="I312" s="36" t="n"/>
      <c r="J312" s="711" t="n"/>
      <c r="K312" s="722" t="n"/>
      <c r="L312" s="710" t="n"/>
      <c r="M312" s="392" t="n"/>
    </row>
    <row r="313" ht="17.25" customHeight="1" s="436">
      <c r="A313" s="30" t="n">
        <v>43197</v>
      </c>
      <c r="B313" s="31" t="inlineStr">
        <is>
          <t>5675</t>
        </is>
      </c>
      <c r="C313" s="35" t="n"/>
      <c r="D313" s="36" t="n">
        <v>28</v>
      </c>
      <c r="E313" s="36" t="n"/>
      <c r="F313" s="37" t="n"/>
      <c r="G313" s="37" t="n">
        <v>100</v>
      </c>
      <c r="H313" s="33">
        <f>H312-G313</f>
        <v/>
      </c>
      <c r="I313" s="36" t="n"/>
      <c r="J313" s="711" t="n"/>
      <c r="K313" s="722">
        <f>G313*D313</f>
        <v/>
      </c>
      <c r="L313" s="710" t="n"/>
      <c r="M313" s="392" t="n"/>
    </row>
    <row r="314" ht="17.25" customHeight="1" s="436">
      <c r="A314" s="30" t="n">
        <v>43197</v>
      </c>
      <c r="B314" s="31" t="inlineStr">
        <is>
          <t>5677</t>
        </is>
      </c>
      <c r="C314" s="35" t="n"/>
      <c r="D314" s="36" t="n">
        <v>43</v>
      </c>
      <c r="E314" s="36" t="n"/>
      <c r="F314" s="37" t="n"/>
      <c r="G314" s="37" t="n">
        <v>40</v>
      </c>
      <c r="H314" s="33">
        <f>H313-G314</f>
        <v/>
      </c>
      <c r="I314" s="36" t="n"/>
      <c r="J314" s="711" t="n"/>
      <c r="K314" s="722">
        <f>G314*D314</f>
        <v/>
      </c>
      <c r="L314" s="710" t="n"/>
      <c r="M314" s="392" t="n"/>
    </row>
    <row r="315" ht="17.25" customHeight="1" s="436">
      <c r="A315" s="30" t="n">
        <v>43200</v>
      </c>
      <c r="B315" s="31" t="inlineStr">
        <is>
          <t>5684</t>
        </is>
      </c>
      <c r="C315" s="35" t="n"/>
      <c r="D315" s="36" t="n">
        <v>35</v>
      </c>
      <c r="E315" s="36" t="n"/>
      <c r="F315" s="37" t="n"/>
      <c r="G315" s="37" t="n">
        <v>15</v>
      </c>
      <c r="H315" s="33">
        <f>H314-G315</f>
        <v/>
      </c>
      <c r="I315" s="36" t="n"/>
      <c r="J315" s="711" t="n"/>
      <c r="K315" s="722">
        <f>G315*D315</f>
        <v/>
      </c>
      <c r="L315" s="710" t="n"/>
      <c r="M315" s="392" t="n"/>
    </row>
    <row r="316" ht="17.25" customHeight="1" s="436">
      <c r="A316" s="30" t="n">
        <v>43200</v>
      </c>
      <c r="B316" s="31" t="inlineStr">
        <is>
          <t>5685</t>
        </is>
      </c>
      <c r="C316" s="35" t="n"/>
      <c r="D316" s="36" t="n">
        <v>35</v>
      </c>
      <c r="E316" s="36" t="n"/>
      <c r="F316" s="37" t="n"/>
      <c r="G316" s="37" t="n">
        <v>80</v>
      </c>
      <c r="H316" s="33">
        <f>H315-G316</f>
        <v/>
      </c>
      <c r="I316" s="36" t="n"/>
      <c r="J316" s="711" t="n"/>
      <c r="K316" s="722">
        <f>G316*D316</f>
        <v/>
      </c>
      <c r="L316" s="710" t="n"/>
      <c r="M316" s="392" t="n"/>
    </row>
    <row r="317" ht="17.25" customHeight="1" s="436">
      <c r="A317" s="30" t="n">
        <v>43206</v>
      </c>
      <c r="B317" s="31" t="inlineStr">
        <is>
          <t>5681</t>
        </is>
      </c>
      <c r="C317" s="35" t="n"/>
      <c r="D317" s="36" t="n">
        <v>35</v>
      </c>
      <c r="E317" s="36" t="n"/>
      <c r="F317" s="37" t="n"/>
      <c r="G317" s="37" t="n">
        <v>10</v>
      </c>
      <c r="H317" s="33">
        <f>H316-G317</f>
        <v/>
      </c>
      <c r="I317" s="36" t="n"/>
      <c r="J317" s="711" t="n"/>
      <c r="K317" s="722">
        <f>G317*D317</f>
        <v/>
      </c>
      <c r="L317" s="710" t="n"/>
      <c r="M317" s="392" t="n"/>
    </row>
    <row r="318" ht="17.25" customHeight="1" s="436">
      <c r="A318" s="30" t="n">
        <v>43200</v>
      </c>
      <c r="B318" s="31" t="inlineStr">
        <is>
          <t>5682</t>
        </is>
      </c>
      <c r="C318" s="35" t="n"/>
      <c r="D318" s="36" t="n">
        <v>42.6</v>
      </c>
      <c r="E318" s="36" t="n"/>
      <c r="F318" s="37" t="n"/>
      <c r="G318" s="37" t="n">
        <v>30</v>
      </c>
      <c r="H318" s="33">
        <f>H317-G318</f>
        <v/>
      </c>
      <c r="I318" s="36" t="n"/>
      <c r="J318" s="711" t="n"/>
      <c r="K318" s="722">
        <f>G318*D318</f>
        <v/>
      </c>
      <c r="L318" s="710" t="n"/>
      <c r="M318" s="392" t="n"/>
    </row>
    <row r="319" ht="17.25" customHeight="1" s="436">
      <c r="A319" s="30" t="n">
        <v>43200</v>
      </c>
      <c r="B319" s="31" t="inlineStr">
        <is>
          <t>5686</t>
        </is>
      </c>
      <c r="C319" s="35" t="n"/>
      <c r="D319" s="36" t="n">
        <v>43</v>
      </c>
      <c r="E319" s="36" t="n"/>
      <c r="F319" s="37" t="n"/>
      <c r="G319" s="37" t="n">
        <v>15</v>
      </c>
      <c r="H319" s="33">
        <f>H318-G319</f>
        <v/>
      </c>
      <c r="I319" s="36" t="n"/>
      <c r="J319" s="711" t="n"/>
      <c r="K319" s="722">
        <f>G319*D319</f>
        <v/>
      </c>
      <c r="L319" s="710" t="n"/>
      <c r="M319" s="392" t="n"/>
    </row>
    <row r="320" ht="17.25" customHeight="1" s="436">
      <c r="A320" s="30" t="n">
        <v>43207</v>
      </c>
      <c r="B320" s="31" t="inlineStr">
        <is>
          <t>5688</t>
        </is>
      </c>
      <c r="C320" s="35" t="n"/>
      <c r="D320" s="36" t="n">
        <v>35</v>
      </c>
      <c r="E320" s="36" t="n"/>
      <c r="F320" s="37" t="n"/>
      <c r="G320" s="37" t="n">
        <v>30</v>
      </c>
      <c r="H320" s="33">
        <f>H319-G320</f>
        <v/>
      </c>
      <c r="I320" s="36" t="n"/>
      <c r="J320" s="711" t="n"/>
      <c r="K320" s="722">
        <f>G320*D320</f>
        <v/>
      </c>
      <c r="L320" s="710" t="n"/>
      <c r="M320" s="392" t="n"/>
    </row>
    <row r="321" ht="17.25" customHeight="1" s="436">
      <c r="A321" s="30" t="n">
        <v>43207</v>
      </c>
      <c r="B321" s="31" t="inlineStr">
        <is>
          <t>5689</t>
        </is>
      </c>
      <c r="C321" s="35" t="n"/>
      <c r="D321" s="36" t="n">
        <v>35</v>
      </c>
      <c r="E321" s="36" t="n"/>
      <c r="F321" s="37" t="n"/>
      <c r="G321" s="37" t="n">
        <v>30</v>
      </c>
      <c r="H321" s="33">
        <f>H320-G321</f>
        <v/>
      </c>
      <c r="I321" s="36" t="n"/>
      <c r="J321" s="711" t="n"/>
      <c r="K321" s="722">
        <f>G321*D321</f>
        <v/>
      </c>
      <c r="L321" s="710" t="n"/>
      <c r="M321" s="392" t="n"/>
    </row>
    <row r="322" ht="17.25" customHeight="1" s="436">
      <c r="A322" s="30" t="n">
        <v>43207</v>
      </c>
      <c r="B322" s="31" t="inlineStr">
        <is>
          <t>5692</t>
        </is>
      </c>
      <c r="C322" s="35" t="n"/>
      <c r="D322" s="36" t="n">
        <v>40</v>
      </c>
      <c r="E322" s="36" t="n"/>
      <c r="F322" s="37" t="n"/>
      <c r="G322" s="37" t="n">
        <v>10</v>
      </c>
      <c r="H322" s="33">
        <f>H321-G322</f>
        <v/>
      </c>
      <c r="I322" s="36" t="n"/>
      <c r="J322" s="711" t="n"/>
      <c r="K322" s="722">
        <f>G322*D322</f>
        <v/>
      </c>
      <c r="L322" s="710" t="n"/>
      <c r="M322" s="392" t="n"/>
    </row>
    <row r="323" ht="17.25" customHeight="1" s="436">
      <c r="A323" s="30" t="n">
        <v>43207</v>
      </c>
      <c r="B323" s="31" t="inlineStr">
        <is>
          <t>5693</t>
        </is>
      </c>
      <c r="C323" s="35" t="n"/>
      <c r="D323" s="36" t="n">
        <v>41</v>
      </c>
      <c r="E323" s="36" t="n"/>
      <c r="F323" s="37" t="n"/>
      <c r="G323" s="37" t="n">
        <v>20</v>
      </c>
      <c r="H323" s="33">
        <f>H322-G323</f>
        <v/>
      </c>
      <c r="I323" s="36" t="n"/>
      <c r="J323" s="711" t="n"/>
      <c r="K323" s="722">
        <f>G323*D323</f>
        <v/>
      </c>
      <c r="L323" s="710" t="n"/>
      <c r="M323" s="392" t="n"/>
    </row>
    <row r="324" ht="17.25" customHeight="1" s="436">
      <c r="A324" s="30" t="n">
        <v>43207</v>
      </c>
      <c r="B324" s="31" t="inlineStr">
        <is>
          <t>5696</t>
        </is>
      </c>
      <c r="C324" s="35" t="n"/>
      <c r="D324" s="36" t="n">
        <v>45</v>
      </c>
      <c r="E324" s="36" t="n"/>
      <c r="F324" s="37" t="n"/>
      <c r="G324" s="37" t="n">
        <v>100</v>
      </c>
      <c r="H324" s="33">
        <f>H323-G324</f>
        <v/>
      </c>
      <c r="I324" s="36" t="n"/>
      <c r="J324" s="711" t="n"/>
      <c r="K324" s="722">
        <f>G324*D324</f>
        <v/>
      </c>
      <c r="L324" s="710" t="n"/>
      <c r="M324" s="392" t="n"/>
    </row>
    <row r="325" ht="17.25" customHeight="1" s="436">
      <c r="A325" s="30" t="n">
        <v>43209</v>
      </c>
      <c r="B325" s="31" t="inlineStr">
        <is>
          <t>5697</t>
        </is>
      </c>
      <c r="C325" s="35" t="n"/>
      <c r="D325" s="36" t="n">
        <v>45</v>
      </c>
      <c r="E325" s="36" t="n"/>
      <c r="F325" s="37" t="n"/>
      <c r="G325" s="37" t="n">
        <v>42</v>
      </c>
      <c r="H325" s="33">
        <f>H324-G325</f>
        <v/>
      </c>
      <c r="I325" s="36" t="n"/>
      <c r="J325" s="711" t="n"/>
      <c r="K325" s="722">
        <f>G325*D325</f>
        <v/>
      </c>
      <c r="L325" s="710" t="n"/>
      <c r="M325" s="392" t="n"/>
    </row>
    <row r="326" ht="17.25" customHeight="1" s="436">
      <c r="A326" s="30" t="n">
        <v>43212</v>
      </c>
      <c r="B326" s="31" t="inlineStr">
        <is>
          <t>5698</t>
        </is>
      </c>
      <c r="C326" s="35" t="n"/>
      <c r="D326" s="36" t="n">
        <v>44</v>
      </c>
      <c r="E326" s="36" t="n"/>
      <c r="F326" s="37" t="n"/>
      <c r="G326" s="37" t="n">
        <v>50</v>
      </c>
      <c r="H326" s="33">
        <f>H325-G326</f>
        <v/>
      </c>
      <c r="I326" s="36" t="n"/>
      <c r="J326" s="711" t="n"/>
      <c r="K326" s="722">
        <f>G326*D326</f>
        <v/>
      </c>
      <c r="L326" s="710" t="n"/>
      <c r="M326" s="392" t="n"/>
    </row>
    <row r="327" ht="17.25" customHeight="1" s="436">
      <c r="A327" s="30" t="n">
        <v>43212</v>
      </c>
      <c r="B327" s="31" t="inlineStr">
        <is>
          <t>5699</t>
        </is>
      </c>
      <c r="C327" s="35" t="n"/>
      <c r="D327" s="36" t="n">
        <v>45</v>
      </c>
      <c r="E327" s="36" t="n"/>
      <c r="F327" s="37" t="n"/>
      <c r="G327" s="37" t="n">
        <v>40</v>
      </c>
      <c r="H327" s="33">
        <f>H326-G327</f>
        <v/>
      </c>
      <c r="I327" s="36" t="n"/>
      <c r="J327" s="711" t="n"/>
      <c r="K327" s="722">
        <f>G327*D327</f>
        <v/>
      </c>
      <c r="L327" s="710" t="n"/>
      <c r="M327" s="392" t="n"/>
    </row>
    <row r="328" ht="17.25" customHeight="1" s="436">
      <c r="A328" s="30" t="n">
        <v>43212</v>
      </c>
      <c r="B328" s="31" t="inlineStr">
        <is>
          <t>5702</t>
        </is>
      </c>
      <c r="C328" s="35" t="n"/>
      <c r="D328" s="36" t="n">
        <v>35</v>
      </c>
      <c r="E328" s="36" t="n"/>
      <c r="F328" s="37" t="n"/>
      <c r="G328" s="37" t="n">
        <v>20</v>
      </c>
      <c r="H328" s="33">
        <f>H327-G328</f>
        <v/>
      </c>
      <c r="I328" s="36" t="n"/>
      <c r="J328" s="711" t="n"/>
      <c r="K328" s="722">
        <f>G328*D328</f>
        <v/>
      </c>
      <c r="L328" s="710" t="n"/>
      <c r="M328" s="392" t="n"/>
    </row>
    <row r="329" ht="17.25" customHeight="1" s="436">
      <c r="A329" s="30" t="n">
        <v>43212</v>
      </c>
      <c r="B329" s="31" t="inlineStr">
        <is>
          <t>5703</t>
        </is>
      </c>
      <c r="C329" s="35" t="n"/>
      <c r="D329" s="36" t="n">
        <v>42.8</v>
      </c>
      <c r="E329" s="36" t="n"/>
      <c r="F329" s="37" t="n"/>
      <c r="G329" s="37" t="n">
        <v>30</v>
      </c>
      <c r="H329" s="33">
        <f>H328-G329</f>
        <v/>
      </c>
      <c r="I329" s="36" t="n"/>
      <c r="J329" s="711" t="n"/>
      <c r="K329" s="722">
        <f>G329*D329</f>
        <v/>
      </c>
      <c r="L329" s="710" t="n"/>
      <c r="M329" s="392" t="n"/>
    </row>
    <row r="330" ht="17.25" customHeight="1" s="436">
      <c r="A330" s="30" t="n">
        <v>43214</v>
      </c>
      <c r="B330" s="31" t="inlineStr">
        <is>
          <t>5707</t>
        </is>
      </c>
      <c r="C330" s="35" t="n"/>
      <c r="D330" s="36" t="n">
        <v>39</v>
      </c>
      <c r="E330" s="36" t="n"/>
      <c r="F330" s="37" t="n"/>
      <c r="G330" s="37" t="n">
        <v>150</v>
      </c>
      <c r="H330" s="33">
        <f>H329-G330</f>
        <v/>
      </c>
      <c r="I330" s="36" t="n"/>
      <c r="J330" s="711" t="n"/>
      <c r="K330" s="722">
        <f>G330*D330</f>
        <v/>
      </c>
      <c r="L330" s="710" t="n"/>
      <c r="M330" s="392" t="n"/>
    </row>
    <row r="331" ht="17.25" customHeight="1" s="436">
      <c r="A331" s="30" t="n">
        <v>43214</v>
      </c>
      <c r="B331" s="31" t="inlineStr">
        <is>
          <t>5709</t>
        </is>
      </c>
      <c r="C331" s="35" t="n"/>
      <c r="D331" s="36" t="n">
        <v>35</v>
      </c>
      <c r="E331" s="36" t="n"/>
      <c r="F331" s="37" t="n"/>
      <c r="G331" s="37" t="n">
        <v>20</v>
      </c>
      <c r="H331" s="33">
        <f>H330-G331</f>
        <v/>
      </c>
      <c r="I331" s="36" t="n"/>
      <c r="J331" s="711" t="n"/>
      <c r="K331" s="722">
        <f>G331*D331</f>
        <v/>
      </c>
      <c r="L331" s="710" t="n"/>
      <c r="M331" s="392" t="n"/>
    </row>
    <row r="332" ht="17.25" customHeight="1" s="436">
      <c r="A332" s="92" t="n">
        <v>43210</v>
      </c>
      <c r="B332" s="93" t="inlineStr">
        <is>
          <t>2292</t>
        </is>
      </c>
      <c r="C332" s="96" t="n"/>
      <c r="D332" s="97" t="n">
        <v>28</v>
      </c>
      <c r="E332" s="97" t="n"/>
      <c r="F332" s="98" t="n">
        <v>140</v>
      </c>
      <c r="G332" s="98" t="n"/>
      <c r="H332" s="95" t="n">
        <v>1293</v>
      </c>
      <c r="I332" s="36" t="n"/>
      <c r="J332" s="711" t="n"/>
      <c r="K332" s="722" t="n"/>
      <c r="L332" s="710" t="n"/>
      <c r="M332" s="392" t="n"/>
    </row>
    <row r="333" ht="17.25" customHeight="1" s="436">
      <c r="A333" s="92" t="n">
        <v>43210</v>
      </c>
      <c r="B333" s="93" t="inlineStr">
        <is>
          <t>2293</t>
        </is>
      </c>
      <c r="C333" s="96" t="n"/>
      <c r="D333" s="97" t="n">
        <v>28</v>
      </c>
      <c r="E333" s="97" t="n"/>
      <c r="F333" s="98" t="n">
        <v>190</v>
      </c>
      <c r="G333" s="98" t="n"/>
      <c r="H333" s="95" t="n">
        <v>1483</v>
      </c>
      <c r="I333" s="36" t="n"/>
      <c r="J333" s="711" t="n"/>
      <c r="K333" s="722" t="n"/>
      <c r="L333" s="710" t="n"/>
      <c r="M333" s="392" t="n"/>
    </row>
    <row r="334" ht="17.25" customHeight="1" s="436">
      <c r="A334" s="30" t="n">
        <v>43216</v>
      </c>
      <c r="B334" s="31" t="inlineStr">
        <is>
          <t>5710</t>
        </is>
      </c>
      <c r="C334" s="35" t="n"/>
      <c r="D334" s="36" t="n">
        <v>46</v>
      </c>
      <c r="E334" s="36" t="n"/>
      <c r="F334" s="37" t="n"/>
      <c r="G334" s="37" t="n">
        <v>25</v>
      </c>
      <c r="H334" s="33">
        <f>H333-G334</f>
        <v/>
      </c>
      <c r="I334" s="36" t="n"/>
      <c r="J334" s="711" t="n"/>
      <c r="K334" s="722" t="n"/>
      <c r="L334" s="710" t="n"/>
      <c r="M334" s="392" t="n"/>
    </row>
    <row r="335" ht="17.25" customHeight="1" s="436">
      <c r="A335" s="30" t="n">
        <v>43216</v>
      </c>
      <c r="B335" s="31" t="inlineStr">
        <is>
          <t>5712</t>
        </is>
      </c>
      <c r="C335" s="35" t="n"/>
      <c r="D335" s="36" t="n">
        <v>40</v>
      </c>
      <c r="E335" s="36" t="n"/>
      <c r="F335" s="37" t="n"/>
      <c r="G335" s="37" t="n">
        <v>40</v>
      </c>
      <c r="H335" s="33">
        <f>H334-G335</f>
        <v/>
      </c>
      <c r="I335" s="36" t="n"/>
      <c r="J335" s="711" t="n"/>
      <c r="K335" s="722" t="n"/>
      <c r="L335" s="710" t="n"/>
      <c r="M335" s="392" t="n"/>
    </row>
    <row r="336" ht="17.25" customHeight="1" s="436">
      <c r="A336" s="30" t="n">
        <v>43216</v>
      </c>
      <c r="B336" s="31" t="inlineStr">
        <is>
          <t>5713</t>
        </is>
      </c>
      <c r="C336" s="35" t="n"/>
      <c r="D336" s="36" t="n">
        <v>35</v>
      </c>
      <c r="E336" s="36" t="n"/>
      <c r="F336" s="37" t="n"/>
      <c r="G336" s="37" t="n">
        <v>20</v>
      </c>
      <c r="H336" s="33">
        <f>H335-G336</f>
        <v/>
      </c>
      <c r="I336" s="36" t="n"/>
      <c r="J336" s="711" t="n"/>
      <c r="K336" s="722" t="n"/>
      <c r="L336" s="710" t="n"/>
      <c r="M336" s="392" t="n"/>
    </row>
    <row r="337" ht="17.25" customHeight="1" s="436">
      <c r="A337" s="30" t="n">
        <v>43216</v>
      </c>
      <c r="B337" s="31" t="inlineStr">
        <is>
          <t>5714</t>
        </is>
      </c>
      <c r="C337" s="35" t="n"/>
      <c r="D337" s="36" t="n">
        <v>35</v>
      </c>
      <c r="E337" s="36" t="n"/>
      <c r="F337" s="37" t="n"/>
      <c r="G337" s="37" t="n">
        <v>20</v>
      </c>
      <c r="H337" s="33">
        <f>H336-G337</f>
        <v/>
      </c>
      <c r="I337" s="36" t="n"/>
      <c r="J337" s="711" t="n"/>
      <c r="K337" s="722" t="n"/>
      <c r="L337" s="710" t="n"/>
      <c r="M337" s="392" t="n"/>
    </row>
    <row r="338" ht="17.25" customHeight="1" s="436">
      <c r="A338" s="30" t="n">
        <v>43216</v>
      </c>
      <c r="B338" s="31" t="inlineStr">
        <is>
          <t>5715</t>
        </is>
      </c>
      <c r="C338" s="35" t="n"/>
      <c r="D338" s="36" t="n">
        <v>35</v>
      </c>
      <c r="E338" s="36" t="n"/>
      <c r="F338" s="37" t="n"/>
      <c r="G338" s="37" t="n">
        <v>10</v>
      </c>
      <c r="H338" s="33">
        <f>H337-G338</f>
        <v/>
      </c>
      <c r="I338" s="36" t="n"/>
      <c r="J338" s="711" t="n"/>
      <c r="K338" s="722" t="n"/>
      <c r="L338" s="710" t="n"/>
      <c r="M338" s="392" t="n"/>
    </row>
    <row r="339" ht="17.25" customHeight="1" s="436">
      <c r="A339" s="30" t="n"/>
      <c r="B339" s="31" t="n"/>
      <c r="C339" s="35" t="n"/>
      <c r="D339" s="36" t="n"/>
      <c r="E339" s="36" t="n"/>
      <c r="F339" s="37" t="n"/>
      <c r="G339" s="37" t="n"/>
      <c r="H339" s="33">
        <f>H338-G339</f>
        <v/>
      </c>
      <c r="I339" s="36" t="n"/>
      <c r="J339" s="711" t="n"/>
      <c r="K339" s="722" t="n"/>
      <c r="L339" s="710" t="n"/>
      <c r="M339" s="392" t="n"/>
    </row>
    <row r="340" ht="17.25" customHeight="1" s="436">
      <c r="A340" s="30" t="n"/>
      <c r="B340" s="31" t="n"/>
      <c r="C340" s="35" t="n"/>
      <c r="D340" s="36" t="n"/>
      <c r="E340" s="36" t="n"/>
      <c r="F340" s="37" t="n"/>
      <c r="G340" s="37" t="n"/>
      <c r="H340" s="33">
        <f>H339-G340</f>
        <v/>
      </c>
      <c r="I340" s="36" t="n"/>
      <c r="J340" s="711" t="n"/>
      <c r="K340" s="722" t="n"/>
      <c r="L340" s="710" t="n"/>
      <c r="M340" s="392" t="n"/>
    </row>
    <row r="341" ht="17.25" customHeight="1" s="436">
      <c r="A341" s="30" t="n"/>
      <c r="B341" s="31" t="n"/>
      <c r="C341" s="35" t="n"/>
      <c r="D341" s="36" t="n"/>
      <c r="E341" s="36" t="n"/>
      <c r="F341" s="37" t="n"/>
      <c r="G341" s="37" t="n"/>
      <c r="H341" s="33">
        <f>H340-G341</f>
        <v/>
      </c>
      <c r="I341" s="36" t="n"/>
      <c r="J341" s="711" t="n"/>
      <c r="K341" s="722" t="n"/>
      <c r="L341" s="710" t="n"/>
      <c r="M341" s="392" t="n"/>
    </row>
    <row r="342" ht="17.25" customHeight="1" s="436">
      <c r="A342" s="30" t="n">
        <v>43222</v>
      </c>
      <c r="B342" s="31" t="n"/>
      <c r="C342" s="35" t="n"/>
      <c r="D342" s="36" t="n">
        <v>35</v>
      </c>
      <c r="E342" s="36" t="n"/>
      <c r="F342" s="37" t="n"/>
      <c r="G342" s="37" t="n"/>
      <c r="H342" s="33">
        <f>H341-G342</f>
        <v/>
      </c>
      <c r="I342" s="36" t="n"/>
      <c r="J342" s="711" t="n"/>
      <c r="K342" s="722">
        <f>G342*D342</f>
        <v/>
      </c>
      <c r="L342" s="710" t="n"/>
      <c r="M342" s="392" t="n"/>
    </row>
    <row r="343"/>
    <row r="344"/>
    <row r="345"/>
    <row r="346"/>
    <row r="347"/>
    <row r="348"/>
    <row r="349" ht="15.75" customHeight="1" s="436" thickBot="1"/>
    <row r="350" ht="27" customHeight="1" s="436" thickBot="1">
      <c r="A350" s="720" t="inlineStr">
        <is>
          <t xml:space="preserve"> FARINHA DE TRIGO TIPO: 1 - 25 KG</t>
        </is>
      </c>
      <c r="B350" s="697" t="n"/>
      <c r="C350" s="697" t="n"/>
      <c r="D350" s="697" t="n"/>
      <c r="E350" s="697" t="n"/>
      <c r="F350" s="697" t="n"/>
      <c r="G350" s="697" t="n"/>
      <c r="H350" s="697" t="n"/>
      <c r="I350" s="697" t="n"/>
      <c r="J350" s="697" t="n"/>
      <c r="K350" s="697" t="n"/>
      <c r="L350" s="697" t="n"/>
      <c r="M350" s="698" t="n"/>
    </row>
    <row r="351">
      <c r="A351" s="643" t="inlineStr">
        <is>
          <t>DATA</t>
        </is>
      </c>
      <c r="B351" s="633" t="inlineStr">
        <is>
          <t>N.F.</t>
        </is>
      </c>
      <c r="C351" s="633" t="inlineStr">
        <is>
          <t>TIPO</t>
        </is>
      </c>
      <c r="D351" s="633" t="inlineStr">
        <is>
          <t>PREÇO UNITÁRIO</t>
        </is>
      </c>
      <c r="E351" s="701" t="n"/>
      <c r="F351" s="633" t="inlineStr">
        <is>
          <t>QUANTIDADE / KG</t>
        </is>
      </c>
      <c r="H351" s="701" t="n"/>
      <c r="I351" s="632" t="inlineStr">
        <is>
          <t>PREÇO</t>
        </is>
      </c>
      <c r="J351" s="632" t="inlineStr">
        <is>
          <t>VALORES</t>
        </is>
      </c>
      <c r="L351" s="701" t="n"/>
      <c r="M351" s="649" t="n"/>
    </row>
    <row r="352" ht="15.75" customHeight="1" s="436" thickBot="1">
      <c r="A352" s="703" t="n"/>
      <c r="B352" s="704" t="n"/>
      <c r="C352" s="704" t="n"/>
      <c r="D352" s="703" t="n"/>
      <c r="E352" s="701" t="n"/>
      <c r="F352" s="705" t="n"/>
      <c r="G352" s="706" t="n"/>
      <c r="H352" s="707" t="n"/>
      <c r="I352" s="704" t="n"/>
      <c r="J352" s="703" t="n"/>
      <c r="L352" s="701" t="n"/>
      <c r="M352" s="704" t="n"/>
    </row>
    <row r="353" ht="15.75" customHeight="1" s="436" thickBot="1">
      <c r="A353" s="703" t="n"/>
      <c r="B353" s="704" t="n"/>
      <c r="C353" s="704" t="n"/>
      <c r="D353" s="705" t="n"/>
      <c r="E353" s="707" t="n"/>
      <c r="F353" s="3" t="inlineStr">
        <is>
          <t>ENTRADA</t>
        </is>
      </c>
      <c r="G353" s="3" t="inlineStr">
        <is>
          <t>SAÍDA</t>
        </is>
      </c>
      <c r="H353" s="640" t="inlineStr">
        <is>
          <t>SALDO EM 30/04/2018</t>
        </is>
      </c>
      <c r="I353" s="633" t="inlineStr">
        <is>
          <t>MÉDIO</t>
        </is>
      </c>
      <c r="J353" s="652" t="inlineStr">
        <is>
          <t>SALDO EM 30/11/2017</t>
        </is>
      </c>
      <c r="K353" s="706" t="n"/>
      <c r="L353" s="17" t="n"/>
      <c r="M353" s="704" t="n"/>
    </row>
    <row r="354" ht="18" customHeight="1" s="436" thickBot="1">
      <c r="A354" s="705" t="n"/>
      <c r="B354" s="695" t="n"/>
      <c r="C354" s="695" t="n"/>
      <c r="D354" s="3" t="inlineStr">
        <is>
          <t>C/ICMS</t>
        </is>
      </c>
      <c r="E354" s="3" t="inlineStr">
        <is>
          <t>S/ICMS</t>
        </is>
      </c>
      <c r="F354" s="695" t="n"/>
      <c r="G354" s="695" t="n"/>
      <c r="H354" s="84" t="n"/>
      <c r="I354" s="695" t="n"/>
      <c r="J354" s="645" t="inlineStr">
        <is>
          <t>ENTRADA</t>
        </is>
      </c>
      <c r="K354" s="633" t="inlineStr">
        <is>
          <t>SAÍDA / CMV</t>
        </is>
      </c>
      <c r="L354" s="643" t="inlineStr">
        <is>
          <t>SALDO</t>
        </is>
      </c>
      <c r="M354" s="392" t="n"/>
    </row>
    <row r="355" ht="17.25" customHeight="1" s="436">
      <c r="A355" s="30" t="n"/>
      <c r="B355" s="31" t="n"/>
      <c r="C355" s="35" t="n"/>
      <c r="D355" s="36" t="n"/>
      <c r="E355" s="36" t="n"/>
      <c r="F355" s="37" t="n"/>
      <c r="G355" s="37" t="n">
        <v>0</v>
      </c>
      <c r="H355" s="37" t="n"/>
      <c r="I355" s="36" t="n"/>
      <c r="J355" s="711">
        <f>F355*I355</f>
        <v/>
      </c>
      <c r="K355" s="721" t="n">
        <v>0</v>
      </c>
      <c r="L355" s="710">
        <f>J355-K355</f>
        <v/>
      </c>
      <c r="M355" s="392" t="n"/>
    </row>
    <row r="356" ht="17.25" customHeight="1" s="436">
      <c r="A356" s="92" t="n">
        <v>43220</v>
      </c>
      <c r="B356" s="93" t="n"/>
      <c r="C356" s="93" t="n"/>
      <c r="D356" s="94" t="n"/>
      <c r="E356" s="94" t="n"/>
      <c r="F356" s="95" t="n"/>
      <c r="G356" s="95" t="n"/>
      <c r="H356" s="95" t="n">
        <v>1368</v>
      </c>
      <c r="I356" s="32" t="n"/>
      <c r="J356" s="711" t="n"/>
      <c r="K356" s="722" t="n"/>
      <c r="L356" s="710" t="n"/>
      <c r="M356" s="392" t="n"/>
    </row>
    <row r="357" ht="17.25" customHeight="1" s="436">
      <c r="A357" s="30" t="n">
        <v>43221</v>
      </c>
      <c r="B357" s="31" t="inlineStr">
        <is>
          <t>5717</t>
        </is>
      </c>
      <c r="C357" s="31" t="n"/>
      <c r="D357" s="32" t="n">
        <v>35</v>
      </c>
      <c r="E357" s="32" t="n"/>
      <c r="F357" s="33" t="n"/>
      <c r="G357" s="33" t="n">
        <v>10</v>
      </c>
      <c r="H357" s="33">
        <f>H356-G357</f>
        <v/>
      </c>
      <c r="I357" s="32" t="n"/>
      <c r="J357" s="711">
        <f>F357*I357</f>
        <v/>
      </c>
      <c r="K357" s="722">
        <f>G357*D357</f>
        <v/>
      </c>
      <c r="L357" s="710">
        <f>J357-K357</f>
        <v/>
      </c>
      <c r="M357" s="392" t="n"/>
    </row>
    <row r="358" ht="17.25" customHeight="1" s="436">
      <c r="A358" s="30" t="n">
        <v>43221</v>
      </c>
      <c r="B358" s="85" t="n">
        <v>5718</v>
      </c>
      <c r="C358" s="35" t="n"/>
      <c r="D358" s="36" t="n">
        <v>46.3</v>
      </c>
      <c r="E358" s="36" t="n"/>
      <c r="F358" s="37" t="n"/>
      <c r="G358" s="37" t="n">
        <v>30</v>
      </c>
      <c r="H358" s="33">
        <f>H357-G358</f>
        <v/>
      </c>
      <c r="I358" s="99" t="n"/>
      <c r="J358" s="711" t="n"/>
      <c r="K358" s="722">
        <f>G358*D358</f>
        <v/>
      </c>
      <c r="L358" s="710" t="n"/>
      <c r="M358" s="392" t="n"/>
    </row>
    <row r="359" ht="17.25" customHeight="1" s="436">
      <c r="A359" s="30" t="n">
        <v>43221</v>
      </c>
      <c r="B359" s="31" t="inlineStr">
        <is>
          <t>5721</t>
        </is>
      </c>
      <c r="C359" s="35" t="n"/>
      <c r="D359" s="36" t="n">
        <v>35</v>
      </c>
      <c r="E359" s="36" t="n"/>
      <c r="F359" s="37" t="n"/>
      <c r="G359" s="37" t="n">
        <v>30</v>
      </c>
      <c r="H359" s="33">
        <f>H358-G359</f>
        <v/>
      </c>
      <c r="I359" s="36" t="n"/>
      <c r="J359" s="711" t="n"/>
      <c r="K359" s="722">
        <f>G359*D359</f>
        <v/>
      </c>
      <c r="L359" s="710" t="n"/>
      <c r="M359" s="392" t="n"/>
    </row>
    <row r="360" ht="17.25" customHeight="1" s="436">
      <c r="A360" s="92" t="n">
        <v>43223</v>
      </c>
      <c r="B360" s="93" t="inlineStr">
        <is>
          <t>32402</t>
        </is>
      </c>
      <c r="C360" s="96" t="n"/>
      <c r="D360" s="97" t="n">
        <v>39</v>
      </c>
      <c r="E360" s="97" t="n"/>
      <c r="F360" s="98" t="n">
        <v>560</v>
      </c>
      <c r="G360" s="98" t="n"/>
      <c r="H360" s="95" t="n">
        <v>1858</v>
      </c>
      <c r="I360" s="97" t="n"/>
      <c r="J360" s="727" t="n"/>
      <c r="K360" s="728" t="n"/>
      <c r="L360" s="710" t="n"/>
      <c r="M360" s="392" t="n"/>
    </row>
    <row r="361" ht="17.25" customHeight="1" s="436">
      <c r="A361" s="92" t="n">
        <v>43227</v>
      </c>
      <c r="B361" s="93" t="inlineStr">
        <is>
          <t>2303</t>
        </is>
      </c>
      <c r="C361" s="96" t="n"/>
      <c r="D361" s="97" t="n">
        <v>30</v>
      </c>
      <c r="E361" s="97" t="n"/>
      <c r="F361" s="98" t="n">
        <v>200</v>
      </c>
      <c r="G361" s="98" t="n"/>
      <c r="H361" s="95" t="n">
        <v>2058</v>
      </c>
      <c r="I361" s="97" t="n"/>
      <c r="J361" s="727" t="n"/>
      <c r="K361" s="728" t="n"/>
      <c r="L361" s="710" t="n"/>
      <c r="M361" s="392" t="n"/>
    </row>
    <row r="362" ht="17.25" customHeight="1" s="436">
      <c r="A362" s="30" t="n">
        <v>43224</v>
      </c>
      <c r="B362" s="31" t="inlineStr">
        <is>
          <t>5725</t>
        </is>
      </c>
      <c r="C362" s="35" t="n"/>
      <c r="D362" s="36" t="n">
        <v>46</v>
      </c>
      <c r="E362" s="36" t="n"/>
      <c r="F362" s="37" t="n"/>
      <c r="G362" s="37" t="n">
        <v>30</v>
      </c>
      <c r="H362" s="33">
        <f>H361-G362</f>
        <v/>
      </c>
      <c r="I362" s="36" t="n"/>
      <c r="J362" s="711" t="n"/>
      <c r="K362" s="722">
        <f>G362*D362</f>
        <v/>
      </c>
      <c r="L362" s="710" t="n"/>
      <c r="M362" s="392" t="n"/>
    </row>
    <row r="363" ht="17.25" customHeight="1" s="436">
      <c r="A363" s="30" t="n">
        <v>43228</v>
      </c>
      <c r="B363" s="31" t="inlineStr">
        <is>
          <t>5726</t>
        </is>
      </c>
      <c r="C363" s="35" t="n"/>
      <c r="D363" s="36" t="n">
        <v>47</v>
      </c>
      <c r="E363" s="36" t="n"/>
      <c r="F363" s="37" t="n"/>
      <c r="G363" s="37" t="n">
        <v>25</v>
      </c>
      <c r="H363" s="33">
        <f>H362-G363</f>
        <v/>
      </c>
      <c r="I363" s="36" t="n"/>
      <c r="J363" s="711" t="n"/>
      <c r="K363" s="722">
        <f>G363*D363</f>
        <v/>
      </c>
      <c r="L363" s="710" t="n"/>
      <c r="M363" s="392" t="n"/>
    </row>
    <row r="364" ht="17.25" customHeight="1" s="436">
      <c r="A364" s="30" t="n">
        <v>43228</v>
      </c>
      <c r="B364" s="31" t="inlineStr">
        <is>
          <t>5727</t>
        </is>
      </c>
      <c r="C364" s="35" t="n"/>
      <c r="D364" s="36" t="n">
        <v>40</v>
      </c>
      <c r="E364" s="36" t="n"/>
      <c r="F364" s="37" t="n"/>
      <c r="G364" s="37" t="n">
        <v>10</v>
      </c>
      <c r="H364" s="33">
        <f>H363-G364</f>
        <v/>
      </c>
      <c r="I364" s="36" t="n"/>
      <c r="J364" s="711" t="n"/>
      <c r="K364" s="722">
        <f>G364*D364</f>
        <v/>
      </c>
      <c r="L364" s="710" t="n"/>
      <c r="M364" s="392" t="n"/>
    </row>
    <row r="365" ht="17.25" customHeight="1" s="436">
      <c r="A365" s="30" t="n">
        <v>43228</v>
      </c>
      <c r="B365" s="31" t="inlineStr">
        <is>
          <t>5728</t>
        </is>
      </c>
      <c r="C365" s="35" t="n"/>
      <c r="D365" s="36" t="n">
        <v>35</v>
      </c>
      <c r="E365" s="36" t="n"/>
      <c r="F365" s="37" t="n"/>
      <c r="G365" s="37" t="n">
        <v>20</v>
      </c>
      <c r="H365" s="33">
        <f>H364-G365</f>
        <v/>
      </c>
      <c r="I365" s="36" t="n"/>
      <c r="J365" s="711" t="n"/>
      <c r="K365" s="722">
        <f>G365*D365</f>
        <v/>
      </c>
      <c r="L365" s="710" t="n"/>
      <c r="M365" s="392" t="n"/>
    </row>
    <row r="366" ht="17.25" customHeight="1" s="436">
      <c r="A366" s="30" t="n">
        <v>43228</v>
      </c>
      <c r="B366" s="31" t="inlineStr">
        <is>
          <t>5729</t>
        </is>
      </c>
      <c r="C366" s="35" t="n"/>
      <c r="D366" s="36" t="n">
        <v>46</v>
      </c>
      <c r="E366" s="36" t="n"/>
      <c r="F366" s="37" t="n"/>
      <c r="G366" s="37" t="n">
        <v>30</v>
      </c>
      <c r="H366" s="33">
        <f>H365-G366</f>
        <v/>
      </c>
      <c r="I366" s="36" t="n"/>
      <c r="J366" s="711" t="n"/>
      <c r="K366" s="722">
        <f>G366*D366</f>
        <v/>
      </c>
      <c r="L366" s="710" t="n"/>
      <c r="M366" s="392" t="n"/>
    </row>
    <row r="367" ht="17.25" customHeight="1" s="436">
      <c r="A367" s="30" t="n">
        <v>43228</v>
      </c>
      <c r="B367" s="31" t="inlineStr">
        <is>
          <t>5731</t>
        </is>
      </c>
      <c r="C367" s="35" t="n"/>
      <c r="D367" s="36" t="n">
        <v>35</v>
      </c>
      <c r="E367" s="36" t="n"/>
      <c r="F367" s="37" t="n"/>
      <c r="G367" s="37" t="n">
        <v>10</v>
      </c>
      <c r="H367" s="33">
        <f>H366-G367</f>
        <v/>
      </c>
      <c r="I367" s="36" t="n"/>
      <c r="J367" s="711" t="n"/>
      <c r="K367" s="722">
        <f>G367*D367</f>
        <v/>
      </c>
      <c r="L367" s="710" t="n"/>
      <c r="M367" s="392" t="n"/>
    </row>
    <row r="368" ht="17.25" customHeight="1" s="436">
      <c r="A368" s="30" t="n">
        <v>43228</v>
      </c>
      <c r="B368" s="31" t="inlineStr">
        <is>
          <t>5733</t>
        </is>
      </c>
      <c r="C368" s="35" t="n"/>
      <c r="D368" s="36" t="n">
        <v>40</v>
      </c>
      <c r="E368" s="36" t="n"/>
      <c r="F368" s="37" t="n"/>
      <c r="G368" s="37" t="n">
        <v>10</v>
      </c>
      <c r="H368" s="33">
        <f>H367-G368</f>
        <v/>
      </c>
      <c r="I368" s="36" t="n"/>
      <c r="J368" s="711" t="n"/>
      <c r="K368" s="722">
        <f>G368*D368</f>
        <v/>
      </c>
      <c r="L368" s="710" t="n"/>
      <c r="M368" s="392" t="n"/>
    </row>
    <row r="369" ht="17.25" customHeight="1" s="436">
      <c r="A369" s="30" t="n">
        <v>43228</v>
      </c>
      <c r="B369" s="31" t="inlineStr">
        <is>
          <t>5735</t>
        </is>
      </c>
      <c r="C369" s="35" t="n"/>
      <c r="D369" s="36" t="n">
        <v>47</v>
      </c>
      <c r="E369" s="36" t="n"/>
      <c r="F369" s="37" t="n"/>
      <c r="G369" s="37" t="n">
        <v>50</v>
      </c>
      <c r="H369" s="33">
        <f>H368-G369</f>
        <v/>
      </c>
      <c r="I369" s="36" t="n"/>
      <c r="J369" s="711" t="n"/>
      <c r="K369" s="722">
        <f>G369*D369</f>
        <v/>
      </c>
      <c r="L369" s="710" t="n"/>
      <c r="M369" s="392" t="n"/>
    </row>
    <row r="370" ht="17.25" customHeight="1" s="436">
      <c r="A370" s="30" t="n">
        <v>43229</v>
      </c>
      <c r="B370" s="31" t="inlineStr">
        <is>
          <t>5736</t>
        </is>
      </c>
      <c r="C370" s="35" t="n"/>
      <c r="D370" s="36" t="n">
        <v>35</v>
      </c>
      <c r="E370" s="36" t="n"/>
      <c r="F370" s="37" t="n"/>
      <c r="G370" s="37" t="n">
        <v>30</v>
      </c>
      <c r="H370" s="33">
        <f>H369-G370</f>
        <v/>
      </c>
      <c r="I370" s="36" t="n"/>
      <c r="J370" s="711" t="n"/>
      <c r="K370" s="722">
        <f>G370*D370</f>
        <v/>
      </c>
      <c r="L370" s="710" t="n"/>
      <c r="M370" s="392" t="n"/>
    </row>
    <row r="371" ht="17.25" customHeight="1" s="436">
      <c r="A371" s="30" t="n">
        <v>43234</v>
      </c>
      <c r="B371" s="31" t="inlineStr">
        <is>
          <t>5740</t>
        </is>
      </c>
      <c r="C371" s="35" t="n"/>
      <c r="D371" s="36" t="n">
        <v>35</v>
      </c>
      <c r="E371" s="36" t="n"/>
      <c r="F371" s="37" t="n"/>
      <c r="G371" s="37" t="n">
        <v>15</v>
      </c>
      <c r="H371" s="33">
        <f>H370-G371</f>
        <v/>
      </c>
      <c r="I371" s="36" t="n"/>
      <c r="J371" s="711" t="n"/>
      <c r="K371" s="722">
        <f>G371*D371</f>
        <v/>
      </c>
      <c r="L371" s="710" t="n"/>
      <c r="M371" s="392" t="n"/>
    </row>
    <row r="372" ht="17.25" customHeight="1" s="436">
      <c r="A372" s="30" t="n">
        <v>43234</v>
      </c>
      <c r="B372" s="31" t="inlineStr">
        <is>
          <t>5741</t>
        </is>
      </c>
      <c r="C372" s="35" t="n"/>
      <c r="D372" s="36" t="n">
        <v>40</v>
      </c>
      <c r="E372" s="36" t="n"/>
      <c r="F372" s="37" t="n"/>
      <c r="G372" s="37" t="n">
        <v>10</v>
      </c>
      <c r="H372" s="33">
        <f>H371-G372</f>
        <v/>
      </c>
      <c r="I372" s="36" t="n"/>
      <c r="J372" s="711" t="n"/>
      <c r="K372" s="722">
        <f>G372*D372</f>
        <v/>
      </c>
      <c r="L372" s="710" t="n"/>
      <c r="M372" s="392" t="n"/>
    </row>
    <row r="373" ht="17.25" customHeight="1" s="436">
      <c r="A373" s="30" t="n">
        <v>43234</v>
      </c>
      <c r="B373" s="31" t="inlineStr">
        <is>
          <t>5742</t>
        </is>
      </c>
      <c r="C373" s="35" t="n"/>
      <c r="D373" s="36" t="n">
        <v>46.08</v>
      </c>
      <c r="E373" s="36" t="n"/>
      <c r="F373" s="37" t="n"/>
      <c r="G373" s="37" t="n">
        <v>70</v>
      </c>
      <c r="H373" s="33">
        <f>H372-G373</f>
        <v/>
      </c>
      <c r="I373" s="36" t="n"/>
      <c r="J373" s="711" t="n"/>
      <c r="K373" s="722">
        <f>G373*D373</f>
        <v/>
      </c>
      <c r="L373" s="710" t="n"/>
      <c r="M373" s="392" t="n"/>
    </row>
    <row r="374" ht="17.25" customHeight="1" s="436">
      <c r="A374" s="30" t="n">
        <v>43236</v>
      </c>
      <c r="B374" s="31" t="inlineStr">
        <is>
          <t>5746</t>
        </is>
      </c>
      <c r="C374" s="35" t="n"/>
      <c r="D374" s="36" t="n">
        <v>40</v>
      </c>
      <c r="E374" s="36" t="n"/>
      <c r="F374" s="37" t="n"/>
      <c r="G374" s="37" t="n">
        <v>40</v>
      </c>
      <c r="H374" s="33">
        <f>H373-G374</f>
        <v/>
      </c>
      <c r="I374" s="36" t="n"/>
      <c r="J374" s="711" t="n"/>
      <c r="K374" s="722">
        <f>G374*D374</f>
        <v/>
      </c>
      <c r="L374" s="710" t="n"/>
      <c r="M374" s="392" t="n"/>
    </row>
    <row r="375" ht="17.25" customHeight="1" s="436">
      <c r="A375" s="30" t="n">
        <v>43236</v>
      </c>
      <c r="B375" s="31" t="inlineStr">
        <is>
          <t>5748</t>
        </is>
      </c>
      <c r="C375" s="35" t="n"/>
      <c r="D375" s="36" t="n">
        <v>40</v>
      </c>
      <c r="E375" s="36" t="n"/>
      <c r="F375" s="37" t="n"/>
      <c r="G375" s="37" t="n">
        <v>20</v>
      </c>
      <c r="H375" s="33">
        <f>H374-G375</f>
        <v/>
      </c>
      <c r="I375" s="36" t="n"/>
      <c r="J375" s="711" t="n"/>
      <c r="K375" s="722">
        <f>G375*D375</f>
        <v/>
      </c>
      <c r="L375" s="710" t="n"/>
      <c r="M375" s="392" t="n"/>
    </row>
    <row r="376" ht="17.25" customHeight="1" s="436">
      <c r="A376" s="30" t="n">
        <v>43236</v>
      </c>
      <c r="B376" s="31" t="inlineStr">
        <is>
          <t>5751</t>
        </is>
      </c>
      <c r="C376" s="35" t="n"/>
      <c r="D376" s="36" t="n">
        <v>40</v>
      </c>
      <c r="E376" s="36" t="n"/>
      <c r="F376" s="37" t="n"/>
      <c r="G376" s="37" t="n">
        <v>60</v>
      </c>
      <c r="H376" s="33">
        <f>H375-G376</f>
        <v/>
      </c>
      <c r="I376" s="36" t="n"/>
      <c r="J376" s="711" t="n"/>
      <c r="K376" s="722">
        <f>G376*D376</f>
        <v/>
      </c>
      <c r="L376" s="710" t="n"/>
      <c r="M376" s="392" t="n"/>
    </row>
    <row r="377" ht="17.25" customHeight="1" s="436">
      <c r="A377" s="30" t="n">
        <v>43241</v>
      </c>
      <c r="B377" s="31" t="inlineStr">
        <is>
          <t>5753</t>
        </is>
      </c>
      <c r="C377" s="35" t="n"/>
      <c r="D377" s="36" t="n">
        <v>40</v>
      </c>
      <c r="E377" s="36" t="n"/>
      <c r="F377" s="37" t="n"/>
      <c r="G377" s="37" t="n">
        <v>30</v>
      </c>
      <c r="H377" s="33">
        <f>H376-G377</f>
        <v/>
      </c>
      <c r="I377" s="36" t="n"/>
      <c r="J377" s="711" t="n"/>
      <c r="K377" s="722">
        <f>G377*D377</f>
        <v/>
      </c>
      <c r="L377" s="710" t="n"/>
      <c r="M377" s="392" t="n"/>
    </row>
    <row r="378" ht="17.25" customHeight="1" s="436">
      <c r="A378" s="30" t="n">
        <v>43241</v>
      </c>
      <c r="B378" s="31" t="inlineStr">
        <is>
          <t>5754</t>
        </is>
      </c>
      <c r="C378" s="35" t="n"/>
      <c r="D378" s="36" t="n">
        <v>40</v>
      </c>
      <c r="E378" s="36" t="n"/>
      <c r="F378" s="37" t="n"/>
      <c r="G378" s="37" t="n">
        <v>10</v>
      </c>
      <c r="H378" s="33">
        <f>H377-G378</f>
        <v/>
      </c>
      <c r="I378" s="36" t="n"/>
      <c r="J378" s="711" t="n"/>
      <c r="K378" s="722">
        <f>G378*D378</f>
        <v/>
      </c>
      <c r="L378" s="710" t="n"/>
      <c r="M378" s="392" t="n"/>
    </row>
    <row r="379" ht="17.25" customHeight="1" s="436">
      <c r="A379" s="30" t="n">
        <v>43241</v>
      </c>
      <c r="B379" s="31" t="inlineStr">
        <is>
          <t>5755</t>
        </is>
      </c>
      <c r="C379" s="35" t="n"/>
      <c r="D379" s="36" t="n">
        <v>40</v>
      </c>
      <c r="E379" s="36" t="n"/>
      <c r="F379" s="37" t="n"/>
      <c r="G379" s="37" t="n">
        <v>10</v>
      </c>
      <c r="H379" s="33">
        <f>H378-G379</f>
        <v/>
      </c>
      <c r="I379" s="36" t="n"/>
      <c r="J379" s="711" t="n"/>
      <c r="K379" s="722">
        <f>G379*D379</f>
        <v/>
      </c>
      <c r="L379" s="710" t="n"/>
      <c r="M379" s="392" t="n"/>
    </row>
    <row r="380" ht="17.25" customHeight="1" s="436">
      <c r="A380" s="30" t="n">
        <v>43241</v>
      </c>
      <c r="B380" s="31" t="inlineStr">
        <is>
          <t>5756</t>
        </is>
      </c>
      <c r="C380" s="35" t="n"/>
      <c r="D380" s="36" t="n">
        <v>40</v>
      </c>
      <c r="E380" s="36" t="n"/>
      <c r="F380" s="37" t="n"/>
      <c r="G380" s="37" t="n">
        <v>10</v>
      </c>
      <c r="H380" s="33">
        <f>H379-G380</f>
        <v/>
      </c>
      <c r="I380" s="36" t="n"/>
      <c r="J380" s="711" t="n"/>
      <c r="K380" s="722">
        <f>G380*D380</f>
        <v/>
      </c>
      <c r="L380" s="710" t="n"/>
      <c r="M380" s="392" t="n"/>
    </row>
    <row r="381" ht="17.25" customHeight="1" s="436">
      <c r="A381" s="30" t="n">
        <v>43241</v>
      </c>
      <c r="B381" s="31" t="inlineStr">
        <is>
          <t>5757</t>
        </is>
      </c>
      <c r="C381" s="35" t="n"/>
      <c r="D381" s="36" t="n">
        <v>48</v>
      </c>
      <c r="E381" s="36" t="n"/>
      <c r="F381" s="37" t="n"/>
      <c r="G381" s="37" t="n">
        <v>40</v>
      </c>
      <c r="H381" s="33">
        <f>H380-G381</f>
        <v/>
      </c>
      <c r="I381" s="36" t="n"/>
      <c r="J381" s="711" t="n"/>
      <c r="K381" s="722">
        <f>G381*D381</f>
        <v/>
      </c>
      <c r="L381" s="710" t="n"/>
      <c r="M381" s="392" t="n"/>
    </row>
    <row r="382" ht="17.25" customHeight="1" s="436">
      <c r="A382" s="30" t="n">
        <v>43241</v>
      </c>
      <c r="B382" s="31" t="inlineStr">
        <is>
          <t>5758</t>
        </is>
      </c>
      <c r="C382" s="35" t="n"/>
      <c r="D382" s="36" t="n">
        <v>40</v>
      </c>
      <c r="E382" s="36" t="n"/>
      <c r="F382" s="37" t="n"/>
      <c r="G382" s="37" t="n">
        <v>15</v>
      </c>
      <c r="H382" s="33">
        <f>H381-G382</f>
        <v/>
      </c>
      <c r="I382" s="36" t="n"/>
      <c r="J382" s="711" t="n"/>
      <c r="K382" s="722">
        <f>G382*D382</f>
        <v/>
      </c>
      <c r="L382" s="710" t="n"/>
      <c r="M382" s="392" t="n"/>
    </row>
    <row r="383" ht="17.25" customHeight="1" s="436">
      <c r="A383" s="30" t="n">
        <v>43241</v>
      </c>
      <c r="B383" s="31" t="inlineStr">
        <is>
          <t>5759</t>
        </is>
      </c>
      <c r="C383" s="35" t="n"/>
      <c r="D383" s="36" t="n">
        <v>40</v>
      </c>
      <c r="E383" s="36" t="n"/>
      <c r="F383" s="37" t="n"/>
      <c r="G383" s="37" t="n">
        <v>30</v>
      </c>
      <c r="H383" s="33">
        <f>H382-G383</f>
        <v/>
      </c>
      <c r="I383" s="36" t="n"/>
      <c r="J383" s="711" t="n"/>
      <c r="K383" s="722">
        <f>G383*D383</f>
        <v/>
      </c>
      <c r="L383" s="710" t="n"/>
      <c r="M383" s="392" t="n"/>
    </row>
    <row r="384" ht="17.25" customHeight="1" s="436">
      <c r="A384" s="30" t="n">
        <v>43248</v>
      </c>
      <c r="B384" s="31" t="inlineStr">
        <is>
          <t>5760</t>
        </is>
      </c>
      <c r="C384" s="35" t="n"/>
      <c r="D384" s="36" t="n">
        <v>49</v>
      </c>
      <c r="E384" s="36" t="n"/>
      <c r="F384" s="37" t="n"/>
      <c r="G384" s="37" t="n">
        <v>25</v>
      </c>
      <c r="H384" s="33">
        <f>H383-G384</f>
        <v/>
      </c>
      <c r="I384" s="36" t="n"/>
      <c r="J384" s="711" t="n"/>
      <c r="K384" s="722">
        <f>G384*D384</f>
        <v/>
      </c>
      <c r="L384" s="710" t="n"/>
      <c r="M384" s="392" t="n"/>
    </row>
    <row r="385" ht="17.25" customHeight="1" s="436">
      <c r="A385" s="30" t="n">
        <v>43248</v>
      </c>
      <c r="B385" s="31" t="inlineStr">
        <is>
          <t>5763</t>
        </is>
      </c>
      <c r="C385" s="35" t="n"/>
      <c r="D385" s="36" t="n">
        <v>49</v>
      </c>
      <c r="E385" s="36" t="n"/>
      <c r="F385" s="37" t="n"/>
      <c r="G385" s="37" t="n">
        <v>30</v>
      </c>
      <c r="H385" s="33">
        <f>H384-G385</f>
        <v/>
      </c>
      <c r="I385" s="36" t="n"/>
      <c r="J385" s="711" t="n"/>
      <c r="K385" s="722">
        <f>G385*D385</f>
        <v/>
      </c>
      <c r="L385" s="710" t="n"/>
      <c r="M385" s="392" t="n"/>
    </row>
    <row r="386" ht="17.25" customHeight="1" s="436">
      <c r="A386" s="30" t="n">
        <v>43248</v>
      </c>
      <c r="B386" s="31" t="inlineStr">
        <is>
          <t>5765</t>
        </is>
      </c>
      <c r="C386" s="35" t="n"/>
      <c r="D386" s="36" t="n">
        <v>50</v>
      </c>
      <c r="E386" s="36" t="n"/>
      <c r="F386" s="37" t="n"/>
      <c r="G386" s="37" t="n">
        <v>50</v>
      </c>
      <c r="H386" s="33">
        <f>H385-G386</f>
        <v/>
      </c>
      <c r="I386" s="36" t="n"/>
      <c r="J386" s="711" t="n"/>
      <c r="K386" s="722">
        <f>G386*D386</f>
        <v/>
      </c>
      <c r="L386" s="710" t="n"/>
      <c r="M386" s="392" t="n"/>
    </row>
    <row r="387" ht="17.25" customHeight="1" s="436">
      <c r="A387" s="30" t="n">
        <v>43248</v>
      </c>
      <c r="B387" s="31" t="inlineStr">
        <is>
          <t>5766</t>
        </is>
      </c>
      <c r="C387" s="35" t="n"/>
      <c r="D387" s="36" t="n">
        <v>40</v>
      </c>
      <c r="E387" s="36" t="n"/>
      <c r="F387" s="37" t="n"/>
      <c r="G387" s="37" t="n">
        <v>30</v>
      </c>
      <c r="H387" s="33">
        <f>H386-G387</f>
        <v/>
      </c>
      <c r="I387" s="36" t="n"/>
      <c r="J387" s="711" t="n"/>
      <c r="K387" s="722">
        <f>G387*D387</f>
        <v/>
      </c>
      <c r="L387" s="710" t="n"/>
      <c r="M387" s="392" t="n"/>
    </row>
    <row r="388" ht="17.25" customHeight="1" s="436">
      <c r="A388" s="30" t="n">
        <v>43248</v>
      </c>
      <c r="B388" s="31" t="inlineStr">
        <is>
          <t>5767</t>
        </is>
      </c>
      <c r="C388" s="35" t="n"/>
      <c r="D388" s="36" t="n">
        <v>40</v>
      </c>
      <c r="E388" s="36" t="n"/>
      <c r="F388" s="37" t="n"/>
      <c r="G388" s="37" t="n">
        <v>60</v>
      </c>
      <c r="H388" s="33">
        <f>H387-G388</f>
        <v/>
      </c>
      <c r="I388" s="36" t="n"/>
      <c r="J388" s="711" t="n"/>
      <c r="K388" s="722">
        <f>G388*D388</f>
        <v/>
      </c>
      <c r="L388" s="710" t="n"/>
      <c r="M388" s="392" t="n"/>
    </row>
    <row r="389" ht="17.25" customHeight="1" s="436">
      <c r="A389" s="30" t="n">
        <v>43248</v>
      </c>
      <c r="B389" s="31" t="inlineStr">
        <is>
          <t>5768</t>
        </is>
      </c>
      <c r="C389" s="35" t="n"/>
      <c r="D389" s="36" t="n">
        <v>40</v>
      </c>
      <c r="E389" s="36" t="n"/>
      <c r="F389" s="37" t="n"/>
      <c r="G389" s="37" t="n">
        <v>60</v>
      </c>
      <c r="H389" s="33">
        <f>H388-G389</f>
        <v/>
      </c>
      <c r="I389" s="36" t="n"/>
      <c r="J389" s="711" t="n"/>
      <c r="K389" s="722">
        <f>G389*D389</f>
        <v/>
      </c>
      <c r="L389" s="710" t="n"/>
      <c r="M389" s="392" t="n"/>
    </row>
    <row r="390" ht="17.25" customHeight="1" s="436">
      <c r="A390" s="30" t="n">
        <v>43248</v>
      </c>
      <c r="B390" s="31" t="inlineStr">
        <is>
          <t>5769</t>
        </is>
      </c>
      <c r="C390" s="35" t="n"/>
      <c r="D390" s="36" t="n">
        <v>49</v>
      </c>
      <c r="E390" s="36" t="n"/>
      <c r="F390" s="37" t="n"/>
      <c r="G390" s="37" t="n">
        <v>30</v>
      </c>
      <c r="H390" s="33">
        <f>H389-G390</f>
        <v/>
      </c>
      <c r="I390" s="36" t="n"/>
      <c r="J390" s="711" t="n"/>
      <c r="K390" s="722">
        <f>G390*D390</f>
        <v/>
      </c>
      <c r="L390" s="710" t="n"/>
      <c r="M390" s="392" t="n"/>
    </row>
    <row r="391" ht="17.25" customHeight="1" s="436">
      <c r="A391" s="30" t="n">
        <v>43249</v>
      </c>
      <c r="B391" s="31" t="inlineStr">
        <is>
          <t>5770</t>
        </is>
      </c>
      <c r="C391" s="35" t="n"/>
      <c r="D391" s="36" t="n">
        <v>40</v>
      </c>
      <c r="E391" s="36" t="n"/>
      <c r="F391" s="37" t="n"/>
      <c r="G391" s="37" t="n">
        <v>10</v>
      </c>
      <c r="H391" s="33">
        <f>H390-G391</f>
        <v/>
      </c>
      <c r="I391" s="36" t="n"/>
      <c r="J391" s="711" t="n"/>
      <c r="K391" s="722">
        <f>G391*D391</f>
        <v/>
      </c>
      <c r="L391" s="710" t="n"/>
      <c r="M391" s="392" t="n"/>
    </row>
    <row r="392" ht="17.25" customHeight="1" s="436">
      <c r="A392" s="30" t="n">
        <v>43249</v>
      </c>
      <c r="B392" s="31" t="inlineStr">
        <is>
          <t>5771</t>
        </is>
      </c>
      <c r="C392" s="35" t="n"/>
      <c r="D392" s="36" t="n">
        <v>40</v>
      </c>
      <c r="E392" s="36" t="n"/>
      <c r="F392" s="37" t="n"/>
      <c r="G392" s="37" t="n">
        <v>10</v>
      </c>
      <c r="H392" s="33">
        <f>H391-G392</f>
        <v/>
      </c>
      <c r="I392" s="36" t="n"/>
      <c r="J392" s="711" t="n"/>
      <c r="K392" s="722">
        <f>G392*D392</f>
        <v/>
      </c>
      <c r="L392" s="710" t="n"/>
      <c r="M392" s="392" t="n"/>
    </row>
    <row r="393" ht="17.25" customHeight="1" s="436">
      <c r="A393" s="30" t="n">
        <v>43249</v>
      </c>
      <c r="B393" s="31" t="inlineStr">
        <is>
          <t>5776</t>
        </is>
      </c>
      <c r="C393" s="35" t="n"/>
      <c r="D393" s="36" t="n">
        <v>52</v>
      </c>
      <c r="E393" s="36" t="n"/>
      <c r="F393" s="37" t="n"/>
      <c r="G393" s="37" t="n">
        <v>20</v>
      </c>
      <c r="H393" s="33">
        <f>H392-G393</f>
        <v/>
      </c>
      <c r="I393" s="36" t="n"/>
      <c r="J393" s="711" t="n"/>
      <c r="K393" s="722">
        <f>G393*D393</f>
        <v/>
      </c>
      <c r="L393" s="710" t="n"/>
      <c r="M393" s="392" t="n"/>
    </row>
    <row r="394" ht="17.25" customHeight="1" s="436">
      <c r="A394" s="30" t="n">
        <v>43249</v>
      </c>
      <c r="B394" s="31" t="inlineStr">
        <is>
          <t>5777</t>
        </is>
      </c>
      <c r="C394" s="35" t="n"/>
      <c r="D394" s="36" t="n">
        <v>40</v>
      </c>
      <c r="E394" s="36" t="n"/>
      <c r="F394" s="37" t="n"/>
      <c r="G394" s="37" t="n">
        <v>20</v>
      </c>
      <c r="H394" s="33">
        <f>H393-G394</f>
        <v/>
      </c>
      <c r="I394" s="36" t="n"/>
      <c r="J394" s="711" t="n"/>
      <c r="K394" s="722">
        <f>G394*D394</f>
        <v/>
      </c>
      <c r="L394" s="710" t="n"/>
      <c r="M394" s="392" t="n"/>
    </row>
    <row r="395" ht="17.25" customHeight="1" s="436">
      <c r="A395" s="30" t="n">
        <v>43220</v>
      </c>
      <c r="B395" s="31" t="inlineStr">
        <is>
          <t>5709</t>
        </is>
      </c>
      <c r="C395" s="35" t="n"/>
      <c r="D395" s="36" t="n">
        <v>58</v>
      </c>
      <c r="E395" s="36" t="n"/>
      <c r="F395" s="37" t="n"/>
      <c r="G395" s="37" t="n"/>
      <c r="H395" s="33">
        <f>H394-G395</f>
        <v/>
      </c>
      <c r="I395" s="36" t="n"/>
      <c r="J395" s="711" t="n"/>
      <c r="K395" s="722">
        <f>G395*D395</f>
        <v/>
      </c>
      <c r="L395" s="710" t="n"/>
      <c r="M395" s="392" t="n"/>
    </row>
    <row r="396" ht="17.25" customHeight="1" s="436">
      <c r="A396" s="30" t="n">
        <v>43221</v>
      </c>
      <c r="B396" s="31" t="inlineStr">
        <is>
          <t>5710</t>
        </is>
      </c>
      <c r="C396" s="35" t="n"/>
      <c r="D396" s="36" t="n">
        <v>59</v>
      </c>
      <c r="E396" s="36" t="n"/>
      <c r="F396" s="37" t="n"/>
      <c r="G396" s="37" t="n"/>
      <c r="H396" s="33">
        <f>H395-G396</f>
        <v/>
      </c>
      <c r="I396" s="36" t="n"/>
      <c r="J396" s="711" t="n"/>
      <c r="K396" s="722">
        <f>G396*D396</f>
        <v/>
      </c>
      <c r="L396" s="710" t="n"/>
      <c r="M396" s="392" t="n"/>
    </row>
    <row r="397" ht="17.25" customHeight="1" s="436">
      <c r="A397" s="30" t="n">
        <v>43222</v>
      </c>
      <c r="B397" s="31" t="inlineStr">
        <is>
          <t>5711</t>
        </is>
      </c>
      <c r="C397" s="35" t="n"/>
      <c r="D397" s="36" t="n">
        <v>60</v>
      </c>
      <c r="E397" s="36" t="n"/>
      <c r="F397" s="37" t="n"/>
      <c r="G397" s="37" t="n"/>
      <c r="H397" s="33">
        <f>H396-G397</f>
        <v/>
      </c>
      <c r="I397" s="36" t="n"/>
      <c r="J397" s="711" t="n"/>
      <c r="K397" s="722">
        <f>G397*D397</f>
        <v/>
      </c>
      <c r="L397" s="710" t="n"/>
      <c r="M397" s="392" t="n"/>
    </row>
    <row r="398" ht="17.25" customHeight="1" s="436">
      <c r="A398" s="30" t="n">
        <v>43223</v>
      </c>
      <c r="B398" s="31" t="inlineStr">
        <is>
          <t>5712</t>
        </is>
      </c>
      <c r="C398" s="35" t="n"/>
      <c r="D398" s="36" t="n">
        <v>61</v>
      </c>
      <c r="E398" s="36" t="n"/>
      <c r="F398" s="37" t="n"/>
      <c r="G398" s="37" t="n"/>
      <c r="H398" s="33">
        <f>H397-G398</f>
        <v/>
      </c>
      <c r="I398" s="36" t="n"/>
      <c r="J398" s="711" t="n"/>
      <c r="K398" s="722">
        <f>G398*D398</f>
        <v/>
      </c>
      <c r="L398" s="710" t="n"/>
      <c r="M398" s="392" t="n"/>
    </row>
    <row r="399" ht="17.25" customHeight="1" s="436">
      <c r="A399" s="30" t="n">
        <v>43224</v>
      </c>
      <c r="B399" s="31" t="inlineStr">
        <is>
          <t>5713</t>
        </is>
      </c>
      <c r="C399" s="35" t="n"/>
      <c r="D399" s="36" t="n">
        <v>62</v>
      </c>
      <c r="E399" s="36" t="n"/>
      <c r="F399" s="37" t="n"/>
      <c r="G399" s="37" t="n"/>
      <c r="H399" s="33">
        <f>H398-G399</f>
        <v/>
      </c>
      <c r="I399" s="36" t="n"/>
      <c r="J399" s="711" t="n"/>
      <c r="K399" s="722">
        <f>G399*D399</f>
        <v/>
      </c>
      <c r="L399" s="710" t="n"/>
      <c r="M399" s="392" t="n"/>
    </row>
    <row r="400" ht="17.25" customHeight="1" s="436">
      <c r="A400" s="30" t="n">
        <v>43225</v>
      </c>
      <c r="B400" s="31" t="inlineStr">
        <is>
          <t>5714</t>
        </is>
      </c>
      <c r="C400" s="35" t="n"/>
      <c r="D400" s="36" t="n">
        <v>63</v>
      </c>
      <c r="E400" s="36" t="n"/>
      <c r="F400" s="37" t="n"/>
      <c r="G400" s="37" t="n"/>
      <c r="H400" s="33">
        <f>H399-G400</f>
        <v/>
      </c>
      <c r="I400" s="36" t="n"/>
      <c r="J400" s="711" t="n"/>
      <c r="K400" s="722">
        <f>G400*D400</f>
        <v/>
      </c>
      <c r="L400" s="710" t="n"/>
      <c r="M400" s="392" t="n"/>
    </row>
    <row r="401" ht="17.25" customHeight="1" s="436">
      <c r="A401" s="30" t="n">
        <v>43226</v>
      </c>
      <c r="B401" s="31" t="inlineStr">
        <is>
          <t>5715</t>
        </is>
      </c>
      <c r="C401" s="35" t="n"/>
      <c r="D401" s="36" t="n">
        <v>64</v>
      </c>
      <c r="E401" s="36" t="n"/>
      <c r="F401" s="37" t="n"/>
      <c r="G401" s="37" t="n"/>
      <c r="H401" s="33">
        <f>H400-G401</f>
        <v/>
      </c>
      <c r="I401" s="36" t="n"/>
      <c r="J401" s="711" t="n"/>
      <c r="K401" s="722">
        <f>G401*D401</f>
        <v/>
      </c>
      <c r="L401" s="710" t="n"/>
      <c r="M401" s="392" t="n"/>
    </row>
    <row r="402" ht="17.25" customHeight="1" s="436">
      <c r="A402" s="30" t="n">
        <v>43227</v>
      </c>
      <c r="B402" s="31" t="inlineStr">
        <is>
          <t>5716</t>
        </is>
      </c>
      <c r="C402" s="35" t="n"/>
      <c r="D402" s="36" t="n">
        <v>65</v>
      </c>
      <c r="E402" s="36" t="n"/>
      <c r="F402" s="37" t="n"/>
      <c r="G402" s="37" t="n"/>
      <c r="H402" s="33">
        <f>H401-G402</f>
        <v/>
      </c>
      <c r="I402" s="36" t="n"/>
      <c r="J402" s="711" t="n"/>
      <c r="K402" s="722">
        <f>G402*D402</f>
        <v/>
      </c>
      <c r="L402" s="710" t="n"/>
      <c r="M402" s="392" t="n"/>
    </row>
    <row r="403" ht="17.25" customHeight="1" s="436">
      <c r="A403" s="30" t="n">
        <v>43228</v>
      </c>
      <c r="B403" s="31" t="inlineStr">
        <is>
          <t>5717</t>
        </is>
      </c>
      <c r="C403" s="35" t="n"/>
      <c r="D403" s="36" t="n">
        <v>66</v>
      </c>
      <c r="E403" s="36" t="n"/>
      <c r="F403" s="37" t="n"/>
      <c r="G403" s="37" t="n"/>
      <c r="H403" s="33">
        <f>H402-G403</f>
        <v/>
      </c>
      <c r="I403" s="36" t="n"/>
      <c r="J403" s="711" t="n"/>
      <c r="K403" s="722">
        <f>G403*D403</f>
        <v/>
      </c>
      <c r="L403" s="710" t="n"/>
      <c r="M403" s="392" t="n"/>
    </row>
    <row r="404" ht="17.25" customHeight="1" s="436">
      <c r="A404" s="30" t="n">
        <v>43229</v>
      </c>
      <c r="B404" s="31" t="inlineStr">
        <is>
          <t>5718</t>
        </is>
      </c>
      <c r="C404" s="35" t="n"/>
      <c r="D404" s="36" t="n">
        <v>67</v>
      </c>
      <c r="E404" s="36" t="n"/>
      <c r="F404" s="37" t="n"/>
      <c r="G404" s="37" t="n"/>
      <c r="H404" s="33">
        <f>H403-G404</f>
        <v/>
      </c>
      <c r="I404" s="36" t="n"/>
      <c r="J404" s="711" t="n"/>
      <c r="K404" s="722">
        <f>G404*D404</f>
        <v/>
      </c>
      <c r="L404" s="710" t="n"/>
      <c r="M404" s="392" t="n"/>
    </row>
    <row r="405" ht="17.25" customHeight="1" s="436">
      <c r="A405" s="30" t="n">
        <v>43230</v>
      </c>
      <c r="B405" s="31" t="inlineStr">
        <is>
          <t>5719</t>
        </is>
      </c>
      <c r="C405" s="35" t="n"/>
      <c r="D405" s="36" t="n">
        <v>68</v>
      </c>
      <c r="E405" s="36" t="n"/>
      <c r="F405" s="37" t="n"/>
      <c r="G405" s="37" t="n"/>
      <c r="H405" s="33">
        <f>H404-G405</f>
        <v/>
      </c>
      <c r="I405" s="36" t="n"/>
      <c r="J405" s="711" t="n"/>
      <c r="K405" s="722">
        <f>G405*D405</f>
        <v/>
      </c>
      <c r="L405" s="710" t="n"/>
      <c r="M405" s="392" t="n"/>
    </row>
    <row r="406" ht="17.25" customHeight="1" s="436">
      <c r="A406" s="30" t="n">
        <v>43231</v>
      </c>
      <c r="B406" s="31" t="inlineStr">
        <is>
          <t>5720</t>
        </is>
      </c>
      <c r="C406" s="35" t="n"/>
      <c r="D406" s="36" t="n">
        <v>69</v>
      </c>
      <c r="E406" s="36" t="n"/>
      <c r="F406" s="37" t="n"/>
      <c r="G406" s="37" t="n"/>
      <c r="H406" s="33">
        <f>H405-G406</f>
        <v/>
      </c>
      <c r="I406" s="36" t="n"/>
      <c r="J406" s="711" t="n"/>
      <c r="K406" s="722">
        <f>G406*D406</f>
        <v/>
      </c>
      <c r="L406" s="710" t="n"/>
      <c r="M406" s="392" t="n"/>
    </row>
    <row r="407" ht="17.25" customHeight="1" s="436">
      <c r="A407" s="30" t="n">
        <v>43232</v>
      </c>
      <c r="B407" s="31" t="inlineStr">
        <is>
          <t>5721</t>
        </is>
      </c>
      <c r="C407" s="35" t="n"/>
      <c r="D407" s="36" t="n">
        <v>70</v>
      </c>
      <c r="E407" s="36" t="n"/>
      <c r="F407" s="37" t="n"/>
      <c r="G407" s="37" t="n"/>
      <c r="H407" s="33">
        <f>H406-G407</f>
        <v/>
      </c>
      <c r="I407" s="36" t="n"/>
      <c r="J407" s="711" t="n"/>
      <c r="K407" s="722">
        <f>G407*D407</f>
        <v/>
      </c>
      <c r="L407" s="710" t="n"/>
      <c r="M407" s="392" t="n"/>
    </row>
    <row r="408" ht="17.25" customHeight="1" s="436">
      <c r="A408" s="30" t="n">
        <v>43233</v>
      </c>
      <c r="B408" s="31" t="inlineStr">
        <is>
          <t>5722</t>
        </is>
      </c>
      <c r="C408" s="35" t="n"/>
      <c r="D408" s="36" t="n">
        <v>71</v>
      </c>
      <c r="E408" s="36" t="n"/>
      <c r="F408" s="37" t="n"/>
      <c r="G408" s="37" t="n"/>
      <c r="H408" s="33">
        <f>H407-G408</f>
        <v/>
      </c>
      <c r="I408" s="36" t="n"/>
      <c r="J408" s="711" t="n"/>
      <c r="K408" s="722">
        <f>G408*D408</f>
        <v/>
      </c>
      <c r="L408" s="710" t="n"/>
      <c r="M408" s="392" t="n"/>
    </row>
    <row r="409" ht="17.25" customHeight="1" s="436">
      <c r="A409" s="30" t="n">
        <v>43234</v>
      </c>
      <c r="B409" s="31" t="inlineStr">
        <is>
          <t>5723</t>
        </is>
      </c>
      <c r="C409" s="35" t="n"/>
      <c r="D409" s="36" t="n">
        <v>72</v>
      </c>
      <c r="E409" s="36" t="n"/>
      <c r="F409" s="37" t="n"/>
      <c r="G409" s="37" t="n"/>
      <c r="H409" s="33">
        <f>H408-G409</f>
        <v/>
      </c>
      <c r="I409" s="36" t="n"/>
      <c r="J409" s="711" t="n"/>
      <c r="K409" s="722">
        <f>G409*D409</f>
        <v/>
      </c>
      <c r="L409" s="710" t="n"/>
      <c r="M409" s="392" t="n"/>
    </row>
    <row r="410"/>
    <row r="411"/>
    <row r="412"/>
    <row r="413"/>
    <row r="414"/>
    <row r="415"/>
    <row r="416"/>
    <row r="417" ht="15.75" customHeight="1" s="436" thickBot="1"/>
    <row r="418" ht="27" customHeight="1" s="436" thickBot="1">
      <c r="A418" s="720" t="inlineStr">
        <is>
          <t xml:space="preserve"> FARINHA DE TRIGO TIPO: 1 - 25 KG</t>
        </is>
      </c>
      <c r="B418" s="697" t="n"/>
      <c r="C418" s="697" t="n"/>
      <c r="D418" s="697" t="n"/>
      <c r="E418" s="697" t="n"/>
      <c r="F418" s="697" t="n"/>
      <c r="G418" s="697" t="n"/>
      <c r="H418" s="697" t="n"/>
      <c r="I418" s="697" t="n"/>
      <c r="J418" s="697" t="n"/>
      <c r="K418" s="697" t="n"/>
      <c r="L418" s="697" t="n"/>
      <c r="M418" s="698" t="n"/>
    </row>
    <row r="419">
      <c r="A419" s="643" t="inlineStr">
        <is>
          <t>DATA</t>
        </is>
      </c>
      <c r="B419" s="633" t="inlineStr">
        <is>
          <t>N.F.</t>
        </is>
      </c>
      <c r="C419" s="633" t="inlineStr">
        <is>
          <t>TIPO</t>
        </is>
      </c>
      <c r="D419" s="633" t="inlineStr">
        <is>
          <t>PREÇO UNITÁRIO</t>
        </is>
      </c>
      <c r="E419" s="701" t="n"/>
      <c r="F419" s="633" t="inlineStr">
        <is>
          <t>QUANTIDADE / KG</t>
        </is>
      </c>
      <c r="H419" s="701" t="n"/>
      <c r="I419" s="632" t="inlineStr">
        <is>
          <t>PREÇO</t>
        </is>
      </c>
      <c r="J419" s="632" t="inlineStr">
        <is>
          <t>VALORES</t>
        </is>
      </c>
      <c r="L419" s="701" t="n"/>
      <c r="M419" s="649" t="n"/>
    </row>
    <row r="420" ht="15.75" customHeight="1" s="436" thickBot="1">
      <c r="A420" s="703" t="n"/>
      <c r="B420" s="704" t="n"/>
      <c r="C420" s="704" t="n"/>
      <c r="D420" s="703" t="n"/>
      <c r="E420" s="701" t="n"/>
      <c r="F420" s="705" t="n"/>
      <c r="G420" s="706" t="n"/>
      <c r="H420" s="707" t="n"/>
      <c r="I420" s="704" t="n"/>
      <c r="J420" s="703" t="n"/>
      <c r="L420" s="701" t="n"/>
      <c r="M420" s="704" t="n"/>
    </row>
    <row r="421" ht="15.75" customHeight="1" s="436" thickBot="1">
      <c r="A421" s="703" t="n"/>
      <c r="B421" s="704" t="n"/>
      <c r="C421" s="704" t="n"/>
      <c r="D421" s="705" t="n"/>
      <c r="E421" s="707" t="n"/>
      <c r="F421" s="3" t="inlineStr">
        <is>
          <t>ENTRADA</t>
        </is>
      </c>
      <c r="G421" s="3" t="inlineStr">
        <is>
          <t>SAÍDA</t>
        </is>
      </c>
      <c r="H421" s="640" t="inlineStr">
        <is>
          <t>SALDO EM 30/5/2018</t>
        </is>
      </c>
      <c r="I421" s="633" t="inlineStr">
        <is>
          <t>MÉDIO</t>
        </is>
      </c>
      <c r="J421" s="652" t="inlineStr">
        <is>
          <t>SALDO EM 30/11/2017</t>
        </is>
      </c>
      <c r="K421" s="706" t="n"/>
      <c r="L421" s="17" t="n"/>
      <c r="M421" s="704" t="n"/>
    </row>
    <row r="422" ht="18" customHeight="1" s="436" thickBot="1">
      <c r="A422" s="705" t="n"/>
      <c r="B422" s="695" t="n"/>
      <c r="C422" s="695" t="n"/>
      <c r="D422" s="3" t="inlineStr">
        <is>
          <t>C/ICMS</t>
        </is>
      </c>
      <c r="E422" s="3" t="inlineStr">
        <is>
          <t>S/ICMS</t>
        </is>
      </c>
      <c r="F422" s="695" t="n"/>
      <c r="G422" s="695" t="n"/>
      <c r="H422" s="84" t="n"/>
      <c r="I422" s="695" t="n"/>
      <c r="J422" s="645" t="inlineStr">
        <is>
          <t>ENTRADA</t>
        </is>
      </c>
      <c r="K422" s="633" t="inlineStr">
        <is>
          <t>SAÍDA / CMV</t>
        </is>
      </c>
      <c r="L422" s="643" t="inlineStr">
        <is>
          <t>SALDO</t>
        </is>
      </c>
      <c r="M422" s="392" t="n"/>
    </row>
    <row r="423" ht="17.25" customHeight="1" s="436">
      <c r="A423" s="30" t="n"/>
      <c r="B423" s="31" t="n"/>
      <c r="C423" s="35" t="n"/>
      <c r="D423" s="36" t="n"/>
      <c r="E423" s="36" t="n"/>
      <c r="F423" s="37" t="n"/>
      <c r="G423" s="37" t="n">
        <v>0</v>
      </c>
      <c r="H423" s="37" t="n"/>
      <c r="I423" s="36" t="n"/>
      <c r="J423" s="711">
        <f>F423*I423</f>
        <v/>
      </c>
      <c r="K423" s="721" t="n">
        <v>0</v>
      </c>
      <c r="L423" s="710">
        <f>J423-K423</f>
        <v/>
      </c>
      <c r="M423" s="392" t="n"/>
    </row>
    <row r="424" ht="17.25" customHeight="1" s="436">
      <c r="A424" s="92" t="n">
        <v>43250</v>
      </c>
      <c r="B424" s="93" t="n"/>
      <c r="C424" s="93" t="n"/>
      <c r="D424" s="94" t="n"/>
      <c r="E424" s="94" t="n"/>
      <c r="F424" s="95" t="n"/>
      <c r="G424" s="95" t="n"/>
      <c r="H424" s="95" t="n">
        <v>1138</v>
      </c>
      <c r="I424" s="32" t="n"/>
      <c r="J424" s="711" t="n"/>
      <c r="K424" s="722" t="n"/>
      <c r="L424" s="710" t="n"/>
      <c r="M424" s="392" t="n"/>
    </row>
    <row r="425" ht="17.25" customHeight="1" s="436">
      <c r="A425" s="92" t="n">
        <v>43250</v>
      </c>
      <c r="B425" s="93" t="inlineStr">
        <is>
          <t>2312</t>
        </is>
      </c>
      <c r="C425" s="93" t="n"/>
      <c r="D425" s="94" t="n">
        <v>31.5</v>
      </c>
      <c r="E425" s="94" t="n"/>
      <c r="F425" s="95" t="n">
        <v>200</v>
      </c>
      <c r="G425" s="95" t="n"/>
      <c r="H425" s="95" t="n">
        <v>1338</v>
      </c>
      <c r="I425" s="32" t="n"/>
      <c r="J425" s="711" t="n"/>
      <c r="K425" s="722" t="n"/>
      <c r="L425" s="710" t="n"/>
      <c r="M425" s="392" t="n"/>
    </row>
    <row r="426" ht="17.25" customHeight="1" s="436">
      <c r="A426" s="30" t="n">
        <v>43254</v>
      </c>
      <c r="B426" s="31" t="inlineStr">
        <is>
          <t>5781</t>
        </is>
      </c>
      <c r="C426" s="31" t="n"/>
      <c r="D426" s="32" t="n">
        <v>40</v>
      </c>
      <c r="E426" s="32" t="n"/>
      <c r="F426" s="33" t="n"/>
      <c r="G426" s="33" t="n">
        <v>100</v>
      </c>
      <c r="H426" s="33">
        <f>H425-G426</f>
        <v/>
      </c>
      <c r="I426" s="32" t="n"/>
      <c r="J426" s="711">
        <f>F426*I426</f>
        <v/>
      </c>
      <c r="K426" s="722">
        <f>G426*D426</f>
        <v/>
      </c>
      <c r="L426" s="710">
        <f>J426-K426</f>
        <v/>
      </c>
      <c r="M426" s="392" t="n"/>
    </row>
    <row r="427" ht="17.25" customHeight="1" s="436">
      <c r="A427" s="92" t="n">
        <v>43252</v>
      </c>
      <c r="B427" s="139" t="n">
        <v>32791</v>
      </c>
      <c r="C427" s="96" t="n"/>
      <c r="D427" s="97" t="n">
        <v>43.7</v>
      </c>
      <c r="E427" s="97" t="n"/>
      <c r="F427" s="98" t="n">
        <v>1080</v>
      </c>
      <c r="G427" s="98" t="n"/>
      <c r="H427" s="95" t="n">
        <v>2318</v>
      </c>
      <c r="I427" s="99" t="n"/>
      <c r="J427" s="711" t="n"/>
      <c r="K427" s="722">
        <f>G427*D427</f>
        <v/>
      </c>
      <c r="L427" s="710" t="n"/>
      <c r="M427" s="392" t="n"/>
    </row>
    <row r="428" ht="17.25" customHeight="1" s="436">
      <c r="A428" s="30" t="n">
        <v>43256</v>
      </c>
      <c r="B428" s="31" t="inlineStr">
        <is>
          <t>5782</t>
        </is>
      </c>
      <c r="C428" s="35" t="n"/>
      <c r="D428" s="36" t="n">
        <v>53.5</v>
      </c>
      <c r="E428" s="36" t="n"/>
      <c r="F428" s="37" t="n"/>
      <c r="G428" s="37" t="n">
        <v>40</v>
      </c>
      <c r="H428" s="33">
        <f>H427-G428</f>
        <v/>
      </c>
      <c r="I428" s="36" t="n"/>
      <c r="J428" s="711" t="n"/>
      <c r="K428" s="722">
        <f>G428*D428</f>
        <v/>
      </c>
      <c r="L428" s="710" t="n"/>
      <c r="M428" s="392" t="n"/>
    </row>
    <row r="429" ht="17.25" customHeight="1" s="436">
      <c r="A429" s="30" t="n">
        <v>43256</v>
      </c>
      <c r="B429" s="31" t="inlineStr">
        <is>
          <t>5783</t>
        </is>
      </c>
      <c r="C429" s="35" t="n"/>
      <c r="D429" s="36" t="n">
        <v>50</v>
      </c>
      <c r="E429" s="36" t="n"/>
      <c r="F429" s="37" t="n"/>
      <c r="G429" s="37" t="n">
        <v>30</v>
      </c>
      <c r="H429" s="33">
        <f>H428-G429</f>
        <v/>
      </c>
      <c r="I429" s="36" t="n"/>
      <c r="J429" s="711" t="n"/>
      <c r="K429" s="722">
        <f>G429*D429</f>
        <v/>
      </c>
      <c r="L429" s="710" t="n"/>
      <c r="M429" s="392" t="n"/>
    </row>
    <row r="430" ht="17.25" customHeight="1" s="436">
      <c r="A430" s="30" t="n">
        <v>43256</v>
      </c>
      <c r="B430" s="31" t="inlineStr">
        <is>
          <t>5787</t>
        </is>
      </c>
      <c r="C430" s="35" t="n"/>
      <c r="D430" s="36" t="n">
        <v>46</v>
      </c>
      <c r="E430" s="36" t="n"/>
      <c r="F430" s="37" t="n"/>
      <c r="G430" s="37" t="n">
        <v>20</v>
      </c>
      <c r="H430" s="33">
        <f>H429-G430</f>
        <v/>
      </c>
      <c r="I430" s="36" t="n"/>
      <c r="J430" s="711" t="n"/>
      <c r="K430" s="722">
        <f>G430*D430</f>
        <v/>
      </c>
      <c r="L430" s="710" t="n"/>
      <c r="M430" s="392" t="n"/>
    </row>
    <row r="431" ht="17.25" customHeight="1" s="436">
      <c r="A431" s="30" t="n">
        <v>43256</v>
      </c>
      <c r="B431" s="31" t="inlineStr">
        <is>
          <t>5789</t>
        </is>
      </c>
      <c r="C431" s="35" t="n"/>
      <c r="D431" s="36" t="n">
        <v>51</v>
      </c>
      <c r="E431" s="36" t="n"/>
      <c r="F431" s="37" t="n"/>
      <c r="G431" s="37" t="n">
        <v>100</v>
      </c>
      <c r="H431" s="33">
        <f>H430-G431</f>
        <v/>
      </c>
      <c r="I431" s="36" t="n"/>
      <c r="J431" s="711" t="n"/>
      <c r="K431" s="722">
        <f>G431*D431</f>
        <v/>
      </c>
      <c r="L431" s="710" t="n"/>
      <c r="M431" s="392" t="n"/>
    </row>
    <row r="432" ht="17.25" customHeight="1" s="436">
      <c r="A432" s="30" t="n">
        <v>43256</v>
      </c>
      <c r="B432" s="31" t="inlineStr">
        <is>
          <t>5792</t>
        </is>
      </c>
      <c r="C432" s="35" t="n"/>
      <c r="D432" s="36" t="n">
        <v>54</v>
      </c>
      <c r="E432" s="36" t="n"/>
      <c r="F432" s="37" t="n"/>
      <c r="G432" s="37" t="n">
        <v>30</v>
      </c>
      <c r="H432" s="33">
        <f>H431-G432</f>
        <v/>
      </c>
      <c r="I432" s="36" t="n"/>
      <c r="J432" s="711" t="n"/>
      <c r="K432" s="722">
        <f>G432*D432</f>
        <v/>
      </c>
      <c r="L432" s="710" t="n"/>
      <c r="M432" s="392" t="n"/>
    </row>
    <row r="433" ht="17.25" customHeight="1" s="436">
      <c r="A433" s="30" t="n">
        <v>43262</v>
      </c>
      <c r="B433" s="31" t="inlineStr">
        <is>
          <t>5793</t>
        </is>
      </c>
      <c r="C433" s="35" t="n"/>
      <c r="D433" s="36" t="n">
        <v>40</v>
      </c>
      <c r="E433" s="36" t="n"/>
      <c r="F433" s="37" t="n"/>
      <c r="G433" s="101" t="n">
        <v>20</v>
      </c>
      <c r="H433" s="33">
        <f>H432-G433</f>
        <v/>
      </c>
      <c r="I433" s="36" t="n"/>
      <c r="J433" s="711" t="n"/>
      <c r="K433" s="722">
        <f>G433*D433</f>
        <v/>
      </c>
      <c r="L433" s="710" t="n"/>
      <c r="M433" s="392" t="n"/>
    </row>
    <row r="434" ht="17.25" customHeight="1" s="436">
      <c r="A434" s="30" t="n">
        <v>43262</v>
      </c>
      <c r="B434" s="31" t="inlineStr">
        <is>
          <t>5795</t>
        </is>
      </c>
      <c r="C434" s="35" t="n"/>
      <c r="D434" s="36" t="n">
        <v>40</v>
      </c>
      <c r="E434" s="36" t="n"/>
      <c r="F434" s="37" t="n"/>
      <c r="G434" s="37" t="n">
        <v>20</v>
      </c>
      <c r="H434" s="33">
        <f>H433-G434</f>
        <v/>
      </c>
      <c r="I434" s="36" t="n"/>
      <c r="J434" s="711" t="n"/>
      <c r="K434" s="722">
        <f>G434*D434</f>
        <v/>
      </c>
      <c r="L434" s="710" t="n"/>
      <c r="M434" s="392" t="n"/>
    </row>
    <row r="435">
      <c r="A435" s="30" t="n">
        <v>43262</v>
      </c>
      <c r="B435" s="31" t="inlineStr">
        <is>
          <t>5796</t>
        </is>
      </c>
      <c r="C435" s="35" t="n"/>
      <c r="D435" s="36" t="n">
        <v>40</v>
      </c>
      <c r="E435" s="36" t="n"/>
      <c r="F435" s="37" t="n"/>
      <c r="G435" s="37" t="n">
        <v>10</v>
      </c>
      <c r="H435" s="33">
        <f>H434-G435</f>
        <v/>
      </c>
      <c r="I435" s="36" t="n"/>
      <c r="J435" s="711" t="n"/>
      <c r="K435" s="709">
        <f>G435*D435</f>
        <v/>
      </c>
      <c r="L435" s="710" t="n"/>
      <c r="M435" s="392" t="n"/>
    </row>
    <row r="436" ht="17.25" customHeight="1" s="436">
      <c r="A436" s="30" t="n">
        <v>43262</v>
      </c>
      <c r="B436" s="31" t="inlineStr">
        <is>
          <t>5797</t>
        </is>
      </c>
      <c r="C436" s="35" t="n"/>
      <c r="D436" s="36" t="n">
        <v>40</v>
      </c>
      <c r="E436" s="36" t="n"/>
      <c r="F436" s="37" t="n"/>
      <c r="G436" s="37" t="n">
        <v>10</v>
      </c>
      <c r="H436" s="33">
        <f>H435-G436</f>
        <v/>
      </c>
      <c r="I436" s="36" t="n"/>
      <c r="J436" s="711" t="n"/>
      <c r="K436" s="722">
        <f>G436*D436</f>
        <v/>
      </c>
      <c r="L436" s="710" t="n"/>
      <c r="M436" s="392" t="n"/>
    </row>
    <row r="437" ht="17.25" customHeight="1" s="436">
      <c r="A437" s="30" t="n">
        <v>43262</v>
      </c>
      <c r="B437" s="31" t="inlineStr">
        <is>
          <t>5798</t>
        </is>
      </c>
      <c r="C437" s="35" t="n"/>
      <c r="D437" s="36" t="n">
        <v>50</v>
      </c>
      <c r="E437" s="36" t="n"/>
      <c r="F437" s="37" t="n"/>
      <c r="G437" s="37" t="n">
        <v>22</v>
      </c>
      <c r="H437" s="33">
        <f>H436-G437</f>
        <v/>
      </c>
      <c r="I437" s="36" t="n"/>
      <c r="J437" s="711" t="n"/>
      <c r="K437" s="722">
        <f>G437*D437</f>
        <v/>
      </c>
      <c r="L437" s="710" t="n"/>
      <c r="M437" s="392" t="n"/>
    </row>
    <row r="438" ht="17.25" customHeight="1" s="436">
      <c r="A438" s="30" t="n">
        <v>43262</v>
      </c>
      <c r="B438" s="31" t="inlineStr">
        <is>
          <t>5801</t>
        </is>
      </c>
      <c r="C438" s="35" t="n"/>
      <c r="D438" s="36" t="n">
        <v>54</v>
      </c>
      <c r="E438" s="36" t="n"/>
      <c r="F438" s="37" t="n"/>
      <c r="G438" s="37" t="n">
        <v>30</v>
      </c>
      <c r="H438" s="33">
        <f>H437-G438</f>
        <v/>
      </c>
      <c r="I438" s="36" t="n"/>
      <c r="J438" s="711" t="n"/>
      <c r="K438" s="722">
        <f>G438*D438</f>
        <v/>
      </c>
      <c r="L438" s="710" t="n"/>
      <c r="M438" s="392" t="n"/>
    </row>
    <row r="439" ht="17.25" customHeight="1" s="436">
      <c r="A439" s="30" t="n">
        <v>43269</v>
      </c>
      <c r="B439" s="31" t="inlineStr">
        <is>
          <t>5803</t>
        </is>
      </c>
      <c r="C439" s="35" t="n"/>
      <c r="D439" s="36" t="n">
        <v>45</v>
      </c>
      <c r="E439" s="36" t="n"/>
      <c r="F439" s="37" t="n"/>
      <c r="G439" s="37" t="n">
        <v>20</v>
      </c>
      <c r="H439" s="33">
        <f>H438-G439</f>
        <v/>
      </c>
      <c r="I439" s="36" t="n"/>
      <c r="J439" s="711" t="n"/>
      <c r="K439" s="722">
        <f>G439*D439</f>
        <v/>
      </c>
      <c r="L439" s="710" t="n"/>
      <c r="M439" s="392" t="n"/>
    </row>
    <row r="440" ht="17.25" customHeight="1" s="436">
      <c r="A440" s="30" t="n">
        <v>43269</v>
      </c>
      <c r="B440" s="31" t="inlineStr">
        <is>
          <t>5804</t>
        </is>
      </c>
      <c r="C440" s="35" t="n"/>
      <c r="D440" s="36" t="n">
        <v>40</v>
      </c>
      <c r="E440" s="36" t="n"/>
      <c r="F440" s="37" t="n"/>
      <c r="G440" s="37" t="n">
        <v>50</v>
      </c>
      <c r="H440" s="33">
        <f>H439-G440</f>
        <v/>
      </c>
      <c r="I440" s="36" t="n"/>
      <c r="J440" s="711" t="n"/>
      <c r="K440" s="722">
        <f>G440*D440</f>
        <v/>
      </c>
      <c r="L440" s="710" t="n"/>
      <c r="M440" s="392" t="n"/>
    </row>
    <row r="441" ht="17.25" customHeight="1" s="436">
      <c r="A441" s="30" t="n">
        <v>43269</v>
      </c>
      <c r="B441" s="31" t="inlineStr">
        <is>
          <t>5805</t>
        </is>
      </c>
      <c r="C441" s="35" t="n"/>
      <c r="D441" s="36" t="n">
        <v>40</v>
      </c>
      <c r="E441" s="36" t="n"/>
      <c r="F441" s="37" t="n"/>
      <c r="G441" s="37" t="n">
        <v>10</v>
      </c>
      <c r="H441" s="33">
        <f>H440-G441</f>
        <v/>
      </c>
      <c r="I441" s="36" t="n"/>
      <c r="J441" s="711" t="n"/>
      <c r="K441" s="722">
        <f>G441*D441</f>
        <v/>
      </c>
      <c r="L441" s="710" t="n"/>
      <c r="M441" s="392" t="n"/>
    </row>
    <row r="442" ht="17.25" customHeight="1" s="436">
      <c r="A442" s="30" t="n">
        <v>43269</v>
      </c>
      <c r="B442" s="31" t="inlineStr">
        <is>
          <t>5806</t>
        </is>
      </c>
      <c r="C442" s="35" t="n"/>
      <c r="D442" s="36" t="n">
        <v>53.5</v>
      </c>
      <c r="E442" s="36" t="n"/>
      <c r="F442" s="37" t="n"/>
      <c r="G442" s="37" t="n">
        <v>40</v>
      </c>
      <c r="H442" s="33">
        <f>H441-G442</f>
        <v/>
      </c>
      <c r="I442" s="36" t="n"/>
      <c r="J442" s="711" t="n"/>
      <c r="K442" s="722">
        <f>G442*D442</f>
        <v/>
      </c>
      <c r="L442" s="710" t="n"/>
      <c r="M442" s="392" t="n"/>
    </row>
    <row r="443" ht="17.25" customHeight="1" s="436">
      <c r="A443" s="30" t="n">
        <v>43269</v>
      </c>
      <c r="B443" s="31" t="inlineStr">
        <is>
          <t>5810</t>
        </is>
      </c>
      <c r="C443" s="35" t="n"/>
      <c r="D443" s="36" t="n">
        <v>56</v>
      </c>
      <c r="E443" s="36" t="n"/>
      <c r="F443" s="37" t="n"/>
      <c r="G443" s="37" t="n">
        <v>20</v>
      </c>
      <c r="H443" s="33">
        <f>H442-G443</f>
        <v/>
      </c>
      <c r="I443" s="36" t="n"/>
      <c r="J443" s="711" t="n"/>
      <c r="K443" s="722">
        <f>G443*D443</f>
        <v/>
      </c>
      <c r="L443" s="710" t="n"/>
      <c r="M443" s="392" t="n"/>
    </row>
    <row r="444" ht="17.25" customHeight="1" s="436">
      <c r="A444" s="92" t="n">
        <v>43265</v>
      </c>
      <c r="B444" s="93" t="inlineStr">
        <is>
          <t>2322</t>
        </is>
      </c>
      <c r="C444" s="96" t="n"/>
      <c r="D444" s="97" t="n">
        <v>34.22</v>
      </c>
      <c r="E444" s="97" t="n"/>
      <c r="F444" s="98" t="n">
        <v>200</v>
      </c>
      <c r="G444" s="98" t="n"/>
      <c r="H444" s="95" t="n">
        <v>2046</v>
      </c>
      <c r="I444" s="36" t="n"/>
      <c r="J444" s="711" t="n"/>
      <c r="K444" s="722">
        <f>G444*D444</f>
        <v/>
      </c>
      <c r="L444" s="710" t="n"/>
      <c r="M444" s="392" t="n"/>
    </row>
    <row r="445" ht="17.25" customHeight="1" s="436">
      <c r="A445" s="140" t="n">
        <v>43271</v>
      </c>
      <c r="B445" s="31" t="inlineStr">
        <is>
          <t>5813</t>
        </is>
      </c>
      <c r="C445" s="35" t="n"/>
      <c r="D445" s="36" t="n">
        <v>40</v>
      </c>
      <c r="E445" s="36" t="n"/>
      <c r="F445" s="37" t="n"/>
      <c r="G445" s="37" t="n">
        <v>10</v>
      </c>
      <c r="H445" s="33">
        <f>H444-G445</f>
        <v/>
      </c>
      <c r="I445" s="36" t="n"/>
      <c r="J445" s="711" t="n"/>
      <c r="K445" s="722">
        <f>G445*D445</f>
        <v/>
      </c>
      <c r="L445" s="710" t="n"/>
      <c r="M445" s="392" t="n"/>
    </row>
    <row r="446" ht="17.25" customHeight="1" s="436">
      <c r="A446" s="140" t="n">
        <v>43271</v>
      </c>
      <c r="B446" s="31" t="inlineStr">
        <is>
          <t>5814</t>
        </is>
      </c>
      <c r="C446" s="35" t="n"/>
      <c r="D446" s="36" t="n">
        <v>50</v>
      </c>
      <c r="E446" s="36" t="n"/>
      <c r="F446" s="37" t="n"/>
      <c r="G446" s="37" t="n">
        <v>30</v>
      </c>
      <c r="H446" s="33">
        <f>H445-G446</f>
        <v/>
      </c>
      <c r="I446" s="36" t="n"/>
      <c r="J446" s="711" t="n"/>
      <c r="K446" s="722">
        <f>G446*D446</f>
        <v/>
      </c>
      <c r="L446" s="710" t="n"/>
      <c r="M446" s="392" t="n"/>
    </row>
    <row r="447" ht="17.25" customHeight="1" s="436">
      <c r="A447" s="140" t="n">
        <v>43271</v>
      </c>
      <c r="B447" s="31" t="inlineStr">
        <is>
          <t>5815</t>
        </is>
      </c>
      <c r="C447" s="35" t="n"/>
      <c r="D447" s="36" t="n">
        <v>42</v>
      </c>
      <c r="E447" s="36" t="n"/>
      <c r="F447" s="37" t="n"/>
      <c r="G447" s="37" t="n">
        <v>50</v>
      </c>
      <c r="H447" s="33">
        <f>H446-G447</f>
        <v/>
      </c>
      <c r="I447" s="36" t="n"/>
      <c r="J447" s="711" t="n"/>
      <c r="K447" s="722">
        <f>G447*D447</f>
        <v/>
      </c>
      <c r="L447" s="710" t="n"/>
      <c r="M447" s="392" t="n"/>
    </row>
    <row r="448" ht="17.25" customHeight="1" s="436">
      <c r="A448" s="146" t="n">
        <v>43273</v>
      </c>
      <c r="B448" s="93" t="inlineStr">
        <is>
          <t>2330</t>
        </is>
      </c>
      <c r="C448" s="96" t="n"/>
      <c r="D448" s="97" t="n">
        <v>31.5</v>
      </c>
      <c r="E448" s="97" t="n"/>
      <c r="F448" s="98" t="n">
        <v>100</v>
      </c>
      <c r="G448" s="98" t="n"/>
      <c r="H448" s="95" t="n">
        <v>2056</v>
      </c>
      <c r="I448" s="36" t="n"/>
      <c r="J448" s="711" t="n"/>
      <c r="K448" s="722" t="n"/>
      <c r="L448" s="710" t="n"/>
      <c r="M448" s="392" t="n"/>
    </row>
    <row r="449" ht="17.25" customHeight="1" s="436">
      <c r="A449" s="146" t="n">
        <v>43273</v>
      </c>
      <c r="B449" s="93" t="inlineStr">
        <is>
          <t>2330</t>
        </is>
      </c>
      <c r="C449" s="96" t="n"/>
      <c r="D449" s="97" t="n">
        <v>35.5</v>
      </c>
      <c r="E449" s="97" t="n"/>
      <c r="F449" s="98" t="n">
        <v>100</v>
      </c>
      <c r="G449" s="98" t="n"/>
      <c r="H449" s="95" t="n">
        <v>2156</v>
      </c>
      <c r="I449" s="36" t="n"/>
      <c r="J449" s="711" t="n"/>
      <c r="K449" s="722" t="n"/>
      <c r="L449" s="710" t="n"/>
      <c r="M449" s="392" t="n"/>
    </row>
    <row r="450" ht="17.25" customHeight="1" s="436">
      <c r="A450" s="145" t="n">
        <v>43276</v>
      </c>
      <c r="B450" s="31" t="inlineStr">
        <is>
          <t>5818</t>
        </is>
      </c>
      <c r="C450" s="35" t="n"/>
      <c r="D450" s="36" t="n">
        <v>45</v>
      </c>
      <c r="E450" s="36" t="n"/>
      <c r="F450" s="37" t="n"/>
      <c r="G450" s="37" t="n">
        <v>30</v>
      </c>
      <c r="H450" s="33">
        <f>H449-G450</f>
        <v/>
      </c>
      <c r="I450" s="36" t="n"/>
      <c r="J450" s="711" t="n"/>
      <c r="K450" s="722">
        <f>G450*D450</f>
        <v/>
      </c>
      <c r="L450" s="710" t="n"/>
      <c r="M450" s="392" t="n"/>
    </row>
    <row r="451" ht="17.25" customHeight="1" s="436">
      <c r="A451" s="145" t="n">
        <v>43276</v>
      </c>
      <c r="B451" s="31" t="inlineStr">
        <is>
          <t>5819</t>
        </is>
      </c>
      <c r="C451" s="35" t="n"/>
      <c r="D451" s="36" t="n">
        <v>45</v>
      </c>
      <c r="E451" s="36" t="n"/>
      <c r="F451" s="37" t="n"/>
      <c r="G451" s="37" t="n">
        <v>10</v>
      </c>
      <c r="H451" s="33">
        <f>H450-G451</f>
        <v/>
      </c>
      <c r="I451" s="36" t="n"/>
      <c r="J451" s="711" t="n"/>
      <c r="K451" s="722">
        <f>G451*D451</f>
        <v/>
      </c>
      <c r="L451" s="710" t="n"/>
      <c r="M451" s="392" t="n"/>
    </row>
    <row r="452" ht="17.25" customHeight="1" s="436">
      <c r="A452" s="145" t="n">
        <v>43276</v>
      </c>
      <c r="B452" s="31" t="inlineStr">
        <is>
          <t>5820</t>
        </is>
      </c>
      <c r="C452" s="35" t="n"/>
      <c r="D452" s="36" t="n">
        <v>56.2</v>
      </c>
      <c r="E452" s="99" t="n"/>
      <c r="F452" s="37" t="n"/>
      <c r="G452" s="37" t="n">
        <v>50</v>
      </c>
      <c r="H452" s="33">
        <f>H451-G452</f>
        <v/>
      </c>
      <c r="I452" s="36" t="n"/>
      <c r="J452" s="711" t="n"/>
      <c r="K452" s="722">
        <f>G452*D452</f>
        <v/>
      </c>
      <c r="L452" s="710" t="n"/>
      <c r="M452" s="392" t="n"/>
    </row>
    <row r="453" ht="17.25" customHeight="1" s="436">
      <c r="A453" s="145" t="n">
        <v>43276</v>
      </c>
      <c r="B453" s="31" t="inlineStr">
        <is>
          <t>5824</t>
        </is>
      </c>
      <c r="C453" s="35" t="n"/>
      <c r="D453" s="36" t="n">
        <v>54</v>
      </c>
      <c r="E453" s="36" t="n"/>
      <c r="F453" s="37" t="n"/>
      <c r="G453" s="37" t="n">
        <v>30</v>
      </c>
      <c r="H453" s="33">
        <f>H452-G453</f>
        <v/>
      </c>
      <c r="I453" s="36" t="n"/>
      <c r="J453" s="711" t="n"/>
      <c r="K453" s="722">
        <f>G453*D453</f>
        <v/>
      </c>
      <c r="L453" s="710" t="n"/>
      <c r="M453" s="392" t="n"/>
    </row>
    <row r="454" ht="17.25" customHeight="1" s="436">
      <c r="A454" s="145" t="n">
        <v>43276</v>
      </c>
      <c r="B454" s="31" t="inlineStr">
        <is>
          <t>5829</t>
        </is>
      </c>
      <c r="C454" s="35" t="n"/>
      <c r="D454" s="36" t="n">
        <v>50</v>
      </c>
      <c r="E454" s="36" t="n"/>
      <c r="F454" s="37" t="n"/>
      <c r="G454" s="37" t="n">
        <v>60</v>
      </c>
      <c r="H454" s="33">
        <f>H453-G454</f>
        <v/>
      </c>
      <c r="I454" s="36" t="n"/>
      <c r="J454" s="711" t="n"/>
      <c r="K454" s="722">
        <f>G454*D454</f>
        <v/>
      </c>
      <c r="L454" s="710" t="n"/>
      <c r="M454" s="392" t="n"/>
    </row>
    <row r="455" ht="17.25" customHeight="1" s="436">
      <c r="A455" s="145" t="n">
        <v>43279</v>
      </c>
      <c r="B455" s="31" t="n"/>
      <c r="C455" s="35" t="n"/>
      <c r="D455" s="36" t="n">
        <v>58</v>
      </c>
      <c r="E455" s="36" t="n"/>
      <c r="F455" s="37" t="n"/>
      <c r="G455" s="37" t="n"/>
      <c r="H455" s="33">
        <f>H454-G455</f>
        <v/>
      </c>
      <c r="I455" s="36" t="n"/>
      <c r="J455" s="711" t="n"/>
      <c r="K455" s="722">
        <f>G455*D455</f>
        <v/>
      </c>
      <c r="L455" s="710" t="n"/>
      <c r="M455" s="392" t="n"/>
    </row>
    <row r="456" ht="17.25" customHeight="1" s="436">
      <c r="A456" s="145" t="n">
        <v>43280</v>
      </c>
      <c r="B456" s="31" t="n"/>
      <c r="C456" s="35" t="n"/>
      <c r="D456" s="36" t="n">
        <v>59</v>
      </c>
      <c r="E456" s="36" t="n"/>
      <c r="F456" s="37" t="n"/>
      <c r="G456" s="37" t="n"/>
      <c r="H456" s="33">
        <f>H455-G456</f>
        <v/>
      </c>
      <c r="I456" s="36" t="n"/>
      <c r="J456" s="711" t="n"/>
      <c r="K456" s="722">
        <f>G456*D456</f>
        <v/>
      </c>
      <c r="L456" s="710" t="n"/>
      <c r="M456" s="392" t="n"/>
    </row>
    <row r="457" ht="17.25" customHeight="1" s="436">
      <c r="A457" s="145" t="n">
        <v>43281</v>
      </c>
      <c r="B457" s="31" t="n"/>
      <c r="C457" s="35" t="n"/>
      <c r="D457" s="36" t="n">
        <v>60</v>
      </c>
      <c r="E457" s="36" t="n"/>
      <c r="F457" s="37" t="n"/>
      <c r="G457" s="37" t="n"/>
      <c r="H457" s="33">
        <f>H456-G457</f>
        <v/>
      </c>
      <c r="I457" s="36" t="n"/>
      <c r="J457" s="711" t="n"/>
      <c r="K457" s="722">
        <f>G457*D457</f>
        <v/>
      </c>
      <c r="L457" s="710" t="n"/>
      <c r="M457" s="392" t="n"/>
    </row>
    <row r="458" ht="17.25" customHeight="1" s="436">
      <c r="A458" s="140" t="n"/>
      <c r="B458" s="31" t="n"/>
      <c r="C458" s="35" t="n"/>
      <c r="D458" s="36" t="n">
        <v>61</v>
      </c>
      <c r="E458" s="36" t="n"/>
      <c r="F458" s="37" t="n"/>
      <c r="G458" s="37" t="n"/>
      <c r="H458" s="33">
        <f>H457-G458</f>
        <v/>
      </c>
      <c r="I458" s="36" t="n"/>
      <c r="J458" s="711" t="n"/>
      <c r="K458" s="722">
        <f>G458*D458</f>
        <v/>
      </c>
      <c r="L458" s="710" t="n"/>
      <c r="M458" s="392" t="n"/>
    </row>
    <row r="459" ht="17.25" customHeight="1" s="436">
      <c r="A459" s="140" t="n"/>
      <c r="B459" s="31" t="n"/>
      <c r="C459" s="35" t="n"/>
      <c r="D459" s="36" t="n">
        <v>62</v>
      </c>
      <c r="E459" s="36" t="n"/>
      <c r="F459" s="37" t="n"/>
      <c r="G459" s="37" t="n"/>
      <c r="H459" s="33">
        <f>H458-G459</f>
        <v/>
      </c>
      <c r="I459" s="36" t="n"/>
      <c r="J459" s="711" t="n"/>
      <c r="K459" s="722">
        <f>G459*D459</f>
        <v/>
      </c>
      <c r="L459" s="710" t="n"/>
      <c r="M459" s="392" t="n"/>
    </row>
    <row r="460"/>
    <row r="461"/>
    <row r="462"/>
    <row r="463"/>
    <row r="464"/>
    <row r="465" ht="15.75" customHeight="1" s="436" thickBot="1"/>
    <row r="466" ht="27" customHeight="1" s="436" thickBot="1">
      <c r="A466" s="720" t="inlineStr">
        <is>
          <t xml:space="preserve"> FARINHA DE TRIGO TIPO: 1 - 25 KG</t>
        </is>
      </c>
      <c r="B466" s="697" t="n"/>
      <c r="C466" s="697" t="n"/>
      <c r="D466" s="697" t="n"/>
      <c r="E466" s="697" t="n"/>
      <c r="F466" s="697" t="n"/>
      <c r="G466" s="697" t="n"/>
      <c r="H466" s="697" t="n"/>
      <c r="I466" s="697" t="n"/>
      <c r="J466" s="697" t="n"/>
      <c r="K466" s="697" t="n"/>
      <c r="L466" s="697" t="n"/>
      <c r="M466" s="698" t="n"/>
    </row>
    <row r="467">
      <c r="A467" s="643" t="inlineStr">
        <is>
          <t>DATA</t>
        </is>
      </c>
      <c r="B467" s="633" t="inlineStr">
        <is>
          <t>N.F.</t>
        </is>
      </c>
      <c r="C467" s="633" t="inlineStr">
        <is>
          <t>TIPO</t>
        </is>
      </c>
      <c r="D467" s="633" t="inlineStr">
        <is>
          <t>PREÇO UNITÁRIO</t>
        </is>
      </c>
      <c r="E467" s="701" t="n"/>
      <c r="F467" s="633" t="inlineStr">
        <is>
          <t>QUANTIDADE / KG</t>
        </is>
      </c>
      <c r="H467" s="701" t="n"/>
      <c r="I467" s="632" t="inlineStr">
        <is>
          <t>PREÇO</t>
        </is>
      </c>
      <c r="J467" s="632" t="inlineStr">
        <is>
          <t>VALORES</t>
        </is>
      </c>
      <c r="L467" s="701" t="n"/>
      <c r="M467" s="649" t="n"/>
    </row>
    <row r="468" ht="15.75" customHeight="1" s="436" thickBot="1">
      <c r="A468" s="703" t="n"/>
      <c r="B468" s="704" t="n"/>
      <c r="C468" s="704" t="n"/>
      <c r="D468" s="703" t="n"/>
      <c r="E468" s="701" t="n"/>
      <c r="F468" s="705" t="n"/>
      <c r="G468" s="706" t="n"/>
      <c r="H468" s="707" t="n"/>
      <c r="I468" s="704" t="n"/>
      <c r="J468" s="703" t="n"/>
      <c r="L468" s="701" t="n"/>
      <c r="M468" s="704" t="n"/>
    </row>
    <row r="469" ht="15.75" customHeight="1" s="436" thickBot="1">
      <c r="A469" s="703" t="n"/>
      <c r="B469" s="704" t="n"/>
      <c r="C469" s="704" t="n"/>
      <c r="D469" s="705" t="n"/>
      <c r="E469" s="707" t="n"/>
      <c r="F469" s="3" t="inlineStr">
        <is>
          <t>ENTRADA</t>
        </is>
      </c>
      <c r="G469" s="3" t="inlineStr">
        <is>
          <t>SAÍDA</t>
        </is>
      </c>
      <c r="H469" s="640" t="inlineStr">
        <is>
          <t>SALDO EM 30/06/2018</t>
        </is>
      </c>
      <c r="I469" s="633" t="inlineStr">
        <is>
          <t>MÉDIO</t>
        </is>
      </c>
      <c r="J469" s="652" t="inlineStr">
        <is>
          <t>SALDO EM 30/11/2017</t>
        </is>
      </c>
      <c r="K469" s="706" t="n"/>
      <c r="L469" s="17" t="n"/>
      <c r="M469" s="704" t="n"/>
    </row>
    <row r="470" ht="18" customHeight="1" s="436" thickBot="1">
      <c r="A470" s="705" t="n"/>
      <c r="B470" s="695" t="n"/>
      <c r="C470" s="695" t="n"/>
      <c r="D470" s="3" t="inlineStr">
        <is>
          <t>C/ICMS</t>
        </is>
      </c>
      <c r="E470" s="3" t="inlineStr">
        <is>
          <t>S/ICMS</t>
        </is>
      </c>
      <c r="F470" s="695" t="n"/>
      <c r="G470" s="695" t="n"/>
      <c r="H470" s="84" t="n"/>
      <c r="I470" s="695" t="n"/>
      <c r="J470" s="645" t="inlineStr">
        <is>
          <t>ENTRADA</t>
        </is>
      </c>
      <c r="K470" s="633" t="inlineStr">
        <is>
          <t>SAÍDA / CMV</t>
        </is>
      </c>
      <c r="L470" s="643" t="inlineStr">
        <is>
          <t>SALDO</t>
        </is>
      </c>
      <c r="M470" s="392" t="n"/>
    </row>
    <row r="471" ht="17.25" customHeight="1" s="436">
      <c r="A471" s="30" t="n"/>
      <c r="B471" s="31" t="n"/>
      <c r="C471" s="35" t="n"/>
      <c r="D471" s="36" t="n"/>
      <c r="E471" s="36" t="n"/>
      <c r="F471" s="37" t="n"/>
      <c r="G471" s="37" t="n">
        <v>0</v>
      </c>
      <c r="H471" s="37" t="n"/>
      <c r="I471" s="36" t="n"/>
      <c r="J471" s="711">
        <f>F471*I471</f>
        <v/>
      </c>
      <c r="K471" s="721" t="n">
        <v>0</v>
      </c>
      <c r="L471" s="710">
        <f>J471-K471</f>
        <v/>
      </c>
      <c r="M471" s="392" t="n"/>
    </row>
    <row r="472" ht="17.25" customHeight="1" s="436">
      <c r="A472" s="92" t="n">
        <v>43281</v>
      </c>
      <c r="B472" s="93" t="n"/>
      <c r="C472" s="93" t="n"/>
      <c r="D472" s="94" t="n"/>
      <c r="E472" s="94" t="n"/>
      <c r="F472" s="95" t="n"/>
      <c r="G472" s="95" t="n"/>
      <c r="H472" s="95" t="n">
        <v>1976</v>
      </c>
      <c r="I472" s="32" t="n"/>
      <c r="J472" s="711" t="n"/>
      <c r="K472" s="722" t="n"/>
      <c r="L472" s="710" t="n"/>
      <c r="M472" s="392" t="n"/>
    </row>
    <row r="473" ht="17.25" customHeight="1" s="436">
      <c r="A473" s="30" t="n">
        <v>43284</v>
      </c>
      <c r="B473" s="31" t="inlineStr">
        <is>
          <t>5833</t>
        </is>
      </c>
      <c r="C473" s="35" t="n"/>
      <c r="D473" s="36" t="n">
        <v>56</v>
      </c>
      <c r="E473" s="36" t="n"/>
      <c r="F473" s="37" t="n"/>
      <c r="G473" s="37" t="n">
        <v>30</v>
      </c>
      <c r="H473" s="33">
        <f>H472-G473</f>
        <v/>
      </c>
      <c r="I473" s="36" t="n"/>
      <c r="J473" s="711" t="n"/>
      <c r="K473" s="722">
        <f>G473*D473</f>
        <v/>
      </c>
      <c r="L473" s="710" t="n"/>
      <c r="M473" s="392" t="n"/>
    </row>
    <row r="474" ht="17.25" customHeight="1" s="436">
      <c r="A474" s="30" t="n">
        <v>43284</v>
      </c>
      <c r="B474" s="31" t="inlineStr">
        <is>
          <t>5834</t>
        </is>
      </c>
      <c r="C474" s="35" t="n"/>
      <c r="D474" s="36" t="n">
        <v>45</v>
      </c>
      <c r="E474" s="36" t="n"/>
      <c r="F474" s="37" t="n"/>
      <c r="G474" s="101" t="n">
        <v>60</v>
      </c>
      <c r="H474" s="33">
        <f>H473-G474</f>
        <v/>
      </c>
      <c r="I474" s="36" t="n"/>
      <c r="J474" s="711" t="n"/>
      <c r="K474" s="722">
        <f>G474*D474</f>
        <v/>
      </c>
      <c r="L474" s="710" t="n"/>
      <c r="M474" s="392" t="n"/>
    </row>
    <row r="475" ht="17.25" customHeight="1" s="436">
      <c r="A475" s="30" t="n">
        <v>43284</v>
      </c>
      <c r="B475" s="31" t="inlineStr">
        <is>
          <t>5835</t>
        </is>
      </c>
      <c r="C475" s="35" t="n"/>
      <c r="D475" s="36" t="n">
        <v>50</v>
      </c>
      <c r="E475" s="36" t="n"/>
      <c r="F475" s="37" t="n"/>
      <c r="G475" s="37" t="n">
        <v>20</v>
      </c>
      <c r="H475" s="33">
        <f>H474-G475</f>
        <v/>
      </c>
      <c r="I475" s="36" t="n"/>
      <c r="J475" s="711" t="n"/>
      <c r="K475" s="722">
        <f>G475*D475</f>
        <v/>
      </c>
      <c r="L475" s="710" t="n"/>
      <c r="M475" s="392" t="n"/>
    </row>
    <row r="476">
      <c r="A476" s="30" t="n">
        <v>43284</v>
      </c>
      <c r="B476" s="31" t="inlineStr">
        <is>
          <t>5836</t>
        </is>
      </c>
      <c r="C476" s="35" t="n"/>
      <c r="D476" s="36" t="n">
        <v>50</v>
      </c>
      <c r="E476" s="36" t="n"/>
      <c r="F476" s="37" t="n"/>
      <c r="G476" s="37" t="n">
        <v>10</v>
      </c>
      <c r="H476" s="33">
        <f>H475-G476</f>
        <v/>
      </c>
      <c r="I476" s="36" t="n"/>
      <c r="J476" s="711" t="n"/>
      <c r="K476" s="709">
        <f>G476*D476</f>
        <v/>
      </c>
      <c r="L476" s="710" t="n"/>
      <c r="M476" s="392" t="n"/>
    </row>
    <row r="477" ht="17.25" customHeight="1" s="436">
      <c r="A477" s="30" t="n">
        <v>43284</v>
      </c>
      <c r="B477" s="31" t="inlineStr">
        <is>
          <t>5841</t>
        </is>
      </c>
      <c r="C477" s="35" t="n"/>
      <c r="D477" s="36" t="n">
        <v>56</v>
      </c>
      <c r="E477" s="36" t="n"/>
      <c r="F477" s="37" t="n"/>
      <c r="G477" s="37" t="n">
        <v>20</v>
      </c>
      <c r="H477" s="33">
        <f>H476-G477</f>
        <v/>
      </c>
      <c r="I477" s="36" t="n"/>
      <c r="J477" s="711" t="n"/>
      <c r="K477" s="722">
        <f>G477*D477</f>
        <v/>
      </c>
      <c r="L477" s="710" t="n"/>
      <c r="M477" s="392" t="n"/>
    </row>
    <row r="478" ht="17.25" customHeight="1" s="436">
      <c r="A478" s="30" t="n">
        <v>43285</v>
      </c>
      <c r="B478" s="31" t="inlineStr">
        <is>
          <t>5844</t>
        </is>
      </c>
      <c r="C478" s="35" t="n"/>
      <c r="D478" s="36" t="n">
        <v>55.5</v>
      </c>
      <c r="E478" s="36" t="n"/>
      <c r="F478" s="37" t="n"/>
      <c r="G478" s="37" t="n">
        <v>50</v>
      </c>
      <c r="H478" s="33">
        <f>H477-G478</f>
        <v/>
      </c>
      <c r="I478" s="36" t="n"/>
      <c r="J478" s="711" t="n"/>
      <c r="K478" s="722">
        <f>G478*D478</f>
        <v/>
      </c>
      <c r="L478" s="710" t="n"/>
      <c r="M478" s="392" t="n"/>
    </row>
    <row r="479" ht="17.25" customHeight="1" s="436">
      <c r="A479" s="30" t="n">
        <v>43285</v>
      </c>
      <c r="B479" s="31" t="inlineStr">
        <is>
          <t>5845</t>
        </is>
      </c>
      <c r="C479" s="35" t="n"/>
      <c r="D479" s="36" t="n">
        <v>57</v>
      </c>
      <c r="E479" s="36" t="n"/>
      <c r="F479" s="37" t="n"/>
      <c r="G479" s="37" t="n">
        <v>50</v>
      </c>
      <c r="H479" s="33">
        <f>H478-G479</f>
        <v/>
      </c>
      <c r="I479" s="36" t="n"/>
      <c r="J479" s="711" t="n"/>
      <c r="K479" s="722">
        <f>G479*D479</f>
        <v/>
      </c>
      <c r="L479" s="710" t="n"/>
      <c r="M479" s="392" t="n"/>
    </row>
    <row r="480" ht="17.25" customHeight="1" s="436">
      <c r="A480" s="30" t="n">
        <v>43285</v>
      </c>
      <c r="B480" s="31" t="inlineStr">
        <is>
          <t>5846</t>
        </is>
      </c>
      <c r="C480" s="35" t="n"/>
      <c r="D480" s="36" t="n">
        <v>45</v>
      </c>
      <c r="E480" s="36" t="n"/>
      <c r="F480" s="37" t="n"/>
      <c r="G480" s="37" t="n">
        <v>30</v>
      </c>
      <c r="H480" s="33">
        <f>H479-G480</f>
        <v/>
      </c>
      <c r="I480" s="36" t="n"/>
      <c r="J480" s="711" t="n"/>
      <c r="K480" s="722">
        <f>G480*D480</f>
        <v/>
      </c>
      <c r="L480" s="710" t="n"/>
      <c r="M480" s="392" t="n"/>
    </row>
    <row r="481" ht="17.25" customHeight="1" s="436">
      <c r="A481" s="92" t="n">
        <v>43290</v>
      </c>
      <c r="B481" s="93" t="inlineStr">
        <is>
          <t>2339</t>
        </is>
      </c>
      <c r="C481" s="96" t="n"/>
      <c r="D481" s="97" t="n">
        <v>41.6</v>
      </c>
      <c r="E481" s="97" t="n"/>
      <c r="F481" s="98" t="n">
        <v>200</v>
      </c>
      <c r="G481" s="98" t="n"/>
      <c r="H481" s="95" t="n">
        <v>1906</v>
      </c>
      <c r="I481" s="97" t="n"/>
      <c r="J481" s="711" t="n"/>
      <c r="K481" s="722" t="n"/>
      <c r="L481" s="710" t="n"/>
      <c r="M481" s="392" t="n"/>
    </row>
    <row r="482" ht="17.25" customHeight="1" s="436">
      <c r="A482" s="30" t="n">
        <v>43291</v>
      </c>
      <c r="B482" s="31" t="inlineStr">
        <is>
          <t>5848</t>
        </is>
      </c>
      <c r="C482" s="35" t="n"/>
      <c r="D482" s="36" t="n">
        <v>45</v>
      </c>
      <c r="E482" s="36" t="n"/>
      <c r="F482" s="37" t="n"/>
      <c r="G482" s="37" t="n">
        <v>30</v>
      </c>
      <c r="H482" s="33">
        <f>H481-G482</f>
        <v/>
      </c>
      <c r="I482" s="36" t="n"/>
      <c r="J482" s="711" t="n"/>
      <c r="K482" s="722">
        <f>G482*D482</f>
        <v/>
      </c>
      <c r="L482" s="710" t="n"/>
      <c r="M482" s="392" t="n"/>
    </row>
    <row r="483" ht="17.25" customHeight="1" s="436">
      <c r="A483" s="30" t="n">
        <v>43291</v>
      </c>
      <c r="B483" s="31" t="inlineStr">
        <is>
          <t>5850</t>
        </is>
      </c>
      <c r="C483" s="35" t="n"/>
      <c r="D483" s="36" t="n">
        <v>57</v>
      </c>
      <c r="E483" s="36" t="n"/>
      <c r="F483" s="37" t="n"/>
      <c r="G483" s="37" t="n">
        <v>40</v>
      </c>
      <c r="H483" s="33">
        <f>H482-G483</f>
        <v/>
      </c>
      <c r="I483" s="36" t="n"/>
      <c r="J483" s="711" t="n"/>
      <c r="K483" s="722">
        <f>G483*D483</f>
        <v/>
      </c>
      <c r="L483" s="710" t="n"/>
      <c r="M483" s="392" t="n"/>
    </row>
    <row r="484" ht="17.25" customHeight="1" s="436">
      <c r="A484" s="30" t="n">
        <v>43292</v>
      </c>
      <c r="B484" s="31" t="inlineStr">
        <is>
          <t>5853</t>
        </is>
      </c>
      <c r="C484" s="35" t="n"/>
      <c r="D484" s="36" t="n">
        <v>50</v>
      </c>
      <c r="E484" s="36" t="n"/>
      <c r="F484" s="37" t="n"/>
      <c r="G484" s="37" t="n">
        <v>30</v>
      </c>
      <c r="H484" s="33">
        <f>H483-G484</f>
        <v/>
      </c>
      <c r="I484" s="36" t="n"/>
      <c r="J484" s="711" t="n"/>
      <c r="K484" s="722">
        <f>G484*D484</f>
        <v/>
      </c>
      <c r="L484" s="710" t="n"/>
      <c r="M484" s="392" t="n"/>
    </row>
    <row r="485" ht="17.25" customHeight="1" s="436">
      <c r="A485" s="30" t="n">
        <v>43292</v>
      </c>
      <c r="B485" s="31" t="inlineStr">
        <is>
          <t>5854</t>
        </is>
      </c>
      <c r="C485" s="35" t="n"/>
      <c r="D485" s="36" t="n">
        <v>45</v>
      </c>
      <c r="E485" s="36" t="n"/>
      <c r="F485" s="37" t="n"/>
      <c r="G485" s="37" t="n">
        <v>10</v>
      </c>
      <c r="H485" s="33">
        <f>H484-G485</f>
        <v/>
      </c>
      <c r="I485" s="36" t="n"/>
      <c r="J485" s="711" t="n"/>
      <c r="K485" s="722">
        <f>G485*D485</f>
        <v/>
      </c>
      <c r="L485" s="710" t="n"/>
      <c r="M485" s="392" t="n"/>
    </row>
    <row r="486" ht="17.25" customHeight="1" s="436">
      <c r="A486" s="30" t="n">
        <v>43292</v>
      </c>
      <c r="B486" s="31" t="inlineStr">
        <is>
          <t>5855</t>
        </is>
      </c>
      <c r="C486" s="35" t="n"/>
      <c r="D486" s="36" t="n">
        <v>45</v>
      </c>
      <c r="E486" s="36" t="n"/>
      <c r="F486" s="37" t="n"/>
      <c r="G486" s="37" t="n">
        <v>20</v>
      </c>
      <c r="H486" s="33">
        <f>H485-G486</f>
        <v/>
      </c>
      <c r="I486" s="36" t="n"/>
      <c r="J486" s="711" t="n"/>
      <c r="K486" s="722">
        <f>G486*D486</f>
        <v/>
      </c>
      <c r="L486" s="710" t="n"/>
      <c r="M486" s="392" t="n"/>
    </row>
    <row r="487" ht="17.25" customHeight="1" s="436">
      <c r="A487" s="30" t="n">
        <v>43292</v>
      </c>
      <c r="B487" s="31" t="inlineStr">
        <is>
          <t>5856</t>
        </is>
      </c>
      <c r="C487" s="35" t="n"/>
      <c r="D487" s="36" t="n">
        <v>45</v>
      </c>
      <c r="E487" s="36" t="n"/>
      <c r="F487" s="37" t="n"/>
      <c r="G487" s="37" t="n">
        <v>20</v>
      </c>
      <c r="H487" s="33">
        <f>H486-G487</f>
        <v/>
      </c>
      <c r="I487" s="36" t="n"/>
      <c r="J487" s="711" t="n"/>
      <c r="K487" s="722">
        <f>G487*D487</f>
        <v/>
      </c>
      <c r="L487" s="710" t="n"/>
      <c r="M487" s="392" t="n"/>
    </row>
    <row r="488" ht="17.25" customHeight="1" s="436">
      <c r="A488" s="30" t="n">
        <v>43292</v>
      </c>
      <c r="B488" s="31" t="inlineStr">
        <is>
          <t>5858</t>
        </is>
      </c>
      <c r="C488" s="35" t="n"/>
      <c r="D488" s="36" t="n">
        <v>50</v>
      </c>
      <c r="E488" s="36" t="n"/>
      <c r="F488" s="37" t="n"/>
      <c r="G488" s="37" t="n">
        <v>10</v>
      </c>
      <c r="H488" s="33">
        <f>H487-G488</f>
        <v/>
      </c>
      <c r="I488" s="36" t="n"/>
      <c r="J488" s="711" t="n"/>
      <c r="K488" s="722">
        <f>G488*D488</f>
        <v/>
      </c>
      <c r="L488" s="710" t="n"/>
      <c r="M488" s="392" t="n"/>
    </row>
    <row r="489" ht="17.25" customHeight="1" s="436">
      <c r="A489" s="30" t="n">
        <v>43292</v>
      </c>
      <c r="B489" s="31" t="inlineStr">
        <is>
          <t>5861</t>
        </is>
      </c>
      <c r="C489" s="35" t="n"/>
      <c r="D489" s="36" t="n">
        <v>55</v>
      </c>
      <c r="E489" s="36" t="n"/>
      <c r="F489" s="37" t="n"/>
      <c r="G489" s="37" t="n">
        <v>30</v>
      </c>
      <c r="H489" s="33">
        <f>H488-G489</f>
        <v/>
      </c>
      <c r="I489" s="36" t="n"/>
      <c r="J489" s="711" t="n"/>
      <c r="K489" s="722">
        <f>G489*D489</f>
        <v/>
      </c>
      <c r="L489" s="710" t="n"/>
      <c r="M489" s="392" t="n"/>
    </row>
    <row r="490" ht="17.25" customHeight="1" s="436">
      <c r="A490" s="30" t="n">
        <v>43292</v>
      </c>
      <c r="B490" s="31" t="inlineStr">
        <is>
          <t>5862</t>
        </is>
      </c>
      <c r="C490" s="35" t="n"/>
      <c r="D490" s="36" t="n">
        <v>54</v>
      </c>
      <c r="E490" s="36" t="n"/>
      <c r="F490" s="37" t="n"/>
      <c r="G490" s="37" t="n">
        <v>30</v>
      </c>
      <c r="H490" s="33">
        <f>H489-G490</f>
        <v/>
      </c>
      <c r="I490" s="36" t="n"/>
      <c r="J490" s="711" t="n"/>
      <c r="K490" s="722">
        <f>G490*D490</f>
        <v/>
      </c>
      <c r="L490" s="710" t="n"/>
      <c r="M490" s="392" t="n"/>
    </row>
    <row r="491" ht="17.25" customHeight="1" s="436">
      <c r="A491" s="30" t="n">
        <v>43292</v>
      </c>
      <c r="B491" s="31" t="inlineStr">
        <is>
          <t>5863</t>
        </is>
      </c>
      <c r="C491" s="35" t="n"/>
      <c r="D491" s="36" t="n">
        <v>56</v>
      </c>
      <c r="E491" s="36" t="n"/>
      <c r="F491" s="37" t="n"/>
      <c r="G491" s="37" t="n">
        <v>20</v>
      </c>
      <c r="H491" s="33">
        <f>H490-G491</f>
        <v/>
      </c>
      <c r="I491" s="36" t="n"/>
      <c r="J491" s="711" t="n"/>
      <c r="K491" s="722">
        <f>G491*D491</f>
        <v/>
      </c>
      <c r="L491" s="710" t="n"/>
      <c r="M491" s="392" t="n"/>
    </row>
    <row r="492" ht="17.25" customHeight="1" s="436">
      <c r="A492" s="30" t="n">
        <v>43292</v>
      </c>
      <c r="B492" s="31" t="inlineStr">
        <is>
          <t>5864</t>
        </is>
      </c>
      <c r="C492" s="35" t="n"/>
      <c r="D492" s="36" t="n">
        <v>45</v>
      </c>
      <c r="E492" s="36" t="n"/>
      <c r="F492" s="37" t="n"/>
      <c r="G492" s="37" t="n">
        <v>20</v>
      </c>
      <c r="H492" s="33">
        <f>H491-G492</f>
        <v/>
      </c>
      <c r="I492" s="36" t="n"/>
      <c r="J492" s="711" t="n"/>
      <c r="K492" s="722">
        <f>G492*D492</f>
        <v/>
      </c>
      <c r="L492" s="710" t="n"/>
      <c r="M492" s="392" t="n"/>
    </row>
    <row r="493" ht="17.25" customHeight="1" s="436">
      <c r="A493" s="30" t="n">
        <v>43292</v>
      </c>
      <c r="B493" s="31" t="inlineStr">
        <is>
          <t>5865</t>
        </is>
      </c>
      <c r="C493" s="35" t="n"/>
      <c r="D493" s="36" t="n">
        <v>56</v>
      </c>
      <c r="E493" s="36" t="n"/>
      <c r="F493" s="37" t="n"/>
      <c r="G493" s="37" t="n">
        <v>20</v>
      </c>
      <c r="H493" s="33">
        <f>H492-G493</f>
        <v/>
      </c>
      <c r="I493" s="36" t="n"/>
      <c r="J493" s="711" t="n"/>
      <c r="K493" s="722">
        <f>G493*D493</f>
        <v/>
      </c>
      <c r="L493" s="710" t="n"/>
      <c r="M493" s="392" t="n"/>
    </row>
    <row r="494" ht="17.25" customHeight="1" s="436">
      <c r="A494" s="30" t="n">
        <v>43292</v>
      </c>
      <c r="B494" s="31" t="inlineStr">
        <is>
          <t>5866</t>
        </is>
      </c>
      <c r="C494" s="35" t="n"/>
      <c r="D494" s="36" t="n">
        <v>50</v>
      </c>
      <c r="E494" s="36" t="n"/>
      <c r="F494" s="37" t="n"/>
      <c r="G494" s="37" t="n">
        <v>50</v>
      </c>
      <c r="H494" s="33">
        <f>H493-G494</f>
        <v/>
      </c>
      <c r="I494" s="36" t="n"/>
      <c r="J494" s="711" t="n"/>
      <c r="K494" s="722">
        <f>G494*D494</f>
        <v/>
      </c>
      <c r="L494" s="710" t="n"/>
      <c r="M494" s="392" t="n"/>
    </row>
    <row r="495" ht="17.25" customHeight="1" s="436">
      <c r="A495" s="92" t="n">
        <v>43297</v>
      </c>
      <c r="B495" s="93" t="inlineStr">
        <is>
          <t>2341</t>
        </is>
      </c>
      <c r="C495" s="96" t="n"/>
      <c r="D495" s="97" t="n">
        <v>41.5</v>
      </c>
      <c r="E495" s="97" t="n"/>
      <c r="F495" s="98" t="n">
        <v>200</v>
      </c>
      <c r="G495" s="98" t="n"/>
      <c r="H495" s="95" t="n">
        <v>1776</v>
      </c>
      <c r="I495" s="97" t="n"/>
      <c r="J495" s="711" t="n"/>
      <c r="K495" s="722" t="n"/>
      <c r="L495" s="710" t="n"/>
      <c r="M495" s="392" t="n"/>
    </row>
    <row r="496" ht="17.25" customHeight="1" s="436">
      <c r="A496" s="30" t="n">
        <v>43297</v>
      </c>
      <c r="B496" s="31" t="inlineStr">
        <is>
          <t>5870</t>
        </is>
      </c>
      <c r="C496" s="35" t="n"/>
      <c r="D496" s="36" t="n">
        <v>56</v>
      </c>
      <c r="E496" s="36" t="n"/>
      <c r="F496" s="37" t="n"/>
      <c r="G496" s="37" t="n">
        <v>30</v>
      </c>
      <c r="H496" s="33">
        <f>H495-G496</f>
        <v/>
      </c>
      <c r="I496" s="36" t="n"/>
      <c r="J496" s="711" t="n"/>
      <c r="K496" s="722">
        <f>G496*D496</f>
        <v/>
      </c>
      <c r="L496" s="710" t="n"/>
      <c r="M496" s="392" t="n"/>
    </row>
    <row r="497" ht="17.25" customHeight="1" s="436">
      <c r="A497" s="30" t="n">
        <v>43297</v>
      </c>
      <c r="B497" s="31" t="inlineStr">
        <is>
          <t>5871</t>
        </is>
      </c>
      <c r="C497" s="35" t="n"/>
      <c r="D497" s="36" t="n">
        <v>56</v>
      </c>
      <c r="E497" s="36" t="n"/>
      <c r="F497" s="37" t="n"/>
      <c r="G497" s="37" t="n">
        <v>40</v>
      </c>
      <c r="H497" s="33">
        <f>H496-G497</f>
        <v/>
      </c>
      <c r="I497" s="36" t="n"/>
      <c r="J497" s="711" t="n"/>
      <c r="K497" s="722">
        <f>G497*D497</f>
        <v/>
      </c>
      <c r="L497" s="710" t="n"/>
      <c r="M497" s="392" t="n"/>
    </row>
    <row r="498" ht="17.25" customHeight="1" s="436">
      <c r="A498" s="30" t="n">
        <v>43297</v>
      </c>
      <c r="B498" s="31" t="inlineStr">
        <is>
          <t>5872</t>
        </is>
      </c>
      <c r="C498" s="35" t="n"/>
      <c r="D498" s="36" t="n">
        <v>50</v>
      </c>
      <c r="E498" s="36" t="n"/>
      <c r="F498" s="37" t="n"/>
      <c r="G498" s="37" t="n">
        <v>10</v>
      </c>
      <c r="H498" s="33">
        <f>H497-G498</f>
        <v/>
      </c>
      <c r="I498" s="36" t="n"/>
      <c r="J498" s="711" t="n"/>
      <c r="K498" s="722">
        <f>G498*D498</f>
        <v/>
      </c>
      <c r="L498" s="710" t="n"/>
      <c r="M498" s="392" t="n"/>
    </row>
    <row r="499" ht="17.25" customHeight="1" s="436">
      <c r="A499" s="30" t="n">
        <v>43297</v>
      </c>
      <c r="B499" s="31" t="inlineStr">
        <is>
          <t>5874</t>
        </is>
      </c>
      <c r="C499" s="35" t="n"/>
      <c r="D499" s="36" t="n">
        <v>56</v>
      </c>
      <c r="E499" s="36" t="n"/>
      <c r="F499" s="37" t="n"/>
      <c r="G499" s="37" t="n">
        <v>2</v>
      </c>
      <c r="H499" s="33">
        <f>H498-G499</f>
        <v/>
      </c>
      <c r="I499" s="36" t="n"/>
      <c r="J499" s="711" t="n"/>
      <c r="K499" s="722">
        <f>G499*D499</f>
        <v/>
      </c>
      <c r="L499" s="710" t="n"/>
      <c r="M499" s="392" t="n"/>
    </row>
    <row r="500" ht="17.25" customHeight="1" s="436">
      <c r="A500" s="30" t="n">
        <v>43299</v>
      </c>
      <c r="B500" s="31" t="inlineStr">
        <is>
          <t>5876</t>
        </is>
      </c>
      <c r="C500" s="35" t="n"/>
      <c r="D500" s="36" t="n">
        <v>45</v>
      </c>
      <c r="E500" s="36" t="n"/>
      <c r="F500" s="37" t="n"/>
      <c r="G500" s="37" t="n">
        <v>100</v>
      </c>
      <c r="H500" s="33">
        <f>H499-G500</f>
        <v/>
      </c>
      <c r="I500" s="36" t="n"/>
      <c r="J500" s="711" t="n"/>
      <c r="K500" s="722">
        <f>G500*D500</f>
        <v/>
      </c>
      <c r="L500" s="710" t="n"/>
      <c r="M500" s="392" t="n"/>
    </row>
    <row r="501" ht="17.25" customHeight="1" s="436">
      <c r="A501" s="30" t="n">
        <v>43300</v>
      </c>
      <c r="B501" s="31" t="inlineStr">
        <is>
          <t>5879</t>
        </is>
      </c>
      <c r="C501" s="35" t="n"/>
      <c r="D501" s="36" t="n">
        <v>50</v>
      </c>
      <c r="E501" s="36" t="n"/>
      <c r="F501" s="37" t="n"/>
      <c r="G501" s="37" t="n">
        <v>50</v>
      </c>
      <c r="H501" s="33">
        <f>H500-G501</f>
        <v/>
      </c>
      <c r="I501" s="36" t="n"/>
      <c r="J501" s="711" t="n"/>
      <c r="K501" s="722">
        <f>G501*D501</f>
        <v/>
      </c>
      <c r="L501" s="710" t="n"/>
      <c r="M501" s="392" t="n"/>
    </row>
    <row r="502" ht="17.25" customHeight="1" s="436">
      <c r="A502" s="30" t="n">
        <v>43300</v>
      </c>
      <c r="B502" s="31" t="inlineStr">
        <is>
          <t>5880</t>
        </is>
      </c>
      <c r="C502" s="35" t="n"/>
      <c r="D502" s="36" t="n">
        <v>50</v>
      </c>
      <c r="E502" s="36" t="n"/>
      <c r="F502" s="37" t="n"/>
      <c r="G502" s="37" t="n">
        <v>10</v>
      </c>
      <c r="H502" s="33">
        <f>H501-G502</f>
        <v/>
      </c>
      <c r="I502" s="36" t="n"/>
      <c r="J502" s="711" t="n"/>
      <c r="K502" s="722">
        <f>G502*D502</f>
        <v/>
      </c>
      <c r="L502" s="710" t="n"/>
      <c r="M502" s="392" t="n"/>
    </row>
    <row r="503" ht="17.25" customHeight="1" s="436">
      <c r="A503" s="30" t="n">
        <v>43300</v>
      </c>
      <c r="B503" s="31" t="inlineStr">
        <is>
          <t>5881</t>
        </is>
      </c>
      <c r="C503" s="35" t="n"/>
      <c r="D503" s="36" t="n">
        <v>57</v>
      </c>
      <c r="E503" s="36" t="n"/>
      <c r="F503" s="37" t="n"/>
      <c r="G503" s="37" t="n">
        <v>50</v>
      </c>
      <c r="H503" s="33">
        <f>H502-G503</f>
        <v/>
      </c>
      <c r="I503" s="36" t="n"/>
      <c r="J503" s="711" t="n"/>
      <c r="K503" s="722">
        <f>G503*D503</f>
        <v/>
      </c>
      <c r="L503" s="710" t="n"/>
      <c r="M503" s="392" t="n"/>
    </row>
    <row r="504" ht="17.25" customHeight="1" s="436">
      <c r="A504" s="30" t="n">
        <v>43304</v>
      </c>
      <c r="B504" s="31" t="inlineStr">
        <is>
          <t>5882</t>
        </is>
      </c>
      <c r="C504" s="35" t="n"/>
      <c r="D504" s="36" t="n">
        <v>45</v>
      </c>
      <c r="E504" s="36" t="n"/>
      <c r="F504" s="37" t="n"/>
      <c r="G504" s="37" t="n">
        <v>40</v>
      </c>
      <c r="H504" s="33">
        <f>H503-G504</f>
        <v/>
      </c>
      <c r="I504" s="36" t="n"/>
      <c r="J504" s="711" t="n"/>
      <c r="K504" s="722">
        <f>G504*D504</f>
        <v/>
      </c>
      <c r="L504" s="710" t="n"/>
      <c r="M504" s="392" t="n"/>
    </row>
    <row r="505" ht="17.25" customHeight="1" s="436">
      <c r="A505" s="30" t="n">
        <v>43304</v>
      </c>
      <c r="B505" s="31" t="inlineStr">
        <is>
          <t>5889</t>
        </is>
      </c>
      <c r="C505" s="35" t="n"/>
      <c r="D505" s="36" t="n">
        <v>56</v>
      </c>
      <c r="E505" s="36" t="n"/>
      <c r="F505" s="37" t="n"/>
      <c r="G505" s="37" t="n">
        <v>100</v>
      </c>
      <c r="H505" s="33">
        <f>H504-G505</f>
        <v/>
      </c>
      <c r="I505" s="36" t="n"/>
      <c r="J505" s="711" t="n"/>
      <c r="K505" s="722">
        <f>G505*D505</f>
        <v/>
      </c>
      <c r="L505" s="710" t="n"/>
      <c r="M505" s="392" t="n"/>
    </row>
    <row r="506" ht="17.25" customHeight="1" s="436">
      <c r="A506" s="92" t="n">
        <v>43305</v>
      </c>
      <c r="B506" s="93" t="inlineStr">
        <is>
          <t>2347</t>
        </is>
      </c>
      <c r="C506" s="96" t="n"/>
      <c r="D506" s="97" t="n">
        <v>41.5</v>
      </c>
      <c r="E506" s="97" t="n"/>
      <c r="F506" s="98" t="n">
        <v>200</v>
      </c>
      <c r="G506" s="98" t="n"/>
      <c r="H506" s="95" t="n">
        <v>1544</v>
      </c>
      <c r="I506" s="36" t="n"/>
      <c r="J506" s="711" t="n"/>
      <c r="K506" s="722" t="n"/>
      <c r="L506" s="710" t="n"/>
      <c r="M506" s="392" t="n"/>
    </row>
    <row r="507" ht="17.25" customHeight="1" s="436">
      <c r="A507" s="30" t="n">
        <v>43306</v>
      </c>
      <c r="B507" s="31" t="inlineStr">
        <is>
          <t>5890</t>
        </is>
      </c>
      <c r="C507" s="35" t="n"/>
      <c r="D507" s="36" t="n">
        <v>50</v>
      </c>
      <c r="E507" s="36" t="n"/>
      <c r="F507" s="37" t="n"/>
      <c r="G507" s="37" t="n">
        <v>30</v>
      </c>
      <c r="H507" s="33">
        <f>H506-G507</f>
        <v/>
      </c>
      <c r="I507" s="36" t="n"/>
      <c r="J507" s="711" t="n"/>
      <c r="K507" s="722">
        <f>G507*D507</f>
        <v/>
      </c>
      <c r="L507" s="710" t="n"/>
      <c r="M507" s="392" t="n"/>
    </row>
    <row r="508" ht="17.25" customHeight="1" s="436">
      <c r="A508" s="30" t="n">
        <v>43306</v>
      </c>
      <c r="B508" s="31" t="inlineStr">
        <is>
          <t>5892</t>
        </is>
      </c>
      <c r="C508" s="35" t="n"/>
      <c r="D508" s="36" t="n">
        <v>45</v>
      </c>
      <c r="E508" s="36" t="n"/>
      <c r="F508" s="37" t="n"/>
      <c r="G508" s="37" t="n">
        <v>20</v>
      </c>
      <c r="H508" s="33">
        <f>H507-G508</f>
        <v/>
      </c>
      <c r="I508" s="36" t="n"/>
      <c r="J508" s="711" t="n"/>
      <c r="K508" s="722">
        <f>G508*D508</f>
        <v/>
      </c>
      <c r="L508" s="710" t="n"/>
      <c r="M508" s="392" t="n"/>
    </row>
    <row r="509" ht="17.25" customHeight="1" s="436">
      <c r="A509" s="30" t="n">
        <v>43306</v>
      </c>
      <c r="B509" s="31" t="inlineStr">
        <is>
          <t>5894</t>
        </is>
      </c>
      <c r="C509" s="35" t="n"/>
      <c r="D509" s="36" t="n">
        <v>45</v>
      </c>
      <c r="E509" s="36" t="n"/>
      <c r="F509" s="37" t="n"/>
      <c r="G509" s="37" t="n">
        <v>30</v>
      </c>
      <c r="H509" s="33">
        <f>H508-G509</f>
        <v/>
      </c>
      <c r="I509" s="36" t="n"/>
      <c r="J509" s="711" t="n"/>
      <c r="K509" s="722">
        <f>G509*D509</f>
        <v/>
      </c>
      <c r="L509" s="710" t="n"/>
      <c r="M509" s="392" t="n"/>
    </row>
    <row r="510" ht="17.25" customHeight="1" s="436">
      <c r="A510" s="30" t="n">
        <v>43311</v>
      </c>
      <c r="B510" s="31" t="inlineStr">
        <is>
          <t>5898</t>
        </is>
      </c>
      <c r="C510" s="35" t="n"/>
      <c r="D510" s="36" t="n">
        <v>54</v>
      </c>
      <c r="E510" s="36" t="n"/>
      <c r="F510" s="37" t="n"/>
      <c r="G510" s="37" t="n">
        <v>30</v>
      </c>
      <c r="H510" s="33">
        <f>H509-G510</f>
        <v/>
      </c>
      <c r="I510" s="36" t="n"/>
      <c r="J510" s="711" t="n"/>
      <c r="K510" s="722">
        <f>G510*D510</f>
        <v/>
      </c>
      <c r="L510" s="710" t="n"/>
      <c r="M510" s="392" t="n"/>
    </row>
    <row r="511" ht="17.25" customHeight="1" s="436">
      <c r="A511" s="30" t="n">
        <v>43311</v>
      </c>
      <c r="B511" s="31" t="inlineStr">
        <is>
          <t>5900</t>
        </is>
      </c>
      <c r="C511" s="35" t="n"/>
      <c r="D511" s="36" t="n">
        <v>53</v>
      </c>
      <c r="E511" s="36" t="n"/>
      <c r="F511" s="37" t="n"/>
      <c r="G511" s="37" t="n">
        <v>15</v>
      </c>
      <c r="H511" s="33">
        <f>H510-G511</f>
        <v/>
      </c>
      <c r="I511" s="36" t="n"/>
      <c r="J511" s="711" t="n"/>
      <c r="K511" s="722">
        <f>G511*D511</f>
        <v/>
      </c>
      <c r="L511" s="710" t="n"/>
      <c r="M511" s="392" t="n"/>
    </row>
    <row r="512" ht="17.25" customHeight="1" s="436">
      <c r="A512" s="30" t="n">
        <v>43311</v>
      </c>
      <c r="B512" s="31" t="inlineStr">
        <is>
          <t>5901</t>
        </is>
      </c>
      <c r="C512" s="35" t="n"/>
      <c r="D512" s="36" t="n">
        <v>50</v>
      </c>
      <c r="E512" s="36" t="n"/>
      <c r="F512" s="37" t="n"/>
      <c r="G512" s="37" t="n">
        <v>10</v>
      </c>
      <c r="H512" s="33">
        <f>H511-G512</f>
        <v/>
      </c>
      <c r="I512" s="36" t="n"/>
      <c r="J512" s="711" t="n"/>
      <c r="K512" s="722">
        <f>G512*D512</f>
        <v/>
      </c>
      <c r="L512" s="710" t="n"/>
      <c r="M512" s="392" t="n"/>
    </row>
    <row r="513" ht="17.25" customHeight="1" s="436">
      <c r="A513" s="30" t="n">
        <v>43311</v>
      </c>
      <c r="B513" s="31" t="inlineStr">
        <is>
          <t>5902</t>
        </is>
      </c>
      <c r="C513" s="35" t="n"/>
      <c r="D513" s="36" t="n">
        <v>57.5</v>
      </c>
      <c r="E513" s="36" t="n"/>
      <c r="F513" s="37" t="n"/>
      <c r="G513" s="37" t="n">
        <v>10</v>
      </c>
      <c r="H513" s="33">
        <f>H512-G513</f>
        <v/>
      </c>
      <c r="I513" s="36" t="n"/>
      <c r="J513" s="711" t="n"/>
      <c r="K513" s="722">
        <f>G513*D513</f>
        <v/>
      </c>
      <c r="L513" s="710" t="n"/>
      <c r="M513" s="392" t="n"/>
    </row>
    <row r="514" ht="17.25" customHeight="1" s="436">
      <c r="A514" s="30" t="n">
        <v>43312</v>
      </c>
      <c r="B514" s="31" t="inlineStr">
        <is>
          <t>5909</t>
        </is>
      </c>
      <c r="C514" s="35" t="n"/>
      <c r="D514" s="36" t="n">
        <v>56.6</v>
      </c>
      <c r="E514" s="36" t="n"/>
      <c r="F514" s="37" t="n"/>
      <c r="G514" s="37" t="n">
        <v>50</v>
      </c>
      <c r="H514" s="33">
        <f>H513-G514</f>
        <v/>
      </c>
      <c r="I514" s="36" t="n"/>
      <c r="J514" s="711" t="n"/>
      <c r="K514" s="722">
        <f>G514*D514</f>
        <v/>
      </c>
      <c r="L514" s="710" t="n"/>
      <c r="M514" s="392" t="n"/>
    </row>
    <row r="515" ht="17.25" customHeight="1" s="436">
      <c r="A515" s="30" t="n">
        <v>43312</v>
      </c>
      <c r="B515" s="31" t="inlineStr">
        <is>
          <t>5910</t>
        </is>
      </c>
      <c r="C515" s="35" t="n"/>
      <c r="D515" s="36" t="n">
        <v>50</v>
      </c>
      <c r="E515" s="36" t="n"/>
      <c r="F515" s="37" t="n"/>
      <c r="G515" s="37" t="n">
        <v>30</v>
      </c>
      <c r="H515" s="33">
        <f>H514-G515</f>
        <v/>
      </c>
      <c r="I515" s="36" t="n"/>
      <c r="J515" s="711" t="n"/>
      <c r="K515" s="722">
        <f>G515*D515</f>
        <v/>
      </c>
      <c r="L515" s="710" t="n"/>
      <c r="M515" s="392" t="n"/>
    </row>
    <row r="516" ht="17.25" customHeight="1" s="436">
      <c r="A516" s="30" t="n">
        <v>43298</v>
      </c>
      <c r="B516" s="31" t="n"/>
      <c r="C516" s="35" t="n"/>
      <c r="D516" s="36" t="n">
        <v>85</v>
      </c>
      <c r="E516" s="36" t="n"/>
      <c r="F516" s="37" t="n"/>
      <c r="G516" s="37" t="n"/>
      <c r="H516" s="33">
        <f>H515-G516</f>
        <v/>
      </c>
      <c r="I516" s="36" t="n"/>
      <c r="J516" s="711" t="n"/>
      <c r="K516" s="722">
        <f>G516*D516</f>
        <v/>
      </c>
      <c r="L516" s="710" t="n"/>
      <c r="M516" s="392" t="n"/>
    </row>
    <row r="517" ht="17.25" customHeight="1" s="436">
      <c r="A517" s="30" t="n">
        <v>43299</v>
      </c>
      <c r="B517" s="31" t="n"/>
      <c r="C517" s="35" t="n"/>
      <c r="D517" s="36" t="n">
        <v>86</v>
      </c>
      <c r="E517" s="36" t="n"/>
      <c r="F517" s="37" t="n"/>
      <c r="G517" s="37" t="n"/>
      <c r="H517" s="33">
        <f>H516-G517</f>
        <v/>
      </c>
      <c r="I517" s="36" t="n"/>
      <c r="J517" s="711" t="n"/>
      <c r="K517" s="722">
        <f>G517*D517</f>
        <v/>
      </c>
      <c r="L517" s="710" t="n"/>
      <c r="M517" s="392" t="n"/>
    </row>
    <row r="518"/>
    <row r="519"/>
    <row r="520"/>
    <row r="521"/>
    <row r="522"/>
    <row r="523" ht="15.75" customHeight="1" s="436" thickBot="1"/>
    <row r="524" ht="27" customHeight="1" s="436" thickBot="1">
      <c r="A524" s="720" t="inlineStr">
        <is>
          <t xml:space="preserve"> FARINHA DE TRIGO TIPO: 1 - 25 KG</t>
        </is>
      </c>
      <c r="B524" s="697" t="n"/>
      <c r="C524" s="697" t="n"/>
      <c r="D524" s="697" t="n"/>
      <c r="E524" s="697" t="n"/>
      <c r="F524" s="697" t="n"/>
      <c r="G524" s="697" t="n"/>
      <c r="H524" s="697" t="n"/>
      <c r="I524" s="697" t="n"/>
      <c r="J524" s="697" t="n"/>
      <c r="K524" s="697" t="n"/>
      <c r="L524" s="697" t="n"/>
      <c r="M524" s="698" t="n"/>
    </row>
    <row r="525">
      <c r="A525" s="643" t="inlineStr">
        <is>
          <t>DATA</t>
        </is>
      </c>
      <c r="B525" s="633" t="inlineStr">
        <is>
          <t>N.F.</t>
        </is>
      </c>
      <c r="C525" s="633" t="inlineStr">
        <is>
          <t>TIPO</t>
        </is>
      </c>
      <c r="D525" s="633" t="inlineStr">
        <is>
          <t>PREÇO UNITÁRIO</t>
        </is>
      </c>
      <c r="E525" s="701" t="n"/>
      <c r="F525" s="633" t="inlineStr">
        <is>
          <t>QUANTIDADE / KG</t>
        </is>
      </c>
      <c r="H525" s="701" t="n"/>
      <c r="I525" s="632" t="inlineStr">
        <is>
          <t>PREÇO</t>
        </is>
      </c>
      <c r="J525" s="632" t="inlineStr">
        <is>
          <t>VALORES</t>
        </is>
      </c>
      <c r="L525" s="701" t="n"/>
      <c r="M525" s="649" t="n"/>
    </row>
    <row r="526" ht="15.75" customHeight="1" s="436" thickBot="1">
      <c r="A526" s="703" t="n"/>
      <c r="B526" s="704" t="n"/>
      <c r="C526" s="704" t="n"/>
      <c r="D526" s="703" t="n"/>
      <c r="E526" s="701" t="n"/>
      <c r="F526" s="705" t="n"/>
      <c r="G526" s="706" t="n"/>
      <c r="H526" s="707" t="n"/>
      <c r="I526" s="704" t="n"/>
      <c r="J526" s="703" t="n"/>
      <c r="L526" s="701" t="n"/>
      <c r="M526" s="704" t="n"/>
    </row>
    <row r="527" ht="15.75" customHeight="1" s="436" thickBot="1">
      <c r="A527" s="703" t="n"/>
      <c r="B527" s="704" t="n"/>
      <c r="C527" s="704" t="n"/>
      <c r="D527" s="705" t="n"/>
      <c r="E527" s="707" t="n"/>
      <c r="F527" s="3" t="inlineStr">
        <is>
          <t>ENTRADA</t>
        </is>
      </c>
      <c r="G527" s="3" t="inlineStr">
        <is>
          <t>SAÍDA</t>
        </is>
      </c>
      <c r="H527" s="640" t="inlineStr">
        <is>
          <t>SALDO EM 30/06/2018</t>
        </is>
      </c>
      <c r="I527" s="633" t="inlineStr">
        <is>
          <t>MÉDIO</t>
        </is>
      </c>
      <c r="J527" s="652" t="inlineStr">
        <is>
          <t>SALDO EM 30/11/2017</t>
        </is>
      </c>
      <c r="K527" s="706" t="n"/>
      <c r="L527" s="17" t="n"/>
      <c r="M527" s="704" t="n"/>
    </row>
    <row r="528" ht="18" customHeight="1" s="436" thickBot="1">
      <c r="A528" s="705" t="n"/>
      <c r="B528" s="695" t="n"/>
      <c r="C528" s="695" t="n"/>
      <c r="D528" s="3" t="inlineStr">
        <is>
          <t>C/ICMS</t>
        </is>
      </c>
      <c r="E528" s="3" t="inlineStr">
        <is>
          <t>S/ICMS</t>
        </is>
      </c>
      <c r="F528" s="695" t="n"/>
      <c r="G528" s="695" t="n"/>
      <c r="H528" s="84" t="inlineStr">
        <is>
          <t>SALDO EM 31/07/2018</t>
        </is>
      </c>
      <c r="I528" s="695" t="n"/>
      <c r="J528" s="645" t="inlineStr">
        <is>
          <t>ENTRADA</t>
        </is>
      </c>
      <c r="K528" s="633" t="inlineStr">
        <is>
          <t>SAÍDA / CMV</t>
        </is>
      </c>
      <c r="L528" s="643" t="inlineStr">
        <is>
          <t>SALDO</t>
        </is>
      </c>
      <c r="M528" s="392" t="n"/>
    </row>
    <row r="529" ht="17.25" customHeight="1" s="436">
      <c r="A529" s="30" t="n"/>
      <c r="B529" s="31" t="n"/>
      <c r="C529" s="35" t="n"/>
      <c r="D529" s="36" t="n"/>
      <c r="E529" s="36" t="n"/>
      <c r="F529" s="37" t="n"/>
      <c r="G529" s="37" t="n">
        <v>0</v>
      </c>
      <c r="H529" s="37" t="n"/>
      <c r="I529" s="36" t="n"/>
      <c r="J529" s="711">
        <f>F529*I529</f>
        <v/>
      </c>
      <c r="K529" s="721" t="n">
        <v>0</v>
      </c>
      <c r="L529" s="710">
        <f>J529-K529</f>
        <v/>
      </c>
      <c r="M529" s="392" t="n"/>
    </row>
    <row r="530" ht="17.25" customHeight="1" s="436">
      <c r="A530" s="92" t="n">
        <v>43313</v>
      </c>
      <c r="B530" s="93" t="n"/>
      <c r="C530" s="93" t="n"/>
      <c r="D530" s="94" t="n"/>
      <c r="E530" s="94" t="n"/>
      <c r="F530" s="95" t="n"/>
      <c r="G530" s="95" t="n"/>
      <c r="H530" s="95" t="n">
        <v>1319</v>
      </c>
      <c r="I530" s="32" t="n"/>
      <c r="J530" s="711" t="n"/>
      <c r="K530" s="722" t="n"/>
      <c r="L530" s="710" t="n"/>
      <c r="M530" s="392" t="n"/>
    </row>
    <row r="531" ht="17.25" customHeight="1" s="436">
      <c r="A531" s="92" t="n">
        <v>43319</v>
      </c>
      <c r="B531" s="93" t="inlineStr">
        <is>
          <t>2359</t>
        </is>
      </c>
      <c r="C531" s="93" t="n"/>
      <c r="D531" s="94" t="n">
        <v>39.55</v>
      </c>
      <c r="E531" s="94" t="n"/>
      <c r="F531" s="95" t="n">
        <v>200</v>
      </c>
      <c r="G531" s="95" t="n"/>
      <c r="H531" s="95" t="n">
        <v>1519</v>
      </c>
      <c r="I531" s="32" t="n"/>
      <c r="J531" s="711" t="n"/>
      <c r="K531" s="722" t="n"/>
      <c r="L531" s="710" t="n"/>
      <c r="M531" s="392" t="n"/>
    </row>
    <row r="532" ht="17.25" customHeight="1" s="436">
      <c r="A532" s="30" t="n">
        <v>43319</v>
      </c>
      <c r="B532" s="31" t="inlineStr">
        <is>
          <t>5911</t>
        </is>
      </c>
      <c r="C532" s="35" t="n"/>
      <c r="D532" s="36" t="n">
        <v>54</v>
      </c>
      <c r="E532" s="36" t="n"/>
      <c r="F532" s="37" t="n"/>
      <c r="G532" s="37" t="n">
        <v>40</v>
      </c>
      <c r="H532" s="33">
        <f>H531-G532</f>
        <v/>
      </c>
      <c r="I532" s="36" t="n"/>
      <c r="J532" s="711" t="n"/>
      <c r="K532" s="722">
        <f>G532*D532</f>
        <v/>
      </c>
      <c r="L532" s="710" t="n"/>
      <c r="M532" s="392" t="n"/>
    </row>
    <row r="533" ht="17.25" customHeight="1" s="436">
      <c r="A533" s="30" t="n">
        <v>43319</v>
      </c>
      <c r="B533" s="31" t="inlineStr">
        <is>
          <t>5915</t>
        </is>
      </c>
      <c r="C533" s="35" t="n"/>
      <c r="D533" s="36" t="n">
        <v>54</v>
      </c>
      <c r="E533" s="36" t="n"/>
      <c r="F533" s="37" t="n"/>
      <c r="G533" s="101" t="n">
        <v>10</v>
      </c>
      <c r="H533" s="33">
        <f>H532-G533</f>
        <v/>
      </c>
      <c r="I533" s="36" t="n"/>
      <c r="J533" s="711" t="n"/>
      <c r="K533" s="722">
        <f>G533*D533</f>
        <v/>
      </c>
      <c r="L533" s="710" t="n"/>
      <c r="M533" s="392" t="n"/>
    </row>
    <row r="534" ht="17.25" customHeight="1" s="436">
      <c r="A534" s="30" t="n">
        <v>43319</v>
      </c>
      <c r="B534" s="31" t="inlineStr">
        <is>
          <t>5916</t>
        </is>
      </c>
      <c r="C534" s="35" t="n"/>
      <c r="D534" s="36" t="n">
        <v>50</v>
      </c>
      <c r="E534" s="36" t="n"/>
      <c r="F534" s="37" t="n"/>
      <c r="G534" s="37" t="n">
        <v>30</v>
      </c>
      <c r="H534" s="33">
        <f>H533-G534</f>
        <v/>
      </c>
      <c r="I534" s="36" t="n"/>
      <c r="J534" s="711" t="n"/>
      <c r="K534" s="722">
        <f>G534*D534</f>
        <v/>
      </c>
      <c r="L534" s="710" t="n"/>
      <c r="M534" s="392" t="n"/>
    </row>
    <row r="535">
      <c r="A535" s="30" t="n">
        <v>43319</v>
      </c>
      <c r="B535" s="31" t="inlineStr">
        <is>
          <t>5917</t>
        </is>
      </c>
      <c r="C535" s="35" t="n"/>
      <c r="D535" s="36" t="n">
        <v>50</v>
      </c>
      <c r="E535" s="36" t="n"/>
      <c r="F535" s="37" t="n"/>
      <c r="G535" s="37" t="n">
        <v>20</v>
      </c>
      <c r="H535" s="33">
        <f>H534-G535</f>
        <v/>
      </c>
      <c r="I535" s="36" t="n"/>
      <c r="J535" s="711" t="n"/>
      <c r="K535" s="709">
        <f>G535*D535</f>
        <v/>
      </c>
      <c r="L535" s="710" t="n"/>
      <c r="M535" s="392" t="n"/>
    </row>
    <row r="536" ht="17.25" customHeight="1" s="436">
      <c r="A536" s="30" t="n">
        <v>43319</v>
      </c>
      <c r="B536" s="31" t="inlineStr">
        <is>
          <t>5920</t>
        </is>
      </c>
      <c r="C536" s="35" t="n"/>
      <c r="D536" s="36" t="n">
        <v>56</v>
      </c>
      <c r="E536" s="36" t="n"/>
      <c r="F536" s="37" t="n"/>
      <c r="G536" s="37" t="n">
        <v>30</v>
      </c>
      <c r="H536" s="33">
        <f>H535-G536</f>
        <v/>
      </c>
      <c r="I536" s="36" t="n"/>
      <c r="J536" s="711" t="n"/>
      <c r="K536" s="722">
        <f>G536*D536</f>
        <v/>
      </c>
      <c r="L536" s="710" t="n"/>
      <c r="M536" s="392" t="n"/>
    </row>
    <row r="537" ht="17.25" customHeight="1" s="436">
      <c r="A537" s="30" t="n">
        <v>43322</v>
      </c>
      <c r="B537" s="31" t="inlineStr">
        <is>
          <t>5921</t>
        </is>
      </c>
      <c r="C537" s="35" t="n"/>
      <c r="D537" s="36" t="n">
        <v>57</v>
      </c>
      <c r="E537" s="36" t="n"/>
      <c r="F537" s="37" t="n"/>
      <c r="G537" s="37" t="n">
        <v>80</v>
      </c>
      <c r="H537" s="33">
        <f>H536-G537</f>
        <v/>
      </c>
      <c r="I537" s="36" t="n"/>
      <c r="J537" s="711" t="n"/>
      <c r="K537" s="722">
        <f>G537*D537</f>
        <v/>
      </c>
      <c r="L537" s="710" t="n"/>
      <c r="M537" s="392" t="n"/>
    </row>
    <row r="538" ht="17.25" customHeight="1" s="436">
      <c r="A538" s="30" t="n">
        <v>43325</v>
      </c>
      <c r="B538" s="31" t="inlineStr">
        <is>
          <t>5922</t>
        </is>
      </c>
      <c r="C538" s="35" t="n"/>
      <c r="D538" s="36" t="n">
        <v>55</v>
      </c>
      <c r="E538" s="36" t="n"/>
      <c r="F538" s="37" t="n"/>
      <c r="G538" s="37" t="n">
        <v>25</v>
      </c>
      <c r="H538" s="33">
        <f>H537-G538</f>
        <v/>
      </c>
      <c r="I538" s="36" t="n"/>
      <c r="J538" s="711" t="n"/>
      <c r="K538" s="722">
        <f>G538*D538</f>
        <v/>
      </c>
      <c r="L538" s="710" t="n"/>
      <c r="M538" s="392" t="n"/>
    </row>
    <row r="539" ht="17.25" customHeight="1" s="436">
      <c r="A539" s="30" t="n">
        <v>43325</v>
      </c>
      <c r="B539" s="31" t="inlineStr">
        <is>
          <t>5923</t>
        </is>
      </c>
      <c r="C539" s="35" t="n"/>
      <c r="D539" s="36" t="n">
        <v>50</v>
      </c>
      <c r="E539" s="36" t="n"/>
      <c r="F539" s="37" t="n"/>
      <c r="G539" s="37" t="n">
        <v>10</v>
      </c>
      <c r="H539" s="33">
        <f>H538-G539</f>
        <v/>
      </c>
      <c r="I539" s="36" t="n"/>
      <c r="J539" s="711" t="n"/>
      <c r="K539" s="722">
        <f>G539*D539</f>
        <v/>
      </c>
      <c r="L539" s="710" t="n"/>
      <c r="M539" s="392" t="n"/>
    </row>
    <row r="540" ht="17.25" customHeight="1" s="436">
      <c r="A540" s="30" t="n">
        <v>43325</v>
      </c>
      <c r="B540" s="31" t="inlineStr">
        <is>
          <t>5925</t>
        </is>
      </c>
      <c r="C540" s="35" t="n"/>
      <c r="D540" s="36" t="n">
        <v>50</v>
      </c>
      <c r="E540" s="36" t="n"/>
      <c r="F540" s="37" t="n"/>
      <c r="G540" s="37" t="n">
        <v>20</v>
      </c>
      <c r="H540" s="33">
        <f>H539-G540</f>
        <v/>
      </c>
      <c r="I540" s="36" t="n"/>
      <c r="J540" s="711" t="n"/>
      <c r="K540" s="722">
        <f>G540*D540</f>
        <v/>
      </c>
      <c r="L540" s="710" t="n"/>
      <c r="M540" s="392" t="n"/>
    </row>
    <row r="541" ht="17.25" customHeight="1" s="436">
      <c r="A541" s="30" t="n">
        <v>43325</v>
      </c>
      <c r="B541" s="31" t="inlineStr">
        <is>
          <t>5927</t>
        </is>
      </c>
      <c r="C541" s="35" t="n"/>
      <c r="D541" s="36" t="n">
        <v>50</v>
      </c>
      <c r="E541" s="36" t="n"/>
      <c r="F541" s="37" t="n"/>
      <c r="G541" s="37" t="n">
        <v>10</v>
      </c>
      <c r="H541" s="33">
        <f>H540-G541</f>
        <v/>
      </c>
      <c r="I541" s="36" t="n"/>
      <c r="J541" s="711" t="n"/>
      <c r="K541" s="722">
        <f>G541*D541</f>
        <v/>
      </c>
      <c r="L541" s="710" t="n"/>
      <c r="M541" s="392" t="n"/>
    </row>
    <row r="542" ht="17.25" customHeight="1" s="436">
      <c r="A542" s="30" t="n">
        <v>43325</v>
      </c>
      <c r="B542" s="31" t="inlineStr">
        <is>
          <t>5931</t>
        </is>
      </c>
      <c r="C542" s="35" t="n"/>
      <c r="D542" s="36" t="n">
        <v>50</v>
      </c>
      <c r="E542" s="36" t="n"/>
      <c r="F542" s="37" t="n"/>
      <c r="G542" s="37" t="n">
        <v>10</v>
      </c>
      <c r="H542" s="33">
        <f>H541-G542</f>
        <v/>
      </c>
      <c r="I542" s="36" t="n"/>
      <c r="J542" s="711" t="n"/>
      <c r="K542" s="722">
        <f>G542*D542</f>
        <v/>
      </c>
      <c r="L542" s="710" t="n"/>
      <c r="M542" s="392" t="n"/>
    </row>
    <row r="543" ht="17.25" customHeight="1" s="436">
      <c r="A543" s="30" t="n">
        <v>43327</v>
      </c>
      <c r="B543" s="31" t="inlineStr">
        <is>
          <t>5934</t>
        </is>
      </c>
      <c r="C543" s="35" t="n"/>
      <c r="D543" s="36" t="n">
        <v>50</v>
      </c>
      <c r="E543" s="36" t="n"/>
      <c r="F543" s="37" t="n"/>
      <c r="G543" s="37" t="n">
        <v>50</v>
      </c>
      <c r="H543" s="33">
        <f>H542-G543</f>
        <v/>
      </c>
      <c r="I543" s="36" t="n"/>
      <c r="J543" s="711" t="n"/>
      <c r="K543" s="722">
        <f>G543*D543</f>
        <v/>
      </c>
      <c r="L543" s="710" t="n"/>
      <c r="M543" s="392" t="n"/>
    </row>
    <row r="544" ht="17.25" customHeight="1" s="436">
      <c r="A544" s="30" t="n">
        <v>43327</v>
      </c>
      <c r="B544" s="31" t="inlineStr">
        <is>
          <t>5937</t>
        </is>
      </c>
      <c r="C544" s="35" t="n"/>
      <c r="D544" s="36" t="n">
        <v>56</v>
      </c>
      <c r="E544" s="36" t="n"/>
      <c r="F544" s="37" t="n"/>
      <c r="G544" s="37" t="n">
        <v>20</v>
      </c>
      <c r="H544" s="33">
        <f>H543-G544</f>
        <v/>
      </c>
      <c r="I544" s="36" t="n"/>
      <c r="J544" s="711" t="n"/>
      <c r="K544" s="722">
        <f>G544*D544</f>
        <v/>
      </c>
      <c r="L544" s="710" t="n"/>
      <c r="M544" s="392" t="n"/>
    </row>
    <row r="545" ht="17.25" customHeight="1" s="436">
      <c r="A545" s="92" t="n">
        <v>43333</v>
      </c>
      <c r="B545" s="93" t="inlineStr">
        <is>
          <t>2368</t>
        </is>
      </c>
      <c r="C545" s="96" t="n"/>
      <c r="D545" s="97" t="n">
        <v>39.55</v>
      </c>
      <c r="E545" s="97" t="n"/>
      <c r="F545" s="98" t="n">
        <v>200</v>
      </c>
      <c r="G545" s="98" t="n"/>
      <c r="H545" s="95" t="n">
        <v>1364</v>
      </c>
      <c r="I545" s="36" t="n"/>
      <c r="J545" s="711" t="n"/>
      <c r="K545" s="722" t="n"/>
      <c r="L545" s="710" t="n"/>
      <c r="M545" s="392" t="n"/>
    </row>
    <row r="546" ht="17.25" customHeight="1" s="436">
      <c r="A546" s="30" t="n">
        <v>43333</v>
      </c>
      <c r="B546" s="31" t="inlineStr">
        <is>
          <t>5946</t>
        </is>
      </c>
      <c r="C546" s="35" t="n"/>
      <c r="D546" s="36" t="n">
        <v>56</v>
      </c>
      <c r="E546" s="36" t="n"/>
      <c r="F546" s="37" t="n"/>
      <c r="G546" s="37" t="n">
        <v>40</v>
      </c>
      <c r="H546" s="33">
        <f>H545-G546</f>
        <v/>
      </c>
      <c r="I546" s="36" t="n"/>
      <c r="J546" s="711" t="n"/>
      <c r="K546" s="722">
        <f>G546*D546</f>
        <v/>
      </c>
      <c r="L546" s="710" t="n"/>
      <c r="M546" s="392" t="n"/>
    </row>
    <row r="547" ht="17.25" customHeight="1" s="436">
      <c r="A547" s="30" t="n">
        <v>43333</v>
      </c>
      <c r="B547" s="31" t="inlineStr">
        <is>
          <t>5947</t>
        </is>
      </c>
      <c r="C547" s="35" t="n"/>
      <c r="D547" s="36" t="n">
        <v>50</v>
      </c>
      <c r="E547" s="36" t="n"/>
      <c r="F547" s="37" t="n"/>
      <c r="G547" s="37" t="n">
        <v>10</v>
      </c>
      <c r="H547" s="33">
        <f>H546-G547</f>
        <v/>
      </c>
      <c r="I547" s="36" t="n"/>
      <c r="J547" s="711" t="n"/>
      <c r="K547" s="722">
        <f>G547*D547</f>
        <v/>
      </c>
      <c r="L547" s="710" t="n"/>
      <c r="M547" s="392" t="n"/>
    </row>
    <row r="548" ht="17.25" customHeight="1" s="436">
      <c r="A548" s="30" t="n">
        <v>43333</v>
      </c>
      <c r="B548" s="31" t="inlineStr">
        <is>
          <t>5948</t>
        </is>
      </c>
      <c r="C548" s="35" t="n"/>
      <c r="D548" s="36" t="n">
        <v>50</v>
      </c>
      <c r="E548" s="36" t="n"/>
      <c r="F548" s="37" t="n"/>
      <c r="G548" s="37" t="n">
        <v>20</v>
      </c>
      <c r="H548" s="33">
        <f>H547-G548</f>
        <v/>
      </c>
      <c r="I548" s="36" t="n"/>
      <c r="J548" s="711" t="n"/>
      <c r="K548" s="722">
        <f>G548*D548</f>
        <v/>
      </c>
      <c r="L548" s="710" t="n"/>
      <c r="M548" s="392" t="n"/>
    </row>
    <row r="549" ht="17.25" customHeight="1" s="436">
      <c r="A549" s="30" t="n">
        <v>43333</v>
      </c>
      <c r="B549" s="31" t="inlineStr">
        <is>
          <t>5951</t>
        </is>
      </c>
      <c r="C549" s="35" t="n"/>
      <c r="D549" s="36" t="n">
        <v>50</v>
      </c>
      <c r="E549" s="36" t="n"/>
      <c r="F549" s="37" t="n"/>
      <c r="G549" s="37" t="n">
        <v>30</v>
      </c>
      <c r="H549" s="33">
        <f>H548-G549</f>
        <v/>
      </c>
      <c r="I549" s="36" t="n"/>
      <c r="J549" s="711" t="n"/>
      <c r="K549" s="722">
        <f>G549*D549</f>
        <v/>
      </c>
      <c r="L549" s="710" t="n"/>
      <c r="M549" s="392" t="n"/>
    </row>
    <row r="550" ht="17.25" customHeight="1" s="436">
      <c r="A550" s="30" t="n">
        <v>43334</v>
      </c>
      <c r="B550" s="31" t="inlineStr">
        <is>
          <t>5953</t>
        </is>
      </c>
      <c r="C550" s="35" t="n"/>
      <c r="D550" s="36" t="n">
        <v>56</v>
      </c>
      <c r="E550" s="36" t="n"/>
      <c r="F550" s="37" t="n"/>
      <c r="G550" s="37" t="n">
        <v>80</v>
      </c>
      <c r="H550" s="33">
        <f>H549-G550</f>
        <v/>
      </c>
      <c r="I550" s="36" t="n"/>
      <c r="J550" s="711" t="n"/>
      <c r="K550" s="722">
        <f>G550*D550</f>
        <v/>
      </c>
      <c r="L550" s="710" t="n"/>
      <c r="M550" s="392" t="n"/>
    </row>
    <row r="551" ht="17.25" customHeight="1" s="436">
      <c r="A551" s="30" t="n">
        <v>43339</v>
      </c>
      <c r="B551" s="31" t="inlineStr">
        <is>
          <t>5955</t>
        </is>
      </c>
      <c r="C551" s="35" t="n"/>
      <c r="D551" s="36" t="n">
        <v>50</v>
      </c>
      <c r="E551" s="36" t="n"/>
      <c r="F551" s="37" t="n"/>
      <c r="G551" s="37" t="n">
        <v>30</v>
      </c>
      <c r="H551" s="33">
        <f>H550-G551</f>
        <v/>
      </c>
      <c r="I551" s="36" t="n"/>
      <c r="J551" s="711" t="n"/>
      <c r="K551" s="722">
        <f>G551*D551</f>
        <v/>
      </c>
      <c r="L551" s="710" t="n"/>
      <c r="M551" s="392" t="n"/>
    </row>
    <row r="552" ht="17.25" customHeight="1" s="436">
      <c r="A552" s="30" t="n">
        <v>43339</v>
      </c>
      <c r="B552" s="31" t="inlineStr">
        <is>
          <t>5956</t>
        </is>
      </c>
      <c r="C552" s="35" t="n"/>
      <c r="D552" s="36" t="n">
        <v>50</v>
      </c>
      <c r="E552" s="36" t="n"/>
      <c r="F552" s="37" t="n"/>
      <c r="G552" s="37" t="n">
        <v>30</v>
      </c>
      <c r="H552" s="33">
        <f>H551-G552</f>
        <v/>
      </c>
      <c r="I552" s="36" t="n"/>
      <c r="J552" s="711" t="n"/>
      <c r="K552" s="722">
        <f>G552*D552</f>
        <v/>
      </c>
      <c r="L552" s="710" t="n"/>
      <c r="M552" s="392" t="n"/>
    </row>
    <row r="553" ht="17.25" customHeight="1" s="436">
      <c r="A553" s="30" t="n">
        <v>43341</v>
      </c>
      <c r="B553" s="31" t="inlineStr">
        <is>
          <t>5963</t>
        </is>
      </c>
      <c r="C553" s="35" t="n"/>
      <c r="D553" s="36" t="n">
        <v>50</v>
      </c>
      <c r="E553" s="36" t="n"/>
      <c r="F553" s="37" t="n"/>
      <c r="G553" s="37" t="n">
        <v>60</v>
      </c>
      <c r="H553" s="33">
        <f>H552-G553</f>
        <v/>
      </c>
      <c r="I553" s="36" t="n"/>
      <c r="J553" s="711" t="n"/>
      <c r="K553" s="722">
        <f>G553*D553</f>
        <v/>
      </c>
      <c r="L553" s="710" t="n"/>
      <c r="M553" s="392" t="n"/>
    </row>
    <row r="554" ht="17.25" customHeight="1" s="436">
      <c r="A554" s="30" t="n">
        <v>43341</v>
      </c>
      <c r="B554" s="31" t="inlineStr">
        <is>
          <t>5964</t>
        </is>
      </c>
      <c r="C554" s="35" t="n"/>
      <c r="D554" s="36" t="n">
        <v>53</v>
      </c>
      <c r="E554" s="36" t="n"/>
      <c r="F554" s="37" t="n"/>
      <c r="G554" s="37" t="n">
        <v>15</v>
      </c>
      <c r="H554" s="33">
        <f>H553-G554</f>
        <v/>
      </c>
      <c r="I554" s="36" t="n"/>
      <c r="J554" s="711" t="n"/>
      <c r="K554" s="722">
        <f>G554*D554</f>
        <v/>
      </c>
      <c r="L554" s="710" t="n"/>
      <c r="M554" s="392" t="n"/>
    </row>
    <row r="555" ht="17.25" customHeight="1" s="436">
      <c r="A555" s="30" t="n">
        <v>43341</v>
      </c>
      <c r="B555" s="31" t="inlineStr">
        <is>
          <t>5965</t>
        </is>
      </c>
      <c r="C555" s="35" t="n"/>
      <c r="D555" s="36" t="n">
        <v>56</v>
      </c>
      <c r="E555" s="36" t="n"/>
      <c r="F555" s="37" t="n"/>
      <c r="G555" s="37" t="n">
        <v>20</v>
      </c>
      <c r="H555" s="33">
        <f>H554-G555</f>
        <v/>
      </c>
      <c r="I555" s="36" t="n"/>
      <c r="J555" s="711" t="n"/>
      <c r="K555" s="722">
        <f>G555*D555</f>
        <v/>
      </c>
      <c r="L555" s="710" t="n"/>
      <c r="M555" s="392" t="n"/>
    </row>
    <row r="556" ht="17.25" customHeight="1" s="436">
      <c r="A556" s="30" t="n">
        <v>43341</v>
      </c>
      <c r="B556" s="31" t="inlineStr">
        <is>
          <t>5968</t>
        </is>
      </c>
      <c r="C556" s="35" t="n"/>
      <c r="D556" s="36" t="n">
        <v>50</v>
      </c>
      <c r="E556" s="36" t="n"/>
      <c r="F556" s="37" t="n"/>
      <c r="G556" s="37" t="n">
        <v>10</v>
      </c>
      <c r="H556" s="33">
        <f>H555-G556</f>
        <v/>
      </c>
      <c r="I556" s="36" t="n"/>
      <c r="J556" s="711" t="n"/>
      <c r="K556" s="722">
        <f>G556*D556</f>
        <v/>
      </c>
      <c r="L556" s="710" t="n"/>
      <c r="M556" s="392" t="n"/>
    </row>
    <row r="557" ht="17.25" customHeight="1" s="436">
      <c r="A557" s="30" t="n">
        <v>43341</v>
      </c>
      <c r="B557" s="31" t="inlineStr">
        <is>
          <t>5969</t>
        </is>
      </c>
      <c r="C557" s="35" t="n"/>
      <c r="D557" s="36" t="n">
        <v>50</v>
      </c>
      <c r="E557" s="36" t="n"/>
      <c r="F557" s="37" t="n"/>
      <c r="G557" s="37" t="n">
        <v>30</v>
      </c>
      <c r="H557" s="33">
        <f>H556-G557</f>
        <v/>
      </c>
      <c r="I557" s="36" t="n"/>
      <c r="J557" s="711" t="n"/>
      <c r="K557" s="722">
        <f>G557*D557</f>
        <v/>
      </c>
      <c r="L557" s="710" t="n"/>
      <c r="M557" s="392" t="n"/>
    </row>
    <row r="558" ht="17.25" customHeight="1" s="436">
      <c r="A558" s="30" t="n">
        <v>43345</v>
      </c>
      <c r="B558" s="31" t="n"/>
      <c r="C558" s="35" t="n"/>
      <c r="D558" s="36" t="n"/>
      <c r="E558" s="36" t="n"/>
      <c r="F558" s="37" t="n"/>
      <c r="G558" s="37" t="n"/>
      <c r="H558" s="33">
        <f>H557-G558</f>
        <v/>
      </c>
      <c r="I558" s="36" t="n"/>
      <c r="J558" s="711" t="n"/>
      <c r="K558" s="722">
        <f>G558*D558</f>
        <v/>
      </c>
      <c r="L558" s="710" t="n"/>
      <c r="M558" s="392" t="n"/>
    </row>
    <row r="559" ht="17.25" customHeight="1" s="436">
      <c r="A559" s="30" t="n">
        <v>43346</v>
      </c>
      <c r="B559" s="31" t="n"/>
      <c r="C559" s="35" t="n"/>
      <c r="D559" s="36" t="n"/>
      <c r="E559" s="36" t="n"/>
      <c r="F559" s="37" t="n"/>
      <c r="G559" s="37" t="n"/>
      <c r="H559" s="33">
        <f>H558-G559</f>
        <v/>
      </c>
      <c r="I559" s="36" t="n"/>
      <c r="J559" s="711" t="n"/>
      <c r="K559" s="722">
        <f>G559*D559</f>
        <v/>
      </c>
      <c r="L559" s="710" t="n"/>
      <c r="M559" s="392" t="n"/>
    </row>
    <row r="560" ht="17.25" customHeight="1" s="436">
      <c r="A560" s="30" t="n">
        <v>43347</v>
      </c>
      <c r="B560" s="31" t="n"/>
      <c r="C560" s="35" t="n"/>
      <c r="D560" s="36" t="n"/>
      <c r="E560" s="36" t="n"/>
      <c r="F560" s="37" t="n"/>
      <c r="G560" s="37" t="n"/>
      <c r="H560" s="33">
        <f>H559-G560</f>
        <v/>
      </c>
      <c r="I560" s="36" t="n"/>
      <c r="J560" s="711" t="n"/>
      <c r="K560" s="722">
        <f>G560*D560</f>
        <v/>
      </c>
      <c r="L560" s="710" t="n"/>
      <c r="M560" s="392" t="n"/>
    </row>
    <row r="561" ht="17.25" customHeight="1" s="436">
      <c r="A561" s="30" t="n">
        <v>43348</v>
      </c>
      <c r="B561" s="31" t="n"/>
      <c r="C561" s="35" t="n"/>
      <c r="D561" s="36" t="n"/>
      <c r="E561" s="36" t="n"/>
      <c r="F561" s="37" t="n"/>
      <c r="G561" s="37" t="n"/>
      <c r="H561" s="33">
        <f>H560-G561</f>
        <v/>
      </c>
      <c r="I561" s="36" t="n"/>
      <c r="J561" s="711" t="n"/>
      <c r="K561" s="722">
        <f>G561*D561</f>
        <v/>
      </c>
      <c r="L561" s="710" t="n"/>
      <c r="M561" s="392" t="n"/>
    </row>
    <row r="562" ht="17.25" customHeight="1" s="436">
      <c r="A562" s="30" t="n">
        <v>43349</v>
      </c>
      <c r="B562" s="31" t="n"/>
      <c r="C562" s="35" t="n"/>
      <c r="D562" s="36" t="n"/>
      <c r="E562" s="36" t="n"/>
      <c r="F562" s="37" t="n"/>
      <c r="G562" s="37" t="n"/>
      <c r="H562" s="33">
        <f>H561-G562</f>
        <v/>
      </c>
      <c r="I562" s="36" t="n"/>
      <c r="J562" s="711" t="n"/>
      <c r="K562" s="722">
        <f>G562*D562</f>
        <v/>
      </c>
      <c r="L562" s="710" t="n"/>
      <c r="M562" s="392" t="n"/>
    </row>
    <row r="563" ht="17.25" customHeight="1" s="436">
      <c r="A563" s="30" t="n">
        <v>43350</v>
      </c>
      <c r="B563" s="31" t="n"/>
      <c r="C563" s="35" t="n"/>
      <c r="D563" s="36" t="n"/>
      <c r="E563" s="36" t="n"/>
      <c r="F563" s="37" t="n"/>
      <c r="G563" s="37" t="n"/>
      <c r="H563" s="33">
        <f>H562-G563</f>
        <v/>
      </c>
      <c r="I563" s="36" t="n"/>
      <c r="J563" s="711" t="n"/>
      <c r="K563" s="722">
        <f>G563*D563</f>
        <v/>
      </c>
      <c r="L563" s="710" t="n"/>
      <c r="M563" s="392" t="n"/>
    </row>
    <row r="564" ht="17.25" customHeight="1" s="436">
      <c r="A564" s="30" t="n">
        <v>43351</v>
      </c>
      <c r="B564" s="31" t="n"/>
      <c r="C564" s="35" t="n"/>
      <c r="D564" s="36" t="n"/>
      <c r="E564" s="36" t="n"/>
      <c r="F564" s="37" t="n"/>
      <c r="G564" s="37" t="n"/>
      <c r="H564" s="33">
        <f>H563-G564</f>
        <v/>
      </c>
      <c r="I564" s="36" t="n"/>
      <c r="J564" s="711" t="n"/>
      <c r="K564" s="722">
        <f>G564*D564</f>
        <v/>
      </c>
      <c r="L564" s="710" t="n"/>
      <c r="M564" s="392" t="n"/>
    </row>
    <row r="565"/>
    <row r="566"/>
    <row r="567"/>
    <row r="568"/>
    <row r="569"/>
    <row r="570" ht="15.75" customHeight="1" s="436" thickBot="1"/>
    <row r="571" ht="27" customHeight="1" s="436" thickBot="1">
      <c r="A571" s="720" t="inlineStr">
        <is>
          <t xml:space="preserve"> FARINHA DE TRIGO TIPO: 1 - 25 KG</t>
        </is>
      </c>
      <c r="B571" s="697" t="n"/>
      <c r="C571" s="697" t="n"/>
      <c r="D571" s="697" t="n"/>
      <c r="E571" s="697" t="n"/>
      <c r="F571" s="697" t="n"/>
      <c r="G571" s="697" t="n"/>
      <c r="H571" s="697" t="n"/>
      <c r="I571" s="697" t="n"/>
      <c r="J571" s="697" t="n"/>
      <c r="K571" s="697" t="n"/>
      <c r="L571" s="697" t="n"/>
      <c r="M571" s="698" t="n"/>
    </row>
    <row r="572">
      <c r="A572" s="643" t="inlineStr">
        <is>
          <t>DATA</t>
        </is>
      </c>
      <c r="B572" s="633" t="inlineStr">
        <is>
          <t>N.F.</t>
        </is>
      </c>
      <c r="C572" s="633" t="inlineStr">
        <is>
          <t>TIPO</t>
        </is>
      </c>
      <c r="D572" s="633" t="inlineStr">
        <is>
          <t>PREÇO UNITÁRIO</t>
        </is>
      </c>
      <c r="E572" s="701" t="n"/>
      <c r="F572" s="633" t="inlineStr">
        <is>
          <t>QUANTIDADE / KG</t>
        </is>
      </c>
      <c r="H572" s="701" t="n"/>
      <c r="I572" s="632" t="inlineStr">
        <is>
          <t>PREÇO</t>
        </is>
      </c>
      <c r="J572" s="632" t="inlineStr">
        <is>
          <t>VALORES</t>
        </is>
      </c>
      <c r="L572" s="701" t="n"/>
      <c r="M572" s="649" t="n"/>
    </row>
    <row r="573" ht="15.75" customHeight="1" s="436" thickBot="1">
      <c r="A573" s="703" t="n"/>
      <c r="B573" s="704" t="n"/>
      <c r="C573" s="704" t="n"/>
      <c r="D573" s="703" t="n"/>
      <c r="E573" s="701" t="n"/>
      <c r="F573" s="705" t="n"/>
      <c r="G573" s="706" t="n"/>
      <c r="H573" s="707" t="n"/>
      <c r="I573" s="704" t="n"/>
      <c r="J573" s="703" t="n"/>
      <c r="L573" s="701" t="n"/>
      <c r="M573" s="704" t="n"/>
    </row>
    <row r="574" ht="15.75" customHeight="1" s="436" thickBot="1">
      <c r="A574" s="703" t="n"/>
      <c r="B574" s="704" t="n"/>
      <c r="C574" s="704" t="n"/>
      <c r="D574" s="705" t="n"/>
      <c r="E574" s="707" t="n"/>
      <c r="F574" s="3" t="inlineStr">
        <is>
          <t>ENTRADA</t>
        </is>
      </c>
      <c r="G574" s="3" t="inlineStr">
        <is>
          <t>SAÍDA</t>
        </is>
      </c>
      <c r="H574" s="640" t="n"/>
      <c r="I574" s="633" t="inlineStr">
        <is>
          <t>MÉDIO</t>
        </is>
      </c>
      <c r="J574" s="652" t="inlineStr">
        <is>
          <t>SALDO EM 30/11/2017</t>
        </is>
      </c>
      <c r="K574" s="706" t="n"/>
      <c r="L574" s="17" t="n"/>
      <c r="M574" s="704" t="n"/>
    </row>
    <row r="575" ht="18" customHeight="1" s="436" thickBot="1">
      <c r="A575" s="705" t="n"/>
      <c r="B575" s="695" t="n"/>
      <c r="C575" s="695" t="n"/>
      <c r="D575" s="3" t="inlineStr">
        <is>
          <t>C/ICMS</t>
        </is>
      </c>
      <c r="E575" s="3" t="inlineStr">
        <is>
          <t>S/ICMS</t>
        </is>
      </c>
      <c r="F575" s="695" t="n"/>
      <c r="G575" s="695" t="n"/>
      <c r="H575" s="84" t="inlineStr">
        <is>
          <t>SALDO EM 31/08/2018</t>
        </is>
      </c>
      <c r="I575" s="695" t="n"/>
      <c r="J575" s="645" t="inlineStr">
        <is>
          <t>ENTRADA</t>
        </is>
      </c>
      <c r="K575" s="633" t="inlineStr">
        <is>
          <t>SAÍDA / CMV</t>
        </is>
      </c>
      <c r="L575" s="643" t="inlineStr">
        <is>
          <t>SALDO</t>
        </is>
      </c>
      <c r="M575" s="392" t="n"/>
    </row>
    <row r="576" ht="17.25" customHeight="1" s="436">
      <c r="A576" s="30" t="n"/>
      <c r="B576" s="31" t="n"/>
      <c r="C576" s="35" t="n"/>
      <c r="D576" s="36" t="n"/>
      <c r="E576" s="36" t="n"/>
      <c r="F576" s="37" t="n"/>
      <c r="G576" s="37" t="n">
        <v>0</v>
      </c>
      <c r="H576" s="37" t="n"/>
      <c r="I576" s="36" t="n"/>
      <c r="J576" s="711">
        <f>F576*I576</f>
        <v/>
      </c>
      <c r="K576" s="721" t="n">
        <v>0</v>
      </c>
      <c r="L576" s="710">
        <f>J576-K576</f>
        <v/>
      </c>
      <c r="M576" s="392" t="n"/>
    </row>
    <row r="577" ht="17.25" customHeight="1" s="436">
      <c r="A577" s="92" t="n">
        <v>43344</v>
      </c>
      <c r="B577" s="93" t="n"/>
      <c r="C577" s="93" t="n"/>
      <c r="D577" s="94" t="n"/>
      <c r="E577" s="94" t="n"/>
      <c r="F577" s="95" t="n"/>
      <c r="G577" s="95" t="n"/>
      <c r="H577" s="95" t="n">
        <v>989</v>
      </c>
      <c r="I577" s="32" t="n"/>
      <c r="J577" s="711" t="n"/>
      <c r="K577" s="722" t="n"/>
      <c r="L577" s="710" t="n"/>
      <c r="M577" s="392" t="n"/>
    </row>
    <row r="578" ht="17.25" customHeight="1" s="436">
      <c r="A578" s="30" t="n">
        <v>43346</v>
      </c>
      <c r="B578" s="31" t="inlineStr">
        <is>
          <t>5974</t>
        </is>
      </c>
      <c r="C578" s="31" t="n"/>
      <c r="D578" s="32" t="n">
        <v>50</v>
      </c>
      <c r="E578" s="32" t="n"/>
      <c r="F578" s="33" t="n"/>
      <c r="G578" s="33" t="n">
        <v>10</v>
      </c>
      <c r="H578" s="33">
        <f>H577-G578</f>
        <v/>
      </c>
      <c r="I578" s="32" t="n"/>
      <c r="J578" s="711" t="n"/>
      <c r="K578" s="722" t="n"/>
      <c r="L578" s="710" t="n"/>
      <c r="M578" s="392" t="n"/>
    </row>
    <row r="579" ht="17.25" customHeight="1" s="436">
      <c r="A579" s="30" t="n">
        <v>43346</v>
      </c>
      <c r="B579" s="31" t="inlineStr">
        <is>
          <t>5975</t>
        </is>
      </c>
      <c r="C579" s="35" t="n"/>
      <c r="D579" s="36" t="n">
        <v>58</v>
      </c>
      <c r="E579" s="36" t="n"/>
      <c r="F579" s="37" t="n"/>
      <c r="G579" s="37" t="n">
        <v>20</v>
      </c>
      <c r="H579" s="33">
        <f>H578-G579</f>
        <v/>
      </c>
      <c r="I579" s="36" t="n"/>
      <c r="J579" s="711" t="n"/>
      <c r="K579" s="722">
        <f>G579*D579</f>
        <v/>
      </c>
      <c r="L579" s="710" t="n"/>
      <c r="M579" s="392" t="n"/>
    </row>
    <row r="580" ht="17.25" customHeight="1" s="436">
      <c r="A580" s="30" t="n">
        <v>43346</v>
      </c>
      <c r="B580" s="31" t="inlineStr">
        <is>
          <t>5976</t>
        </is>
      </c>
      <c r="C580" s="35" t="n"/>
      <c r="D580" s="36" t="n">
        <v>53</v>
      </c>
      <c r="E580" s="36" t="n"/>
      <c r="F580" s="37" t="n"/>
      <c r="G580" s="101" t="n">
        <v>50</v>
      </c>
      <c r="H580" s="33">
        <f>H579-G580</f>
        <v/>
      </c>
      <c r="I580" s="36" t="n"/>
      <c r="J580" s="711" t="n"/>
      <c r="K580" s="722">
        <f>G580*D580</f>
        <v/>
      </c>
      <c r="L580" s="710" t="n"/>
      <c r="M580" s="392" t="n"/>
    </row>
    <row r="581" ht="17.25" customHeight="1" s="436">
      <c r="A581" s="30" t="n">
        <v>43346</v>
      </c>
      <c r="B581" s="31" t="inlineStr">
        <is>
          <t>5980</t>
        </is>
      </c>
      <c r="C581" s="35" t="n"/>
      <c r="D581" s="36" t="n">
        <v>50</v>
      </c>
      <c r="E581" s="36" t="n"/>
      <c r="F581" s="37" t="n"/>
      <c r="G581" s="37" t="n">
        <v>10</v>
      </c>
      <c r="H581" s="33">
        <f>H580-G581</f>
        <v/>
      </c>
      <c r="I581" s="36" t="n"/>
      <c r="J581" s="711" t="n"/>
      <c r="K581" s="722">
        <f>G581*D581</f>
        <v/>
      </c>
      <c r="L581" s="710" t="n"/>
      <c r="M581" s="392" t="n"/>
    </row>
    <row r="582">
      <c r="A582" s="30" t="n">
        <v>43346</v>
      </c>
      <c r="B582" s="31" t="inlineStr">
        <is>
          <t>5982</t>
        </is>
      </c>
      <c r="C582" s="35" t="n"/>
      <c r="D582" s="36" t="n">
        <v>50</v>
      </c>
      <c r="E582" s="36" t="n"/>
      <c r="F582" s="37" t="n"/>
      <c r="G582" s="37" t="n">
        <v>20</v>
      </c>
      <c r="H582" s="33">
        <f>H581-G582</f>
        <v/>
      </c>
      <c r="I582" s="36" t="n"/>
      <c r="J582" s="711" t="n"/>
      <c r="K582" s="709">
        <f>G582*D582</f>
        <v/>
      </c>
      <c r="L582" s="710" t="n"/>
      <c r="M582" s="392" t="n"/>
    </row>
    <row r="583">
      <c r="A583" s="92" t="n">
        <v>43346</v>
      </c>
      <c r="B583" s="93" t="inlineStr">
        <is>
          <t>2374</t>
        </is>
      </c>
      <c r="C583" s="96" t="n"/>
      <c r="D583" s="97" t="n">
        <v>43.06</v>
      </c>
      <c r="E583" s="97" t="n"/>
      <c r="F583" s="98" t="n">
        <v>110</v>
      </c>
      <c r="G583" s="98" t="n"/>
      <c r="H583" s="95" t="n">
        <v>989</v>
      </c>
      <c r="I583" s="36" t="n"/>
      <c r="J583" s="711" t="n"/>
      <c r="K583" s="709" t="n"/>
      <c r="L583" s="710" t="n"/>
      <c r="M583" s="392" t="n"/>
    </row>
    <row r="584">
      <c r="A584" s="92" t="n">
        <v>43346</v>
      </c>
      <c r="B584" s="93" t="inlineStr">
        <is>
          <t>2374</t>
        </is>
      </c>
      <c r="C584" s="96" t="n"/>
      <c r="D584" s="97" t="n">
        <v>36.15</v>
      </c>
      <c r="E584" s="97" t="n"/>
      <c r="F584" s="98" t="n">
        <v>120</v>
      </c>
      <c r="G584" s="98" t="n"/>
      <c r="H584" s="95" t="n">
        <v>1109</v>
      </c>
      <c r="I584" s="36" t="n"/>
      <c r="J584" s="711" t="n"/>
      <c r="K584" s="709" t="n"/>
      <c r="L584" s="710" t="n"/>
      <c r="M584" s="392" t="n"/>
    </row>
    <row r="585" ht="17.25" customHeight="1" s="436">
      <c r="A585" s="30" t="n">
        <v>43347</v>
      </c>
      <c r="B585" s="31" t="inlineStr">
        <is>
          <t>5985</t>
        </is>
      </c>
      <c r="C585" s="35" t="n"/>
      <c r="D585" s="36" t="n">
        <v>50</v>
      </c>
      <c r="E585" s="36" t="n"/>
      <c r="F585" s="37" t="n"/>
      <c r="G585" s="37" t="n">
        <v>20</v>
      </c>
      <c r="H585" s="33">
        <f>H584-G585</f>
        <v/>
      </c>
      <c r="I585" s="36" t="n"/>
      <c r="J585" s="711" t="n"/>
      <c r="K585" s="722">
        <f>G585*D585</f>
        <v/>
      </c>
      <c r="L585" s="710" t="n"/>
      <c r="M585" s="392" t="n"/>
    </row>
    <row r="586" ht="17.25" customHeight="1" s="436">
      <c r="A586" s="30" t="n">
        <v>43347</v>
      </c>
      <c r="B586" s="31" t="inlineStr">
        <is>
          <t>5986</t>
        </is>
      </c>
      <c r="C586" s="35" t="n"/>
      <c r="D586" s="36" t="n">
        <v>58.2</v>
      </c>
      <c r="E586" s="36" t="n"/>
      <c r="F586" s="37" t="n"/>
      <c r="G586" s="37" t="n">
        <v>20</v>
      </c>
      <c r="H586" s="33">
        <f>H585-G586</f>
        <v/>
      </c>
      <c r="I586" s="36" t="n"/>
      <c r="J586" s="711" t="n"/>
      <c r="K586" s="722">
        <f>G586*D586</f>
        <v/>
      </c>
      <c r="L586" s="710" t="n"/>
      <c r="M586" s="392" t="n"/>
    </row>
    <row r="587" ht="17.25" customHeight="1" s="436">
      <c r="A587" s="30" t="n">
        <v>43347</v>
      </c>
      <c r="B587" s="31" t="inlineStr">
        <is>
          <t>5987</t>
        </is>
      </c>
      <c r="C587" s="35" t="n"/>
      <c r="D587" s="36" t="n">
        <v>57</v>
      </c>
      <c r="E587" s="36" t="n"/>
      <c r="F587" s="37" t="n"/>
      <c r="G587" s="37" t="n">
        <v>40</v>
      </c>
      <c r="H587" s="33">
        <f>H586-G587</f>
        <v/>
      </c>
      <c r="I587" s="36" t="n"/>
      <c r="J587" s="711" t="n"/>
      <c r="K587" s="722">
        <f>G587*D587</f>
        <v/>
      </c>
      <c r="L587" s="710" t="n"/>
      <c r="M587" s="392" t="n"/>
    </row>
    <row r="588" ht="17.25" customHeight="1" s="436">
      <c r="A588" s="30" t="n">
        <v>43347</v>
      </c>
      <c r="B588" s="31" t="inlineStr">
        <is>
          <t>5988</t>
        </is>
      </c>
      <c r="C588" s="35" t="n"/>
      <c r="D588" s="36" t="n">
        <v>50</v>
      </c>
      <c r="E588" s="36" t="n"/>
      <c r="F588" s="37" t="n"/>
      <c r="G588" s="37" t="n">
        <v>30</v>
      </c>
      <c r="H588" s="33">
        <f>H587-G588</f>
        <v/>
      </c>
      <c r="I588" s="36" t="n"/>
      <c r="J588" s="711" t="n"/>
      <c r="K588" s="722">
        <f>G588*D588</f>
        <v/>
      </c>
      <c r="L588" s="710" t="n"/>
      <c r="M588" s="392" t="n"/>
    </row>
    <row r="589" ht="17.25" customHeight="1" s="436">
      <c r="A589" s="92" t="n">
        <v>43351</v>
      </c>
      <c r="B589" s="93" t="inlineStr">
        <is>
          <t>99829</t>
        </is>
      </c>
      <c r="C589" s="96" t="n"/>
      <c r="D589" s="97" t="n">
        <v>41.7</v>
      </c>
      <c r="E589" s="97" t="n"/>
      <c r="F589" s="98" t="n">
        <v>250</v>
      </c>
      <c r="G589" s="98" t="n"/>
      <c r="H589" s="95" t="n">
        <v>1249</v>
      </c>
      <c r="I589" s="36" t="n"/>
      <c r="J589" s="711" t="n"/>
      <c r="K589" s="722" t="n"/>
      <c r="L589" s="710" t="n"/>
      <c r="M589" s="392" t="n"/>
    </row>
    <row r="590" ht="17.25" customHeight="1" s="436">
      <c r="A590" s="30" t="n">
        <v>43355</v>
      </c>
      <c r="B590" s="31" t="inlineStr">
        <is>
          <t>5990</t>
        </is>
      </c>
      <c r="C590" s="35" t="n"/>
      <c r="D590" s="36" t="n">
        <v>56</v>
      </c>
      <c r="E590" s="36" t="n"/>
      <c r="F590" s="37" t="n"/>
      <c r="G590" s="37" t="n">
        <v>25</v>
      </c>
      <c r="H590" s="33">
        <f>H589-G590</f>
        <v/>
      </c>
      <c r="I590" s="36" t="n"/>
      <c r="J590" s="711" t="n"/>
      <c r="K590" s="722">
        <f>G590*D590</f>
        <v/>
      </c>
      <c r="L590" s="710" t="n"/>
      <c r="M590" s="392" t="n"/>
    </row>
    <row r="591" ht="17.25" customHeight="1" s="436">
      <c r="A591" s="30" t="n">
        <v>43355</v>
      </c>
      <c r="B591" s="31" t="inlineStr">
        <is>
          <t>5991</t>
        </is>
      </c>
      <c r="C591" s="35" t="n"/>
      <c r="D591" s="36" t="n">
        <v>54</v>
      </c>
      <c r="E591" s="36" t="n"/>
      <c r="F591" s="37" t="n"/>
      <c r="G591" s="37" t="n">
        <v>40</v>
      </c>
      <c r="H591" s="33">
        <f>H590-G591</f>
        <v/>
      </c>
      <c r="I591" s="36" t="n"/>
      <c r="J591" s="711" t="n"/>
      <c r="K591" s="722">
        <f>G591*D591</f>
        <v/>
      </c>
      <c r="L591" s="710" t="n"/>
      <c r="M591" s="392" t="n"/>
    </row>
    <row r="592" ht="17.25" customHeight="1" s="436">
      <c r="A592" s="30" t="n">
        <v>43355</v>
      </c>
      <c r="B592" s="31" t="inlineStr">
        <is>
          <t>5992</t>
        </is>
      </c>
      <c r="C592" s="35" t="n"/>
      <c r="D592" s="36" t="n">
        <v>50</v>
      </c>
      <c r="E592" s="36" t="n"/>
      <c r="F592" s="37" t="n"/>
      <c r="G592" s="37" t="n">
        <v>20</v>
      </c>
      <c r="H592" s="33">
        <f>H591-G592</f>
        <v/>
      </c>
      <c r="I592" s="36" t="n"/>
      <c r="J592" s="711" t="n"/>
      <c r="K592" s="722">
        <f>G592*D592</f>
        <v/>
      </c>
      <c r="L592" s="710" t="n"/>
      <c r="M592" s="392" t="n"/>
    </row>
    <row r="593" ht="17.25" customHeight="1" s="436">
      <c r="A593" s="30" t="n">
        <v>43355</v>
      </c>
      <c r="B593" s="31" t="inlineStr">
        <is>
          <t>5999</t>
        </is>
      </c>
      <c r="C593" s="35" t="n"/>
      <c r="D593" s="36" t="n">
        <v>58</v>
      </c>
      <c r="E593" s="36" t="n"/>
      <c r="F593" s="37" t="n"/>
      <c r="G593" s="37" t="n">
        <v>20</v>
      </c>
      <c r="H593" s="33">
        <f>H592-G593</f>
        <v/>
      </c>
      <c r="I593" s="36" t="n"/>
      <c r="J593" s="711" t="n"/>
      <c r="K593" s="722">
        <f>G593*D593</f>
        <v/>
      </c>
      <c r="L593" s="710" t="n"/>
      <c r="M593" s="392" t="n"/>
    </row>
    <row r="594" ht="17.25" customHeight="1" s="436">
      <c r="A594" s="92" t="n">
        <v>43357</v>
      </c>
      <c r="B594" s="93" t="inlineStr">
        <is>
          <t>2379</t>
        </is>
      </c>
      <c r="C594" s="96" t="n"/>
      <c r="D594" s="97" t="n">
        <v>44.5</v>
      </c>
      <c r="E594" s="97" t="n"/>
      <c r="F594" s="98" t="n">
        <v>150</v>
      </c>
      <c r="G594" s="98" t="n"/>
      <c r="H594" s="95" t="n">
        <v>1294</v>
      </c>
      <c r="I594" s="36" t="n"/>
      <c r="J594" s="711" t="n"/>
      <c r="K594" s="722">
        <f>G594*D594</f>
        <v/>
      </c>
      <c r="L594" s="710" t="n"/>
      <c r="M594" s="392" t="n"/>
    </row>
    <row r="595" ht="17.25" customHeight="1" s="436">
      <c r="A595" s="92" t="n">
        <v>43357</v>
      </c>
      <c r="B595" s="93" t="inlineStr">
        <is>
          <t>2379</t>
        </is>
      </c>
      <c r="C595" s="96" t="n"/>
      <c r="D595" s="97" t="n">
        <v>39.5</v>
      </c>
      <c r="E595" s="97" t="n"/>
      <c r="F595" s="98" t="n">
        <v>50</v>
      </c>
      <c r="G595" s="98" t="n"/>
      <c r="H595" s="95" t="n">
        <v>1344</v>
      </c>
      <c r="I595" s="36" t="n"/>
      <c r="J595" s="711" t="n"/>
      <c r="K595" s="722">
        <f>G595*D595</f>
        <v/>
      </c>
      <c r="L595" s="710" t="n"/>
      <c r="M595" s="392" t="n"/>
    </row>
    <row r="596" ht="17.25" customHeight="1" s="436">
      <c r="A596" s="30" t="n">
        <v>43355</v>
      </c>
      <c r="B596" s="31" t="inlineStr">
        <is>
          <t>6000</t>
        </is>
      </c>
      <c r="C596" s="35" t="n"/>
      <c r="D596" s="36" t="n">
        <v>50</v>
      </c>
      <c r="E596" s="36" t="n"/>
      <c r="F596" s="37" t="n"/>
      <c r="G596" s="37" t="n">
        <v>40</v>
      </c>
      <c r="H596" s="33">
        <f>H595-G596</f>
        <v/>
      </c>
      <c r="I596" s="36" t="n"/>
      <c r="J596" s="711" t="n"/>
      <c r="K596" s="722">
        <f>G596*D596</f>
        <v/>
      </c>
      <c r="L596" s="710" t="n"/>
      <c r="M596" s="392" t="n"/>
    </row>
    <row r="597" ht="17.25" customHeight="1" s="436">
      <c r="A597" s="30" t="n">
        <v>43355</v>
      </c>
      <c r="B597" s="31" t="inlineStr">
        <is>
          <t>6001</t>
        </is>
      </c>
      <c r="C597" s="35" t="n"/>
      <c r="D597" s="36" t="n">
        <v>57.5</v>
      </c>
      <c r="E597" s="36" t="n"/>
      <c r="F597" s="37" t="n"/>
      <c r="G597" s="37" t="n">
        <v>20</v>
      </c>
      <c r="H597" s="33">
        <f>H596-G597</f>
        <v/>
      </c>
      <c r="I597" s="36" t="n"/>
      <c r="J597" s="711" t="n"/>
      <c r="K597" s="722">
        <f>G597*D597</f>
        <v/>
      </c>
      <c r="L597" s="710" t="n"/>
      <c r="M597" s="392" t="n"/>
    </row>
    <row r="598" ht="17.25" customHeight="1" s="436">
      <c r="A598" s="30" t="n">
        <v>43355</v>
      </c>
      <c r="B598" s="31" t="inlineStr">
        <is>
          <t>6002</t>
        </is>
      </c>
      <c r="C598" s="35" t="n"/>
      <c r="D598" s="36" t="n">
        <v>57</v>
      </c>
      <c r="E598" s="36" t="n"/>
      <c r="F598" s="37" t="n"/>
      <c r="G598" s="37" t="n">
        <v>130</v>
      </c>
      <c r="H598" s="33">
        <f>H597-G598</f>
        <v/>
      </c>
      <c r="I598" s="36" t="n"/>
      <c r="J598" s="711" t="n"/>
      <c r="K598" s="722">
        <f>G598*D598</f>
        <v/>
      </c>
      <c r="L598" s="710" t="n"/>
      <c r="M598" s="392" t="n"/>
    </row>
    <row r="599" ht="17.25" customHeight="1" s="436">
      <c r="A599" s="30" t="n">
        <v>43360</v>
      </c>
      <c r="B599" s="31" t="inlineStr">
        <is>
          <t>6004</t>
        </is>
      </c>
      <c r="C599" s="35" t="n"/>
      <c r="D599" s="36" t="n">
        <v>49</v>
      </c>
      <c r="E599" s="36" t="n"/>
      <c r="F599" s="37" t="n"/>
      <c r="G599" s="37" t="n">
        <v>30</v>
      </c>
      <c r="H599" s="33">
        <f>H598-G599</f>
        <v/>
      </c>
      <c r="I599" s="36" t="n"/>
      <c r="J599" s="711" t="n"/>
      <c r="K599" s="722">
        <f>G599*D599</f>
        <v/>
      </c>
      <c r="L599" s="710" t="n"/>
      <c r="M599" s="392" t="n"/>
    </row>
    <row r="600" ht="17.25" customHeight="1" s="436">
      <c r="A600" s="30" t="n">
        <v>43360</v>
      </c>
      <c r="B600" s="31" t="inlineStr">
        <is>
          <t>6005</t>
        </is>
      </c>
      <c r="C600" s="35" t="n"/>
      <c r="D600" s="36" t="n">
        <v>58</v>
      </c>
      <c r="E600" s="36" t="n"/>
      <c r="F600" s="37" t="n"/>
      <c r="G600" s="37" t="n">
        <v>20</v>
      </c>
      <c r="H600" s="33">
        <f>H599-G600</f>
        <v/>
      </c>
      <c r="I600" s="36" t="n"/>
      <c r="J600" s="711" t="n"/>
      <c r="K600" s="722">
        <f>G600*D600</f>
        <v/>
      </c>
      <c r="L600" s="710" t="n"/>
      <c r="M600" s="392" t="n"/>
    </row>
    <row r="601" ht="17.25" customHeight="1" s="436">
      <c r="A601" s="30" t="n">
        <v>43360</v>
      </c>
      <c r="B601" s="31" t="inlineStr">
        <is>
          <t>6006</t>
        </is>
      </c>
      <c r="C601" s="35" t="n"/>
      <c r="D601" s="36" t="n">
        <v>50</v>
      </c>
      <c r="E601" s="36" t="n"/>
      <c r="F601" s="37" t="n"/>
      <c r="G601" s="37" t="n">
        <v>10</v>
      </c>
      <c r="H601" s="33">
        <f>H600-G601</f>
        <v/>
      </c>
      <c r="I601" s="36" t="n"/>
      <c r="J601" s="711" t="n"/>
      <c r="K601" s="722">
        <f>G601*D601</f>
        <v/>
      </c>
      <c r="L601" s="710" t="n"/>
      <c r="M601" s="392" t="n"/>
    </row>
    <row r="602" ht="17.25" customHeight="1" s="436">
      <c r="A602" s="30" t="n">
        <v>43362</v>
      </c>
      <c r="B602" s="31" t="inlineStr">
        <is>
          <t>6014</t>
        </is>
      </c>
      <c r="C602" s="35" t="n"/>
      <c r="D602" s="36" t="n">
        <v>50</v>
      </c>
      <c r="E602" s="36" t="n"/>
      <c r="F602" s="37" t="n"/>
      <c r="G602" s="37" t="n">
        <v>20</v>
      </c>
      <c r="H602" s="33">
        <f>H601-G602</f>
        <v/>
      </c>
      <c r="I602" s="36" t="n"/>
      <c r="J602" s="711" t="n"/>
      <c r="K602" s="722">
        <f>G602*D602</f>
        <v/>
      </c>
      <c r="L602" s="710" t="n"/>
      <c r="M602" s="392" t="n"/>
    </row>
    <row r="603" ht="17.25" customHeight="1" s="436">
      <c r="A603" s="30" t="n">
        <v>43362</v>
      </c>
      <c r="B603" s="31" t="inlineStr">
        <is>
          <t>6016</t>
        </is>
      </c>
      <c r="C603" s="35" t="n"/>
      <c r="D603" s="36" t="n">
        <v>53</v>
      </c>
      <c r="E603" s="36" t="n"/>
      <c r="F603" s="37" t="n"/>
      <c r="G603" s="37" t="n">
        <v>15</v>
      </c>
      <c r="H603" s="33">
        <f>H602-G603</f>
        <v/>
      </c>
      <c r="I603" s="36" t="n"/>
      <c r="J603" s="711" t="n"/>
      <c r="K603" s="722">
        <f>G603*D603</f>
        <v/>
      </c>
      <c r="L603" s="710" t="n"/>
      <c r="M603" s="392" t="n"/>
    </row>
    <row r="604" ht="17.25" customHeight="1" s="436">
      <c r="A604" s="30" t="n">
        <v>43362</v>
      </c>
      <c r="B604" s="31" t="inlineStr">
        <is>
          <t>6017</t>
        </is>
      </c>
      <c r="C604" s="35" t="n"/>
      <c r="D604" s="36" t="n">
        <v>52</v>
      </c>
      <c r="E604" s="36" t="n"/>
      <c r="F604" s="37" t="n"/>
      <c r="G604" s="37" t="n">
        <v>10</v>
      </c>
      <c r="H604" s="33">
        <f>H603-G604</f>
        <v/>
      </c>
      <c r="I604" s="36" t="n"/>
      <c r="J604" s="711" t="n"/>
      <c r="K604" s="722">
        <f>G604*D604</f>
        <v/>
      </c>
      <c r="L604" s="710" t="n"/>
      <c r="M604" s="392" t="n"/>
    </row>
    <row r="605" ht="17.25" customHeight="1" s="436">
      <c r="A605" s="30" t="n">
        <v>43367</v>
      </c>
      <c r="B605" s="31" t="inlineStr">
        <is>
          <t>6019</t>
        </is>
      </c>
      <c r="C605" s="35" t="n"/>
      <c r="D605" s="36" t="n">
        <v>50</v>
      </c>
      <c r="E605" s="36" t="n"/>
      <c r="F605" s="37" t="n"/>
      <c r="G605" s="37" t="n">
        <v>10</v>
      </c>
      <c r="H605" s="33">
        <f>H604-G605</f>
        <v/>
      </c>
      <c r="I605" s="36" t="n"/>
      <c r="J605" s="711" t="n"/>
      <c r="K605" s="722">
        <f>G605*D605</f>
        <v/>
      </c>
      <c r="L605" s="710" t="n"/>
      <c r="M605" s="392" t="n"/>
    </row>
    <row r="606" ht="17.25" customHeight="1" s="436">
      <c r="A606" s="30" t="n">
        <v>43367</v>
      </c>
      <c r="B606" s="31" t="inlineStr">
        <is>
          <t>6020</t>
        </is>
      </c>
      <c r="C606" s="35" t="n"/>
      <c r="D606" s="36" t="n">
        <v>58.3</v>
      </c>
      <c r="E606" s="36" t="n"/>
      <c r="F606" s="37" t="n"/>
      <c r="G606" s="37" t="n">
        <v>27</v>
      </c>
      <c r="H606" s="33">
        <f>H605-G606</f>
        <v/>
      </c>
      <c r="I606" s="36" t="n"/>
      <c r="J606" s="711" t="n"/>
      <c r="K606" s="722">
        <f>G606*D606</f>
        <v/>
      </c>
      <c r="L606" s="710" t="n"/>
      <c r="M606" s="392" t="n"/>
    </row>
    <row r="607" ht="17.25" customHeight="1" s="436">
      <c r="A607" s="30" t="n">
        <v>43367</v>
      </c>
      <c r="B607" s="31" t="inlineStr">
        <is>
          <t>6023</t>
        </is>
      </c>
      <c r="C607" s="35" t="n"/>
      <c r="D607" s="36" t="n">
        <v>50</v>
      </c>
      <c r="E607" s="36" t="n"/>
      <c r="F607" s="37" t="n"/>
      <c r="G607" s="37" t="n">
        <v>10</v>
      </c>
      <c r="H607" s="33">
        <f>H606-G607</f>
        <v/>
      </c>
      <c r="I607" s="36" t="n"/>
      <c r="J607" s="711" t="n"/>
      <c r="K607" s="722">
        <f>G607*D607</f>
        <v/>
      </c>
      <c r="L607" s="710" t="n"/>
      <c r="M607" s="392" t="n"/>
    </row>
    <row r="608" ht="17.25" customHeight="1" s="436">
      <c r="A608" s="30" t="n">
        <v>43367</v>
      </c>
      <c r="B608" s="31" t="inlineStr">
        <is>
          <t>6024</t>
        </is>
      </c>
      <c r="C608" s="35" t="n"/>
      <c r="D608" s="36" t="n">
        <v>55</v>
      </c>
      <c r="E608" s="36" t="n"/>
      <c r="F608" s="37" t="n"/>
      <c r="G608" s="37" t="n">
        <v>30</v>
      </c>
      <c r="H608" s="33">
        <f>H607-G608</f>
        <v/>
      </c>
      <c r="I608" s="36" t="n"/>
      <c r="J608" s="711" t="n"/>
      <c r="K608" s="722">
        <f>G608*D608</f>
        <v/>
      </c>
      <c r="L608" s="710" t="n"/>
      <c r="M608" s="392" t="n"/>
    </row>
    <row r="609" ht="17.25" customHeight="1" s="436">
      <c r="A609" s="30" t="n">
        <v>43367</v>
      </c>
      <c r="B609" s="31" t="inlineStr">
        <is>
          <t>6026</t>
        </is>
      </c>
      <c r="C609" s="35" t="n"/>
      <c r="D609" s="36" t="n">
        <v>58</v>
      </c>
      <c r="E609" s="36" t="n"/>
      <c r="F609" s="37" t="n"/>
      <c r="G609" s="37" t="n">
        <v>20</v>
      </c>
      <c r="H609" s="33">
        <f>H608-G609</f>
        <v/>
      </c>
      <c r="I609" s="36" t="n"/>
      <c r="J609" s="711" t="n"/>
      <c r="K609" s="722">
        <f>G609*D609</f>
        <v/>
      </c>
      <c r="L609" s="710" t="n"/>
      <c r="M609" s="392" t="n"/>
    </row>
    <row r="610" ht="17.25" customHeight="1" s="436">
      <c r="A610" s="30" t="n">
        <v>43367</v>
      </c>
      <c r="B610" s="31" t="inlineStr">
        <is>
          <t>6027</t>
        </is>
      </c>
      <c r="C610" s="35" t="n"/>
      <c r="D610" s="36" t="n">
        <v>55</v>
      </c>
      <c r="E610" s="36" t="n"/>
      <c r="F610" s="37" t="n"/>
      <c r="G610" s="37" t="n">
        <v>20</v>
      </c>
      <c r="H610" s="33">
        <f>H609-G610</f>
        <v/>
      </c>
      <c r="I610" s="36" t="n"/>
      <c r="J610" s="711" t="n"/>
      <c r="K610" s="722">
        <f>G610*D610</f>
        <v/>
      </c>
      <c r="L610" s="710" t="n"/>
      <c r="M610" s="392" t="n"/>
    </row>
    <row r="611" ht="17.25" customHeight="1" s="436">
      <c r="A611" s="30" t="n">
        <v>43368</v>
      </c>
      <c r="B611" s="31" t="inlineStr">
        <is>
          <t>6028</t>
        </is>
      </c>
      <c r="C611" s="35" t="n"/>
      <c r="D611" s="36" t="n">
        <v>50</v>
      </c>
      <c r="E611" s="36" t="n"/>
      <c r="F611" s="37" t="n"/>
      <c r="G611" s="37" t="n">
        <v>30</v>
      </c>
      <c r="H611" s="33">
        <f>H610-G611</f>
        <v/>
      </c>
      <c r="I611" s="36" t="n"/>
      <c r="J611" s="711" t="n"/>
      <c r="K611" s="722">
        <f>G611*D611</f>
        <v/>
      </c>
      <c r="L611" s="710" t="n"/>
      <c r="M611" s="392" t="n"/>
    </row>
    <row r="612" ht="17.25" customHeight="1" s="436">
      <c r="A612" s="30" t="n">
        <v>43368</v>
      </c>
      <c r="B612" s="31" t="inlineStr">
        <is>
          <t>6029</t>
        </is>
      </c>
      <c r="C612" s="35" t="n"/>
      <c r="D612" s="36" t="n">
        <v>50</v>
      </c>
      <c r="E612" s="36" t="n"/>
      <c r="F612" s="37" t="n"/>
      <c r="G612" s="37" t="n">
        <v>20</v>
      </c>
      <c r="H612" s="33">
        <f>H611-G612</f>
        <v/>
      </c>
      <c r="I612" s="36" t="n"/>
      <c r="J612" s="711" t="n"/>
      <c r="K612" s="722">
        <f>G612*D612</f>
        <v/>
      </c>
      <c r="L612" s="710" t="n"/>
      <c r="M612" s="392" t="n"/>
    </row>
    <row r="613" ht="17.25" customHeight="1" s="436">
      <c r="A613" s="30" t="n">
        <v>43368</v>
      </c>
      <c r="B613" s="31" t="inlineStr">
        <is>
          <t>6031</t>
        </is>
      </c>
      <c r="C613" s="35" t="n"/>
      <c r="D613" s="36" t="n">
        <v>60.29</v>
      </c>
      <c r="E613" s="36" t="n"/>
      <c r="F613" s="37" t="n"/>
      <c r="G613" s="37" t="n">
        <v>35</v>
      </c>
      <c r="H613" s="33">
        <f>H612-G613</f>
        <v/>
      </c>
      <c r="I613" s="36" t="n"/>
      <c r="J613" s="711" t="n"/>
      <c r="K613" s="722">
        <f>G613*D613</f>
        <v/>
      </c>
      <c r="L613" s="710" t="n"/>
      <c r="M613" s="392" t="n"/>
    </row>
    <row r="614" ht="17.25" customHeight="1" s="436">
      <c r="A614" s="30" t="n">
        <v>43377</v>
      </c>
      <c r="B614" s="31" t="n"/>
      <c r="C614" s="35" t="n"/>
      <c r="D614" s="36" t="n"/>
      <c r="E614" s="36" t="n"/>
      <c r="F614" s="37" t="n"/>
      <c r="G614" s="37" t="n"/>
      <c r="H614" s="33">
        <f>H613-G614</f>
        <v/>
      </c>
      <c r="I614" s="36" t="n"/>
      <c r="J614" s="711" t="n"/>
      <c r="K614" s="722">
        <f>G614*D614</f>
        <v/>
      </c>
      <c r="L614" s="710" t="n"/>
      <c r="M614" s="392" t="n"/>
    </row>
    <row r="615"/>
    <row r="616"/>
    <row r="617"/>
    <row r="618" ht="15.75" customHeight="1" s="436" thickBot="1"/>
    <row r="619" ht="27" customHeight="1" s="436" thickBot="1">
      <c r="A619" s="720" t="inlineStr">
        <is>
          <t xml:space="preserve"> FARINHA DE TRIGO TIPO: 1 - 25 KG</t>
        </is>
      </c>
      <c r="B619" s="697" t="n"/>
      <c r="C619" s="697" t="n"/>
      <c r="D619" s="697" t="n"/>
      <c r="E619" s="697" t="n"/>
      <c r="F619" s="697" t="n"/>
      <c r="G619" s="697" t="n"/>
      <c r="H619" s="697" t="n"/>
      <c r="I619" s="697" t="n"/>
      <c r="J619" s="697" t="n"/>
      <c r="K619" s="697" t="n"/>
      <c r="L619" s="697" t="n"/>
      <c r="M619" s="698" t="n"/>
    </row>
    <row r="620">
      <c r="A620" s="643" t="inlineStr">
        <is>
          <t>DATA</t>
        </is>
      </c>
      <c r="B620" s="633" t="inlineStr">
        <is>
          <t>N.F.</t>
        </is>
      </c>
      <c r="C620" s="633" t="inlineStr">
        <is>
          <t>TIPO</t>
        </is>
      </c>
      <c r="D620" s="633" t="inlineStr">
        <is>
          <t>PREÇO UNITÁRIO</t>
        </is>
      </c>
      <c r="E620" s="701" t="n"/>
      <c r="F620" s="633" t="inlineStr">
        <is>
          <t>QUANTIDADE / KG</t>
        </is>
      </c>
      <c r="H620" s="701" t="n"/>
      <c r="I620" s="632" t="inlineStr">
        <is>
          <t>PREÇO</t>
        </is>
      </c>
      <c r="J620" s="632" t="inlineStr">
        <is>
          <t>VALORES</t>
        </is>
      </c>
      <c r="L620" s="701" t="n"/>
      <c r="M620" s="649" t="n"/>
    </row>
    <row r="621" ht="15.75" customHeight="1" s="436" thickBot="1">
      <c r="A621" s="703" t="n"/>
      <c r="B621" s="704" t="n"/>
      <c r="C621" s="704" t="n"/>
      <c r="D621" s="703" t="n"/>
      <c r="E621" s="701" t="n"/>
      <c r="F621" s="705" t="n"/>
      <c r="G621" s="706" t="n"/>
      <c r="H621" s="707" t="n"/>
      <c r="I621" s="704" t="n"/>
      <c r="J621" s="703" t="n"/>
      <c r="L621" s="701" t="n"/>
      <c r="M621" s="704" t="n"/>
    </row>
    <row r="622" ht="15.75" customHeight="1" s="436" thickBot="1">
      <c r="A622" s="703" t="n"/>
      <c r="B622" s="704" t="n"/>
      <c r="C622" s="704" t="n"/>
      <c r="D622" s="705" t="n"/>
      <c r="E622" s="707" t="n"/>
      <c r="F622" s="3" t="inlineStr">
        <is>
          <t>ENTRADA</t>
        </is>
      </c>
      <c r="G622" s="3" t="inlineStr">
        <is>
          <t>SAÍDA</t>
        </is>
      </c>
      <c r="H622" s="640" t="n"/>
      <c r="I622" s="633" t="inlineStr">
        <is>
          <t>MÉDIO</t>
        </is>
      </c>
      <c r="J622" s="652" t="inlineStr">
        <is>
          <t>SALDO EM 30/11/2017</t>
        </is>
      </c>
      <c r="K622" s="706" t="n"/>
      <c r="L622" s="17" t="n"/>
      <c r="M622" s="704" t="n"/>
    </row>
    <row r="623" ht="18" customHeight="1" s="436" thickBot="1">
      <c r="A623" s="705" t="n"/>
      <c r="B623" s="695" t="n"/>
      <c r="C623" s="695" t="n"/>
      <c r="D623" s="3" t="inlineStr">
        <is>
          <t>C/ICMS</t>
        </is>
      </c>
      <c r="E623" s="3" t="inlineStr">
        <is>
          <t>S/ICMS</t>
        </is>
      </c>
      <c r="F623" s="695" t="n"/>
      <c r="G623" s="695" t="n"/>
      <c r="H623" s="84" t="inlineStr">
        <is>
          <t>SALDO EM 30/09/2018</t>
        </is>
      </c>
      <c r="I623" s="695" t="n"/>
      <c r="J623" s="645" t="inlineStr">
        <is>
          <t>ENTRADA</t>
        </is>
      </c>
      <c r="K623" s="633" t="inlineStr">
        <is>
          <t>SAÍDA / CMV</t>
        </is>
      </c>
      <c r="L623" s="643" t="inlineStr">
        <is>
          <t>SALDO</t>
        </is>
      </c>
      <c r="M623" s="392" t="n"/>
    </row>
    <row r="624" ht="17.25" customHeight="1" s="436">
      <c r="A624" s="30" t="n"/>
      <c r="B624" s="31" t="n"/>
      <c r="C624" s="35" t="n"/>
      <c r="D624" s="36" t="n"/>
      <c r="E624" s="36" t="n"/>
      <c r="F624" s="37" t="n"/>
      <c r="G624" s="37" t="n">
        <v>0</v>
      </c>
      <c r="H624" s="37" t="n"/>
      <c r="I624" s="36" t="n"/>
      <c r="J624" s="711">
        <f>F624*I624</f>
        <v/>
      </c>
      <c r="K624" s="721" t="n">
        <v>0</v>
      </c>
      <c r="L624" s="710">
        <f>J624-K624</f>
        <v/>
      </c>
      <c r="M624" s="392" t="n"/>
    </row>
    <row r="625" ht="17.25" customHeight="1" s="436">
      <c r="A625" s="92" t="n">
        <v>43374</v>
      </c>
      <c r="B625" s="93" t="n"/>
      <c r="C625" s="93" t="n"/>
      <c r="D625" s="94" t="n"/>
      <c r="E625" s="94" t="n"/>
      <c r="F625" s="95" t="n"/>
      <c r="G625" s="95" t="n"/>
      <c r="H625" s="95" t="n">
        <v>847</v>
      </c>
      <c r="I625" s="32" t="n"/>
      <c r="J625" s="711" t="n"/>
      <c r="K625" s="722" t="n"/>
      <c r="L625" s="710" t="n"/>
      <c r="M625" s="392" t="n"/>
    </row>
    <row r="626" ht="17.25" customHeight="1" s="436">
      <c r="A626" s="89" t="n">
        <v>43375</v>
      </c>
      <c r="B626" s="31" t="inlineStr">
        <is>
          <t>6035</t>
        </is>
      </c>
      <c r="C626" s="31" t="n"/>
      <c r="D626" s="32" t="n">
        <v>56</v>
      </c>
      <c r="E626" s="32" t="n"/>
      <c r="F626" s="33" t="n"/>
      <c r="G626" s="33" t="n">
        <v>50</v>
      </c>
      <c r="H626" s="33">
        <f>H625-G626</f>
        <v/>
      </c>
      <c r="I626" s="32" t="n"/>
      <c r="J626" s="711" t="n"/>
      <c r="K626" s="722" t="n"/>
      <c r="L626" s="710" t="n"/>
      <c r="M626" s="392" t="n"/>
    </row>
    <row r="627" ht="17.25" customHeight="1" s="436">
      <c r="A627" s="30" t="n">
        <v>43375</v>
      </c>
      <c r="B627" s="31" t="inlineStr">
        <is>
          <t>6038</t>
        </is>
      </c>
      <c r="C627" s="35" t="n"/>
      <c r="D627" s="36" t="n">
        <v>50</v>
      </c>
      <c r="E627" s="36" t="n"/>
      <c r="F627" s="37" t="n"/>
      <c r="G627" s="37" t="n">
        <v>10</v>
      </c>
      <c r="H627" s="33">
        <f>H626-G627</f>
        <v/>
      </c>
      <c r="I627" s="36" t="n"/>
      <c r="J627" s="711" t="n"/>
      <c r="K627" s="722">
        <f>G627*D627</f>
        <v/>
      </c>
      <c r="L627" s="710" t="n"/>
      <c r="M627" s="392" t="n"/>
    </row>
    <row r="628" ht="17.25" customHeight="1" s="436">
      <c r="A628" s="30" t="n">
        <v>43375</v>
      </c>
      <c r="B628" s="31" t="inlineStr">
        <is>
          <t>6040</t>
        </is>
      </c>
      <c r="C628" s="35" t="n"/>
      <c r="D628" s="36" t="n">
        <v>58.56</v>
      </c>
      <c r="E628" s="36" t="n"/>
      <c r="F628" s="37" t="n"/>
      <c r="G628" s="101" t="n">
        <v>29</v>
      </c>
      <c r="H628" s="33">
        <f>H627-G628</f>
        <v/>
      </c>
      <c r="I628" s="36" t="n"/>
      <c r="J628" s="711" t="n"/>
      <c r="K628" s="722">
        <f>G628*D628</f>
        <v/>
      </c>
      <c r="L628" s="710" t="n"/>
      <c r="M628" s="392" t="n"/>
    </row>
    <row r="629" ht="17.25" customHeight="1" s="436">
      <c r="A629" s="30" t="n">
        <v>43375</v>
      </c>
      <c r="B629" s="31" t="inlineStr">
        <is>
          <t>6041</t>
        </is>
      </c>
      <c r="C629" s="35" t="n"/>
      <c r="D629" s="36" t="n">
        <v>50</v>
      </c>
      <c r="E629" s="36" t="n"/>
      <c r="F629" s="37" t="n"/>
      <c r="G629" s="37" t="n">
        <v>10</v>
      </c>
      <c r="H629" s="33">
        <f>H628-G629</f>
        <v/>
      </c>
      <c r="I629" s="36" t="n"/>
      <c r="J629" s="711" t="n"/>
      <c r="K629" s="722">
        <f>G629*D629</f>
        <v/>
      </c>
      <c r="L629" s="710" t="n"/>
      <c r="M629" s="392" t="n"/>
    </row>
    <row r="630">
      <c r="A630" s="30" t="n">
        <v>43375</v>
      </c>
      <c r="B630" s="31" t="inlineStr">
        <is>
          <t>6043</t>
        </is>
      </c>
      <c r="C630" s="35" t="n"/>
      <c r="D630" s="36" t="n">
        <v>60</v>
      </c>
      <c r="E630" s="36" t="n"/>
      <c r="F630" s="37" t="n"/>
      <c r="G630" s="37" t="n">
        <v>20</v>
      </c>
      <c r="H630" s="33">
        <f>H629-G630</f>
        <v/>
      </c>
      <c r="I630" s="36" t="n"/>
      <c r="J630" s="711" t="n"/>
      <c r="K630" s="709">
        <f>G630*D630</f>
        <v/>
      </c>
      <c r="L630" s="710" t="n"/>
      <c r="M630" s="392" t="n"/>
    </row>
    <row r="631" ht="17.25" customHeight="1" s="436">
      <c r="A631" s="30" t="n">
        <v>43375</v>
      </c>
      <c r="B631" s="31" t="inlineStr">
        <is>
          <t>6046</t>
        </is>
      </c>
      <c r="C631" s="35" t="n"/>
      <c r="D631" s="36" t="n">
        <v>50</v>
      </c>
      <c r="E631" s="36" t="n"/>
      <c r="F631" s="37" t="n"/>
      <c r="G631" s="37" t="n">
        <v>20</v>
      </c>
      <c r="H631" s="33">
        <f>H630-G631</f>
        <v/>
      </c>
      <c r="I631" s="36" t="n"/>
      <c r="J631" s="711" t="n"/>
      <c r="K631" s="722">
        <f>G631*D631</f>
        <v/>
      </c>
      <c r="L631" s="710" t="n"/>
      <c r="M631" s="392" t="n"/>
    </row>
    <row r="632" ht="17.25" customHeight="1" s="436">
      <c r="A632" s="92" t="n">
        <v>43378</v>
      </c>
      <c r="B632" s="93" t="inlineStr">
        <is>
          <t>2388</t>
        </is>
      </c>
      <c r="C632" s="96" t="n"/>
      <c r="D632" s="97" t="n">
        <v>43</v>
      </c>
      <c r="E632" s="97" t="n"/>
      <c r="F632" s="98" t="n">
        <v>200</v>
      </c>
      <c r="G632" s="98" t="n"/>
      <c r="H632" s="95" t="n">
        <v>908</v>
      </c>
      <c r="I632" s="36" t="n"/>
      <c r="J632" s="711" t="n"/>
      <c r="K632" s="722" t="n"/>
      <c r="L632" s="710" t="n"/>
      <c r="M632" s="392" t="n"/>
    </row>
    <row r="633" ht="17.25" customHeight="1" s="436">
      <c r="A633" s="92" t="n">
        <v>43378</v>
      </c>
      <c r="B633" s="93" t="inlineStr">
        <is>
          <t>2388</t>
        </is>
      </c>
      <c r="C633" s="96" t="n"/>
      <c r="D633" s="97" t="n">
        <v>39.55</v>
      </c>
      <c r="E633" s="97" t="n"/>
      <c r="F633" s="98" t="n">
        <v>100</v>
      </c>
      <c r="G633" s="98" t="n"/>
      <c r="H633" s="95" t="n">
        <v>1008</v>
      </c>
      <c r="I633" s="36" t="n"/>
      <c r="J633" s="711" t="n"/>
      <c r="K633" s="722" t="n"/>
      <c r="L633" s="710" t="n"/>
      <c r="M633" s="392" t="n"/>
    </row>
    <row r="634" ht="17.25" customHeight="1" s="436">
      <c r="A634" s="30" t="n">
        <v>43378</v>
      </c>
      <c r="B634" s="31" t="inlineStr">
        <is>
          <t>6048</t>
        </is>
      </c>
      <c r="C634" s="35" t="n"/>
      <c r="D634" s="36" t="n">
        <v>59</v>
      </c>
      <c r="E634" s="36" t="n"/>
      <c r="F634" s="37" t="n"/>
      <c r="G634" s="37" t="n">
        <v>20</v>
      </c>
      <c r="H634" s="33">
        <f>H633-G634</f>
        <v/>
      </c>
      <c r="I634" s="36" t="n"/>
      <c r="J634" s="711" t="n"/>
      <c r="K634" s="722">
        <f>G634*D634</f>
        <v/>
      </c>
      <c r="L634" s="710" t="n"/>
      <c r="M634" s="392" t="n"/>
    </row>
    <row r="635" ht="17.25" customHeight="1" s="436">
      <c r="A635" s="30" t="n">
        <v>43378</v>
      </c>
      <c r="B635" s="31" t="inlineStr">
        <is>
          <t>6049</t>
        </is>
      </c>
      <c r="C635" s="35" t="n"/>
      <c r="D635" s="36" t="n">
        <v>50</v>
      </c>
      <c r="E635" s="36" t="n"/>
      <c r="F635" s="37" t="n"/>
      <c r="G635" s="37" t="n">
        <v>20</v>
      </c>
      <c r="H635" s="33">
        <f>H634-G635</f>
        <v/>
      </c>
      <c r="I635" s="36" t="n"/>
      <c r="J635" s="711" t="n"/>
      <c r="K635" s="722">
        <f>G635*D635</f>
        <v/>
      </c>
      <c r="L635" s="710" t="n"/>
      <c r="M635" s="392" t="n"/>
    </row>
    <row r="636" ht="17.25" customHeight="1" s="436">
      <c r="A636" s="30" t="n">
        <v>43381</v>
      </c>
      <c r="B636" s="31" t="inlineStr">
        <is>
          <t>6050</t>
        </is>
      </c>
      <c r="C636" s="35" t="n"/>
      <c r="D636" s="36" t="n">
        <v>49</v>
      </c>
      <c r="E636" s="36" t="n"/>
      <c r="F636" s="37" t="n"/>
      <c r="G636" s="37" t="n">
        <v>50</v>
      </c>
      <c r="H636" s="33">
        <f>H635-G636</f>
        <v/>
      </c>
      <c r="I636" s="36" t="n"/>
      <c r="J636" s="711" t="n"/>
      <c r="K636" s="722">
        <f>G636*D636</f>
        <v/>
      </c>
      <c r="L636" s="710" t="n"/>
      <c r="M636" s="392" t="n"/>
    </row>
    <row r="637" ht="17.25" customHeight="1" s="436">
      <c r="A637" s="30" t="n">
        <v>43381</v>
      </c>
      <c r="B637" s="31" t="inlineStr">
        <is>
          <t>6052</t>
        </is>
      </c>
      <c r="C637" s="35" t="n"/>
      <c r="D637" s="36" t="n">
        <v>58</v>
      </c>
      <c r="E637" s="36" t="n"/>
      <c r="F637" s="37" t="n"/>
      <c r="G637" s="37" t="n">
        <v>30</v>
      </c>
      <c r="H637" s="33">
        <f>H636-G637</f>
        <v/>
      </c>
      <c r="I637" s="36" t="n"/>
      <c r="J637" s="711" t="n"/>
      <c r="K637" s="722">
        <f>G637*D637</f>
        <v/>
      </c>
      <c r="L637" s="710" t="n"/>
      <c r="M637" s="392" t="n"/>
    </row>
    <row r="638" ht="17.25" customHeight="1" s="436">
      <c r="A638" s="30" t="n">
        <v>43381</v>
      </c>
      <c r="B638" s="31" t="inlineStr">
        <is>
          <t>6054</t>
        </is>
      </c>
      <c r="C638" s="35" t="n"/>
      <c r="D638" s="36" t="n">
        <v>54.8</v>
      </c>
      <c r="E638" s="36" t="n"/>
      <c r="F638" s="37" t="n"/>
      <c r="G638" s="37" t="n">
        <v>40</v>
      </c>
      <c r="H638" s="33">
        <f>H637-G638</f>
        <v/>
      </c>
      <c r="I638" s="36" t="n"/>
      <c r="J638" s="711" t="n"/>
      <c r="K638" s="722">
        <f>G638*D638</f>
        <v/>
      </c>
      <c r="L638" s="710" t="n"/>
      <c r="M638" s="392" t="n"/>
    </row>
    <row r="639" ht="17.25" customHeight="1" s="436">
      <c r="A639" s="30" t="n">
        <v>43381</v>
      </c>
      <c r="B639" s="31" t="inlineStr">
        <is>
          <t>6057</t>
        </is>
      </c>
      <c r="C639" s="35" t="n"/>
      <c r="D639" s="36" t="n">
        <v>50</v>
      </c>
      <c r="E639" s="36" t="n"/>
      <c r="F639" s="37" t="n"/>
      <c r="G639" s="37" t="n">
        <v>20</v>
      </c>
      <c r="H639" s="33">
        <f>H638-G639</f>
        <v/>
      </c>
      <c r="I639" s="36" t="n"/>
      <c r="J639" s="711" t="n"/>
      <c r="K639" s="722">
        <f>G639*D639</f>
        <v/>
      </c>
      <c r="L639" s="710" t="n"/>
      <c r="M639" s="392" t="n"/>
    </row>
    <row r="640" ht="17.25" customHeight="1" s="436">
      <c r="A640" s="30" t="n">
        <v>43382</v>
      </c>
      <c r="B640" s="31" t="inlineStr">
        <is>
          <t>6061</t>
        </is>
      </c>
      <c r="C640" s="35" t="n"/>
      <c r="D640" s="36" t="n">
        <v>57</v>
      </c>
      <c r="E640" s="36" t="n"/>
      <c r="F640" s="37" t="n"/>
      <c r="G640" s="37" t="n">
        <v>30</v>
      </c>
      <c r="H640" s="33">
        <f>H639-G640</f>
        <v/>
      </c>
      <c r="I640" s="36" t="n"/>
      <c r="J640" s="711" t="n"/>
      <c r="K640" s="722">
        <f>G640*D640</f>
        <v/>
      </c>
      <c r="L640" s="710" t="n"/>
      <c r="M640" s="392" t="n"/>
    </row>
    <row r="641" ht="17.25" customHeight="1" s="436">
      <c r="A641" s="30" t="n">
        <v>43382</v>
      </c>
      <c r="B641" s="31" t="inlineStr">
        <is>
          <t>62</t>
        </is>
      </c>
      <c r="C641" s="35" t="n"/>
      <c r="D641" s="36" t="n">
        <v>55</v>
      </c>
      <c r="E641" s="36" t="n"/>
      <c r="F641" s="37" t="n"/>
      <c r="G641" s="37" t="n">
        <v>10</v>
      </c>
      <c r="H641" s="33">
        <f>H640-G641</f>
        <v/>
      </c>
      <c r="I641" s="36" t="n"/>
      <c r="J641" s="711" t="n"/>
      <c r="K641" s="722">
        <f>G641*D641</f>
        <v/>
      </c>
      <c r="L641" s="710" t="n"/>
      <c r="M641" s="392" t="n"/>
    </row>
    <row r="642" ht="17.25" customHeight="1" s="436">
      <c r="A642" s="92" t="n">
        <v>43384</v>
      </c>
      <c r="B642" s="93" t="inlineStr">
        <is>
          <t>101865</t>
        </is>
      </c>
      <c r="C642" s="96" t="n"/>
      <c r="D642" s="97" t="n">
        <v>41.7</v>
      </c>
      <c r="E642" s="97" t="n"/>
      <c r="F642" s="98" t="n">
        <v>500</v>
      </c>
      <c r="G642" s="98" t="n"/>
      <c r="H642" s="95" t="n">
        <v>1288</v>
      </c>
      <c r="I642" s="36" t="n"/>
      <c r="J642" s="711" t="n"/>
      <c r="K642" s="722" t="n"/>
      <c r="L642" s="710" t="n"/>
      <c r="M642" s="392" t="n"/>
    </row>
    <row r="643" ht="17.25" customHeight="1" s="436">
      <c r="A643" s="30" t="n">
        <v>43388</v>
      </c>
      <c r="B643" s="31" t="inlineStr">
        <is>
          <t>6068</t>
        </is>
      </c>
      <c r="C643" s="35" t="n"/>
      <c r="D643" s="36" t="n">
        <v>56</v>
      </c>
      <c r="E643" s="36" t="n"/>
      <c r="F643" s="37" t="n"/>
      <c r="G643" s="37" t="n">
        <v>25</v>
      </c>
      <c r="H643" s="33">
        <f>H642-G643</f>
        <v/>
      </c>
      <c r="I643" s="36" t="n"/>
      <c r="J643" s="711" t="n"/>
      <c r="K643" s="722">
        <f>G643*D643</f>
        <v/>
      </c>
      <c r="L643" s="710" t="n"/>
      <c r="M643" s="392" t="n"/>
    </row>
    <row r="644" ht="17.25" customHeight="1" s="436">
      <c r="A644" s="30" t="n">
        <v>43388</v>
      </c>
      <c r="B644" s="31" t="inlineStr">
        <is>
          <t>6070</t>
        </is>
      </c>
      <c r="C644" s="35" t="n"/>
      <c r="D644" s="36" t="n">
        <v>58.67</v>
      </c>
      <c r="E644" s="36" t="n"/>
      <c r="F644" s="37" t="n"/>
      <c r="G644" s="37" t="n">
        <v>30</v>
      </c>
      <c r="H644" s="33">
        <f>H643-G644</f>
        <v/>
      </c>
      <c r="I644" s="36" t="n"/>
      <c r="J644" s="711" t="n"/>
      <c r="K644" s="722">
        <f>G644*D644</f>
        <v/>
      </c>
      <c r="L644" s="710" t="n"/>
      <c r="M644" s="392" t="n"/>
    </row>
    <row r="645" ht="17.25" customHeight="1" s="436">
      <c r="A645" s="30" t="n">
        <v>43389</v>
      </c>
      <c r="B645" s="31" t="inlineStr">
        <is>
          <t>6076</t>
        </is>
      </c>
      <c r="C645" s="35" t="n"/>
      <c r="D645" s="36" t="n">
        <v>49</v>
      </c>
      <c r="E645" s="36" t="n"/>
      <c r="F645" s="37" t="n"/>
      <c r="G645" s="37" t="n">
        <v>20</v>
      </c>
      <c r="H645" s="33">
        <f>H644-G645</f>
        <v/>
      </c>
      <c r="I645" s="36" t="n"/>
      <c r="J645" s="711" t="n"/>
      <c r="K645" s="722">
        <f>G645*D645</f>
        <v/>
      </c>
      <c r="L645" s="710" t="n"/>
      <c r="M645" s="392" t="n"/>
    </row>
    <row r="646" ht="17.25" customHeight="1" s="436">
      <c r="A646" s="30" t="n">
        <v>43389</v>
      </c>
      <c r="B646" s="31" t="inlineStr">
        <is>
          <t>6078</t>
        </is>
      </c>
      <c r="C646" s="35" t="n"/>
      <c r="D646" s="36" t="n">
        <v>58.13</v>
      </c>
      <c r="E646" s="36" t="n"/>
      <c r="F646" s="37" t="n"/>
      <c r="G646" s="37" t="n">
        <v>40</v>
      </c>
      <c r="H646" s="33">
        <f>H645-G646</f>
        <v/>
      </c>
      <c r="I646" s="36" t="n"/>
      <c r="J646" s="711" t="n"/>
      <c r="K646" s="722">
        <f>G646*D646</f>
        <v/>
      </c>
      <c r="L646" s="710" t="n"/>
      <c r="M646" s="392" t="n"/>
    </row>
    <row r="647" ht="17.25" customHeight="1" s="436">
      <c r="A647" s="30" t="n">
        <v>43391</v>
      </c>
      <c r="B647" s="31" t="inlineStr">
        <is>
          <t>6081</t>
        </is>
      </c>
      <c r="C647" s="35" t="n"/>
      <c r="D647" s="36" t="n">
        <v>59</v>
      </c>
      <c r="E647" s="36" t="n"/>
      <c r="F647" s="37" t="n"/>
      <c r="G647" s="37" t="n">
        <v>70</v>
      </c>
      <c r="H647" s="33">
        <f>H646-G647</f>
        <v/>
      </c>
      <c r="I647" s="36" t="n"/>
      <c r="J647" s="711" t="n"/>
      <c r="K647" s="722">
        <f>G647*D647</f>
        <v/>
      </c>
      <c r="L647" s="710" t="n"/>
      <c r="M647" s="392" t="n"/>
    </row>
    <row r="648" ht="17.25" customHeight="1" s="436">
      <c r="A648" s="92" t="n">
        <v>43392</v>
      </c>
      <c r="B648" s="93" t="inlineStr">
        <is>
          <t>2391</t>
        </is>
      </c>
      <c r="C648" s="96" t="n"/>
      <c r="D648" s="97" t="n">
        <v>36.15</v>
      </c>
      <c r="E648" s="97" t="n"/>
      <c r="F648" s="98" t="n">
        <v>128</v>
      </c>
      <c r="G648" s="98" t="n"/>
      <c r="H648" s="95" t="n">
        <v>1231</v>
      </c>
      <c r="I648" s="36" t="n"/>
      <c r="J648" s="711" t="n"/>
      <c r="K648" s="722" t="n"/>
      <c r="L648" s="710" t="n"/>
      <c r="M648" s="392" t="n"/>
    </row>
    <row r="649" ht="17.25" customHeight="1" s="436">
      <c r="A649" s="92" t="n">
        <v>43392</v>
      </c>
      <c r="B649" s="93" t="inlineStr">
        <is>
          <t>2391</t>
        </is>
      </c>
      <c r="C649" s="96" t="n"/>
      <c r="D649" s="97" t="n">
        <v>39.55</v>
      </c>
      <c r="E649" s="97" t="n"/>
      <c r="F649" s="98" t="n">
        <v>150</v>
      </c>
      <c r="G649" s="98" t="n"/>
      <c r="H649" s="95" t="n">
        <v>1381</v>
      </c>
      <c r="I649" s="36" t="n"/>
      <c r="J649" s="711" t="n"/>
      <c r="K649" s="722" t="n"/>
      <c r="L649" s="710" t="n"/>
      <c r="M649" s="392" t="n"/>
    </row>
    <row r="650" ht="17.25" customHeight="1" s="436">
      <c r="A650" s="30" t="n">
        <v>43393</v>
      </c>
      <c r="B650" s="31" t="inlineStr">
        <is>
          <t>6083</t>
        </is>
      </c>
      <c r="C650" s="35" t="n"/>
      <c r="D650" s="36" t="n">
        <v>50</v>
      </c>
      <c r="E650" s="36" t="n"/>
      <c r="F650" s="37" t="n"/>
      <c r="G650" s="37" t="n">
        <v>30</v>
      </c>
      <c r="H650" s="33">
        <f>H649-G650</f>
        <v/>
      </c>
      <c r="I650" s="36" t="n"/>
      <c r="J650" s="711" t="n"/>
      <c r="K650" s="722">
        <f>G650*D650</f>
        <v/>
      </c>
      <c r="L650" s="710" t="n"/>
      <c r="M650" s="392" t="n"/>
    </row>
    <row r="651" ht="17.25" customHeight="1" s="436">
      <c r="A651" s="30" t="n">
        <v>43396</v>
      </c>
      <c r="B651" s="31" t="inlineStr">
        <is>
          <t>6088</t>
        </is>
      </c>
      <c r="C651" s="35" t="n"/>
      <c r="D651" s="36" t="n">
        <v>55</v>
      </c>
      <c r="E651" s="36" t="n"/>
      <c r="F651" s="37" t="n"/>
      <c r="G651" s="37" t="n">
        <v>30</v>
      </c>
      <c r="H651" s="33">
        <f>H650-G651</f>
        <v/>
      </c>
      <c r="I651" s="36" t="n"/>
      <c r="J651" s="711" t="n"/>
      <c r="K651" s="722">
        <f>G651*D651</f>
        <v/>
      </c>
      <c r="L651" s="710" t="n"/>
      <c r="M651" s="392" t="n"/>
    </row>
    <row r="652" ht="17.25" customHeight="1" s="436">
      <c r="A652" s="30" t="n">
        <v>43396</v>
      </c>
      <c r="B652" s="31" t="inlineStr">
        <is>
          <t>6089</t>
        </is>
      </c>
      <c r="C652" s="35" t="n"/>
      <c r="D652" s="36" t="n">
        <v>50</v>
      </c>
      <c r="E652" s="36" t="n"/>
      <c r="F652" s="37" t="n"/>
      <c r="G652" s="37" t="n">
        <v>10</v>
      </c>
      <c r="H652" s="33">
        <f>H651-G652</f>
        <v/>
      </c>
      <c r="I652" s="36" t="n"/>
      <c r="J652" s="711" t="n"/>
      <c r="K652" s="722">
        <f>G652*D652</f>
        <v/>
      </c>
      <c r="L652" s="710" t="n"/>
      <c r="M652" s="392" t="n"/>
    </row>
    <row r="653" ht="17.25" customHeight="1" s="436">
      <c r="A653" s="30" t="n">
        <v>43396</v>
      </c>
      <c r="B653" s="31" t="inlineStr">
        <is>
          <t>6092</t>
        </is>
      </c>
      <c r="C653" s="35" t="n"/>
      <c r="D653" s="36" t="n">
        <v>58</v>
      </c>
      <c r="E653" s="36" t="n"/>
      <c r="F653" s="37" t="n"/>
      <c r="G653" s="37" t="n">
        <v>30</v>
      </c>
      <c r="H653" s="33">
        <f>H652-G653</f>
        <v/>
      </c>
      <c r="I653" s="36" t="n"/>
      <c r="J653" s="711" t="n"/>
      <c r="K653" s="722">
        <f>G653*D653</f>
        <v/>
      </c>
      <c r="L653" s="710" t="n"/>
      <c r="M653" s="392" t="n"/>
    </row>
    <row r="654" ht="17.25" customHeight="1" s="436">
      <c r="A654" s="30" t="n">
        <v>43396</v>
      </c>
      <c r="B654" s="31" t="inlineStr">
        <is>
          <t>6094</t>
        </is>
      </c>
      <c r="C654" s="35" t="n"/>
      <c r="D654" s="36" t="n">
        <v>50</v>
      </c>
      <c r="E654" s="36" t="n"/>
      <c r="F654" s="37" t="n"/>
      <c r="G654" s="37" t="n">
        <v>20</v>
      </c>
      <c r="H654" s="33">
        <f>H653-G654</f>
        <v/>
      </c>
      <c r="I654" s="36" t="n"/>
      <c r="J654" s="711" t="n"/>
      <c r="K654" s="722">
        <f>G654*D654</f>
        <v/>
      </c>
      <c r="L654" s="710" t="n"/>
      <c r="M654" s="392" t="n"/>
    </row>
    <row r="655" ht="17.25" customHeight="1" s="436">
      <c r="A655" s="30" t="n">
        <v>43400</v>
      </c>
      <c r="B655" s="31" t="inlineStr">
        <is>
          <t>6097</t>
        </is>
      </c>
      <c r="C655" s="35" t="n"/>
      <c r="D655" s="36" t="n">
        <v>50</v>
      </c>
      <c r="E655" s="36" t="n"/>
      <c r="F655" s="37" t="n"/>
      <c r="G655" s="37" t="n">
        <v>20</v>
      </c>
      <c r="H655" s="33">
        <f>H654-G655</f>
        <v/>
      </c>
      <c r="I655" s="36" t="n"/>
      <c r="J655" s="711" t="n"/>
      <c r="K655" s="722">
        <f>G655*D655</f>
        <v/>
      </c>
      <c r="L655" s="710" t="n"/>
      <c r="M655" s="392" t="n"/>
    </row>
    <row r="656" ht="17.25" customHeight="1" s="436">
      <c r="A656" s="30" t="n">
        <v>43400</v>
      </c>
      <c r="B656" s="31" t="inlineStr">
        <is>
          <t>6068</t>
        </is>
      </c>
      <c r="C656" s="35" t="n"/>
      <c r="D656" s="36" t="n">
        <v>50</v>
      </c>
      <c r="E656" s="36" t="n"/>
      <c r="F656" s="37" t="n"/>
      <c r="G656" s="37" t="n">
        <v>40</v>
      </c>
      <c r="H656" s="33">
        <f>H655-G656</f>
        <v/>
      </c>
      <c r="I656" s="36" t="n"/>
      <c r="J656" s="711" t="n"/>
      <c r="K656" s="722">
        <f>G656*D656</f>
        <v/>
      </c>
      <c r="L656" s="710" t="n"/>
      <c r="M656" s="392" t="n"/>
    </row>
    <row r="657" ht="17.25" customHeight="1" s="436">
      <c r="A657" s="92" t="n">
        <v>43402</v>
      </c>
      <c r="B657" s="93" t="inlineStr">
        <is>
          <t>34670</t>
        </is>
      </c>
      <c r="C657" s="96" t="n"/>
      <c r="D657" s="97" t="n">
        <v>36.5</v>
      </c>
      <c r="E657" s="97" t="n"/>
      <c r="F657" s="98" t="n">
        <v>1120</v>
      </c>
      <c r="G657" s="98" t="n"/>
      <c r="H657" s="95" t="n">
        <v>2321</v>
      </c>
      <c r="I657" s="36" t="n"/>
      <c r="J657" s="711" t="n"/>
      <c r="K657" s="722" t="n"/>
      <c r="L657" s="710" t="n"/>
      <c r="M657" s="392" t="n"/>
    </row>
    <row r="658" ht="17.25" customHeight="1" s="436">
      <c r="A658" s="30" t="n">
        <v>43402</v>
      </c>
      <c r="B658" s="31" t="inlineStr">
        <is>
          <t>6099</t>
        </is>
      </c>
      <c r="C658" s="35" t="n"/>
      <c r="D658" s="36" t="n">
        <v>58.37</v>
      </c>
      <c r="E658" s="36" t="n"/>
      <c r="F658" s="37" t="n"/>
      <c r="G658" s="37" t="n">
        <v>22</v>
      </c>
      <c r="H658" s="33">
        <f>H657-G658</f>
        <v/>
      </c>
      <c r="I658" s="36" t="n"/>
      <c r="J658" s="711" t="n"/>
      <c r="K658" s="722">
        <f>G658*D658</f>
        <v/>
      </c>
      <c r="L658" s="710" t="n"/>
      <c r="M658" s="392" t="n"/>
    </row>
    <row r="659" ht="17.25" customHeight="1" s="436">
      <c r="A659" s="30" t="n">
        <v>43402</v>
      </c>
      <c r="B659" s="31" t="inlineStr">
        <is>
          <t>6105</t>
        </is>
      </c>
      <c r="C659" s="35" t="n"/>
      <c r="D659" s="36" t="n">
        <v>56</v>
      </c>
      <c r="E659" s="36" t="n"/>
      <c r="F659" s="37" t="n"/>
      <c r="G659" s="37" t="n">
        <v>30</v>
      </c>
      <c r="H659" s="33">
        <f>H658-G659</f>
        <v/>
      </c>
      <c r="I659" s="36" t="n"/>
      <c r="J659" s="711" t="n"/>
      <c r="K659" s="722">
        <f>G659*D659</f>
        <v/>
      </c>
      <c r="L659" s="710" t="n"/>
      <c r="M659" s="392" t="n"/>
    </row>
    <row r="660" ht="17.25" customHeight="1" s="436">
      <c r="A660" s="30" t="n">
        <v>43402</v>
      </c>
      <c r="B660" s="31" t="inlineStr">
        <is>
          <t>6106</t>
        </is>
      </c>
      <c r="C660" s="35" t="n"/>
      <c r="D660" s="36" t="n">
        <v>50</v>
      </c>
      <c r="E660" s="36" t="n"/>
      <c r="F660" s="37" t="n"/>
      <c r="G660" s="37" t="n">
        <v>50</v>
      </c>
      <c r="H660" s="33">
        <f>H659-G660</f>
        <v/>
      </c>
      <c r="I660" s="36" t="n"/>
      <c r="J660" s="711" t="n"/>
      <c r="K660" s="722">
        <f>G660*D660</f>
        <v/>
      </c>
      <c r="L660" s="710" t="n"/>
      <c r="M660" s="392" t="n"/>
    </row>
    <row r="661" ht="17.25" customHeight="1" s="436">
      <c r="A661" s="30" t="n">
        <v>43403</v>
      </c>
      <c r="B661" s="31" t="inlineStr">
        <is>
          <t>6109</t>
        </is>
      </c>
      <c r="C661" s="35" t="n"/>
      <c r="D661" s="36" t="n">
        <v>48</v>
      </c>
      <c r="E661" s="36" t="n"/>
      <c r="F661" s="37" t="n"/>
      <c r="G661" s="37" t="n">
        <v>60</v>
      </c>
      <c r="H661" s="33">
        <f>H660-G661</f>
        <v/>
      </c>
      <c r="I661" s="36" t="n"/>
      <c r="J661" s="711" t="n"/>
      <c r="K661" s="722">
        <f>G661*D661</f>
        <v/>
      </c>
      <c r="L661" s="710" t="n"/>
      <c r="M661" s="392" t="n"/>
    </row>
    <row r="662" ht="17.25" customHeight="1" s="436">
      <c r="A662" s="30" t="n">
        <v>43404</v>
      </c>
      <c r="B662" s="31" t="inlineStr">
        <is>
          <t>6111</t>
        </is>
      </c>
      <c r="C662" s="35" t="n"/>
      <c r="D662" s="36" t="n">
        <v>57.2</v>
      </c>
      <c r="E662" s="36" t="n"/>
      <c r="F662" s="37" t="n"/>
      <c r="G662" s="37" t="n">
        <v>50</v>
      </c>
      <c r="H662" s="33">
        <f>H661-G662</f>
        <v/>
      </c>
      <c r="I662" s="36" t="n"/>
      <c r="J662" s="711" t="n"/>
      <c r="K662" s="722">
        <f>G662*D662</f>
        <v/>
      </c>
      <c r="L662" s="710" t="n"/>
      <c r="M662" s="392" t="n"/>
    </row>
    <row r="663" ht="17.25" customHeight="1" s="436">
      <c r="A663" s="30" t="n">
        <v>43404</v>
      </c>
      <c r="B663" s="31" t="inlineStr">
        <is>
          <t>6112</t>
        </is>
      </c>
      <c r="C663" s="35" t="n"/>
      <c r="D663" s="36" t="n">
        <v>58</v>
      </c>
      <c r="E663" s="36" t="n"/>
      <c r="F663" s="37" t="n"/>
      <c r="G663" s="37" t="n">
        <v>30</v>
      </c>
      <c r="H663" s="33">
        <f>H662-G663</f>
        <v/>
      </c>
      <c r="I663" s="36" t="n"/>
      <c r="J663" s="711" t="n"/>
      <c r="K663" s="722">
        <f>G663*D663</f>
        <v/>
      </c>
      <c r="L663" s="710" t="n"/>
      <c r="M663" s="392" t="n"/>
    </row>
    <row r="664" ht="17.25" customHeight="1" s="436">
      <c r="A664" s="30" t="n">
        <v>43408</v>
      </c>
      <c r="B664" s="31" t="n"/>
      <c r="C664" s="35" t="n"/>
      <c r="D664" s="36" t="n">
        <v>74</v>
      </c>
      <c r="E664" s="36" t="n"/>
      <c r="F664" s="37" t="n"/>
      <c r="G664" s="37" t="n"/>
      <c r="H664" s="33">
        <f>H663-G664</f>
        <v/>
      </c>
      <c r="I664" s="36" t="n"/>
      <c r="J664" s="711" t="n"/>
      <c r="K664" s="722">
        <f>G664*D664</f>
        <v/>
      </c>
      <c r="L664" s="710" t="n"/>
      <c r="M664" s="392" t="n"/>
    </row>
    <row r="665" ht="17.25" customHeight="1" s="436">
      <c r="A665" s="30" t="n">
        <v>43409</v>
      </c>
      <c r="B665" s="31" t="n"/>
      <c r="C665" s="35" t="n"/>
      <c r="D665" s="36" t="n">
        <v>75</v>
      </c>
      <c r="E665" s="36" t="n"/>
      <c r="F665" s="37" t="n"/>
      <c r="G665" s="37" t="n"/>
      <c r="H665" s="33">
        <f>H664-G665</f>
        <v/>
      </c>
      <c r="I665" s="36" t="n"/>
      <c r="J665" s="711" t="n"/>
      <c r="K665" s="722">
        <f>G665*D665</f>
        <v/>
      </c>
      <c r="L665" s="710" t="n"/>
      <c r="M665" s="392" t="n"/>
    </row>
    <row r="666" ht="17.25" customHeight="1" s="436">
      <c r="A666" s="30" t="n">
        <v>43410</v>
      </c>
      <c r="B666" s="31" t="n"/>
      <c r="C666" s="35" t="n"/>
      <c r="D666" s="36" t="n">
        <v>76</v>
      </c>
      <c r="E666" s="36" t="n"/>
      <c r="F666" s="37" t="n"/>
      <c r="G666" s="37" t="n"/>
      <c r="H666" s="33">
        <f>H665-G666</f>
        <v/>
      </c>
      <c r="I666" s="36" t="n"/>
      <c r="J666" s="711" t="n"/>
      <c r="K666" s="722">
        <f>G666*D666</f>
        <v/>
      </c>
      <c r="L666" s="710" t="n"/>
      <c r="M666" s="392" t="n"/>
    </row>
    <row r="667" ht="17.25" customHeight="1" s="436">
      <c r="A667" s="30" t="n">
        <v>43411</v>
      </c>
      <c r="B667" s="31" t="n"/>
      <c r="C667" s="35" t="n"/>
      <c r="D667" s="36" t="n">
        <v>77</v>
      </c>
      <c r="E667" s="36" t="n"/>
      <c r="F667" s="37" t="n"/>
      <c r="G667" s="37" t="n"/>
      <c r="H667" s="33">
        <f>H666-G667</f>
        <v/>
      </c>
      <c r="I667" s="36" t="n"/>
      <c r="J667" s="711" t="n"/>
      <c r="K667" s="722">
        <f>G667*D667</f>
        <v/>
      </c>
      <c r="L667" s="710" t="n"/>
      <c r="M667" s="392" t="n"/>
    </row>
    <row r="668" ht="17.25" customHeight="1" s="436">
      <c r="A668" s="30" t="n">
        <v>43412</v>
      </c>
      <c r="B668" s="31" t="n"/>
      <c r="C668" s="35" t="n"/>
      <c r="D668" s="36" t="n">
        <v>78</v>
      </c>
      <c r="E668" s="36" t="n"/>
      <c r="F668" s="37" t="n"/>
      <c r="G668" s="37" t="n"/>
      <c r="H668" s="33">
        <f>H667-G668</f>
        <v/>
      </c>
      <c r="I668" s="36" t="n"/>
      <c r="J668" s="711" t="n"/>
      <c r="K668" s="722">
        <f>G668*D668</f>
        <v/>
      </c>
      <c r="L668" s="710" t="n"/>
      <c r="M668" s="392" t="n"/>
    </row>
    <row r="669"/>
    <row r="670"/>
    <row r="671"/>
    <row r="672"/>
    <row r="673"/>
    <row r="674"/>
    <row r="675" ht="15.75" customHeight="1" s="436" thickBot="1"/>
    <row r="676" ht="27" customHeight="1" s="436" thickBot="1">
      <c r="A676" s="720" t="inlineStr">
        <is>
          <t xml:space="preserve"> FARINHA DE TRIGO TIPO: 1 - 25 KG</t>
        </is>
      </c>
      <c r="B676" s="697" t="n"/>
      <c r="C676" s="697" t="n"/>
      <c r="D676" s="697" t="n"/>
      <c r="E676" s="697" t="n"/>
      <c r="F676" s="697" t="n"/>
      <c r="G676" s="697" t="n"/>
      <c r="H676" s="697" t="n"/>
      <c r="I676" s="697" t="n"/>
      <c r="J676" s="697" t="n"/>
      <c r="K676" s="697" t="n"/>
      <c r="L676" s="697" t="n"/>
      <c r="M676" s="698" t="n"/>
    </row>
    <row r="677">
      <c r="A677" s="643" t="inlineStr">
        <is>
          <t>DATA</t>
        </is>
      </c>
      <c r="B677" s="633" t="inlineStr">
        <is>
          <t>N.F.</t>
        </is>
      </c>
      <c r="C677" s="633" t="inlineStr">
        <is>
          <t>TIPO</t>
        </is>
      </c>
      <c r="D677" s="633" t="inlineStr">
        <is>
          <t>PREÇO UNITÁRIO</t>
        </is>
      </c>
      <c r="E677" s="701" t="n"/>
      <c r="F677" s="633" t="inlineStr">
        <is>
          <t>QUANTIDADE / KG</t>
        </is>
      </c>
      <c r="H677" s="701" t="n"/>
      <c r="I677" s="632" t="inlineStr">
        <is>
          <t>PREÇO</t>
        </is>
      </c>
      <c r="J677" s="632" t="inlineStr">
        <is>
          <t>VALORES</t>
        </is>
      </c>
      <c r="L677" s="701" t="n"/>
      <c r="M677" s="649" t="n"/>
    </row>
    <row r="678" ht="15.75" customHeight="1" s="436" thickBot="1">
      <c r="A678" s="703" t="n"/>
      <c r="B678" s="704" t="n"/>
      <c r="C678" s="704" t="n"/>
      <c r="D678" s="703" t="n"/>
      <c r="E678" s="701" t="n"/>
      <c r="F678" s="705" t="n"/>
      <c r="G678" s="706" t="n"/>
      <c r="H678" s="707" t="n"/>
      <c r="I678" s="704" t="n"/>
      <c r="J678" s="703" t="n"/>
      <c r="L678" s="701" t="n"/>
      <c r="M678" s="704" t="n"/>
    </row>
    <row r="679" ht="15.75" customHeight="1" s="436" thickBot="1">
      <c r="A679" s="703" t="n"/>
      <c r="B679" s="704" t="n"/>
      <c r="C679" s="704" t="n"/>
      <c r="D679" s="705" t="n"/>
      <c r="E679" s="707" t="n"/>
      <c r="F679" s="3" t="inlineStr">
        <is>
          <t>ENTRADA</t>
        </is>
      </c>
      <c r="G679" s="3" t="inlineStr">
        <is>
          <t>SAÍDA</t>
        </is>
      </c>
      <c r="H679" s="640" t="n"/>
      <c r="I679" s="633" t="inlineStr">
        <is>
          <t>MÉDIO</t>
        </is>
      </c>
      <c r="J679" s="652" t="inlineStr">
        <is>
          <t>SALDO EM 30/11/2017</t>
        </is>
      </c>
      <c r="K679" s="706" t="n"/>
      <c r="L679" s="17" t="n"/>
      <c r="M679" s="704" t="n"/>
    </row>
    <row r="680" ht="18" customHeight="1" s="436" thickBot="1">
      <c r="A680" s="705" t="n"/>
      <c r="B680" s="695" t="n"/>
      <c r="C680" s="695" t="n"/>
      <c r="D680" s="3" t="inlineStr">
        <is>
          <t>C/ICMS</t>
        </is>
      </c>
      <c r="E680" s="3" t="inlineStr">
        <is>
          <t>S/ICMS</t>
        </is>
      </c>
      <c r="F680" s="695" t="n"/>
      <c r="G680" s="695" t="n"/>
      <c r="H680" s="84" t="inlineStr">
        <is>
          <t>SALDO EM 31/10</t>
        </is>
      </c>
      <c r="I680" s="695" t="n"/>
      <c r="J680" s="645" t="inlineStr">
        <is>
          <t>ENTRADA</t>
        </is>
      </c>
      <c r="K680" s="633" t="inlineStr">
        <is>
          <t>SAÍDA / CMV</t>
        </is>
      </c>
      <c r="L680" s="643" t="inlineStr">
        <is>
          <t>SALDO</t>
        </is>
      </c>
      <c r="M680" s="392" t="n"/>
    </row>
    <row r="681" ht="17.25" customHeight="1" s="436">
      <c r="A681" s="30" t="n"/>
      <c r="B681" s="31" t="n"/>
      <c r="C681" s="35" t="n"/>
      <c r="D681" s="36" t="n"/>
      <c r="E681" s="36" t="n"/>
      <c r="F681" s="37" t="n"/>
      <c r="G681" s="37" t="n">
        <v>0</v>
      </c>
      <c r="H681" s="37" t="n"/>
      <c r="I681" s="36" t="n"/>
      <c r="J681" s="711">
        <f>F681*I681</f>
        <v/>
      </c>
      <c r="K681" s="721" t="n">
        <v>0</v>
      </c>
      <c r="L681" s="710">
        <f>J681-K681</f>
        <v/>
      </c>
      <c r="M681" s="392" t="n"/>
    </row>
    <row r="682" ht="17.25" customHeight="1" s="436">
      <c r="A682" s="92" t="n">
        <v>43405</v>
      </c>
      <c r="B682" s="93" t="n"/>
      <c r="C682" s="93" t="n"/>
      <c r="D682" s="94" t="n"/>
      <c r="E682" s="94" t="n"/>
      <c r="F682" s="95" t="n"/>
      <c r="G682" s="95" t="n"/>
      <c r="H682" s="95" t="n">
        <v>2079</v>
      </c>
      <c r="I682" s="32" t="n"/>
      <c r="J682" s="711" t="n"/>
      <c r="K682" s="722" t="n"/>
      <c r="L682" s="710" t="n"/>
      <c r="M682" s="392" t="n"/>
    </row>
    <row r="683" ht="17.25" customHeight="1" s="436">
      <c r="A683" s="92" t="n">
        <v>43405</v>
      </c>
      <c r="B683" s="93" t="inlineStr">
        <is>
          <t>2395</t>
        </is>
      </c>
      <c r="C683" s="93" t="n"/>
      <c r="D683" s="94" t="n">
        <v>44.5</v>
      </c>
      <c r="E683" s="94" t="n"/>
      <c r="F683" s="95" t="n">
        <v>100</v>
      </c>
      <c r="G683" s="95" t="n"/>
      <c r="H683" s="95" t="n">
        <v>2179</v>
      </c>
      <c r="I683" s="32" t="n"/>
      <c r="J683" s="711" t="n"/>
      <c r="K683" s="722" t="n"/>
      <c r="L683" s="710" t="n"/>
      <c r="M683" s="392" t="n"/>
    </row>
    <row r="684" ht="17.25" customHeight="1" s="436">
      <c r="A684" s="30" t="n">
        <v>43409</v>
      </c>
      <c r="B684" s="31" t="inlineStr">
        <is>
          <t>6114</t>
        </is>
      </c>
      <c r="C684" s="31" t="n"/>
      <c r="D684" s="32" t="n">
        <v>59</v>
      </c>
      <c r="E684" s="32" t="n"/>
      <c r="F684" s="33" t="n"/>
      <c r="G684" s="33" t="n">
        <v>80</v>
      </c>
      <c r="H684" s="33">
        <f>H683-G684</f>
        <v/>
      </c>
      <c r="I684" s="32" t="n"/>
      <c r="J684" s="711" t="n"/>
      <c r="K684" s="722" t="n"/>
      <c r="L684" s="710" t="n"/>
      <c r="M684" s="392" t="n"/>
    </row>
    <row r="685" ht="17.25" customHeight="1" s="436">
      <c r="A685" s="30" t="n">
        <v>43409</v>
      </c>
      <c r="B685" s="31" t="inlineStr">
        <is>
          <t>6115</t>
        </is>
      </c>
      <c r="C685" s="35" t="n"/>
      <c r="D685" s="36" t="n">
        <v>56</v>
      </c>
      <c r="E685" s="36" t="n"/>
      <c r="F685" s="37" t="n"/>
      <c r="G685" s="37" t="n">
        <v>20</v>
      </c>
      <c r="H685" s="33">
        <f>H684-G685</f>
        <v/>
      </c>
      <c r="I685" s="36" t="n"/>
      <c r="J685" s="711" t="n"/>
      <c r="K685" s="722">
        <f>G685*D685</f>
        <v/>
      </c>
      <c r="L685" s="710" t="n"/>
      <c r="M685" s="392" t="n"/>
    </row>
    <row r="686" ht="17.25" customHeight="1" s="436">
      <c r="A686" s="92" t="n">
        <v>43410</v>
      </c>
      <c r="B686" s="93" t="inlineStr">
        <is>
          <t>103427</t>
        </is>
      </c>
      <c r="C686" s="96" t="n"/>
      <c r="D686" s="97" t="n">
        <v>40.7</v>
      </c>
      <c r="E686" s="97" t="n"/>
      <c r="F686" s="98" t="n">
        <v>500</v>
      </c>
      <c r="G686" s="98" t="n"/>
      <c r="H686" s="95" t="n">
        <v>2579</v>
      </c>
      <c r="I686" s="36" t="n"/>
      <c r="J686" s="711" t="n"/>
      <c r="K686" s="722" t="n"/>
      <c r="L686" s="710" t="n"/>
      <c r="M686" s="392" t="n"/>
    </row>
    <row r="687" ht="17.25" customHeight="1" s="436">
      <c r="A687" s="30" t="n">
        <v>43410</v>
      </c>
      <c r="B687" s="31" t="inlineStr">
        <is>
          <t>6117</t>
        </is>
      </c>
      <c r="C687" s="35" t="n"/>
      <c r="D687" s="36" t="n">
        <v>60</v>
      </c>
      <c r="E687" s="36" t="n"/>
      <c r="F687" s="37" t="n"/>
      <c r="G687" s="101" t="n">
        <v>20</v>
      </c>
      <c r="H687" s="33">
        <f>H686-G687</f>
        <v/>
      </c>
      <c r="I687" s="36" t="n"/>
      <c r="J687" s="711" t="n"/>
      <c r="K687" s="722">
        <f>G687*D687</f>
        <v/>
      </c>
      <c r="L687" s="710" t="n"/>
      <c r="M687" s="392" t="n"/>
    </row>
    <row r="688" ht="17.25" customHeight="1" s="436">
      <c r="A688" s="30" t="n">
        <v>43410</v>
      </c>
      <c r="B688" s="31" t="inlineStr">
        <is>
          <t>6119</t>
        </is>
      </c>
      <c r="C688" s="35" t="n"/>
      <c r="D688" s="36" t="n">
        <v>53</v>
      </c>
      <c r="E688" s="36" t="n"/>
      <c r="F688" s="37" t="n"/>
      <c r="G688" s="37" t="n">
        <v>40</v>
      </c>
      <c r="H688" s="33">
        <f>H687-G688</f>
        <v/>
      </c>
      <c r="I688" s="36" t="n"/>
      <c r="J688" s="711" t="n"/>
      <c r="K688" s="722">
        <f>G688*D688</f>
        <v/>
      </c>
      <c r="L688" s="710" t="n"/>
      <c r="M688" s="392" t="n"/>
    </row>
    <row r="689">
      <c r="A689" s="30" t="n">
        <v>43410</v>
      </c>
      <c r="B689" s="31" t="inlineStr">
        <is>
          <t>6120</t>
        </is>
      </c>
      <c r="C689" s="35" t="n"/>
      <c r="D689" s="36" t="n">
        <v>58.53</v>
      </c>
      <c r="E689" s="36" t="n"/>
      <c r="F689" s="37" t="n"/>
      <c r="G689" s="37" t="n">
        <v>23</v>
      </c>
      <c r="H689" s="33">
        <f>H688-G689</f>
        <v/>
      </c>
      <c r="I689" s="36" t="n"/>
      <c r="J689" s="711" t="n"/>
      <c r="K689" s="709">
        <f>G689*D689</f>
        <v/>
      </c>
      <c r="L689" s="710" t="n"/>
      <c r="M689" s="392" t="n"/>
    </row>
    <row r="690">
      <c r="A690" s="30" t="n">
        <v>43410</v>
      </c>
      <c r="B690" s="31" t="inlineStr">
        <is>
          <t>6122</t>
        </is>
      </c>
      <c r="C690" s="35" t="n"/>
      <c r="D690" s="36" t="n">
        <v>50</v>
      </c>
      <c r="E690" s="36" t="n"/>
      <c r="F690" s="37" t="n"/>
      <c r="G690" s="37" t="n">
        <v>15</v>
      </c>
      <c r="H690" s="33">
        <f>H689-G690</f>
        <v/>
      </c>
      <c r="I690" s="36" t="n"/>
      <c r="J690" s="711" t="n"/>
      <c r="K690" s="709">
        <f>G690*D690</f>
        <v/>
      </c>
      <c r="L690" s="710" t="n"/>
      <c r="M690" s="392" t="n"/>
    </row>
    <row r="691">
      <c r="A691" s="30" t="n">
        <v>43410</v>
      </c>
      <c r="B691" s="31" t="inlineStr">
        <is>
          <t>6123</t>
        </is>
      </c>
      <c r="C691" s="35" t="n"/>
      <c r="D691" s="36" t="n">
        <v>50</v>
      </c>
      <c r="E691" s="36" t="n"/>
      <c r="F691" s="37" t="n"/>
      <c r="G691" s="37" t="n">
        <v>10</v>
      </c>
      <c r="H691" s="33">
        <f>H690-G691</f>
        <v/>
      </c>
      <c r="I691" s="36" t="n"/>
      <c r="J691" s="711" t="n"/>
      <c r="K691" s="709">
        <f>G691*D691</f>
        <v/>
      </c>
      <c r="L691" s="710" t="n"/>
      <c r="M691" s="392" t="n"/>
    </row>
    <row r="692">
      <c r="A692" s="30" t="n">
        <v>43416</v>
      </c>
      <c r="B692" s="31" t="inlineStr">
        <is>
          <t>6126</t>
        </is>
      </c>
      <c r="C692" s="35" t="n"/>
      <c r="D692" s="36" t="n">
        <v>60</v>
      </c>
      <c r="E692" s="36" t="n"/>
      <c r="F692" s="37" t="n"/>
      <c r="G692" s="37" t="n">
        <v>20</v>
      </c>
      <c r="H692" s="33">
        <f>H691-G692</f>
        <v/>
      </c>
      <c r="I692" s="36" t="n"/>
      <c r="J692" s="711" t="n"/>
      <c r="K692" s="709">
        <f>G692*D692</f>
        <v/>
      </c>
      <c r="L692" s="710" t="n"/>
      <c r="M692" s="392" t="n"/>
    </row>
    <row r="693">
      <c r="A693" s="30" t="n">
        <v>43416</v>
      </c>
      <c r="B693" s="31" t="inlineStr">
        <is>
          <t>6128</t>
        </is>
      </c>
      <c r="C693" s="35" t="n"/>
      <c r="D693" s="36" t="n">
        <v>56</v>
      </c>
      <c r="E693" s="36" t="n"/>
      <c r="F693" s="37" t="n"/>
      <c r="G693" s="37" t="n">
        <v>25</v>
      </c>
      <c r="H693" s="33">
        <f>H692-G693</f>
        <v/>
      </c>
      <c r="I693" s="36" t="n"/>
      <c r="J693" s="711" t="n"/>
      <c r="K693" s="709">
        <f>G693*D693</f>
        <v/>
      </c>
      <c r="L693" s="710" t="n"/>
      <c r="M693" s="392" t="n"/>
    </row>
    <row r="694">
      <c r="A694" s="30" t="n">
        <v>43416</v>
      </c>
      <c r="B694" s="31" t="inlineStr">
        <is>
          <t>6131</t>
        </is>
      </c>
      <c r="C694" s="35" t="n"/>
      <c r="D694" s="36" t="n">
        <v>46</v>
      </c>
      <c r="E694" s="36" t="n"/>
      <c r="F694" s="37" t="n"/>
      <c r="G694" s="37" t="n">
        <v>50</v>
      </c>
      <c r="H694" s="33">
        <f>H693-G694</f>
        <v/>
      </c>
      <c r="I694" s="36" t="n"/>
      <c r="J694" s="711" t="n"/>
      <c r="K694" s="709">
        <f>G694*D694</f>
        <v/>
      </c>
      <c r="L694" s="710" t="n"/>
      <c r="M694" s="392" t="n"/>
    </row>
    <row r="695">
      <c r="A695" s="30" t="n">
        <v>43416</v>
      </c>
      <c r="B695" s="31" t="inlineStr">
        <is>
          <t>6132</t>
        </is>
      </c>
      <c r="C695" s="35" t="n"/>
      <c r="D695" s="36" t="n">
        <v>57.5</v>
      </c>
      <c r="E695" s="36" t="n"/>
      <c r="F695" s="37" t="n"/>
      <c r="G695" s="37" t="n">
        <v>40</v>
      </c>
      <c r="H695" s="33">
        <f>H694-G695</f>
        <v/>
      </c>
      <c r="I695" s="36" t="n"/>
      <c r="J695" s="711" t="n"/>
      <c r="K695" s="709">
        <f>G695*D695</f>
        <v/>
      </c>
      <c r="L695" s="710" t="n"/>
      <c r="M695" s="392" t="n"/>
    </row>
    <row r="696">
      <c r="A696" s="30" t="n">
        <v>43410</v>
      </c>
      <c r="B696" s="31" t="inlineStr">
        <is>
          <t>6124</t>
        </is>
      </c>
      <c r="C696" s="35" t="n"/>
      <c r="D696" s="36" t="n">
        <v>50</v>
      </c>
      <c r="E696" s="36" t="n"/>
      <c r="F696" s="37" t="n"/>
      <c r="G696" s="37" t="n">
        <v>50</v>
      </c>
      <c r="H696" s="33">
        <f>H695-G696</f>
        <v/>
      </c>
      <c r="I696" s="36" t="n"/>
      <c r="J696" s="711" t="n"/>
      <c r="K696" s="709">
        <f>G696*D696</f>
        <v/>
      </c>
      <c r="L696" s="710" t="n"/>
      <c r="M696" s="392" t="n"/>
    </row>
    <row r="697">
      <c r="A697" s="30" t="n">
        <v>43417</v>
      </c>
      <c r="B697" s="31" t="inlineStr">
        <is>
          <t>6133</t>
        </is>
      </c>
      <c r="C697" s="35" t="n"/>
      <c r="D697" s="36" t="n">
        <v>48</v>
      </c>
      <c r="E697" s="36" t="n"/>
      <c r="F697" s="37" t="n"/>
      <c r="G697" s="37" t="n">
        <v>100</v>
      </c>
      <c r="H697" s="33">
        <f>H696-G697</f>
        <v/>
      </c>
      <c r="I697" s="36" t="n"/>
      <c r="J697" s="711" t="n"/>
      <c r="K697" s="709">
        <f>G697*D697</f>
        <v/>
      </c>
      <c r="L697" s="710" t="n"/>
      <c r="M697" s="392" t="n"/>
    </row>
    <row r="698">
      <c r="A698" s="30" t="n">
        <v>43417</v>
      </c>
      <c r="B698" s="31" t="inlineStr">
        <is>
          <t>6135</t>
        </is>
      </c>
      <c r="C698" s="35" t="n"/>
      <c r="D698" s="36" t="n">
        <v>58.53</v>
      </c>
      <c r="E698" s="36" t="n"/>
      <c r="F698" s="37" t="n"/>
      <c r="G698" s="37" t="n">
        <v>23</v>
      </c>
      <c r="H698" s="33">
        <f>H697-G698</f>
        <v/>
      </c>
      <c r="I698" s="36" t="n"/>
      <c r="J698" s="711" t="n"/>
      <c r="K698" s="709">
        <f>G698*D698</f>
        <v/>
      </c>
      <c r="L698" s="710" t="n"/>
      <c r="M698" s="392" t="n"/>
    </row>
    <row r="699">
      <c r="A699" s="30" t="n">
        <v>43417</v>
      </c>
      <c r="B699" s="31" t="inlineStr">
        <is>
          <t>6137</t>
        </is>
      </c>
      <c r="C699" s="35" t="n"/>
      <c r="D699" s="36" t="n">
        <v>50</v>
      </c>
      <c r="E699" s="36" t="n"/>
      <c r="F699" s="37" t="n"/>
      <c r="G699" s="37" t="n">
        <v>30</v>
      </c>
      <c r="H699" s="33">
        <f>H698-G699</f>
        <v/>
      </c>
      <c r="I699" s="36" t="n"/>
      <c r="J699" s="711" t="n"/>
      <c r="K699" s="709">
        <f>G699*D699</f>
        <v/>
      </c>
      <c r="L699" s="710" t="n"/>
      <c r="M699" s="392" t="n"/>
    </row>
    <row r="700">
      <c r="A700" s="92" t="n">
        <v>43418</v>
      </c>
      <c r="B700" s="93" t="inlineStr">
        <is>
          <t>2402</t>
        </is>
      </c>
      <c r="C700" s="96" t="n"/>
      <c r="D700" s="97" t="n">
        <v>41.5</v>
      </c>
      <c r="E700" s="97" t="n"/>
      <c r="F700" s="98" t="n">
        <v>150</v>
      </c>
      <c r="G700" s="98" t="n"/>
      <c r="H700" s="95" t="n">
        <v>2283</v>
      </c>
      <c r="I700" s="36" t="n"/>
      <c r="J700" s="711" t="n"/>
      <c r="K700" s="709" t="n"/>
      <c r="L700" s="710" t="n"/>
      <c r="M700" s="392" t="n"/>
    </row>
    <row r="701">
      <c r="A701" s="30" t="n">
        <v>43421</v>
      </c>
      <c r="B701" s="31" t="inlineStr">
        <is>
          <t>6138</t>
        </is>
      </c>
      <c r="C701" s="35" t="n"/>
      <c r="D701" s="36" t="n">
        <v>56.67</v>
      </c>
      <c r="E701" s="36" t="n"/>
      <c r="F701" s="37" t="n"/>
      <c r="G701" s="37" t="n">
        <v>60</v>
      </c>
      <c r="H701" s="33">
        <f>H700-G701</f>
        <v/>
      </c>
      <c r="I701" s="36" t="n"/>
      <c r="J701" s="711" t="n"/>
      <c r="K701" s="709">
        <f>G701*D701</f>
        <v/>
      </c>
      <c r="L701" s="710" t="n"/>
      <c r="M701" s="392" t="n"/>
    </row>
    <row r="702">
      <c r="A702" s="30" t="n">
        <v>43421</v>
      </c>
      <c r="B702" s="31" t="inlineStr">
        <is>
          <t>6139</t>
        </is>
      </c>
      <c r="C702" s="35" t="n"/>
      <c r="D702" s="36" t="n">
        <v>48</v>
      </c>
      <c r="E702" s="36" t="n"/>
      <c r="F702" s="37" t="n"/>
      <c r="G702" s="37" t="n">
        <v>90</v>
      </c>
      <c r="H702" s="33">
        <f>H701-G702</f>
        <v/>
      </c>
      <c r="I702" s="36" t="n"/>
      <c r="J702" s="711" t="n"/>
      <c r="K702" s="709">
        <f>G702*D702</f>
        <v/>
      </c>
      <c r="L702" s="710" t="n"/>
      <c r="M702" s="392" t="n"/>
    </row>
    <row r="703">
      <c r="A703" s="30" t="n">
        <v>43423</v>
      </c>
      <c r="B703" s="31" t="inlineStr">
        <is>
          <t>6140</t>
        </is>
      </c>
      <c r="C703" s="35" t="n"/>
      <c r="D703" s="36" t="n">
        <v>56</v>
      </c>
      <c r="E703" s="36" t="n"/>
      <c r="F703" s="37" t="n"/>
      <c r="G703" s="37" t="n">
        <v>30</v>
      </c>
      <c r="H703" s="33">
        <f>H702-G703</f>
        <v/>
      </c>
      <c r="I703" s="36" t="n"/>
      <c r="J703" s="711" t="n"/>
      <c r="K703" s="709">
        <f>G703*D703</f>
        <v/>
      </c>
      <c r="L703" s="710" t="n"/>
      <c r="M703" s="392" t="n"/>
    </row>
    <row r="704">
      <c r="A704" s="30" t="n">
        <v>43423</v>
      </c>
      <c r="B704" s="31" t="inlineStr">
        <is>
          <t>6141</t>
        </is>
      </c>
      <c r="C704" s="35" t="n"/>
      <c r="D704" s="36" t="n">
        <v>50</v>
      </c>
      <c r="E704" s="36" t="n"/>
      <c r="F704" s="37" t="n"/>
      <c r="G704" s="37" t="n">
        <v>20</v>
      </c>
      <c r="H704" s="33">
        <f>H703-G704</f>
        <v/>
      </c>
      <c r="I704" s="36" t="n"/>
      <c r="J704" s="711" t="n"/>
      <c r="K704" s="709">
        <f>G704*D704</f>
        <v/>
      </c>
      <c r="L704" s="710" t="n"/>
      <c r="M704" s="392" t="n"/>
    </row>
    <row r="705">
      <c r="A705" s="30" t="n">
        <v>43423</v>
      </c>
      <c r="B705" s="31" t="inlineStr">
        <is>
          <t>6146</t>
        </is>
      </c>
      <c r="C705" s="35" t="n"/>
      <c r="D705" s="36" t="n">
        <v>52.5</v>
      </c>
      <c r="E705" s="36" t="n"/>
      <c r="F705" s="37" t="n"/>
      <c r="G705" s="37" t="n">
        <v>40</v>
      </c>
      <c r="H705" s="33">
        <f>H704-G705</f>
        <v/>
      </c>
      <c r="I705" s="36" t="n"/>
      <c r="J705" s="711" t="n"/>
      <c r="K705" s="709">
        <f>G705*D705</f>
        <v/>
      </c>
      <c r="L705" s="710" t="n"/>
      <c r="M705" s="392" t="n"/>
    </row>
    <row r="706">
      <c r="A706" s="30" t="n">
        <v>43425</v>
      </c>
      <c r="B706" s="31" t="inlineStr">
        <is>
          <t>6148</t>
        </is>
      </c>
      <c r="C706" s="35" t="n"/>
      <c r="D706" s="36" t="n">
        <v>58.2</v>
      </c>
      <c r="E706" s="36" t="n"/>
      <c r="F706" s="37" t="n"/>
      <c r="G706" s="37" t="n">
        <v>20</v>
      </c>
      <c r="H706" s="33">
        <f>H705-G706</f>
        <v/>
      </c>
      <c r="I706" s="36" t="n"/>
      <c r="J706" s="711" t="n"/>
      <c r="K706" s="709">
        <f>G706*D706</f>
        <v/>
      </c>
      <c r="L706" s="710" t="n"/>
      <c r="M706" s="392" t="n"/>
    </row>
    <row r="707">
      <c r="A707" s="30" t="n">
        <v>43425</v>
      </c>
      <c r="B707" s="31" t="inlineStr">
        <is>
          <t>6151</t>
        </is>
      </c>
      <c r="C707" s="35" t="n"/>
      <c r="D707" s="36" t="n">
        <v>52</v>
      </c>
      <c r="E707" s="36" t="n"/>
      <c r="F707" s="37" t="n"/>
      <c r="G707" s="37" t="n">
        <v>10</v>
      </c>
      <c r="H707" s="33">
        <f>H706-G707</f>
        <v/>
      </c>
      <c r="I707" s="36" t="n"/>
      <c r="J707" s="711" t="n"/>
      <c r="K707" s="709">
        <f>G707*D707</f>
        <v/>
      </c>
      <c r="L707" s="710" t="n"/>
      <c r="M707" s="392" t="n"/>
    </row>
    <row r="708">
      <c r="A708" s="30" t="n">
        <v>43425</v>
      </c>
      <c r="B708" s="31" t="inlineStr">
        <is>
          <t>6152</t>
        </is>
      </c>
      <c r="C708" s="35" t="n"/>
      <c r="D708" s="36" t="n">
        <v>56</v>
      </c>
      <c r="E708" s="36" t="n"/>
      <c r="F708" s="37" t="n"/>
      <c r="G708" s="37" t="n">
        <v>30</v>
      </c>
      <c r="H708" s="33">
        <f>H707-G708</f>
        <v/>
      </c>
      <c r="I708" s="36" t="n"/>
      <c r="J708" s="711" t="n"/>
      <c r="K708" s="709">
        <f>G708*D708</f>
        <v/>
      </c>
      <c r="L708" s="710" t="n"/>
      <c r="M708" s="392" t="n"/>
    </row>
    <row r="709">
      <c r="A709" s="30" t="n">
        <v>43426</v>
      </c>
      <c r="B709" s="31" t="inlineStr">
        <is>
          <t>6154</t>
        </is>
      </c>
      <c r="C709" s="35" t="n"/>
      <c r="D709" s="36" t="n">
        <v>50</v>
      </c>
      <c r="E709" s="36" t="n"/>
      <c r="F709" s="37" t="n"/>
      <c r="G709" s="37" t="n">
        <v>20</v>
      </c>
      <c r="H709" s="33">
        <f>H708-G709</f>
        <v/>
      </c>
      <c r="I709" s="36" t="n"/>
      <c r="J709" s="711" t="n"/>
      <c r="K709" s="709">
        <f>G709*D709</f>
        <v/>
      </c>
      <c r="L709" s="710" t="n"/>
      <c r="M709" s="392" t="n"/>
    </row>
    <row r="710">
      <c r="A710" s="30" t="n">
        <v>43426</v>
      </c>
      <c r="B710" s="31" t="inlineStr">
        <is>
          <t>6155</t>
        </is>
      </c>
      <c r="C710" s="35" t="n"/>
      <c r="D710" s="36" t="n">
        <v>48</v>
      </c>
      <c r="E710" s="36" t="n"/>
      <c r="F710" s="37" t="n"/>
      <c r="G710" s="37" t="n">
        <v>80</v>
      </c>
      <c r="H710" s="33">
        <f>H709-G710</f>
        <v/>
      </c>
      <c r="I710" s="36" t="n"/>
      <c r="J710" s="711" t="n"/>
      <c r="K710" s="709">
        <f>G710*D710</f>
        <v/>
      </c>
      <c r="L710" s="710" t="n"/>
      <c r="M710" s="392" t="n"/>
    </row>
    <row r="711">
      <c r="A711" s="30" t="n">
        <v>43430</v>
      </c>
      <c r="B711" s="31" t="inlineStr">
        <is>
          <t>6158</t>
        </is>
      </c>
      <c r="C711" s="35" t="n"/>
      <c r="D711" s="36" t="n">
        <v>57</v>
      </c>
      <c r="E711" s="36" t="n"/>
      <c r="F711" s="37" t="n"/>
      <c r="G711" s="37" t="n">
        <v>30</v>
      </c>
      <c r="H711" s="33">
        <f>H710-G711</f>
        <v/>
      </c>
      <c r="I711" s="36" t="n"/>
      <c r="J711" s="711" t="n"/>
      <c r="K711" s="709">
        <f>G711*D711</f>
        <v/>
      </c>
      <c r="L711" s="710" t="n"/>
      <c r="M711" s="392" t="n"/>
    </row>
    <row r="712">
      <c r="A712" s="30" t="n">
        <v>43430</v>
      </c>
      <c r="B712" s="31" t="inlineStr">
        <is>
          <t>6160</t>
        </is>
      </c>
      <c r="C712" s="35" t="n"/>
      <c r="D712" s="36" t="n">
        <v>57</v>
      </c>
      <c r="E712" s="36" t="n"/>
      <c r="F712" s="37" t="n"/>
      <c r="G712" s="37" t="n">
        <v>10</v>
      </c>
      <c r="H712" s="33">
        <f>H711-G712</f>
        <v/>
      </c>
      <c r="I712" s="36" t="n"/>
      <c r="J712" s="711" t="n"/>
      <c r="K712" s="709">
        <f>G712*D712</f>
        <v/>
      </c>
      <c r="L712" s="710" t="n"/>
      <c r="M712" s="392" t="n"/>
    </row>
    <row r="713">
      <c r="A713" s="30" t="n">
        <v>43430</v>
      </c>
      <c r="B713" s="31" t="inlineStr">
        <is>
          <t>6161</t>
        </is>
      </c>
      <c r="C713" s="35" t="n"/>
      <c r="D713" s="36" t="n">
        <v>57.72</v>
      </c>
      <c r="E713" s="36" t="n"/>
      <c r="F713" s="37" t="n"/>
      <c r="G713" s="37" t="n">
        <v>35</v>
      </c>
      <c r="H713" s="33">
        <f>H712-G713</f>
        <v/>
      </c>
      <c r="I713" s="36" t="n"/>
      <c r="J713" s="711" t="n"/>
      <c r="K713" s="709">
        <f>G713*D713</f>
        <v/>
      </c>
      <c r="L713" s="710" t="n"/>
      <c r="M713" s="392" t="n"/>
    </row>
    <row r="714">
      <c r="A714" s="30" t="n">
        <v>43430</v>
      </c>
      <c r="B714" s="31" t="inlineStr">
        <is>
          <t>6163</t>
        </is>
      </c>
      <c r="C714" s="35" t="n"/>
      <c r="D714" s="36" t="n">
        <v>58</v>
      </c>
      <c r="E714" s="36" t="n"/>
      <c r="F714" s="37" t="n"/>
      <c r="G714" s="37" t="n">
        <v>60</v>
      </c>
      <c r="H714" s="33">
        <f>H713-G714</f>
        <v/>
      </c>
      <c r="I714" s="36" t="n"/>
      <c r="J714" s="711" t="n"/>
      <c r="K714" s="709">
        <f>G714*D714</f>
        <v/>
      </c>
      <c r="L714" s="710" t="n"/>
      <c r="M714" s="392" t="n"/>
    </row>
    <row r="715">
      <c r="A715" s="30" t="n">
        <v>43430</v>
      </c>
      <c r="B715" s="31" t="inlineStr">
        <is>
          <t>6164</t>
        </is>
      </c>
      <c r="C715" s="35" t="n"/>
      <c r="D715" s="36" t="n">
        <v>60</v>
      </c>
      <c r="E715" s="36" t="n"/>
      <c r="F715" s="37" t="n"/>
      <c r="G715" s="37" t="n">
        <v>20</v>
      </c>
      <c r="H715" s="33">
        <f>H714-G715</f>
        <v/>
      </c>
      <c r="I715" s="36" t="n"/>
      <c r="J715" s="711" t="n"/>
      <c r="K715" s="709">
        <f>G715*D715</f>
        <v/>
      </c>
      <c r="L715" s="710" t="n"/>
      <c r="M715" s="392" t="n"/>
    </row>
    <row r="716">
      <c r="A716" s="30" t="n">
        <v>43430</v>
      </c>
      <c r="B716" s="31" t="inlineStr">
        <is>
          <t>6165</t>
        </is>
      </c>
      <c r="C716" s="35" t="n"/>
      <c r="D716" s="36" t="n">
        <v>55</v>
      </c>
      <c r="E716" s="36" t="n"/>
      <c r="F716" s="37" t="n"/>
      <c r="G716" s="37" t="n">
        <v>22</v>
      </c>
      <c r="H716" s="33">
        <f>H715-G716</f>
        <v/>
      </c>
      <c r="I716" s="36" t="n"/>
      <c r="J716" s="711" t="n"/>
      <c r="K716" s="709">
        <f>G716*D716</f>
        <v/>
      </c>
      <c r="L716" s="710" t="n"/>
      <c r="M716" s="392" t="n"/>
    </row>
    <row r="717">
      <c r="A717" s="30" t="n">
        <v>43432</v>
      </c>
      <c r="B717" s="31" t="inlineStr">
        <is>
          <t>6166</t>
        </is>
      </c>
      <c r="C717" s="35" t="n"/>
      <c r="D717" s="36" t="n">
        <v>58</v>
      </c>
      <c r="E717" s="36" t="n"/>
      <c r="F717" s="37" t="n"/>
      <c r="G717" s="37" t="n">
        <v>70</v>
      </c>
      <c r="H717" s="33">
        <f>H716-G717</f>
        <v/>
      </c>
      <c r="I717" s="36" t="n"/>
      <c r="J717" s="711" t="n"/>
      <c r="K717" s="709">
        <f>G717*D717</f>
        <v/>
      </c>
      <c r="L717" s="710" t="n"/>
      <c r="M717" s="392" t="n"/>
    </row>
    <row r="718">
      <c r="A718" s="92" t="n">
        <v>43432</v>
      </c>
      <c r="B718" s="93" t="inlineStr">
        <is>
          <t>105218</t>
        </is>
      </c>
      <c r="C718" s="96" t="n"/>
      <c r="D718" s="97" t="n">
        <v>39.74</v>
      </c>
      <c r="E718" s="97" t="n"/>
      <c r="F718" s="98" t="n">
        <v>800</v>
      </c>
      <c r="G718" s="98" t="n"/>
      <c r="H718" s="95" t="n">
        <v>2436</v>
      </c>
      <c r="I718" s="36" t="n"/>
      <c r="J718" s="711" t="n"/>
      <c r="K718" s="709">
        <f>G718*D718</f>
        <v/>
      </c>
      <c r="L718" s="710" t="n"/>
      <c r="M718" s="392" t="n"/>
    </row>
    <row r="719">
      <c r="A719" s="30" t="n"/>
      <c r="B719" s="31" t="n"/>
      <c r="C719" s="35" t="n"/>
      <c r="D719" s="36" t="n"/>
      <c r="E719" s="36" t="n"/>
      <c r="F719" s="37" t="n"/>
      <c r="G719" s="37" t="n"/>
      <c r="H719" s="33">
        <f>H718-G719</f>
        <v/>
      </c>
      <c r="I719" s="36" t="n"/>
      <c r="J719" s="711" t="n"/>
      <c r="K719" s="709">
        <f>G719*D719</f>
        <v/>
      </c>
      <c r="L719" s="710" t="n"/>
      <c r="M719" s="392" t="n"/>
    </row>
    <row r="720">
      <c r="A720" s="30" t="n"/>
      <c r="B720" s="31" t="n"/>
      <c r="C720" s="35" t="n"/>
      <c r="D720" s="36" t="n"/>
      <c r="E720" s="36" t="n"/>
      <c r="F720" s="37" t="n"/>
      <c r="G720" s="37" t="n"/>
      <c r="H720" s="33">
        <f>H719-G720</f>
        <v/>
      </c>
      <c r="I720" s="36" t="n"/>
      <c r="J720" s="711" t="n"/>
      <c r="K720" s="709">
        <f>G720*D720</f>
        <v/>
      </c>
      <c r="L720" s="710" t="n"/>
      <c r="M720" s="392" t="n"/>
    </row>
    <row r="721"/>
    <row r="722"/>
    <row r="723"/>
    <row r="724"/>
    <row r="725"/>
    <row r="726"/>
    <row r="727" ht="15.75" customHeight="1" s="436" thickBot="1"/>
    <row r="728" ht="27" customHeight="1" s="436" thickBot="1">
      <c r="A728" s="720" t="inlineStr">
        <is>
          <t xml:space="preserve"> FARINHA DE TRIGO TIPO: 1 - 25 KG</t>
        </is>
      </c>
      <c r="B728" s="697" t="n"/>
      <c r="C728" s="697" t="n"/>
      <c r="D728" s="697" t="n"/>
      <c r="E728" s="697" t="n"/>
      <c r="F728" s="697" t="n"/>
      <c r="G728" s="697" t="n"/>
      <c r="H728" s="697" t="n"/>
      <c r="I728" s="697" t="n"/>
      <c r="J728" s="697" t="n"/>
      <c r="K728" s="697" t="n"/>
      <c r="L728" s="697" t="n"/>
      <c r="M728" s="698" t="n"/>
    </row>
    <row r="729">
      <c r="A729" s="643" t="inlineStr">
        <is>
          <t>DATA</t>
        </is>
      </c>
      <c r="B729" s="633" t="inlineStr">
        <is>
          <t>N.F.</t>
        </is>
      </c>
      <c r="C729" s="633" t="inlineStr">
        <is>
          <t>TIPO</t>
        </is>
      </c>
      <c r="D729" s="633" t="inlineStr">
        <is>
          <t>PREÇO UNITÁRIO</t>
        </is>
      </c>
      <c r="E729" s="701" t="n"/>
      <c r="F729" s="633" t="inlineStr">
        <is>
          <t>QUANTIDADE / KG</t>
        </is>
      </c>
      <c r="H729" s="701" t="n"/>
      <c r="I729" s="632" t="inlineStr">
        <is>
          <t>PREÇO</t>
        </is>
      </c>
      <c r="J729" s="632" t="inlineStr">
        <is>
          <t>VALORES</t>
        </is>
      </c>
      <c r="L729" s="701" t="n"/>
      <c r="M729" s="649" t="n"/>
    </row>
    <row r="730" ht="15.75" customHeight="1" s="436" thickBot="1">
      <c r="A730" s="703" t="n"/>
      <c r="B730" s="704" t="n"/>
      <c r="C730" s="704" t="n"/>
      <c r="D730" s="703" t="n"/>
      <c r="E730" s="701" t="n"/>
      <c r="F730" s="705" t="n"/>
      <c r="G730" s="706" t="n"/>
      <c r="H730" s="707" t="n"/>
      <c r="I730" s="704" t="n"/>
      <c r="J730" s="703" t="n"/>
      <c r="L730" s="701" t="n"/>
      <c r="M730" s="704" t="n"/>
    </row>
    <row r="731" ht="15.75" customHeight="1" s="436" thickBot="1">
      <c r="A731" s="703" t="n"/>
      <c r="B731" s="704" t="n"/>
      <c r="C731" s="704" t="n"/>
      <c r="D731" s="705" t="n"/>
      <c r="E731" s="707" t="n"/>
      <c r="F731" s="3" t="inlineStr">
        <is>
          <t>ENTRADA</t>
        </is>
      </c>
      <c r="G731" s="3" t="inlineStr">
        <is>
          <t>SAÍDA</t>
        </is>
      </c>
      <c r="H731" s="640" t="n"/>
      <c r="I731" s="633" t="inlineStr">
        <is>
          <t>MÉDIO</t>
        </is>
      </c>
      <c r="J731" s="652" t="inlineStr">
        <is>
          <t>SALDO EM 30/11/2017</t>
        </is>
      </c>
      <c r="K731" s="706" t="n"/>
      <c r="L731" s="17" t="n"/>
      <c r="M731" s="704" t="n"/>
    </row>
    <row r="732" ht="18" customHeight="1" s="436" thickBot="1">
      <c r="A732" s="705" t="n"/>
      <c r="B732" s="695" t="n"/>
      <c r="C732" s="695" t="n"/>
      <c r="D732" s="3" t="inlineStr">
        <is>
          <t>C/ICMS</t>
        </is>
      </c>
      <c r="E732" s="3" t="inlineStr">
        <is>
          <t>S/ICMS</t>
        </is>
      </c>
      <c r="F732" s="695" t="n"/>
      <c r="G732" s="695" t="n"/>
      <c r="H732" s="84" t="inlineStr">
        <is>
          <t>SALDO EM 30/11/2018</t>
        </is>
      </c>
      <c r="I732" s="695" t="n"/>
      <c r="J732" s="645" t="inlineStr">
        <is>
          <t>ENTRADA</t>
        </is>
      </c>
      <c r="K732" s="633" t="inlineStr">
        <is>
          <t>SAÍDA / CMV</t>
        </is>
      </c>
      <c r="L732" s="643" t="inlineStr">
        <is>
          <t>SALDO</t>
        </is>
      </c>
      <c r="M732" s="392" t="n"/>
    </row>
    <row r="733" ht="17.25" customHeight="1" s="436">
      <c r="A733" s="30" t="n"/>
      <c r="B733" s="31" t="n"/>
      <c r="C733" s="35" t="n"/>
      <c r="D733" s="36" t="n"/>
      <c r="E733" s="36" t="n"/>
      <c r="F733" s="37" t="n"/>
      <c r="G733" s="37" t="n">
        <v>0</v>
      </c>
      <c r="H733" s="37" t="n"/>
      <c r="I733" s="36" t="n"/>
      <c r="J733" s="711">
        <f>F733*I733</f>
        <v/>
      </c>
      <c r="K733" s="721" t="n">
        <v>0</v>
      </c>
      <c r="L733" s="710">
        <f>J733-K733</f>
        <v/>
      </c>
      <c r="M733" s="392" t="n"/>
    </row>
    <row r="734" ht="17.25" customHeight="1" s="436">
      <c r="A734" s="92" t="n">
        <v>43435</v>
      </c>
      <c r="B734" s="93" t="n"/>
      <c r="C734" s="93" t="n"/>
      <c r="D734" s="94" t="n"/>
      <c r="E734" s="94" t="n"/>
      <c r="F734" s="95" t="n"/>
      <c r="G734" s="95" t="n"/>
      <c r="H734" s="95" t="n">
        <v>2436</v>
      </c>
      <c r="I734" s="32" t="n"/>
      <c r="J734" s="711" t="n"/>
      <c r="K734" s="722" t="n"/>
      <c r="L734" s="710" t="n"/>
      <c r="M734" s="392" t="n"/>
    </row>
    <row r="735" ht="17.25" customHeight="1" s="436">
      <c r="A735" s="89" t="n">
        <v>43437</v>
      </c>
      <c r="B735" s="31" t="inlineStr">
        <is>
          <t>6167</t>
        </is>
      </c>
      <c r="C735" s="31" t="n"/>
      <c r="D735" s="32" t="n">
        <v>49</v>
      </c>
      <c r="E735" s="32" t="n"/>
      <c r="F735" s="33" t="n"/>
      <c r="G735" s="33" t="n">
        <v>30</v>
      </c>
      <c r="H735" s="33">
        <f>H734-G735</f>
        <v/>
      </c>
      <c r="I735" s="32" t="n"/>
      <c r="J735" s="711" t="n"/>
      <c r="K735" s="722" t="n"/>
      <c r="L735" s="710" t="n"/>
      <c r="M735" s="392" t="n"/>
    </row>
    <row r="736" ht="17.25" customHeight="1" s="436">
      <c r="A736" s="30" t="n">
        <v>43436</v>
      </c>
      <c r="B736" s="31" t="inlineStr">
        <is>
          <t>6169</t>
        </is>
      </c>
      <c r="C736" s="35" t="n"/>
      <c r="D736" s="36" t="n">
        <v>52</v>
      </c>
      <c r="E736" s="36" t="n"/>
      <c r="F736" s="37" t="n"/>
      <c r="G736" s="37" t="n">
        <v>50</v>
      </c>
      <c r="H736" s="33">
        <f>H735-G736</f>
        <v/>
      </c>
      <c r="I736" s="36" t="n"/>
      <c r="J736" s="711" t="n"/>
      <c r="K736" s="722">
        <f>G736*D736</f>
        <v/>
      </c>
      <c r="L736" s="710" t="n"/>
      <c r="M736" s="392" t="n"/>
    </row>
    <row r="737" ht="17.25" customHeight="1" s="436">
      <c r="A737" s="30" t="n">
        <v>43436</v>
      </c>
      <c r="B737" s="31" t="inlineStr">
        <is>
          <t>6170</t>
        </is>
      </c>
      <c r="C737" s="35" t="n"/>
      <c r="D737" s="36" t="n">
        <v>52</v>
      </c>
      <c r="E737" s="36" t="n"/>
      <c r="F737" s="37" t="n"/>
      <c r="G737" s="101" t="n">
        <v>20</v>
      </c>
      <c r="H737" s="33">
        <f>H736-G737</f>
        <v/>
      </c>
      <c r="I737" s="36" t="n"/>
      <c r="J737" s="711" t="n"/>
      <c r="K737" s="722">
        <f>G737*D737</f>
        <v/>
      </c>
      <c r="L737" s="710" t="n"/>
      <c r="M737" s="392" t="n"/>
    </row>
    <row r="738" ht="17.25" customHeight="1" s="436">
      <c r="A738" s="30" t="n">
        <v>43436</v>
      </c>
      <c r="B738" s="31" t="inlineStr">
        <is>
          <t>6172</t>
        </is>
      </c>
      <c r="C738" s="35" t="n"/>
      <c r="D738" s="36" t="n">
        <v>50</v>
      </c>
      <c r="E738" s="36" t="n"/>
      <c r="F738" s="37" t="n"/>
      <c r="G738" s="37" t="n">
        <v>10</v>
      </c>
      <c r="H738" s="33">
        <f>H737-G738</f>
        <v/>
      </c>
      <c r="I738" s="36" t="n"/>
      <c r="J738" s="711" t="n"/>
      <c r="K738" s="722">
        <f>G738*D738</f>
        <v/>
      </c>
      <c r="L738" s="710" t="n"/>
      <c r="M738" s="392" t="n"/>
    </row>
    <row r="739">
      <c r="A739" s="30" t="n">
        <v>43436</v>
      </c>
      <c r="B739" s="31" t="inlineStr">
        <is>
          <t>6173</t>
        </is>
      </c>
      <c r="C739" s="35" t="n"/>
      <c r="D739" s="36" t="n">
        <v>56</v>
      </c>
      <c r="E739" s="36" t="n"/>
      <c r="F739" s="37" t="n"/>
      <c r="G739" s="37" t="n">
        <v>20</v>
      </c>
      <c r="H739" s="33">
        <f>H738-G739</f>
        <v/>
      </c>
      <c r="I739" s="36" t="n"/>
      <c r="J739" s="711" t="n"/>
      <c r="K739" s="709">
        <f>G739*D739</f>
        <v/>
      </c>
      <c r="L739" s="710" t="n"/>
      <c r="M739" s="392" t="n"/>
    </row>
    <row r="740" ht="17.25" customHeight="1" s="436">
      <c r="A740" s="30" t="n">
        <v>43438</v>
      </c>
      <c r="B740" s="31" t="inlineStr">
        <is>
          <t>6175</t>
        </is>
      </c>
      <c r="C740" s="35" t="n"/>
      <c r="D740" s="36" t="n">
        <v>57</v>
      </c>
      <c r="E740" s="36" t="n"/>
      <c r="F740" s="37" t="n"/>
      <c r="G740" s="37" t="n">
        <v>20</v>
      </c>
      <c r="H740" s="33">
        <f>H739-G740</f>
        <v/>
      </c>
      <c r="I740" s="36" t="n"/>
      <c r="J740" s="711" t="n"/>
      <c r="K740" s="722">
        <f>G740*D740</f>
        <v/>
      </c>
      <c r="L740" s="710" t="n"/>
      <c r="M740" s="392" t="n"/>
    </row>
    <row r="741" ht="17.25" customHeight="1" s="436">
      <c r="A741" s="30" t="n">
        <v>43438</v>
      </c>
      <c r="B741" s="31" t="inlineStr">
        <is>
          <t>6176</t>
        </is>
      </c>
      <c r="C741" s="35" t="n"/>
      <c r="D741" s="36" t="n">
        <v>50</v>
      </c>
      <c r="E741" s="36" t="n"/>
      <c r="F741" s="37" t="n"/>
      <c r="G741" s="37" t="n">
        <v>30</v>
      </c>
      <c r="H741" s="33">
        <f>H740-G741</f>
        <v/>
      </c>
      <c r="I741" s="36" t="n"/>
      <c r="J741" s="711" t="n"/>
      <c r="K741" s="722">
        <f>G741*D741</f>
        <v/>
      </c>
      <c r="L741" s="710" t="n"/>
      <c r="M741" s="392" t="n"/>
    </row>
    <row r="742" ht="17.25" customHeight="1" s="436">
      <c r="A742" s="30" t="n">
        <v>43438</v>
      </c>
      <c r="B742" s="31" t="inlineStr">
        <is>
          <t>6177</t>
        </is>
      </c>
      <c r="C742" s="35" t="n"/>
      <c r="D742" s="36" t="n">
        <v>46</v>
      </c>
      <c r="E742" s="36" t="n"/>
      <c r="F742" s="37" t="n"/>
      <c r="G742" s="37" t="n">
        <v>50</v>
      </c>
      <c r="H742" s="33">
        <f>H741-G742</f>
        <v/>
      </c>
      <c r="I742" s="36" t="n"/>
      <c r="J742" s="711" t="n"/>
      <c r="K742" s="722">
        <f>G742*D742</f>
        <v/>
      </c>
      <c r="L742" s="710" t="n"/>
      <c r="M742" s="392" t="n"/>
    </row>
    <row r="743" ht="17.25" customHeight="1" s="436">
      <c r="A743" s="30" t="n">
        <v>43438</v>
      </c>
      <c r="B743" s="31" t="inlineStr">
        <is>
          <t>6178</t>
        </is>
      </c>
      <c r="C743" s="35" t="n"/>
      <c r="D743" s="36" t="n">
        <v>52.5</v>
      </c>
      <c r="E743" s="36" t="n"/>
      <c r="F743" s="37" t="n"/>
      <c r="G743" s="37" t="n">
        <v>40</v>
      </c>
      <c r="H743" s="33">
        <f>H742-G743</f>
        <v/>
      </c>
      <c r="I743" s="36" t="n"/>
      <c r="J743" s="711" t="n"/>
      <c r="K743" s="722">
        <f>G743*D743</f>
        <v/>
      </c>
      <c r="L743" s="710" t="n"/>
      <c r="M743" s="392" t="n"/>
    </row>
    <row r="744" ht="17.25" customHeight="1" s="436">
      <c r="A744" s="30" t="n">
        <v>43438</v>
      </c>
      <c r="B744" s="31" t="inlineStr">
        <is>
          <t>6179</t>
        </is>
      </c>
      <c r="C744" s="35" t="n"/>
      <c r="D744" s="36" t="n">
        <v>56</v>
      </c>
      <c r="E744" s="36" t="n"/>
      <c r="F744" s="37" t="n"/>
      <c r="G744" s="37" t="n">
        <v>30</v>
      </c>
      <c r="H744" s="33">
        <f>H743-G744</f>
        <v/>
      </c>
      <c r="I744" s="36" t="n"/>
      <c r="J744" s="711" t="n"/>
      <c r="K744" s="722">
        <f>G744*D744</f>
        <v/>
      </c>
      <c r="L744" s="710" t="n"/>
      <c r="M744" s="392" t="n"/>
    </row>
    <row r="745" ht="17.25" customHeight="1" s="436">
      <c r="A745" s="30" t="n">
        <v>43438</v>
      </c>
      <c r="B745" s="31" t="inlineStr">
        <is>
          <t>6181</t>
        </is>
      </c>
      <c r="C745" s="35" t="n"/>
      <c r="D745" s="36" t="n">
        <v>55.7</v>
      </c>
      <c r="E745" s="36" t="n"/>
      <c r="F745" s="37" t="n"/>
      <c r="G745" s="37" t="n">
        <v>20</v>
      </c>
      <c r="H745" s="33">
        <f>H744-G745</f>
        <v/>
      </c>
      <c r="I745" s="36" t="n"/>
      <c r="J745" s="711" t="n"/>
      <c r="K745" s="722">
        <f>G745*D745</f>
        <v/>
      </c>
      <c r="L745" s="710" t="n"/>
      <c r="M745" s="392" t="n"/>
    </row>
    <row r="746" ht="17.25" customHeight="1" s="436">
      <c r="A746" s="30" t="n">
        <v>43438</v>
      </c>
      <c r="B746" s="31" t="inlineStr">
        <is>
          <t>6183</t>
        </is>
      </c>
      <c r="C746" s="35" t="n"/>
      <c r="D746" s="36" t="n">
        <v>60</v>
      </c>
      <c r="E746" s="36" t="n"/>
      <c r="F746" s="37" t="n"/>
      <c r="G746" s="37" t="n">
        <v>20</v>
      </c>
      <c r="H746" s="33">
        <f>H745-G746</f>
        <v/>
      </c>
      <c r="I746" s="36" t="n"/>
      <c r="J746" s="711" t="n"/>
      <c r="K746" s="722">
        <f>G746*D746</f>
        <v/>
      </c>
      <c r="L746" s="710" t="n"/>
      <c r="M746" s="392" t="n"/>
    </row>
    <row r="747" ht="17.25" customHeight="1" s="436">
      <c r="A747" s="30" t="n">
        <v>43438</v>
      </c>
      <c r="B747" s="31" t="inlineStr">
        <is>
          <t>6184</t>
        </is>
      </c>
      <c r="C747" s="35" t="n"/>
      <c r="D747" s="36" t="n">
        <v>47</v>
      </c>
      <c r="E747" s="36" t="n"/>
      <c r="F747" s="37" t="n"/>
      <c r="G747" s="37" t="n">
        <v>50</v>
      </c>
      <c r="H747" s="33">
        <f>H746-G747</f>
        <v/>
      </c>
      <c r="I747" s="36" t="n"/>
      <c r="J747" s="711" t="n"/>
      <c r="K747" s="722">
        <f>G747*D747</f>
        <v/>
      </c>
      <c r="L747" s="710" t="n"/>
      <c r="M747" s="392" t="n"/>
    </row>
    <row r="748" ht="17.25" customHeight="1" s="436">
      <c r="A748" s="92" t="n">
        <v>43439</v>
      </c>
      <c r="B748" s="93" t="inlineStr">
        <is>
          <t>2407</t>
        </is>
      </c>
      <c r="C748" s="96" t="n"/>
      <c r="D748" s="97" t="n">
        <v>38.78</v>
      </c>
      <c r="E748" s="97" t="n"/>
      <c r="F748" s="98" t="n">
        <v>301</v>
      </c>
      <c r="G748" s="98" t="n"/>
      <c r="H748" s="95" t="n">
        <v>2347</v>
      </c>
      <c r="I748" s="36" t="n"/>
      <c r="J748" s="711" t="n"/>
      <c r="K748" s="722" t="n"/>
      <c r="L748" s="710" t="n"/>
      <c r="M748" s="392" t="n"/>
    </row>
    <row r="749" ht="17.25" customHeight="1" s="436">
      <c r="A749" s="30" t="n">
        <v>43444</v>
      </c>
      <c r="B749" s="31" t="inlineStr">
        <is>
          <t>6186</t>
        </is>
      </c>
      <c r="C749" s="35" t="n"/>
      <c r="D749" s="36" t="n">
        <v>60</v>
      </c>
      <c r="E749" s="36" t="n"/>
      <c r="F749" s="37" t="n"/>
      <c r="G749" s="37" t="n">
        <v>20</v>
      </c>
      <c r="H749" s="33">
        <f>H748-G749</f>
        <v/>
      </c>
      <c r="I749" s="36" t="n"/>
      <c r="J749" s="711" t="n"/>
      <c r="K749" s="722">
        <f>G749*D749</f>
        <v/>
      </c>
      <c r="L749" s="710" t="n"/>
      <c r="M749" s="392" t="n"/>
    </row>
    <row r="750" ht="17.25" customHeight="1" s="436">
      <c r="A750" s="30" t="n">
        <v>43444</v>
      </c>
      <c r="B750" s="31" t="inlineStr">
        <is>
          <t>6189</t>
        </is>
      </c>
      <c r="C750" s="35" t="n"/>
      <c r="D750" s="36" t="n">
        <v>57.2</v>
      </c>
      <c r="E750" s="36" t="n"/>
      <c r="F750" s="37" t="n"/>
      <c r="G750" s="37" t="n">
        <v>100</v>
      </c>
      <c r="H750" s="33">
        <f>H749-G750</f>
        <v/>
      </c>
      <c r="I750" s="36" t="n"/>
      <c r="J750" s="711" t="n"/>
      <c r="K750" s="722">
        <f>G750*D750</f>
        <v/>
      </c>
      <c r="L750" s="710" t="n"/>
      <c r="M750" s="392" t="n"/>
    </row>
    <row r="751" ht="17.25" customHeight="1" s="436">
      <c r="A751" s="30" t="n">
        <v>43444</v>
      </c>
      <c r="B751" s="31" t="inlineStr">
        <is>
          <t>6190</t>
        </is>
      </c>
      <c r="C751" s="35" t="n"/>
      <c r="D751" s="36" t="n">
        <v>57.3</v>
      </c>
      <c r="E751" s="36" t="n"/>
      <c r="F751" s="37" t="n"/>
      <c r="G751" s="37" t="n">
        <v>20</v>
      </c>
      <c r="H751" s="33">
        <f>H750-G751</f>
        <v/>
      </c>
      <c r="I751" s="36" t="n"/>
      <c r="J751" s="711" t="n"/>
      <c r="K751" s="722">
        <f>G751*D751</f>
        <v/>
      </c>
      <c r="L751" s="710" t="n"/>
      <c r="M751" s="392" t="n"/>
    </row>
    <row r="752" ht="17.25" customHeight="1" s="436">
      <c r="A752" s="30" t="n">
        <v>43446</v>
      </c>
      <c r="B752" s="31" t="inlineStr">
        <is>
          <t>6191</t>
        </is>
      </c>
      <c r="C752" s="35" t="n"/>
      <c r="D752" s="36" t="n">
        <v>57</v>
      </c>
      <c r="E752" s="36" t="n"/>
      <c r="F752" s="37" t="n"/>
      <c r="G752" s="37" t="n">
        <v>30</v>
      </c>
      <c r="H752" s="33">
        <f>H751-G752</f>
        <v/>
      </c>
      <c r="I752" s="36" t="n"/>
      <c r="J752" s="711" t="n"/>
      <c r="K752" s="722">
        <f>G752*D752</f>
        <v/>
      </c>
      <c r="L752" s="710" t="n"/>
      <c r="M752" s="392" t="n"/>
    </row>
    <row r="753" ht="17.25" customHeight="1" s="436">
      <c r="A753" s="30" t="n">
        <v>43446</v>
      </c>
      <c r="B753" s="31" t="inlineStr">
        <is>
          <t>6195</t>
        </is>
      </c>
      <c r="C753" s="35" t="n"/>
      <c r="D753" s="36" t="n">
        <v>56</v>
      </c>
      <c r="E753" s="36" t="n"/>
      <c r="F753" s="37" t="n"/>
      <c r="G753" s="37" t="n">
        <v>30</v>
      </c>
      <c r="H753" s="33">
        <f>H752-G753</f>
        <v/>
      </c>
      <c r="I753" s="36" t="n"/>
      <c r="J753" s="711" t="n"/>
      <c r="K753" s="722">
        <f>G753*D753</f>
        <v/>
      </c>
      <c r="L753" s="710" t="n"/>
      <c r="M753" s="392" t="n"/>
    </row>
    <row r="754" ht="17.25" customHeight="1" s="436">
      <c r="A754" s="30" t="n">
        <v>43446</v>
      </c>
      <c r="B754" s="31" t="inlineStr">
        <is>
          <t>6198</t>
        </is>
      </c>
      <c r="C754" s="35" t="n"/>
      <c r="D754" s="36" t="n">
        <v>52</v>
      </c>
      <c r="E754" s="36" t="n"/>
      <c r="F754" s="37" t="n"/>
      <c r="G754" s="37" t="n">
        <v>50</v>
      </c>
      <c r="H754" s="33">
        <f>H753-G754</f>
        <v/>
      </c>
      <c r="I754" s="36" t="n"/>
      <c r="J754" s="711" t="n"/>
      <c r="K754" s="722">
        <f>G754*D754</f>
        <v/>
      </c>
      <c r="L754" s="710" t="n"/>
      <c r="M754" s="392" t="n"/>
    </row>
    <row r="755" ht="17.25" customHeight="1" s="436">
      <c r="A755" s="30" t="n">
        <v>43446</v>
      </c>
      <c r="B755" s="31" t="inlineStr">
        <is>
          <t>6199</t>
        </is>
      </c>
      <c r="C755" s="35" t="n"/>
      <c r="D755" s="36" t="n">
        <v>50</v>
      </c>
      <c r="E755" s="36" t="n"/>
      <c r="F755" s="37" t="n"/>
      <c r="G755" s="37" t="n">
        <v>20</v>
      </c>
      <c r="H755" s="33">
        <f>H754-G755</f>
        <v/>
      </c>
      <c r="I755" s="36" t="n"/>
      <c r="J755" s="711" t="n"/>
      <c r="K755" s="722">
        <f>G755*D755</f>
        <v/>
      </c>
      <c r="L755" s="710" t="n"/>
      <c r="M755" s="392" t="n"/>
    </row>
    <row r="756" ht="17.25" customHeight="1" s="436">
      <c r="A756" s="92" t="n">
        <v>43447</v>
      </c>
      <c r="B756" s="93" t="inlineStr">
        <is>
          <t>2410</t>
        </is>
      </c>
      <c r="C756" s="96" t="n"/>
      <c r="D756" s="97" t="n">
        <v>44.3</v>
      </c>
      <c r="E756" s="97" t="n"/>
      <c r="F756" s="98" t="n"/>
      <c r="G756" s="98" t="n">
        <v>100</v>
      </c>
      <c r="H756" s="95" t="n">
        <v>2177</v>
      </c>
      <c r="I756" s="36" t="n"/>
      <c r="J756" s="711" t="n"/>
      <c r="K756" s="722">
        <f>G756*D756</f>
        <v/>
      </c>
      <c r="L756" s="710" t="n"/>
      <c r="M756" s="392" t="n"/>
    </row>
    <row r="757" ht="17.25" customHeight="1" s="436">
      <c r="A757" s="92" t="n">
        <v>43447</v>
      </c>
      <c r="B757" s="93" t="inlineStr">
        <is>
          <t>2410</t>
        </is>
      </c>
      <c r="C757" s="96" t="n"/>
      <c r="D757" s="97" t="n">
        <v>39.55</v>
      </c>
      <c r="E757" s="97" t="n"/>
      <c r="F757" s="98" t="n"/>
      <c r="G757" s="98" t="n">
        <v>130</v>
      </c>
      <c r="H757" s="95" t="n">
        <v>2307</v>
      </c>
      <c r="I757" s="36" t="n"/>
      <c r="J757" s="711" t="n"/>
      <c r="K757" s="722">
        <f>G757*D757</f>
        <v/>
      </c>
      <c r="L757" s="710" t="n"/>
      <c r="M757" s="392" t="n"/>
    </row>
    <row r="758" ht="17.25" customHeight="1" s="436">
      <c r="A758" s="30" t="n">
        <v>43447</v>
      </c>
      <c r="B758" s="31" t="inlineStr">
        <is>
          <t>6202</t>
        </is>
      </c>
      <c r="C758" s="35" t="n"/>
      <c r="D758" s="36" t="n">
        <v>46</v>
      </c>
      <c r="E758" s="36" t="n"/>
      <c r="F758" s="37" t="n"/>
      <c r="G758" s="37" t="n">
        <v>20</v>
      </c>
      <c r="H758" s="33">
        <f>H757-G758</f>
        <v/>
      </c>
      <c r="I758" s="36" t="n"/>
      <c r="J758" s="711" t="n"/>
      <c r="K758" s="722">
        <f>G758*D758</f>
        <v/>
      </c>
      <c r="L758" s="710" t="n"/>
      <c r="M758" s="392" t="n"/>
    </row>
    <row r="759" ht="17.25" customHeight="1" s="436">
      <c r="A759" s="30" t="n">
        <v>43449</v>
      </c>
      <c r="B759" s="31" t="inlineStr">
        <is>
          <t>6204</t>
        </is>
      </c>
      <c r="C759" s="35" t="n"/>
      <c r="D759" s="36" t="n">
        <v>50</v>
      </c>
      <c r="E759" s="36" t="n"/>
      <c r="F759" s="37" t="n"/>
      <c r="G759" s="37" t="n">
        <v>50</v>
      </c>
      <c r="H759" s="33">
        <f>H758-G759</f>
        <v/>
      </c>
      <c r="I759" s="36" t="n"/>
      <c r="J759" s="711" t="n"/>
      <c r="K759" s="722">
        <f>G759*D759</f>
        <v/>
      </c>
      <c r="L759" s="710" t="n"/>
      <c r="M759" s="392" t="n"/>
    </row>
    <row r="760" ht="17.25" customHeight="1" s="436">
      <c r="A760" s="30" t="n">
        <v>43450</v>
      </c>
      <c r="B760" s="31" t="inlineStr">
        <is>
          <t>6206</t>
        </is>
      </c>
      <c r="C760" s="35" t="n"/>
      <c r="D760" s="36" t="n">
        <v>50</v>
      </c>
      <c r="E760" s="36" t="n"/>
      <c r="F760" s="37" t="n"/>
      <c r="G760" s="37" t="n">
        <v>15</v>
      </c>
      <c r="H760" s="33">
        <f>H759-G760</f>
        <v/>
      </c>
      <c r="I760" s="36" t="n"/>
      <c r="J760" s="711" t="n"/>
      <c r="K760" s="722">
        <f>G760*D760</f>
        <v/>
      </c>
      <c r="L760" s="710" t="n"/>
      <c r="M760" s="392" t="n"/>
    </row>
    <row r="761" ht="17.25" customHeight="1" s="436">
      <c r="A761" s="30" t="n">
        <v>43450</v>
      </c>
      <c r="B761" s="31" t="inlineStr">
        <is>
          <t>6207</t>
        </is>
      </c>
      <c r="C761" s="35" t="n"/>
      <c r="D761" s="36" t="n">
        <v>56</v>
      </c>
      <c r="E761" s="36" t="n"/>
      <c r="F761" s="37" t="n"/>
      <c r="G761" s="37" t="n">
        <v>25</v>
      </c>
      <c r="H761" s="33">
        <f>H760-G761</f>
        <v/>
      </c>
      <c r="I761" s="36" t="n"/>
      <c r="J761" s="711" t="n"/>
      <c r="K761" s="722">
        <f>G761*D761</f>
        <v/>
      </c>
      <c r="L761" s="710" t="n"/>
      <c r="M761" s="392" t="n"/>
    </row>
    <row r="762" ht="17.25" customHeight="1" s="436">
      <c r="A762" s="30" t="n">
        <v>43450</v>
      </c>
      <c r="B762" s="31" t="inlineStr">
        <is>
          <t>6208</t>
        </is>
      </c>
      <c r="C762" s="35" t="n"/>
      <c r="D762" s="36" t="n">
        <v>52.5</v>
      </c>
      <c r="E762" s="36" t="n"/>
      <c r="F762" s="37" t="n"/>
      <c r="G762" s="37" t="n">
        <v>40</v>
      </c>
      <c r="H762" s="33">
        <f>H761-G762</f>
        <v/>
      </c>
      <c r="I762" s="36" t="n"/>
      <c r="J762" s="711" t="n"/>
      <c r="K762" s="722">
        <f>G762*D762</f>
        <v/>
      </c>
      <c r="L762" s="710" t="n"/>
      <c r="M762" s="392" t="n"/>
    </row>
    <row r="763" ht="17.25" customHeight="1" s="436">
      <c r="A763" s="30" t="n">
        <v>43451</v>
      </c>
      <c r="B763" s="31" t="inlineStr">
        <is>
          <t>6211</t>
        </is>
      </c>
      <c r="C763" s="35" t="n"/>
      <c r="D763" s="36" t="n">
        <v>57.13</v>
      </c>
      <c r="E763" s="36" t="n"/>
      <c r="F763" s="37" t="n"/>
      <c r="G763" s="37" t="n">
        <v>47</v>
      </c>
      <c r="H763" s="33">
        <f>H762-G763</f>
        <v/>
      </c>
      <c r="I763" s="36" t="n"/>
      <c r="J763" s="711" t="n"/>
      <c r="K763" s="722">
        <f>G763*D763</f>
        <v/>
      </c>
      <c r="L763" s="710" t="n"/>
      <c r="M763" s="392" t="n"/>
    </row>
    <row r="764" ht="17.25" customHeight="1" s="436">
      <c r="A764" s="30" t="n">
        <v>43452</v>
      </c>
      <c r="B764" s="31" t="inlineStr">
        <is>
          <t>6214</t>
        </is>
      </c>
      <c r="C764" s="35" t="n"/>
      <c r="D764" s="36" t="n">
        <v>56</v>
      </c>
      <c r="E764" s="36" t="n"/>
      <c r="F764" s="37" t="n"/>
      <c r="G764" s="37" t="n">
        <v>30</v>
      </c>
      <c r="H764" s="33">
        <f>H763-G764</f>
        <v/>
      </c>
      <c r="I764" s="36" t="n"/>
      <c r="J764" s="711" t="n"/>
      <c r="K764" s="722">
        <f>G764*D764</f>
        <v/>
      </c>
      <c r="L764" s="710" t="n"/>
      <c r="M764" s="392" t="n"/>
    </row>
    <row r="765" ht="17.25" customHeight="1" s="436">
      <c r="A765" s="30" t="n">
        <v>43452</v>
      </c>
      <c r="B765" s="31" t="inlineStr">
        <is>
          <t>6215</t>
        </is>
      </c>
      <c r="C765" s="35" t="n"/>
      <c r="D765" s="36" t="n">
        <v>56</v>
      </c>
      <c r="E765" s="36" t="n"/>
      <c r="F765" s="37" t="n"/>
      <c r="G765" s="37" t="n">
        <v>30</v>
      </c>
      <c r="H765" s="33">
        <f>H764-G765</f>
        <v/>
      </c>
      <c r="I765" s="36" t="n"/>
      <c r="J765" s="711" t="n"/>
      <c r="K765" s="722">
        <f>G765*D765</f>
        <v/>
      </c>
      <c r="L765" s="710" t="n"/>
      <c r="M765" s="392" t="n"/>
    </row>
    <row r="766" ht="17.25" customHeight="1" s="436">
      <c r="A766" s="30" t="n">
        <v>43452</v>
      </c>
      <c r="B766" s="31" t="inlineStr">
        <is>
          <t>6216</t>
        </is>
      </c>
      <c r="C766" s="35" t="n"/>
      <c r="D766" s="36" t="n">
        <v>52.5</v>
      </c>
      <c r="E766" s="36" t="n"/>
      <c r="F766" s="37" t="n"/>
      <c r="G766" s="37" t="n">
        <v>10</v>
      </c>
      <c r="H766" s="33">
        <f>H765-G766</f>
        <v/>
      </c>
      <c r="I766" s="36" t="n"/>
      <c r="J766" s="711" t="n"/>
      <c r="K766" s="722">
        <f>G766*D766</f>
        <v/>
      </c>
      <c r="L766" s="710" t="n"/>
      <c r="M766" s="392" t="n"/>
    </row>
    <row r="767" ht="17.25" customHeight="1" s="436">
      <c r="A767" s="30" t="n">
        <v>43452</v>
      </c>
      <c r="B767" s="31" t="inlineStr">
        <is>
          <t>6219</t>
        </is>
      </c>
      <c r="C767" s="35" t="n"/>
      <c r="D767" s="36" t="n">
        <v>57</v>
      </c>
      <c r="E767" s="36" t="n"/>
      <c r="F767" s="37" t="n"/>
      <c r="G767" s="37" t="n">
        <v>20</v>
      </c>
      <c r="H767" s="33">
        <f>H766-G767</f>
        <v/>
      </c>
      <c r="I767" s="36" t="n"/>
      <c r="J767" s="711" t="n"/>
      <c r="K767" s="722">
        <f>G767*D767</f>
        <v/>
      </c>
      <c r="L767" s="710" t="n"/>
      <c r="M767" s="392" t="n"/>
    </row>
    <row r="768" ht="17.25" customHeight="1" s="436">
      <c r="A768" s="30" t="n">
        <v>43452</v>
      </c>
      <c r="B768" s="31" t="inlineStr">
        <is>
          <t>6220</t>
        </is>
      </c>
      <c r="C768" s="35" t="n"/>
      <c r="D768" s="36" t="n">
        <v>52</v>
      </c>
      <c r="E768" s="36" t="n"/>
      <c r="F768" s="37" t="n"/>
      <c r="G768" s="37" t="n">
        <v>20</v>
      </c>
      <c r="H768" s="33">
        <f>H767-G768</f>
        <v/>
      </c>
      <c r="I768" s="36" t="n"/>
      <c r="J768" s="711" t="n"/>
      <c r="K768" s="722">
        <f>G768*D768</f>
        <v/>
      </c>
      <c r="L768" s="710" t="n"/>
      <c r="M768" s="392" t="n"/>
    </row>
    <row r="769" ht="17.25" customHeight="1" s="436">
      <c r="A769" s="30" t="n">
        <v>43453</v>
      </c>
      <c r="B769" s="31" t="inlineStr">
        <is>
          <t>6221</t>
        </is>
      </c>
      <c r="C769" s="35" t="n"/>
      <c r="D769" s="36" t="n">
        <v>53</v>
      </c>
      <c r="E769" s="36" t="n"/>
      <c r="F769" s="37" t="n"/>
      <c r="G769" s="37" t="n">
        <v>21</v>
      </c>
      <c r="H769" s="33">
        <f>H768-G769</f>
        <v/>
      </c>
      <c r="I769" s="36" t="n"/>
      <c r="J769" s="711" t="n"/>
      <c r="K769" s="722">
        <f>G769*D769</f>
        <v/>
      </c>
      <c r="L769" s="710" t="n"/>
      <c r="M769" s="392" t="n"/>
    </row>
    <row r="770" ht="17.25" customHeight="1" s="436">
      <c r="A770" s="92" t="n">
        <v>43454</v>
      </c>
      <c r="B770" s="93" t="inlineStr">
        <is>
          <t>107079</t>
        </is>
      </c>
      <c r="C770" s="96" t="n"/>
      <c r="D770" s="97" t="n">
        <v>39.74</v>
      </c>
      <c r="E770" s="97" t="n"/>
      <c r="F770" s="98" t="n"/>
      <c r="G770" s="98" t="n">
        <v>200</v>
      </c>
      <c r="H770" s="95" t="n">
        <v>2179</v>
      </c>
      <c r="I770" s="36" t="n"/>
      <c r="J770" s="711" t="n"/>
      <c r="K770" s="722">
        <f>G770*D770</f>
        <v/>
      </c>
      <c r="L770" s="710" t="n"/>
      <c r="M770" s="392" t="n"/>
    </row>
    <row r="771" ht="17.25" customHeight="1" s="436">
      <c r="A771" s="30" t="n">
        <v>43454</v>
      </c>
      <c r="B771" s="31" t="inlineStr">
        <is>
          <t>6223</t>
        </is>
      </c>
      <c r="C771" s="35" t="n"/>
      <c r="D771" s="36" t="n">
        <v>58.5</v>
      </c>
      <c r="E771" s="36" t="n"/>
      <c r="F771" s="37" t="n"/>
      <c r="G771" s="37" t="n">
        <v>80</v>
      </c>
      <c r="H771" s="33">
        <f>H770-G771</f>
        <v/>
      </c>
      <c r="I771" s="36" t="n"/>
      <c r="J771" s="711" t="n"/>
      <c r="K771" s="722">
        <f>G771*D771</f>
        <v/>
      </c>
      <c r="L771" s="710" t="n"/>
      <c r="M771" s="392" t="n"/>
    </row>
    <row r="772" ht="17.25" customHeight="1" s="436">
      <c r="A772" s="30" t="n">
        <v>43455</v>
      </c>
      <c r="B772" s="31" t="inlineStr">
        <is>
          <t>6225</t>
        </is>
      </c>
      <c r="C772" s="35" t="n"/>
      <c r="D772" s="36" t="n">
        <v>55.34</v>
      </c>
      <c r="E772" s="36" t="n"/>
      <c r="F772" s="37" t="n"/>
      <c r="G772" s="37" t="n">
        <v>60</v>
      </c>
      <c r="H772" s="33">
        <f>H771-G772</f>
        <v/>
      </c>
      <c r="I772" s="36" t="n"/>
      <c r="J772" s="711" t="n"/>
      <c r="K772" s="722">
        <f>G772*D772</f>
        <v/>
      </c>
      <c r="L772" s="710" t="n"/>
      <c r="M772" s="392" t="n"/>
    </row>
    <row r="773" ht="17.25" customHeight="1" s="436">
      <c r="A773" s="30" t="n">
        <v>43455</v>
      </c>
      <c r="B773" s="31" t="inlineStr">
        <is>
          <t>6226</t>
        </is>
      </c>
      <c r="C773" s="35" t="n"/>
      <c r="D773" s="36" t="n">
        <v>50</v>
      </c>
      <c r="E773" s="36" t="n"/>
      <c r="F773" s="37" t="n"/>
      <c r="G773" s="37" t="n">
        <v>15</v>
      </c>
      <c r="H773" s="33">
        <f>H772-G773</f>
        <v/>
      </c>
      <c r="I773" s="36" t="n"/>
      <c r="J773" s="711" t="n"/>
      <c r="K773" s="722">
        <f>G773*D773</f>
        <v/>
      </c>
      <c r="L773" s="710" t="n"/>
      <c r="M773" s="392" t="n"/>
    </row>
    <row r="774" ht="17.25" customHeight="1" s="436">
      <c r="A774" s="30" t="n">
        <v>43455</v>
      </c>
      <c r="B774" s="31" t="inlineStr">
        <is>
          <t>6228</t>
        </is>
      </c>
      <c r="C774" s="35" t="n"/>
      <c r="D774" s="36" t="n">
        <v>50</v>
      </c>
      <c r="E774" s="36" t="n"/>
      <c r="F774" s="37" t="n"/>
      <c r="G774" s="37" t="n">
        <v>30</v>
      </c>
      <c r="H774" s="33">
        <f>H773-G774</f>
        <v/>
      </c>
      <c r="I774" s="36" t="n"/>
      <c r="J774" s="711" t="n"/>
      <c r="K774" s="722">
        <f>G774*D774</f>
        <v/>
      </c>
      <c r="L774" s="710" t="n"/>
      <c r="M774" s="392" t="n"/>
    </row>
    <row r="775" ht="17.25" customHeight="1" s="436">
      <c r="A775" s="30" t="n">
        <v>43455</v>
      </c>
      <c r="B775" s="31" t="inlineStr">
        <is>
          <t>6229</t>
        </is>
      </c>
      <c r="C775" s="35" t="n"/>
      <c r="D775" s="36" t="n">
        <v>54</v>
      </c>
      <c r="E775" s="36" t="n"/>
      <c r="F775" s="37" t="n"/>
      <c r="G775" s="37" t="n">
        <v>50</v>
      </c>
      <c r="H775" s="33">
        <f>H774-G775</f>
        <v/>
      </c>
      <c r="I775" s="36" t="n"/>
      <c r="J775" s="711" t="n"/>
      <c r="K775" s="722">
        <f>G775*D775</f>
        <v/>
      </c>
      <c r="L775" s="710" t="n"/>
      <c r="M775" s="392" t="n"/>
    </row>
    <row r="776" ht="17.25" customHeight="1" s="436">
      <c r="A776" s="30" t="n">
        <v>43456</v>
      </c>
      <c r="B776" s="31" t="inlineStr">
        <is>
          <t>6231</t>
        </is>
      </c>
      <c r="C776" s="35" t="n"/>
      <c r="D776" s="36" t="n">
        <v>49</v>
      </c>
      <c r="E776" s="36" t="n"/>
      <c r="F776" s="37" t="n"/>
      <c r="G776" s="37" t="n">
        <v>20</v>
      </c>
      <c r="H776" s="33">
        <f>H775-G776</f>
        <v/>
      </c>
      <c r="I776" s="36" t="n"/>
      <c r="J776" s="711" t="n"/>
      <c r="K776" s="722">
        <f>G776*D776</f>
        <v/>
      </c>
      <c r="L776" s="710" t="n"/>
      <c r="M776" s="392" t="n"/>
    </row>
    <row r="777" ht="17.25" customHeight="1" s="436">
      <c r="A777" s="30" t="n">
        <v>43460</v>
      </c>
      <c r="B777" s="31" t="n"/>
      <c r="C777" s="35" t="n"/>
      <c r="D777" s="36" t="n"/>
      <c r="E777" s="36" t="n"/>
      <c r="F777" s="37" t="n"/>
      <c r="G777" s="37" t="n"/>
      <c r="H777" s="33">
        <f>H776-G777</f>
        <v/>
      </c>
      <c r="I777" s="36" t="n"/>
      <c r="J777" s="711" t="n"/>
      <c r="K777" s="722">
        <f>G777*D777</f>
        <v/>
      </c>
      <c r="L777" s="710" t="n"/>
      <c r="M777" s="392" t="n"/>
    </row>
    <row r="778" ht="17.25" customHeight="1" s="436">
      <c r="A778" s="30" t="n">
        <v>43461</v>
      </c>
      <c r="B778" s="31" t="n"/>
      <c r="C778" s="35" t="n"/>
      <c r="D778" s="36" t="n"/>
      <c r="E778" s="36" t="n"/>
      <c r="F778" s="37" t="n"/>
      <c r="G778" s="37" t="n"/>
      <c r="H778" s="33">
        <f>H777-G778</f>
        <v/>
      </c>
      <c r="I778" s="36" t="n"/>
      <c r="J778" s="711" t="n"/>
      <c r="K778" s="722">
        <f>G778*D778</f>
        <v/>
      </c>
      <c r="L778" s="710" t="n"/>
      <c r="M778" s="392" t="n"/>
    </row>
    <row r="779" ht="17.25" customHeight="1" s="436">
      <c r="A779" s="30" t="n">
        <v>43462</v>
      </c>
      <c r="B779" s="31" t="n"/>
      <c r="C779" s="35" t="n"/>
      <c r="D779" s="36" t="n"/>
      <c r="E779" s="36" t="n"/>
      <c r="F779" s="37" t="n"/>
      <c r="G779" s="37" t="n"/>
      <c r="H779" s="33">
        <f>H778-G779</f>
        <v/>
      </c>
      <c r="I779" s="36" t="n"/>
      <c r="J779" s="711" t="n"/>
      <c r="K779" s="722">
        <f>G779*D779</f>
        <v/>
      </c>
      <c r="L779" s="710" t="n"/>
      <c r="M779" s="392" t="n"/>
    </row>
    <row r="780" ht="17.25" customHeight="1" s="436">
      <c r="A780" s="30" t="n">
        <v>43463</v>
      </c>
      <c r="B780" s="31" t="n"/>
      <c r="C780" s="35" t="n"/>
      <c r="D780" s="36" t="n"/>
      <c r="E780" s="36" t="n"/>
      <c r="F780" s="37" t="n"/>
      <c r="G780" s="37" t="n"/>
      <c r="H780" s="33">
        <f>H779-G780</f>
        <v/>
      </c>
      <c r="I780" s="36" t="n"/>
      <c r="J780" s="711" t="n"/>
      <c r="K780" s="722">
        <f>G780*D780</f>
        <v/>
      </c>
      <c r="L780" s="710" t="n"/>
      <c r="M780" s="392" t="n"/>
    </row>
    <row r="781" ht="17.25" customHeight="1" s="436">
      <c r="A781" s="30" t="n">
        <v>43464</v>
      </c>
      <c r="B781" s="31" t="n"/>
      <c r="C781" s="35" t="n"/>
      <c r="D781" s="36" t="n"/>
      <c r="E781" s="36" t="n"/>
      <c r="F781" s="37" t="n"/>
      <c r="G781" s="37" t="n"/>
      <c r="H781" s="33">
        <f>H780-G781</f>
        <v/>
      </c>
      <c r="I781" s="36" t="n"/>
      <c r="J781" s="711" t="n"/>
      <c r="K781" s="722">
        <f>G781*D781</f>
        <v/>
      </c>
      <c r="L781" s="710" t="n"/>
      <c r="M781" s="392" t="n"/>
    </row>
    <row r="782" ht="17.25" customHeight="1" s="436">
      <c r="A782" s="30" t="n">
        <v>43465</v>
      </c>
      <c r="B782" s="31" t="n"/>
      <c r="C782" s="35" t="n"/>
      <c r="D782" s="36" t="n"/>
      <c r="E782" s="36" t="n"/>
      <c r="F782" s="37" t="n"/>
      <c r="G782" s="37" t="n"/>
      <c r="H782" s="33">
        <f>H781-G782</f>
        <v/>
      </c>
      <c r="I782" s="36" t="n"/>
      <c r="J782" s="711" t="n"/>
      <c r="K782" s="722">
        <f>G782*D782</f>
        <v/>
      </c>
      <c r="L782" s="710" t="n"/>
      <c r="M782" s="392" t="n"/>
    </row>
    <row r="783" ht="17.25" customHeight="1" s="436">
      <c r="A783" s="30" t="n">
        <v>43466</v>
      </c>
      <c r="B783" s="31" t="n"/>
      <c r="C783" s="35" t="n"/>
      <c r="D783" s="36" t="n"/>
      <c r="E783" s="36" t="n"/>
      <c r="F783" s="37" t="n"/>
      <c r="G783" s="37" t="n"/>
      <c r="H783" s="33">
        <f>H782-G783</f>
        <v/>
      </c>
      <c r="I783" s="36" t="n"/>
      <c r="J783" s="711" t="n"/>
      <c r="K783" s="722">
        <f>G783*D783</f>
        <v/>
      </c>
      <c r="L783" s="710" t="n"/>
      <c r="M783" s="392" t="n"/>
    </row>
    <row r="784" ht="17.25" customHeight="1" s="436">
      <c r="A784" s="30" t="n">
        <v>43467</v>
      </c>
      <c r="B784" s="31" t="n"/>
      <c r="C784" s="35" t="n"/>
      <c r="D784" s="36" t="n"/>
      <c r="E784" s="36" t="n"/>
      <c r="F784" s="37" t="n"/>
      <c r="G784" s="37" t="n"/>
      <c r="H784" s="33">
        <f>H783-G784</f>
        <v/>
      </c>
      <c r="I784" s="36" t="n"/>
      <c r="J784" s="711" t="n"/>
      <c r="K784" s="722">
        <f>G784*D784</f>
        <v/>
      </c>
      <c r="L784" s="710" t="n"/>
      <c r="M784" s="392" t="n"/>
    </row>
    <row r="785"/>
    <row r="786"/>
    <row r="787"/>
    <row r="788"/>
    <row r="789" ht="15.75" customHeight="1" s="436" thickBot="1"/>
    <row r="790" ht="27" customHeight="1" s="436" thickBot="1">
      <c r="A790" s="720" t="inlineStr">
        <is>
          <t xml:space="preserve"> FARINHA DE TRIGO TIPO: 1 - 25 KG</t>
        </is>
      </c>
      <c r="B790" s="697" t="n"/>
      <c r="C790" s="697" t="n"/>
      <c r="D790" s="697" t="n"/>
      <c r="E790" s="697" t="n"/>
      <c r="F790" s="697" t="n"/>
      <c r="G790" s="697" t="n"/>
      <c r="H790" s="697" t="n"/>
      <c r="I790" s="697" t="n"/>
      <c r="J790" s="697" t="n"/>
      <c r="K790" s="697" t="n"/>
      <c r="L790" s="697" t="n"/>
      <c r="M790" s="698" t="n"/>
    </row>
    <row r="791">
      <c r="A791" s="643" t="inlineStr">
        <is>
          <t>DATA</t>
        </is>
      </c>
      <c r="B791" s="633" t="inlineStr">
        <is>
          <t>N.F.</t>
        </is>
      </c>
      <c r="C791" s="633" t="inlineStr">
        <is>
          <t>TIPO</t>
        </is>
      </c>
      <c r="D791" s="633" t="inlineStr">
        <is>
          <t>PREÇO UNITÁRIO</t>
        </is>
      </c>
      <c r="E791" s="701" t="n"/>
      <c r="F791" s="633" t="inlineStr">
        <is>
          <t>QUANTIDADE / KG</t>
        </is>
      </c>
      <c r="H791" s="701" t="n"/>
      <c r="I791" s="632" t="inlineStr">
        <is>
          <t>PREÇO</t>
        </is>
      </c>
      <c r="J791" s="632" t="inlineStr">
        <is>
          <t>VALORES</t>
        </is>
      </c>
      <c r="L791" s="701" t="n"/>
      <c r="M791" s="649" t="n"/>
    </row>
    <row r="792" ht="15.75" customHeight="1" s="436" thickBot="1">
      <c r="A792" s="703" t="n"/>
      <c r="B792" s="704" t="n"/>
      <c r="C792" s="704" t="n"/>
      <c r="D792" s="703" t="n"/>
      <c r="E792" s="701" t="n"/>
      <c r="F792" s="705" t="n"/>
      <c r="G792" s="706" t="n"/>
      <c r="H792" s="707" t="n"/>
      <c r="I792" s="704" t="n"/>
      <c r="J792" s="703" t="n"/>
      <c r="L792" s="701" t="n"/>
      <c r="M792" s="704" t="n"/>
    </row>
    <row r="793" ht="15.75" customHeight="1" s="436" thickBot="1">
      <c r="A793" s="703" t="n"/>
      <c r="B793" s="704" t="n"/>
      <c r="C793" s="704" t="n"/>
      <c r="D793" s="705" t="n"/>
      <c r="E793" s="707" t="n"/>
      <c r="F793" s="3" t="inlineStr">
        <is>
          <t>ENTRADA</t>
        </is>
      </c>
      <c r="G793" s="3" t="inlineStr">
        <is>
          <t>SAÍDA</t>
        </is>
      </c>
      <c r="H793" s="640" t="n"/>
      <c r="I793" s="633" t="inlineStr">
        <is>
          <t>MÉDIO</t>
        </is>
      </c>
      <c r="J793" s="652" t="inlineStr">
        <is>
          <t>SALDO EM 30/11/2017</t>
        </is>
      </c>
      <c r="K793" s="706" t="n"/>
      <c r="L793" s="17" t="n"/>
      <c r="M793" s="704" t="n"/>
    </row>
    <row r="794" ht="18" customHeight="1" s="436" thickBot="1">
      <c r="A794" s="705" t="n"/>
      <c r="B794" s="695" t="n"/>
      <c r="C794" s="695" t="n"/>
      <c r="D794" s="3" t="inlineStr">
        <is>
          <t>C/ICMS</t>
        </is>
      </c>
      <c r="E794" s="3" t="inlineStr">
        <is>
          <t>S/ICMS</t>
        </is>
      </c>
      <c r="F794" s="695" t="n"/>
      <c r="G794" s="695" t="n"/>
      <c r="H794" s="84" t="inlineStr">
        <is>
          <t>SALDO EM 31/12/2018</t>
        </is>
      </c>
      <c r="I794" s="695" t="n"/>
      <c r="J794" s="645" t="inlineStr">
        <is>
          <t>ENTRADA</t>
        </is>
      </c>
      <c r="K794" s="633" t="inlineStr">
        <is>
          <t>SAÍDA / CMV</t>
        </is>
      </c>
      <c r="L794" s="643" t="inlineStr">
        <is>
          <t>SALDO</t>
        </is>
      </c>
      <c r="M794" s="392" t="n"/>
    </row>
    <row r="795" ht="17.25" customHeight="1" s="436">
      <c r="A795" s="30" t="n"/>
      <c r="B795" s="31" t="n"/>
      <c r="C795" s="35" t="n"/>
      <c r="D795" s="36" t="n"/>
      <c r="E795" s="36" t="n"/>
      <c r="F795" s="37" t="n"/>
      <c r="G795" s="37" t="n">
        <v>0</v>
      </c>
      <c r="H795" s="37" t="n"/>
      <c r="I795" s="36" t="n"/>
      <c r="J795" s="711">
        <f>F795*I795</f>
        <v/>
      </c>
      <c r="K795" s="721" t="n">
        <v>0</v>
      </c>
      <c r="L795" s="710">
        <f>J795-K795</f>
        <v/>
      </c>
      <c r="M795" s="392" t="n"/>
    </row>
    <row r="796" ht="17.25" customHeight="1" s="436">
      <c r="A796" s="92" t="n">
        <v>43466</v>
      </c>
      <c r="B796" s="93" t="n"/>
      <c r="C796" s="93" t="n"/>
      <c r="D796" s="94" t="n"/>
      <c r="E796" s="94" t="n"/>
      <c r="F796" s="95" t="n"/>
      <c r="G796" s="95" t="n"/>
      <c r="H796" s="95" t="n">
        <v>1924</v>
      </c>
      <c r="I796" s="32" t="n"/>
      <c r="J796" s="711" t="n"/>
      <c r="K796" s="722" t="n"/>
      <c r="L796" s="710" t="n"/>
      <c r="M796" s="392" t="n"/>
    </row>
    <row r="797" ht="17.25" customHeight="1" s="436">
      <c r="A797" s="89" t="n">
        <v>43467</v>
      </c>
      <c r="B797" s="31" t="inlineStr">
        <is>
          <t>6232</t>
        </is>
      </c>
      <c r="C797" s="31" t="n"/>
      <c r="D797" s="32" t="n">
        <v>50</v>
      </c>
      <c r="E797" s="32" t="n"/>
      <c r="F797" s="33" t="n"/>
      <c r="G797" s="33" t="n">
        <v>10</v>
      </c>
      <c r="H797" s="33">
        <f>H796-G797</f>
        <v/>
      </c>
      <c r="I797" s="32" t="n"/>
      <c r="J797" s="711" t="n"/>
      <c r="K797" s="722" t="n"/>
      <c r="L797" s="710" t="n"/>
      <c r="M797" s="392" t="n"/>
    </row>
    <row r="798" ht="17.25" customHeight="1" s="436">
      <c r="A798" s="30" t="n">
        <v>43467</v>
      </c>
      <c r="B798" s="31" t="inlineStr">
        <is>
          <t>6233</t>
        </is>
      </c>
      <c r="C798" s="35" t="n"/>
      <c r="D798" s="36" t="n">
        <v>50</v>
      </c>
      <c r="E798" s="36" t="n"/>
      <c r="F798" s="37" t="n"/>
      <c r="G798" s="37" t="n">
        <v>20</v>
      </c>
      <c r="H798" s="33">
        <f>H797-G798</f>
        <v/>
      </c>
      <c r="I798" s="36" t="n"/>
      <c r="J798" s="711" t="n"/>
      <c r="K798" s="722">
        <f>G798*D798</f>
        <v/>
      </c>
      <c r="L798" s="710" t="n"/>
      <c r="M798" s="392" t="n"/>
    </row>
    <row r="799" ht="17.25" customHeight="1" s="436">
      <c r="A799" s="30" t="n">
        <v>43467</v>
      </c>
      <c r="B799" s="31" t="inlineStr">
        <is>
          <t>6234</t>
        </is>
      </c>
      <c r="C799" s="35" t="n"/>
      <c r="D799" s="36" t="n">
        <v>46</v>
      </c>
      <c r="E799" s="36" t="n"/>
      <c r="F799" s="37" t="n"/>
      <c r="G799" s="101" t="n">
        <v>100</v>
      </c>
      <c r="H799" s="33">
        <f>H798-G799</f>
        <v/>
      </c>
      <c r="I799" s="36" t="n"/>
      <c r="J799" s="711" t="n"/>
      <c r="K799" s="722">
        <f>G799*D799</f>
        <v/>
      </c>
      <c r="L799" s="710" t="n"/>
      <c r="M799" s="392" t="n"/>
    </row>
    <row r="800" ht="17.25" customHeight="1" s="436">
      <c r="A800" s="30" t="n">
        <v>43467</v>
      </c>
      <c r="B800" s="31" t="inlineStr">
        <is>
          <t>6235</t>
        </is>
      </c>
      <c r="C800" s="35" t="n"/>
      <c r="D800" s="36" t="n">
        <v>58</v>
      </c>
      <c r="E800" s="36" t="n"/>
      <c r="F800" s="37" t="n"/>
      <c r="G800" s="37" t="n">
        <v>60</v>
      </c>
      <c r="H800" s="33">
        <f>H799-G800</f>
        <v/>
      </c>
      <c r="I800" s="36" t="n"/>
      <c r="J800" s="711" t="n"/>
      <c r="K800" s="722">
        <f>G800*D800</f>
        <v/>
      </c>
      <c r="L800" s="710" t="n"/>
      <c r="M800" s="392" t="n"/>
    </row>
    <row r="801">
      <c r="A801" s="30" t="n">
        <v>43467</v>
      </c>
      <c r="B801" s="31" t="inlineStr">
        <is>
          <t>6236</t>
        </is>
      </c>
      <c r="C801" s="35" t="n"/>
      <c r="D801" s="36" t="n">
        <v>57.6</v>
      </c>
      <c r="E801" s="36" t="n"/>
      <c r="F801" s="37" t="n"/>
      <c r="G801" s="37" t="n">
        <v>25</v>
      </c>
      <c r="H801" s="33">
        <f>H800-G801</f>
        <v/>
      </c>
      <c r="I801" s="36" t="n"/>
      <c r="J801" s="711" t="n"/>
      <c r="K801" s="709">
        <f>G801*D801</f>
        <v/>
      </c>
      <c r="L801" s="710" t="n"/>
      <c r="M801" s="392" t="n"/>
    </row>
    <row r="802" ht="17.25" customHeight="1" s="436">
      <c r="A802" s="30" t="n">
        <v>43468</v>
      </c>
      <c r="B802" s="31" t="inlineStr">
        <is>
          <t>6238</t>
        </is>
      </c>
      <c r="C802" s="35" t="n"/>
      <c r="D802" s="36" t="n">
        <v>52.5</v>
      </c>
      <c r="E802" s="36" t="n"/>
      <c r="F802" s="37" t="n"/>
      <c r="G802" s="37" t="n">
        <v>40</v>
      </c>
      <c r="H802" s="33">
        <f>H801-G802</f>
        <v/>
      </c>
      <c r="I802" s="36" t="n"/>
      <c r="J802" s="711" t="n"/>
      <c r="K802" s="722">
        <f>G802*D802</f>
        <v/>
      </c>
      <c r="L802" s="710" t="n"/>
      <c r="M802" s="392" t="n"/>
    </row>
    <row r="803" ht="17.25" customHeight="1" s="436">
      <c r="A803" s="30" t="n">
        <v>43468</v>
      </c>
      <c r="B803" s="31" t="inlineStr">
        <is>
          <t>6242</t>
        </is>
      </c>
      <c r="C803" s="35" t="n"/>
      <c r="D803" s="36" t="n">
        <v>57.5</v>
      </c>
      <c r="E803" s="36" t="n"/>
      <c r="F803" s="37" t="n"/>
      <c r="G803" s="37" t="n">
        <v>40</v>
      </c>
      <c r="H803" s="33">
        <f>H802-G803</f>
        <v/>
      </c>
      <c r="I803" s="36" t="n"/>
      <c r="J803" s="711" t="n"/>
      <c r="K803" s="722">
        <f>G803*D803</f>
        <v/>
      </c>
      <c r="L803" s="710" t="n"/>
      <c r="M803" s="392" t="n"/>
    </row>
    <row r="804" ht="17.25" customHeight="1" s="436">
      <c r="A804" s="30" t="n">
        <v>43468</v>
      </c>
      <c r="B804" s="31" t="inlineStr">
        <is>
          <t>6244</t>
        </is>
      </c>
      <c r="C804" s="35" t="n"/>
      <c r="D804" s="36" t="n">
        <v>56</v>
      </c>
      <c r="E804" s="36" t="n"/>
      <c r="F804" s="37" t="n"/>
      <c r="G804" s="37" t="n">
        <v>50</v>
      </c>
      <c r="H804" s="33">
        <f>H803-G804</f>
        <v/>
      </c>
      <c r="I804" s="36" t="n"/>
      <c r="J804" s="711" t="n"/>
      <c r="K804" s="722">
        <f>G804*D804</f>
        <v/>
      </c>
      <c r="L804" s="710" t="n"/>
      <c r="M804" s="392" t="n"/>
    </row>
    <row r="805" ht="17.25" customHeight="1" s="436">
      <c r="A805" s="187" t="n">
        <v>43472</v>
      </c>
      <c r="B805" s="188" t="inlineStr">
        <is>
          <t>35438</t>
        </is>
      </c>
      <c r="C805" s="189" t="n"/>
      <c r="D805" s="190" t="n">
        <v>41.5</v>
      </c>
      <c r="E805" s="190" t="n"/>
      <c r="F805" s="191" t="n">
        <v>461</v>
      </c>
      <c r="G805" s="191" t="n"/>
      <c r="H805" s="192" t="n">
        <v>2040</v>
      </c>
      <c r="I805" s="36" t="n"/>
      <c r="J805" s="711" t="n"/>
      <c r="K805" s="722" t="n"/>
      <c r="L805" s="710" t="n"/>
      <c r="M805" s="392" t="n"/>
    </row>
    <row r="806" ht="17.25" customHeight="1" s="436">
      <c r="A806" s="30" t="n">
        <v>43468</v>
      </c>
      <c r="B806" s="31" t="inlineStr">
        <is>
          <t>6245</t>
        </is>
      </c>
      <c r="C806" s="35" t="n"/>
      <c r="D806" s="36" t="n">
        <v>49</v>
      </c>
      <c r="E806" s="36" t="n"/>
      <c r="F806" s="37" t="n"/>
      <c r="G806" s="37" t="n">
        <v>50</v>
      </c>
      <c r="H806" s="33">
        <f>H805-G806</f>
        <v/>
      </c>
      <c r="I806" s="36" t="n"/>
      <c r="J806" s="711" t="n"/>
      <c r="K806" s="722">
        <f>G806*D806</f>
        <v/>
      </c>
      <c r="L806" s="710" t="n"/>
      <c r="M806" s="392" t="n"/>
    </row>
    <row r="807" ht="17.25" customHeight="1" s="436">
      <c r="A807" s="92" t="n">
        <v>43472</v>
      </c>
      <c r="B807" s="93" t="inlineStr">
        <is>
          <t>35442</t>
        </is>
      </c>
      <c r="C807" s="96" t="n"/>
      <c r="D807" s="97" t="n">
        <v>41.5</v>
      </c>
      <c r="E807" s="97" t="n"/>
      <c r="F807" s="98" t="n">
        <v>560</v>
      </c>
      <c r="G807" s="98" t="n"/>
      <c r="H807" s="95" t="n">
        <v>2550</v>
      </c>
      <c r="I807" s="36" t="n"/>
      <c r="J807" s="711" t="n"/>
      <c r="K807" s="722" t="n"/>
      <c r="L807" s="710" t="n"/>
      <c r="M807" s="392" t="n"/>
    </row>
    <row r="808" ht="17.25" customHeight="1" s="436">
      <c r="A808" s="30" t="n">
        <v>43473</v>
      </c>
      <c r="B808" s="31" t="inlineStr">
        <is>
          <t>6247</t>
        </is>
      </c>
      <c r="C808" s="35" t="n"/>
      <c r="D808" s="36" t="n">
        <v>57.5</v>
      </c>
      <c r="E808" s="36" t="n"/>
      <c r="F808" s="37" t="n"/>
      <c r="G808" s="37" t="n">
        <v>20</v>
      </c>
      <c r="H808" s="33">
        <f>H807-G808</f>
        <v/>
      </c>
      <c r="I808" s="36" t="n"/>
      <c r="J808" s="711" t="n"/>
      <c r="K808" s="722">
        <f>G808*D808</f>
        <v/>
      </c>
      <c r="L808" s="710" t="n"/>
      <c r="M808" s="392" t="n"/>
    </row>
    <row r="809" ht="17.25" customHeight="1" s="436">
      <c r="A809" s="30" t="n">
        <v>43473</v>
      </c>
      <c r="B809" s="31" t="inlineStr">
        <is>
          <t>6248</t>
        </is>
      </c>
      <c r="C809" s="35" t="n"/>
      <c r="D809" s="36" t="n">
        <v>60</v>
      </c>
      <c r="E809" s="36" t="n"/>
      <c r="F809" s="37" t="n"/>
      <c r="G809" s="37" t="n">
        <v>20</v>
      </c>
      <c r="H809" s="33">
        <f>H808-G809</f>
        <v/>
      </c>
      <c r="I809" s="36" t="n"/>
      <c r="J809" s="711" t="n"/>
      <c r="K809" s="722">
        <f>G809*D809</f>
        <v/>
      </c>
      <c r="L809" s="710" t="n"/>
      <c r="M809" s="392" t="n"/>
    </row>
    <row r="810" ht="17.25" customHeight="1" s="436">
      <c r="A810" s="30" t="n">
        <v>43473</v>
      </c>
      <c r="B810" s="31" t="inlineStr">
        <is>
          <t>6251</t>
        </is>
      </c>
      <c r="C810" s="35" t="n"/>
      <c r="D810" s="36" t="n">
        <v>52</v>
      </c>
      <c r="E810" s="36" t="n"/>
      <c r="F810" s="37" t="n"/>
      <c r="G810" s="37" t="n">
        <v>15</v>
      </c>
      <c r="H810" s="33">
        <f>H809-G810</f>
        <v/>
      </c>
      <c r="I810" s="36" t="n"/>
      <c r="J810" s="711" t="n"/>
      <c r="K810" s="722">
        <f>G810*D810</f>
        <v/>
      </c>
      <c r="L810" s="710" t="n"/>
      <c r="M810" s="392" t="n"/>
    </row>
    <row r="811" ht="17.25" customHeight="1" s="436">
      <c r="A811" s="30" t="n">
        <v>43473</v>
      </c>
      <c r="B811" s="31" t="inlineStr">
        <is>
          <t>6252</t>
        </is>
      </c>
      <c r="C811" s="35" t="n"/>
      <c r="D811" s="36" t="n">
        <v>60</v>
      </c>
      <c r="E811" s="36" t="n"/>
      <c r="F811" s="37" t="n"/>
      <c r="G811" s="37" t="n">
        <v>20</v>
      </c>
      <c r="H811" s="33">
        <f>H810-G811</f>
        <v/>
      </c>
      <c r="I811" s="36" t="n"/>
      <c r="J811" s="711" t="n"/>
      <c r="K811" s="722">
        <f>G811*D811</f>
        <v/>
      </c>
      <c r="L811" s="710" t="n"/>
      <c r="M811" s="392" t="n"/>
    </row>
    <row r="812" ht="17.25" customHeight="1" s="436">
      <c r="A812" s="30" t="n">
        <v>43473</v>
      </c>
      <c r="B812" s="31" t="inlineStr">
        <is>
          <t>6253</t>
        </is>
      </c>
      <c r="C812" s="35" t="n"/>
      <c r="D812" s="36" t="n">
        <v>57.6</v>
      </c>
      <c r="E812" s="36" t="n"/>
      <c r="F812" s="37" t="n"/>
      <c r="G812" s="37" t="n">
        <v>25</v>
      </c>
      <c r="H812" s="33">
        <f>H811-G812</f>
        <v/>
      </c>
      <c r="I812" s="36" t="n"/>
      <c r="J812" s="711" t="n"/>
      <c r="K812" s="722">
        <f>G812*D812</f>
        <v/>
      </c>
      <c r="L812" s="710" t="n"/>
      <c r="M812" s="392" t="n"/>
    </row>
    <row r="813" ht="17.25" customHeight="1" s="436">
      <c r="A813" s="30" t="n">
        <v>43473</v>
      </c>
      <c r="B813" s="31" t="inlineStr">
        <is>
          <t>6254</t>
        </is>
      </c>
      <c r="C813" s="35" t="n"/>
      <c r="D813" s="36" t="n">
        <v>50</v>
      </c>
      <c r="E813" s="36" t="n"/>
      <c r="F813" s="37" t="n"/>
      <c r="G813" s="37" t="n">
        <v>10</v>
      </c>
      <c r="H813" s="33">
        <f>H812-G813</f>
        <v/>
      </c>
      <c r="I813" s="36" t="n"/>
      <c r="J813" s="711" t="n"/>
      <c r="K813" s="722">
        <f>G813*D813</f>
        <v/>
      </c>
      <c r="L813" s="710" t="n"/>
      <c r="M813" s="392" t="n"/>
    </row>
    <row r="814" ht="17.25" customHeight="1" s="436">
      <c r="A814" s="30" t="n">
        <v>43473</v>
      </c>
      <c r="B814" s="31" t="inlineStr">
        <is>
          <t>6255</t>
        </is>
      </c>
      <c r="C814" s="35" t="n"/>
      <c r="D814" s="36" t="n">
        <v>46</v>
      </c>
      <c r="E814" s="36" t="n"/>
      <c r="F814" s="37" t="n"/>
      <c r="G814" s="37" t="n">
        <v>60</v>
      </c>
      <c r="H814" s="33">
        <f>H813-G814</f>
        <v/>
      </c>
      <c r="I814" s="36" t="n"/>
      <c r="J814" s="711" t="n"/>
      <c r="K814" s="722">
        <f>G814*D814</f>
        <v/>
      </c>
      <c r="L814" s="710" t="n"/>
      <c r="M814" s="392" t="n"/>
    </row>
    <row r="815" ht="17.25" customHeight="1" s="436">
      <c r="A815" s="30" t="n">
        <v>43474</v>
      </c>
      <c r="B815" s="31" t="inlineStr">
        <is>
          <t>6256</t>
        </is>
      </c>
      <c r="C815" s="35" t="n"/>
      <c r="D815" s="36" t="n">
        <v>55</v>
      </c>
      <c r="E815" s="36" t="n"/>
      <c r="F815" s="37" t="n"/>
      <c r="G815" s="37" t="n">
        <v>50</v>
      </c>
      <c r="H815" s="33">
        <f>H814-G815</f>
        <v/>
      </c>
      <c r="I815" s="36" t="n"/>
      <c r="J815" s="711" t="n"/>
      <c r="K815" s="722">
        <f>G815*D815</f>
        <v/>
      </c>
      <c r="L815" s="710" t="n"/>
      <c r="M815" s="392" t="n"/>
    </row>
    <row r="816" ht="17.25" customHeight="1" s="436">
      <c r="A816" s="30" t="n">
        <v>43475</v>
      </c>
      <c r="B816" s="31" t="inlineStr">
        <is>
          <t>6258</t>
        </is>
      </c>
      <c r="C816" s="35" t="n"/>
      <c r="D816" s="36" t="n">
        <v>49</v>
      </c>
      <c r="E816" s="36" t="n"/>
      <c r="F816" s="37" t="n"/>
      <c r="G816" s="37" t="n">
        <v>50</v>
      </c>
      <c r="H816" s="33">
        <f>H815-G816</f>
        <v/>
      </c>
      <c r="I816" s="36" t="n"/>
      <c r="J816" s="711" t="n"/>
      <c r="K816" s="722">
        <f>G816*D816</f>
        <v/>
      </c>
      <c r="L816" s="710" t="n"/>
      <c r="M816" s="392" t="n"/>
    </row>
    <row r="817" ht="17.25" customHeight="1" s="436">
      <c r="A817" s="92" t="n">
        <v>43476</v>
      </c>
      <c r="B817" s="93" t="inlineStr">
        <is>
          <t>108170</t>
        </is>
      </c>
      <c r="C817" s="96" t="n"/>
      <c r="D817" s="97" t="n">
        <v>41.32</v>
      </c>
      <c r="E817" s="97" t="n"/>
      <c r="F817" s="98" t="n">
        <v>900</v>
      </c>
      <c r="G817" s="98" t="n"/>
      <c r="H817" s="95" t="n">
        <v>3180</v>
      </c>
      <c r="I817" s="36" t="n"/>
      <c r="J817" s="711" t="n"/>
      <c r="K817" s="722" t="n"/>
      <c r="L817" s="710" t="n"/>
      <c r="M817" s="392" t="n"/>
    </row>
    <row r="818" ht="17.25" customHeight="1" s="436">
      <c r="A818" s="30" t="n">
        <v>43478</v>
      </c>
      <c r="B818" s="31" t="inlineStr">
        <is>
          <t>6259</t>
        </is>
      </c>
      <c r="C818" s="35" t="n"/>
      <c r="D818" s="36" t="n">
        <v>55</v>
      </c>
      <c r="E818" s="36" t="n"/>
      <c r="F818" s="37" t="n"/>
      <c r="G818" s="37" t="n">
        <v>50</v>
      </c>
      <c r="H818" s="33">
        <f>H817-G818</f>
        <v/>
      </c>
      <c r="I818" s="36" t="n"/>
      <c r="J818" s="711" t="n"/>
      <c r="K818" s="722">
        <f>G818*D818</f>
        <v/>
      </c>
      <c r="L818" s="710" t="n"/>
      <c r="M818" s="392" t="n"/>
    </row>
    <row r="819" ht="17.25" customHeight="1" s="436">
      <c r="A819" s="30" t="n">
        <v>43479</v>
      </c>
      <c r="B819" s="31" t="inlineStr">
        <is>
          <t>6260</t>
        </is>
      </c>
      <c r="C819" s="35" t="n"/>
      <c r="D819" s="36" t="n">
        <v>46</v>
      </c>
      <c r="E819" s="36" t="n"/>
      <c r="F819" s="37" t="n"/>
      <c r="G819" s="37" t="n">
        <v>50</v>
      </c>
      <c r="H819" s="33">
        <f>H818-G819</f>
        <v/>
      </c>
      <c r="I819" s="36" t="n"/>
      <c r="J819" s="711" t="n"/>
      <c r="K819" s="722">
        <f>G819*D819</f>
        <v/>
      </c>
      <c r="L819" s="710" t="n"/>
      <c r="M819" s="392" t="n"/>
    </row>
    <row r="820" ht="17.25" customHeight="1" s="436">
      <c r="A820" s="30" t="n">
        <v>43479</v>
      </c>
      <c r="B820" s="31" t="inlineStr">
        <is>
          <t>6261</t>
        </is>
      </c>
      <c r="C820" s="35" t="n"/>
      <c r="D820" s="36" t="n">
        <v>56</v>
      </c>
      <c r="E820" s="36" t="n"/>
      <c r="F820" s="37" t="n"/>
      <c r="G820" s="37" t="n">
        <v>25</v>
      </c>
      <c r="H820" s="33">
        <f>H819-G820</f>
        <v/>
      </c>
      <c r="I820" s="36" t="n"/>
      <c r="J820" s="711" t="n"/>
      <c r="K820" s="722">
        <f>G820*D820</f>
        <v/>
      </c>
      <c r="L820" s="710" t="n"/>
      <c r="M820" s="392" t="n"/>
    </row>
    <row r="821" ht="17.25" customHeight="1" s="436">
      <c r="A821" s="30" t="n">
        <v>43479</v>
      </c>
      <c r="B821" s="31" t="inlineStr">
        <is>
          <t>6262</t>
        </is>
      </c>
      <c r="C821" s="35" t="n"/>
      <c r="D821" s="36" t="n">
        <v>57</v>
      </c>
      <c r="E821" s="36" t="n"/>
      <c r="F821" s="37" t="n"/>
      <c r="G821" s="37" t="n">
        <v>30</v>
      </c>
      <c r="H821" s="33">
        <f>H820-G821</f>
        <v/>
      </c>
      <c r="I821" s="36" t="n"/>
      <c r="J821" s="711" t="n"/>
      <c r="K821" s="722">
        <f>G821*D821</f>
        <v/>
      </c>
      <c r="L821" s="710" t="n"/>
      <c r="M821" s="392" t="n"/>
    </row>
    <row r="822" ht="17.25" customHeight="1" s="436">
      <c r="A822" s="30" t="n">
        <v>43479</v>
      </c>
      <c r="B822" s="31" t="inlineStr">
        <is>
          <t>6263</t>
        </is>
      </c>
      <c r="C822" s="35" t="n"/>
      <c r="D822" s="36" t="n">
        <v>54</v>
      </c>
      <c r="E822" s="36" t="n"/>
      <c r="F822" s="37" t="n"/>
      <c r="G822" s="37" t="n">
        <v>20</v>
      </c>
      <c r="H822" s="33">
        <f>H821-G822</f>
        <v/>
      </c>
      <c r="I822" s="36" t="n"/>
      <c r="J822" s="711" t="n"/>
      <c r="K822" s="722">
        <f>G822*D822</f>
        <v/>
      </c>
      <c r="L822" s="710" t="n"/>
      <c r="M822" s="392" t="n"/>
    </row>
    <row r="823" ht="17.25" customHeight="1" s="436">
      <c r="A823" s="30" t="n">
        <v>43479</v>
      </c>
      <c r="B823" s="31" t="inlineStr">
        <is>
          <t>6264</t>
        </is>
      </c>
      <c r="C823" s="35" t="n"/>
      <c r="D823" s="36" t="n">
        <v>57</v>
      </c>
      <c r="E823" s="36" t="n"/>
      <c r="F823" s="37" t="n"/>
      <c r="G823" s="37" t="n">
        <v>30</v>
      </c>
      <c r="H823" s="33">
        <f>H822-G823</f>
        <v/>
      </c>
      <c r="I823" s="36" t="n"/>
      <c r="J823" s="711" t="n"/>
      <c r="K823" s="722">
        <f>G823*D823</f>
        <v/>
      </c>
      <c r="L823" s="710" t="n"/>
      <c r="M823" s="392" t="n"/>
    </row>
    <row r="824" ht="17.25" customHeight="1" s="436">
      <c r="A824" s="30" t="n">
        <v>43481</v>
      </c>
      <c r="B824" s="31" t="inlineStr">
        <is>
          <t>6269</t>
        </is>
      </c>
      <c r="C824" s="35" t="n"/>
      <c r="D824" s="36" t="n">
        <v>57.5</v>
      </c>
      <c r="E824" s="36" t="n"/>
      <c r="F824" s="37" t="n"/>
      <c r="G824" s="37" t="n">
        <v>40</v>
      </c>
      <c r="H824" s="33">
        <f>H823-G824</f>
        <v/>
      </c>
      <c r="I824" s="36" t="n"/>
      <c r="J824" s="711" t="n"/>
      <c r="K824" s="722">
        <f>G824*D824</f>
        <v/>
      </c>
      <c r="L824" s="710" t="n"/>
      <c r="M824" s="392" t="n"/>
    </row>
    <row r="825" ht="17.25" customHeight="1" s="436">
      <c r="A825" s="30" t="n">
        <v>43481</v>
      </c>
      <c r="B825" s="31" t="inlineStr">
        <is>
          <t>6267</t>
        </is>
      </c>
      <c r="C825" s="35" t="n"/>
      <c r="D825" s="36" t="n">
        <v>51</v>
      </c>
      <c r="E825" s="36" t="n"/>
      <c r="F825" s="37" t="n"/>
      <c r="G825" s="37" t="n">
        <v>20</v>
      </c>
      <c r="H825" s="33">
        <f>H824-G825</f>
        <v/>
      </c>
      <c r="I825" s="36" t="n"/>
      <c r="J825" s="711" t="n"/>
      <c r="K825" s="722">
        <f>G825*D825</f>
        <v/>
      </c>
      <c r="L825" s="710" t="n"/>
      <c r="M825" s="392" t="n"/>
    </row>
    <row r="826" ht="17.25" customHeight="1" s="436">
      <c r="A826" s="30" t="n">
        <v>43481</v>
      </c>
      <c r="B826" s="31" t="inlineStr">
        <is>
          <t>6271</t>
        </is>
      </c>
      <c r="C826" s="35" t="n"/>
      <c r="D826" s="36" t="n">
        <v>52.5</v>
      </c>
      <c r="E826" s="36" t="n"/>
      <c r="F826" s="37" t="n"/>
      <c r="G826" s="37" t="n">
        <v>40</v>
      </c>
      <c r="H826" s="33">
        <f>H825-G826</f>
        <v/>
      </c>
      <c r="I826" s="36" t="n"/>
      <c r="J826" s="711" t="n"/>
      <c r="K826" s="722">
        <f>G826*D826</f>
        <v/>
      </c>
      <c r="L826" s="710" t="n"/>
      <c r="M826" s="392" t="n"/>
    </row>
    <row r="827" ht="17.25" customHeight="1" s="436">
      <c r="A827" s="30" t="n">
        <v>43481</v>
      </c>
      <c r="B827" s="31" t="inlineStr">
        <is>
          <t>6272</t>
        </is>
      </c>
      <c r="C827" s="35" t="n"/>
      <c r="D827" s="36" t="n">
        <v>46</v>
      </c>
      <c r="E827" s="36" t="n"/>
      <c r="F827" s="37" t="n"/>
      <c r="G827" s="37" t="n">
        <v>80</v>
      </c>
      <c r="H827" s="33">
        <f>H826-G827</f>
        <v/>
      </c>
      <c r="I827" s="36" t="n"/>
      <c r="J827" s="711" t="n"/>
      <c r="K827" s="722">
        <f>G827*D827</f>
        <v/>
      </c>
      <c r="L827" s="710" t="n"/>
      <c r="M827" s="392" t="n"/>
    </row>
    <row r="828" ht="17.25" customHeight="1" s="436">
      <c r="A828" s="30" t="n">
        <v>43481</v>
      </c>
      <c r="B828" s="31" t="inlineStr">
        <is>
          <t>6274</t>
        </is>
      </c>
      <c r="C828" s="35" t="n"/>
      <c r="D828" s="36" t="n">
        <v>56</v>
      </c>
      <c r="E828" s="36" t="n"/>
      <c r="F828" s="37" t="n"/>
      <c r="G828" s="37" t="n">
        <v>15</v>
      </c>
      <c r="H828" s="33">
        <f>H827-G828</f>
        <v/>
      </c>
      <c r="I828" s="36" t="n"/>
      <c r="J828" s="711" t="n"/>
      <c r="K828" s="722">
        <f>G828*D828</f>
        <v/>
      </c>
      <c r="L828" s="710" t="n"/>
      <c r="M828" s="392" t="n"/>
    </row>
    <row r="829" ht="17.25" customHeight="1" s="436">
      <c r="A829" s="30" t="n">
        <v>43481</v>
      </c>
      <c r="B829" s="31" t="inlineStr">
        <is>
          <t>6275</t>
        </is>
      </c>
      <c r="C829" s="35" t="n"/>
      <c r="D829" s="36" t="n">
        <v>58</v>
      </c>
      <c r="E829" s="36" t="n"/>
      <c r="F829" s="37" t="n"/>
      <c r="G829" s="37" t="n">
        <v>20</v>
      </c>
      <c r="H829" s="33">
        <f>H828-G829</f>
        <v/>
      </c>
      <c r="I829" s="36" t="n"/>
      <c r="J829" s="711" t="n"/>
      <c r="K829" s="722">
        <f>G829*D829</f>
        <v/>
      </c>
      <c r="L829" s="710" t="n"/>
      <c r="M829" s="392" t="n"/>
    </row>
    <row r="830" ht="17.25" customHeight="1" s="436">
      <c r="A830" s="30" t="n">
        <v>43481</v>
      </c>
      <c r="B830" s="31" t="inlineStr">
        <is>
          <t>6276</t>
        </is>
      </c>
      <c r="C830" s="35" t="n"/>
      <c r="D830" s="36" t="n">
        <v>52</v>
      </c>
      <c r="E830" s="36" t="n"/>
      <c r="F830" s="37" t="n"/>
      <c r="G830" s="37" t="n">
        <v>10</v>
      </c>
      <c r="H830" s="33">
        <f>H829-G830</f>
        <v/>
      </c>
      <c r="I830" s="36" t="n"/>
      <c r="J830" s="711" t="n"/>
      <c r="K830" s="722">
        <f>G830*D830</f>
        <v/>
      </c>
      <c r="L830" s="710" t="n"/>
      <c r="M830" s="392" t="n"/>
    </row>
    <row r="831" ht="17.25" customHeight="1" s="436">
      <c r="A831" s="30" t="n">
        <v>43481</v>
      </c>
      <c r="B831" s="31" t="inlineStr">
        <is>
          <t>6278</t>
        </is>
      </c>
      <c r="C831" s="35" t="n"/>
      <c r="D831" s="36" t="n">
        <v>52</v>
      </c>
      <c r="E831" s="36" t="n"/>
      <c r="F831" s="37" t="n"/>
      <c r="G831" s="37" t="n">
        <v>25</v>
      </c>
      <c r="H831" s="33">
        <f>H830-G831</f>
        <v/>
      </c>
      <c r="I831" s="36" t="n"/>
      <c r="J831" s="711" t="n"/>
      <c r="K831" s="722">
        <f>G831*D831</f>
        <v/>
      </c>
      <c r="L831" s="710" t="n"/>
      <c r="M831" s="392" t="n"/>
    </row>
    <row r="832" ht="17.25" customHeight="1" s="436">
      <c r="A832" s="92" t="n">
        <v>43483</v>
      </c>
      <c r="B832" s="93" t="inlineStr">
        <is>
          <t>2415</t>
        </is>
      </c>
      <c r="C832" s="96" t="n"/>
      <c r="D832" s="97" t="n">
        <v>41</v>
      </c>
      <c r="E832" s="97" t="n"/>
      <c r="F832" s="98" t="n">
        <v>200</v>
      </c>
      <c r="G832" s="98" t="n"/>
      <c r="H832" s="95" t="n">
        <v>2925</v>
      </c>
      <c r="I832" s="36" t="n"/>
      <c r="J832" s="711" t="n"/>
      <c r="K832" s="722" t="n"/>
      <c r="L832" s="710" t="n"/>
      <c r="M832" s="392" t="n"/>
    </row>
    <row r="833" ht="17.25" customHeight="1" s="436">
      <c r="A833" s="89" t="n">
        <v>43486</v>
      </c>
      <c r="B833" s="31" t="inlineStr">
        <is>
          <t>6280</t>
        </is>
      </c>
      <c r="C833" s="35" t="n"/>
      <c r="D833" s="36" t="n">
        <v>58.5</v>
      </c>
      <c r="E833" s="36" t="n"/>
      <c r="F833" s="37" t="n"/>
      <c r="G833" s="37" t="n">
        <v>80</v>
      </c>
      <c r="H833" s="33">
        <f>H831-G833</f>
        <v/>
      </c>
      <c r="I833" s="36" t="n"/>
      <c r="J833" s="711" t="n"/>
      <c r="K833" s="722">
        <f>G833*D833</f>
        <v/>
      </c>
      <c r="L833" s="710" t="n"/>
      <c r="M833" s="392" t="n"/>
    </row>
    <row r="834" ht="17.25" customHeight="1" s="436">
      <c r="A834" s="30" t="n">
        <v>43486</v>
      </c>
      <c r="B834" s="31" t="inlineStr">
        <is>
          <t>6285</t>
        </is>
      </c>
      <c r="C834" s="35" t="n"/>
      <c r="D834" s="36" t="n">
        <v>57.13</v>
      </c>
      <c r="E834" s="36" t="n"/>
      <c r="F834" s="37" t="n"/>
      <c r="G834" s="37" t="n">
        <v>40</v>
      </c>
      <c r="H834" s="33">
        <f>H833-G834</f>
        <v/>
      </c>
      <c r="I834" s="36" t="n"/>
      <c r="J834" s="711" t="n"/>
      <c r="K834" s="722">
        <f>G834*D834</f>
        <v/>
      </c>
      <c r="L834" s="710" t="n"/>
      <c r="M834" s="392" t="n"/>
    </row>
    <row r="835" ht="17.25" customHeight="1" s="436">
      <c r="A835" s="30" t="n">
        <v>43488</v>
      </c>
      <c r="B835" s="31" t="inlineStr">
        <is>
          <t>6286</t>
        </is>
      </c>
      <c r="C835" s="35" t="n"/>
      <c r="D835" s="36" t="n">
        <v>49</v>
      </c>
      <c r="E835" s="36" t="n"/>
      <c r="F835" s="37" t="n"/>
      <c r="G835" s="37" t="n">
        <v>50</v>
      </c>
      <c r="H835" s="33">
        <f>H834-G835</f>
        <v/>
      </c>
      <c r="I835" s="36" t="n"/>
      <c r="J835" s="711" t="n"/>
      <c r="K835" s="722">
        <f>G835*D835</f>
        <v/>
      </c>
      <c r="L835" s="710" t="n"/>
      <c r="M835" s="392" t="n"/>
    </row>
    <row r="836" ht="17.25" customHeight="1" s="436">
      <c r="A836" s="30" t="n">
        <v>43488</v>
      </c>
      <c r="B836" s="31" t="inlineStr">
        <is>
          <t>6287</t>
        </is>
      </c>
      <c r="C836" s="35" t="n"/>
      <c r="D836" s="36" t="n">
        <v>48</v>
      </c>
      <c r="E836" s="36" t="n"/>
      <c r="F836" s="37" t="n"/>
      <c r="G836" s="37" t="n">
        <v>50</v>
      </c>
      <c r="H836" s="33">
        <f>H835-G836</f>
        <v/>
      </c>
      <c r="I836" s="36" t="n"/>
      <c r="J836" s="711" t="n"/>
      <c r="K836" s="722">
        <f>G836*D836</f>
        <v/>
      </c>
      <c r="L836" s="710" t="n"/>
      <c r="M836" s="392" t="n"/>
    </row>
    <row r="837" ht="17.25" customHeight="1" s="436">
      <c r="A837" s="30" t="n">
        <v>43488</v>
      </c>
      <c r="B837" s="31" t="inlineStr">
        <is>
          <t>6289</t>
        </is>
      </c>
      <c r="C837" s="35" t="n"/>
      <c r="D837" s="36" t="n">
        <v>57</v>
      </c>
      <c r="E837" s="36" t="n"/>
      <c r="F837" s="37" t="n"/>
      <c r="G837" s="37" t="n">
        <v>20</v>
      </c>
      <c r="H837" s="33">
        <f>H836-G837</f>
        <v/>
      </c>
      <c r="I837" s="36" t="n"/>
      <c r="J837" s="711" t="n"/>
      <c r="K837" s="722">
        <f>G837*D837</f>
        <v/>
      </c>
      <c r="L837" s="710" t="n"/>
      <c r="M837" s="392" t="n"/>
    </row>
    <row r="838" ht="17.25" customHeight="1" s="436">
      <c r="A838" s="92" t="n">
        <v>43493</v>
      </c>
      <c r="B838" s="93" t="inlineStr">
        <is>
          <t>2418</t>
        </is>
      </c>
      <c r="C838" s="96" t="n"/>
      <c r="D838" s="97" t="n">
        <v>44</v>
      </c>
      <c r="E838" s="97" t="n"/>
      <c r="F838" s="98" t="n">
        <v>200</v>
      </c>
      <c r="G838" s="98" t="n"/>
      <c r="H838" s="95" t="n">
        <v>2685</v>
      </c>
      <c r="I838" s="36" t="n"/>
      <c r="J838" s="711" t="n"/>
      <c r="K838" s="722" t="n"/>
      <c r="L838" s="710" t="n"/>
      <c r="M838" s="392" t="n"/>
    </row>
    <row r="839" ht="17.25" customHeight="1" s="436">
      <c r="A839" s="30" t="n">
        <v>43494</v>
      </c>
      <c r="B839" s="31" t="inlineStr">
        <is>
          <t>6290</t>
        </is>
      </c>
      <c r="C839" s="35" t="n"/>
      <c r="D839" s="36" t="n">
        <v>50</v>
      </c>
      <c r="E839" s="36" t="n"/>
      <c r="F839" s="37" t="n"/>
      <c r="G839" s="37" t="n">
        <v>20</v>
      </c>
      <c r="H839" s="33">
        <f>H838-G839</f>
        <v/>
      </c>
      <c r="I839" s="36" t="n"/>
      <c r="J839" s="711" t="n"/>
      <c r="K839" s="722">
        <f>G839*D839</f>
        <v/>
      </c>
      <c r="L839" s="710" t="n"/>
      <c r="M839" s="392" t="n"/>
    </row>
    <row r="840" ht="17.25" customHeight="1" s="436">
      <c r="A840" s="30" t="n">
        <v>43494</v>
      </c>
      <c r="B840" s="31" t="inlineStr">
        <is>
          <t>6291</t>
        </is>
      </c>
      <c r="C840" s="35" t="n"/>
      <c r="D840" s="36" t="n">
        <v>52.5</v>
      </c>
      <c r="E840" s="36" t="n"/>
      <c r="F840" s="37" t="n"/>
      <c r="G840" s="37" t="n">
        <v>40</v>
      </c>
      <c r="H840" s="33">
        <f>H839-G840</f>
        <v/>
      </c>
      <c r="I840" s="36" t="n"/>
      <c r="J840" s="711" t="n"/>
      <c r="K840" s="722">
        <f>G840*D840</f>
        <v/>
      </c>
      <c r="L840" s="710" t="n"/>
      <c r="M840" s="392" t="n"/>
    </row>
    <row r="841" ht="17.25" customHeight="1" s="436">
      <c r="A841" s="30" t="n">
        <v>43494</v>
      </c>
      <c r="B841" s="31" t="inlineStr">
        <is>
          <t>6292</t>
        </is>
      </c>
      <c r="C841" s="35" t="n"/>
      <c r="D841" s="36" t="n">
        <v>58</v>
      </c>
      <c r="E841" s="36" t="n"/>
      <c r="F841" s="37" t="n"/>
      <c r="G841" s="37" t="n">
        <v>70</v>
      </c>
      <c r="H841" s="33">
        <f>H840-G841</f>
        <v/>
      </c>
      <c r="I841" s="36" t="n"/>
      <c r="J841" s="711" t="n"/>
      <c r="K841" s="722">
        <f>G841*D841</f>
        <v/>
      </c>
      <c r="L841" s="710" t="n"/>
      <c r="M841" s="392" t="n"/>
    </row>
    <row r="842" ht="17.25" customHeight="1" s="436">
      <c r="A842" s="30" t="n">
        <v>43494</v>
      </c>
      <c r="B842" s="31" t="inlineStr">
        <is>
          <t>6293</t>
        </is>
      </c>
      <c r="C842" s="35" t="n"/>
      <c r="D842" s="36" t="n">
        <v>57</v>
      </c>
      <c r="E842" s="36" t="n"/>
      <c r="F842" s="37" t="n"/>
      <c r="G842" s="37" t="n">
        <v>20</v>
      </c>
      <c r="H842" s="33">
        <f>H841-G842</f>
        <v/>
      </c>
      <c r="I842" s="36" t="n"/>
      <c r="J842" s="711" t="n"/>
      <c r="K842" s="722">
        <f>G842*D842</f>
        <v/>
      </c>
      <c r="L842" s="710" t="n"/>
      <c r="M842" s="392" t="n"/>
    </row>
    <row r="843" ht="17.25" customHeight="1" s="436">
      <c r="A843" s="30" t="n">
        <v>43494</v>
      </c>
      <c r="B843" s="31" t="inlineStr">
        <is>
          <t>6294</t>
        </is>
      </c>
      <c r="C843" s="35" t="n"/>
      <c r="D843" s="36" t="n">
        <v>54</v>
      </c>
      <c r="E843" s="36" t="n"/>
      <c r="F843" s="37" t="n"/>
      <c r="G843" s="37" t="n">
        <v>10</v>
      </c>
      <c r="H843" s="33">
        <f>H842-G843</f>
        <v/>
      </c>
      <c r="I843" s="36" t="n"/>
      <c r="J843" s="711" t="n"/>
      <c r="K843" s="722">
        <f>G843*D843</f>
        <v/>
      </c>
      <c r="L843" s="710" t="n"/>
      <c r="M843" s="392" t="n"/>
    </row>
    <row r="844" ht="17.25" customHeight="1" s="436">
      <c r="A844" s="30" t="n">
        <v>43494</v>
      </c>
      <c r="B844" s="31" t="inlineStr">
        <is>
          <t>6298</t>
        </is>
      </c>
      <c r="C844" s="35" t="n"/>
      <c r="D844" s="36" t="n">
        <v>50</v>
      </c>
      <c r="E844" s="36" t="n"/>
      <c r="F844" s="37" t="n"/>
      <c r="G844" s="37" t="n">
        <v>15</v>
      </c>
      <c r="H844" s="33">
        <f>H843-G844</f>
        <v/>
      </c>
      <c r="I844" s="36" t="n"/>
      <c r="J844" s="711" t="n"/>
      <c r="K844" s="722">
        <f>G844*D844</f>
        <v/>
      </c>
      <c r="L844" s="710" t="n"/>
      <c r="M844" s="392" t="n"/>
    </row>
    <row r="845" ht="17.25" customHeight="1" s="436">
      <c r="A845" s="30" t="n">
        <v>43494</v>
      </c>
      <c r="B845" s="31" t="inlineStr">
        <is>
          <t>6299</t>
        </is>
      </c>
      <c r="C845" s="35" t="n"/>
      <c r="D845" s="36" t="n">
        <v>57</v>
      </c>
      <c r="E845" s="36" t="n"/>
      <c r="F845" s="37" t="n"/>
      <c r="G845" s="37" t="n">
        <v>30</v>
      </c>
      <c r="H845" s="33">
        <f>H844-G845</f>
        <v/>
      </c>
      <c r="I845" s="36" t="n"/>
      <c r="J845" s="711" t="n"/>
      <c r="K845" s="722">
        <f>G845*D845</f>
        <v/>
      </c>
      <c r="L845" s="710" t="n"/>
      <c r="M845" s="392" t="n"/>
    </row>
    <row r="846" ht="17.25" customHeight="1" s="436">
      <c r="A846" s="30" t="n">
        <v>43495</v>
      </c>
      <c r="B846" s="31" t="inlineStr">
        <is>
          <t>6300</t>
        </is>
      </c>
      <c r="C846" s="35" t="n"/>
      <c r="D846" s="36" t="n">
        <v>49</v>
      </c>
      <c r="E846" s="36" t="n"/>
      <c r="F846" s="37" t="n"/>
      <c r="G846" s="37" t="n">
        <v>20</v>
      </c>
      <c r="H846" s="33">
        <f>H845-G846</f>
        <v/>
      </c>
      <c r="I846" s="36" t="n"/>
      <c r="J846" s="711" t="n"/>
      <c r="K846" s="722">
        <f>G846*D846</f>
        <v/>
      </c>
      <c r="L846" s="710" t="n"/>
      <c r="M846" s="392" t="n"/>
    </row>
    <row r="847" ht="17.25" customHeight="1" s="436">
      <c r="A847" s="30" t="n">
        <v>43495</v>
      </c>
      <c r="B847" s="31" t="inlineStr">
        <is>
          <t>6302</t>
        </is>
      </c>
      <c r="C847" s="35" t="n"/>
      <c r="D847" s="36" t="n">
        <v>52</v>
      </c>
      <c r="E847" s="36" t="n"/>
      <c r="F847" s="37" t="n"/>
      <c r="G847" s="37" t="n">
        <v>25</v>
      </c>
      <c r="H847" s="33">
        <f>H846-G847</f>
        <v/>
      </c>
      <c r="I847" s="36" t="n"/>
      <c r="J847" s="711" t="n"/>
      <c r="K847" s="722">
        <f>G847*D847</f>
        <v/>
      </c>
      <c r="L847" s="710" t="n"/>
      <c r="M847" s="392" t="n"/>
    </row>
    <row r="848" ht="17.25" customHeight="1" s="436">
      <c r="A848" s="30" t="n">
        <v>43495</v>
      </c>
      <c r="B848" s="31" t="inlineStr">
        <is>
          <t>6303</t>
        </is>
      </c>
      <c r="C848" s="35" t="n"/>
      <c r="D848" s="36" t="n">
        <v>50</v>
      </c>
      <c r="E848" s="36" t="n"/>
      <c r="F848" s="37" t="n"/>
      <c r="G848" s="37" t="n">
        <v>30</v>
      </c>
      <c r="H848" s="33">
        <f>H847-G848</f>
        <v/>
      </c>
      <c r="I848" s="36" t="n"/>
      <c r="J848" s="711" t="n"/>
      <c r="K848" s="722">
        <f>G848*D848</f>
        <v/>
      </c>
      <c r="L848" s="710" t="n"/>
      <c r="M848" s="392" t="n"/>
    </row>
    <row r="849" ht="17.25" customHeight="1" s="436">
      <c r="A849" s="89" t="n">
        <v>43508</v>
      </c>
      <c r="B849" s="31" t="n"/>
      <c r="C849" s="35" t="n"/>
      <c r="D849" s="36" t="n"/>
      <c r="E849" s="36" t="n"/>
      <c r="F849" s="37" t="n"/>
      <c r="G849" s="37" t="n"/>
      <c r="H849" s="33">
        <f>H848-G849</f>
        <v/>
      </c>
      <c r="I849" s="36" t="n"/>
      <c r="J849" s="711" t="n"/>
      <c r="K849" s="722">
        <f>G849*D849</f>
        <v/>
      </c>
      <c r="L849" s="710" t="n"/>
      <c r="M849" s="392" t="n"/>
    </row>
    <row r="850" ht="17.25" customHeight="1" s="436">
      <c r="A850" s="30" t="n">
        <v>43509</v>
      </c>
      <c r="B850" s="31" t="n"/>
      <c r="C850" s="35" t="n"/>
      <c r="D850" s="36" t="n"/>
      <c r="E850" s="36" t="n"/>
      <c r="F850" s="37" t="n"/>
      <c r="G850" s="37" t="n"/>
      <c r="H850" s="33">
        <f>H849-G850</f>
        <v/>
      </c>
      <c r="I850" s="36" t="n"/>
      <c r="J850" s="711" t="n"/>
      <c r="K850" s="722">
        <f>G850*D850</f>
        <v/>
      </c>
      <c r="L850" s="710" t="n"/>
      <c r="M850" s="392" t="n"/>
    </row>
    <row r="851"/>
    <row r="852"/>
    <row r="853"/>
    <row r="854"/>
    <row r="855"/>
    <row r="856"/>
    <row r="857"/>
    <row r="858" ht="15.75" customHeight="1" s="436" thickBot="1"/>
    <row r="859" ht="27" customHeight="1" s="436" thickBot="1">
      <c r="A859" s="720" t="inlineStr">
        <is>
          <t xml:space="preserve"> FARINHA DE TRIGO TIPO: 1 - 25 KG</t>
        </is>
      </c>
      <c r="B859" s="697" t="n"/>
      <c r="C859" s="697" t="n"/>
      <c r="D859" s="697" t="n"/>
      <c r="E859" s="697" t="n"/>
      <c r="F859" s="697" t="n"/>
      <c r="G859" s="697" t="n"/>
      <c r="H859" s="697" t="n"/>
      <c r="I859" s="697" t="n"/>
      <c r="J859" s="697" t="n"/>
      <c r="K859" s="697" t="n"/>
      <c r="L859" s="697" t="n"/>
      <c r="M859" s="698" t="n"/>
    </row>
    <row r="860">
      <c r="A860" s="643" t="inlineStr">
        <is>
          <t>DATA</t>
        </is>
      </c>
      <c r="B860" s="633" t="inlineStr">
        <is>
          <t>N.F.</t>
        </is>
      </c>
      <c r="C860" s="633" t="inlineStr">
        <is>
          <t>TIPO</t>
        </is>
      </c>
      <c r="D860" s="633" t="inlineStr">
        <is>
          <t>PREÇO UNITÁRIO</t>
        </is>
      </c>
      <c r="E860" s="701" t="n"/>
      <c r="F860" s="633" t="inlineStr">
        <is>
          <t>QUANTIDADE / KG</t>
        </is>
      </c>
      <c r="H860" s="701" t="n"/>
      <c r="I860" s="632" t="inlineStr">
        <is>
          <t>PREÇO</t>
        </is>
      </c>
      <c r="J860" s="632" t="inlineStr">
        <is>
          <t>VALORES</t>
        </is>
      </c>
      <c r="L860" s="701" t="n"/>
      <c r="M860" s="649" t="n"/>
    </row>
    <row r="861" ht="15.75" customHeight="1" s="436" thickBot="1">
      <c r="A861" s="703" t="n"/>
      <c r="B861" s="704" t="n"/>
      <c r="C861" s="704" t="n"/>
      <c r="D861" s="703" t="n"/>
      <c r="E861" s="701" t="n"/>
      <c r="F861" s="705" t="n"/>
      <c r="G861" s="706" t="n"/>
      <c r="H861" s="707" t="n"/>
      <c r="I861" s="704" t="n"/>
      <c r="J861" s="703" t="n"/>
      <c r="L861" s="701" t="n"/>
      <c r="M861" s="704" t="n"/>
    </row>
    <row r="862" ht="15.75" customHeight="1" s="436" thickBot="1">
      <c r="A862" s="703" t="n"/>
      <c r="B862" s="704" t="n"/>
      <c r="C862" s="704" t="n"/>
      <c r="D862" s="705" t="n"/>
      <c r="E862" s="707" t="n"/>
      <c r="F862" s="3" t="inlineStr">
        <is>
          <t>ENTRADA</t>
        </is>
      </c>
      <c r="G862" s="3" t="inlineStr">
        <is>
          <t>SAÍDA</t>
        </is>
      </c>
      <c r="H862" s="640" t="n"/>
      <c r="I862" s="633" t="inlineStr">
        <is>
          <t>MÉDIO</t>
        </is>
      </c>
      <c r="J862" s="652" t="inlineStr">
        <is>
          <t>SALDO EM 30/11/2017</t>
        </is>
      </c>
      <c r="K862" s="706" t="n"/>
      <c r="L862" s="17" t="n"/>
      <c r="M862" s="704" t="n"/>
    </row>
    <row r="863" ht="18" customHeight="1" s="436" thickBot="1">
      <c r="A863" s="705" t="n"/>
      <c r="B863" s="695" t="n"/>
      <c r="C863" s="695" t="n"/>
      <c r="D863" s="3" t="inlineStr">
        <is>
          <t>C/ICMS</t>
        </is>
      </c>
      <c r="E863" s="3" t="inlineStr">
        <is>
          <t>S/ICMS</t>
        </is>
      </c>
      <c r="F863" s="695" t="n"/>
      <c r="G863" s="695" t="n"/>
      <c r="H863" s="84" t="inlineStr">
        <is>
          <t>Saldo em 31/01/2019</t>
        </is>
      </c>
      <c r="I863" s="695" t="n"/>
      <c r="J863" s="645" t="inlineStr">
        <is>
          <t>ENTRADA</t>
        </is>
      </c>
      <c r="K863" s="633" t="inlineStr">
        <is>
          <t>SAÍDA / CMV</t>
        </is>
      </c>
      <c r="L863" s="643" t="inlineStr">
        <is>
          <t>SALDO</t>
        </is>
      </c>
      <c r="M863" s="392" t="n"/>
    </row>
    <row r="864" ht="17.25" customHeight="1" s="436">
      <c r="A864" s="30" t="n"/>
      <c r="B864" s="31" t="n"/>
      <c r="C864" s="35" t="n"/>
      <c r="D864" s="36" t="n"/>
      <c r="E864" s="36" t="n"/>
      <c r="F864" s="37" t="n"/>
      <c r="G864" s="37" t="n">
        <v>0</v>
      </c>
      <c r="H864" s="37" t="n"/>
      <c r="I864" s="36" t="n"/>
      <c r="J864" s="711">
        <f>F864*I864</f>
        <v/>
      </c>
      <c r="K864" s="721" t="n">
        <v>0</v>
      </c>
      <c r="L864" s="710">
        <f>J864-K864</f>
        <v/>
      </c>
      <c r="M864" s="392" t="n"/>
    </row>
    <row r="865" ht="17.25" customHeight="1" s="436">
      <c r="A865" s="92" t="n">
        <v>43497</v>
      </c>
      <c r="B865" s="93" t="n"/>
      <c r="C865" s="93" t="n"/>
      <c r="D865" s="94" t="n"/>
      <c r="E865" s="94" t="n"/>
      <c r="F865" s="95" t="n"/>
      <c r="G865" s="95" t="n"/>
      <c r="H865" s="95" t="n">
        <v>2405</v>
      </c>
      <c r="I865" s="32" t="n"/>
      <c r="J865" s="711" t="n"/>
      <c r="K865" s="722" t="n"/>
      <c r="L865" s="710" t="n"/>
      <c r="M865" s="392" t="n"/>
    </row>
    <row r="866" ht="17.25" customHeight="1" s="436">
      <c r="A866" s="89" t="n">
        <v>43500</v>
      </c>
      <c r="B866" s="31" t="inlineStr">
        <is>
          <t>6305</t>
        </is>
      </c>
      <c r="C866" s="31" t="n"/>
      <c r="D866" s="32" t="n">
        <v>56</v>
      </c>
      <c r="E866" s="32" t="n"/>
      <c r="F866" s="33" t="n"/>
      <c r="G866" s="33" t="n">
        <v>30</v>
      </c>
      <c r="H866" s="33">
        <f>H865-G866</f>
        <v/>
      </c>
      <c r="I866" s="32" t="n"/>
      <c r="J866" s="711" t="n"/>
      <c r="K866" s="722" t="n"/>
      <c r="L866" s="710" t="n"/>
      <c r="M866" s="392" t="n"/>
    </row>
    <row r="867" ht="17.25" customHeight="1" s="436">
      <c r="A867" s="30" t="n">
        <v>43500</v>
      </c>
      <c r="B867" s="31" t="inlineStr">
        <is>
          <t>6307</t>
        </is>
      </c>
      <c r="C867" s="35" t="n"/>
      <c r="D867" s="36" t="n">
        <v>50</v>
      </c>
      <c r="E867" s="36" t="n"/>
      <c r="F867" s="37" t="n"/>
      <c r="G867" s="37" t="n">
        <v>50</v>
      </c>
      <c r="H867" s="33">
        <f>H866-G867</f>
        <v/>
      </c>
      <c r="I867" s="36" t="n"/>
      <c r="J867" s="711" t="n"/>
      <c r="K867" s="722">
        <f>G867*D867</f>
        <v/>
      </c>
      <c r="L867" s="710" t="n"/>
      <c r="M867" s="392" t="n"/>
    </row>
    <row r="868" ht="17.25" customHeight="1" s="436">
      <c r="A868" s="30" t="n">
        <v>43500</v>
      </c>
      <c r="B868" s="31" t="inlineStr">
        <is>
          <t>6310</t>
        </is>
      </c>
      <c r="C868" s="35" t="n"/>
      <c r="D868" s="36" t="n">
        <v>57</v>
      </c>
      <c r="E868" s="36" t="n"/>
      <c r="F868" s="37" t="n"/>
      <c r="G868" s="101" t="n">
        <v>30</v>
      </c>
      <c r="H868" s="33">
        <f>H867-G868</f>
        <v/>
      </c>
      <c r="I868" s="36" t="n"/>
      <c r="J868" s="711" t="n"/>
      <c r="K868" s="722">
        <f>G868*D868</f>
        <v/>
      </c>
      <c r="L868" s="710" t="n"/>
      <c r="M868" s="392" t="n"/>
    </row>
    <row r="869" ht="17.25" customHeight="1" s="436">
      <c r="A869" s="30" t="n">
        <v>43500</v>
      </c>
      <c r="B869" s="31" t="inlineStr">
        <is>
          <t>6311</t>
        </is>
      </c>
      <c r="C869" s="35" t="n"/>
      <c r="D869" s="36" t="n">
        <v>49</v>
      </c>
      <c r="E869" s="36" t="n"/>
      <c r="F869" s="37" t="n"/>
      <c r="G869" s="37" t="n">
        <v>30</v>
      </c>
      <c r="H869" s="33">
        <f>H868-G869</f>
        <v/>
      </c>
      <c r="I869" s="36" t="n"/>
      <c r="J869" s="711" t="n"/>
      <c r="K869" s="722">
        <f>G869*D869</f>
        <v/>
      </c>
      <c r="L869" s="710" t="n"/>
      <c r="M869" s="392" t="n"/>
    </row>
    <row r="870">
      <c r="A870" s="30" t="n">
        <v>43501</v>
      </c>
      <c r="B870" s="31" t="inlineStr">
        <is>
          <t>6312</t>
        </is>
      </c>
      <c r="C870" s="35" t="n"/>
      <c r="D870" s="36" t="n">
        <v>48</v>
      </c>
      <c r="E870" s="36" t="n"/>
      <c r="F870" s="37" t="n"/>
      <c r="G870" s="37" t="n">
        <v>40</v>
      </c>
      <c r="H870" s="33">
        <f>H869-G870</f>
        <v/>
      </c>
      <c r="I870" s="36" t="n"/>
      <c r="J870" s="711" t="n"/>
      <c r="K870" s="709">
        <f>G870*D870</f>
        <v/>
      </c>
      <c r="L870" s="710" t="n"/>
      <c r="M870" s="392" t="n"/>
    </row>
    <row r="871" ht="17.25" customHeight="1" s="436">
      <c r="A871" s="30" t="n">
        <v>43502</v>
      </c>
      <c r="B871" s="31" t="inlineStr">
        <is>
          <t>6313</t>
        </is>
      </c>
      <c r="C871" s="35" t="n"/>
      <c r="D871" s="36" t="n">
        <v>54</v>
      </c>
      <c r="E871" s="36" t="n"/>
      <c r="F871" s="37" t="n"/>
      <c r="G871" s="37" t="n">
        <v>10</v>
      </c>
      <c r="H871" s="33">
        <f>H870-G871</f>
        <v/>
      </c>
      <c r="I871" s="36" t="n"/>
      <c r="J871" s="711" t="n"/>
      <c r="K871" s="722">
        <f>G871*D871</f>
        <v/>
      </c>
      <c r="L871" s="710" t="n"/>
      <c r="M871" s="392" t="n"/>
    </row>
    <row r="872" ht="17.25" customHeight="1" s="436">
      <c r="A872" s="30" t="n">
        <v>43502</v>
      </c>
      <c r="B872" s="31" t="inlineStr">
        <is>
          <t>6315</t>
        </is>
      </c>
      <c r="C872" s="35" t="n"/>
      <c r="D872" s="36" t="n">
        <v>57</v>
      </c>
      <c r="E872" s="36" t="n"/>
      <c r="F872" s="37" t="n"/>
      <c r="G872" s="37" t="n">
        <v>20</v>
      </c>
      <c r="H872" s="33">
        <f>H871-G872</f>
        <v/>
      </c>
      <c r="I872" s="36" t="n"/>
      <c r="J872" s="711" t="n"/>
      <c r="K872" s="722">
        <f>G872*D872</f>
        <v/>
      </c>
      <c r="L872" s="710" t="n"/>
      <c r="M872" s="392" t="n"/>
    </row>
    <row r="873" ht="17.25" customHeight="1" s="436">
      <c r="A873" s="30" t="n">
        <v>43502</v>
      </c>
      <c r="B873" s="31" t="inlineStr">
        <is>
          <t>6316</t>
        </is>
      </c>
      <c r="C873" s="35" t="n"/>
      <c r="D873" s="36" t="n">
        <v>50</v>
      </c>
      <c r="E873" s="36" t="n"/>
      <c r="F873" s="37" t="n"/>
      <c r="G873" s="37" t="n">
        <v>15</v>
      </c>
      <c r="H873" s="33">
        <f>H872-G873</f>
        <v/>
      </c>
      <c r="I873" s="36" t="n"/>
      <c r="J873" s="711" t="n"/>
      <c r="K873" s="722">
        <f>G873*D873</f>
        <v/>
      </c>
      <c r="L873" s="710" t="n"/>
      <c r="M873" s="392" t="n"/>
    </row>
    <row r="874" ht="17.25" customHeight="1" s="436">
      <c r="A874" s="30" t="n">
        <v>43502</v>
      </c>
      <c r="B874" s="31" t="inlineStr">
        <is>
          <t>6318</t>
        </is>
      </c>
      <c r="C874" s="35" t="n"/>
      <c r="D874" s="36" t="n">
        <v>55</v>
      </c>
      <c r="E874" s="36" t="n"/>
      <c r="F874" s="37" t="n"/>
      <c r="G874" s="37" t="n">
        <v>10</v>
      </c>
      <c r="H874" s="33">
        <f>H873-G874</f>
        <v/>
      </c>
      <c r="I874" s="36" t="n"/>
      <c r="J874" s="711" t="n"/>
      <c r="K874" s="722">
        <f>G874*D874</f>
        <v/>
      </c>
      <c r="L874" s="710" t="n"/>
      <c r="M874" s="392" t="n"/>
    </row>
    <row r="875" ht="17.25" customHeight="1" s="436">
      <c r="A875" s="30" t="n">
        <v>43502</v>
      </c>
      <c r="B875" s="31" t="inlineStr">
        <is>
          <t>6319</t>
        </is>
      </c>
      <c r="C875" s="35" t="n"/>
      <c r="D875" s="36" t="n">
        <v>57</v>
      </c>
      <c r="E875" s="36" t="n"/>
      <c r="F875" s="37" t="n"/>
      <c r="G875" s="37" t="n">
        <v>30</v>
      </c>
      <c r="H875" s="33">
        <f>H874-G875</f>
        <v/>
      </c>
      <c r="I875" s="36" t="n"/>
      <c r="J875" s="711" t="n"/>
      <c r="K875" s="722">
        <f>G875*D875</f>
        <v/>
      </c>
      <c r="L875" s="710" t="n"/>
      <c r="M875" s="392" t="n"/>
    </row>
    <row r="876" ht="17.25" customHeight="1" s="436">
      <c r="A876" s="30" t="n">
        <v>43508</v>
      </c>
      <c r="B876" s="31" t="inlineStr">
        <is>
          <t>6322</t>
        </is>
      </c>
      <c r="C876" s="35" t="n"/>
      <c r="D876" s="36" t="n">
        <v>46</v>
      </c>
      <c r="E876" s="36" t="n"/>
      <c r="F876" s="37" t="n"/>
      <c r="G876" s="37" t="n">
        <v>50</v>
      </c>
      <c r="H876" s="33">
        <f>H875-G876</f>
        <v/>
      </c>
      <c r="I876" s="36" t="n"/>
      <c r="J876" s="711" t="n"/>
      <c r="K876" s="722">
        <f>G876*D876</f>
        <v/>
      </c>
      <c r="L876" s="710" t="n"/>
      <c r="M876" s="392" t="n"/>
    </row>
    <row r="877" ht="17.25" customHeight="1" s="436">
      <c r="A877" s="30" t="n">
        <v>43508</v>
      </c>
      <c r="B877" s="31" t="inlineStr">
        <is>
          <t>6323</t>
        </is>
      </c>
      <c r="C877" s="35" t="n"/>
      <c r="D877" s="36" t="n">
        <v>56</v>
      </c>
      <c r="E877" s="36" t="n"/>
      <c r="F877" s="37" t="n"/>
      <c r="G877" s="37" t="n">
        <v>20</v>
      </c>
      <c r="H877" s="33">
        <f>H876-G877</f>
        <v/>
      </c>
      <c r="I877" s="36" t="n"/>
      <c r="J877" s="711" t="n"/>
      <c r="K877" s="722">
        <f>G877*D877</f>
        <v/>
      </c>
      <c r="L877" s="710" t="n"/>
      <c r="M877" s="392" t="n"/>
    </row>
    <row r="878" ht="17.25" customHeight="1" s="436">
      <c r="A878" s="30" t="n">
        <v>43508</v>
      </c>
      <c r="B878" s="31" t="inlineStr">
        <is>
          <t>6324</t>
        </is>
      </c>
      <c r="C878" s="35" t="n"/>
      <c r="D878" s="36" t="n">
        <v>57.5</v>
      </c>
      <c r="E878" s="36" t="n"/>
      <c r="F878" s="37" t="n"/>
      <c r="G878" s="37" t="n">
        <v>40</v>
      </c>
      <c r="H878" s="33">
        <f>H877-G878</f>
        <v/>
      </c>
      <c r="I878" s="36" t="n"/>
      <c r="J878" s="711" t="n"/>
      <c r="K878" s="722">
        <f>G878*D878</f>
        <v/>
      </c>
      <c r="L878" s="710" t="n"/>
      <c r="M878" s="392" t="n"/>
    </row>
    <row r="879" ht="17.25" customHeight="1" s="436">
      <c r="A879" s="30" t="n">
        <v>43508</v>
      </c>
      <c r="B879" s="31" t="inlineStr">
        <is>
          <t>6325</t>
        </is>
      </c>
      <c r="C879" s="35" t="n"/>
      <c r="D879" s="36" t="n">
        <v>60</v>
      </c>
      <c r="E879" s="36" t="n"/>
      <c r="F879" s="37" t="n"/>
      <c r="G879" s="37" t="n">
        <v>20</v>
      </c>
      <c r="H879" s="33">
        <f>H878-G879</f>
        <v/>
      </c>
      <c r="I879" s="36" t="n"/>
      <c r="J879" s="711" t="n"/>
      <c r="K879" s="722">
        <f>G879*D879</f>
        <v/>
      </c>
      <c r="L879" s="710" t="n"/>
      <c r="M879" s="392" t="n"/>
    </row>
    <row r="880" ht="17.25" customHeight="1" s="436">
      <c r="A880" s="30" t="n">
        <v>43508</v>
      </c>
      <c r="B880" s="31" t="inlineStr">
        <is>
          <t>6326</t>
        </is>
      </c>
      <c r="C880" s="35" t="n"/>
      <c r="D880" s="36" t="n">
        <v>54</v>
      </c>
      <c r="E880" s="36" t="n"/>
      <c r="F880" s="37" t="n"/>
      <c r="G880" s="37" t="n">
        <v>10</v>
      </c>
      <c r="H880" s="33">
        <f>H879-G880</f>
        <v/>
      </c>
      <c r="I880" s="36" t="n"/>
      <c r="J880" s="711" t="n"/>
      <c r="K880" s="722">
        <f>G880*D880</f>
        <v/>
      </c>
      <c r="L880" s="710" t="n"/>
      <c r="M880" s="392" t="n"/>
    </row>
    <row r="881" ht="17.25" customHeight="1" s="436">
      <c r="A881" s="30" t="n">
        <v>43508</v>
      </c>
      <c r="B881" s="31" t="inlineStr">
        <is>
          <t>6327</t>
        </is>
      </c>
      <c r="C881" s="35" t="n"/>
      <c r="D881" s="36" t="n">
        <v>50</v>
      </c>
      <c r="E881" s="36" t="n"/>
      <c r="F881" s="37" t="n"/>
      <c r="G881" s="37" t="n">
        <v>10</v>
      </c>
      <c r="H881" s="33">
        <f>H880-G881</f>
        <v/>
      </c>
      <c r="I881" s="36" t="n"/>
      <c r="J881" s="711" t="n"/>
      <c r="K881" s="722">
        <f>G881*D881</f>
        <v/>
      </c>
      <c r="L881" s="710" t="n"/>
      <c r="M881" s="392" t="n"/>
    </row>
    <row r="882" ht="17.25" customHeight="1" s="436">
      <c r="A882" s="30" t="n">
        <v>43508</v>
      </c>
      <c r="B882" s="31" t="inlineStr">
        <is>
          <t>6328</t>
        </is>
      </c>
      <c r="C882" s="35" t="n"/>
      <c r="D882" s="36" t="n">
        <v>50</v>
      </c>
      <c r="E882" s="36" t="n"/>
      <c r="F882" s="37" t="n"/>
      <c r="G882" s="37" t="n">
        <v>50</v>
      </c>
      <c r="H882" s="33">
        <f>H881-G882</f>
        <v/>
      </c>
      <c r="I882" s="36" t="n"/>
      <c r="J882" s="711" t="n"/>
      <c r="K882" s="722">
        <f>G882*D882</f>
        <v/>
      </c>
      <c r="L882" s="710" t="n"/>
      <c r="M882" s="392" t="n"/>
    </row>
    <row r="883" ht="17.25" customHeight="1" s="436">
      <c r="A883" s="30" t="n">
        <v>43508</v>
      </c>
      <c r="B883" s="31" t="inlineStr">
        <is>
          <t>6329</t>
        </is>
      </c>
      <c r="C883" s="35" t="n"/>
      <c r="D883" s="36" t="n">
        <v>56</v>
      </c>
      <c r="E883" s="36" t="n"/>
      <c r="F883" s="37" t="n"/>
      <c r="G883" s="37" t="n">
        <v>30</v>
      </c>
      <c r="H883" s="33">
        <f>H882-G883</f>
        <v/>
      </c>
      <c r="I883" s="36" t="n"/>
      <c r="J883" s="711" t="n"/>
      <c r="K883" s="722">
        <f>G883*D883</f>
        <v/>
      </c>
      <c r="L883" s="710" t="n"/>
      <c r="M883" s="392" t="n"/>
    </row>
    <row r="884" ht="17.25" customHeight="1" s="436">
      <c r="A884" s="30" t="n">
        <v>43509</v>
      </c>
      <c r="B884" s="31" t="inlineStr">
        <is>
          <t>6330</t>
        </is>
      </c>
      <c r="C884" s="35" t="n"/>
      <c r="D884" s="36" t="n">
        <v>49</v>
      </c>
      <c r="E884" s="36" t="n"/>
      <c r="F884" s="37" t="n"/>
      <c r="G884" s="37" t="n">
        <v>50</v>
      </c>
      <c r="H884" s="33">
        <f>H883-G884</f>
        <v/>
      </c>
      <c r="I884" s="36" t="n"/>
      <c r="J884" s="711" t="n"/>
      <c r="K884" s="722">
        <f>G884*D884</f>
        <v/>
      </c>
      <c r="L884" s="710" t="n"/>
      <c r="M884" s="392" t="n"/>
    </row>
    <row r="885" ht="17.25" customHeight="1" s="436">
      <c r="A885" s="30" t="n">
        <v>43509</v>
      </c>
      <c r="B885" s="31" t="inlineStr">
        <is>
          <t>6331</t>
        </is>
      </c>
      <c r="C885" s="35" t="n"/>
      <c r="D885" s="36" t="n">
        <v>48</v>
      </c>
      <c r="E885" s="36" t="n"/>
      <c r="F885" s="37" t="n"/>
      <c r="G885" s="37" t="n">
        <v>50</v>
      </c>
      <c r="H885" s="33">
        <f>H884-G885</f>
        <v/>
      </c>
      <c r="I885" s="36" t="n"/>
      <c r="J885" s="711" t="n"/>
      <c r="K885" s="722">
        <f>G885*D885</f>
        <v/>
      </c>
      <c r="L885" s="710" t="n"/>
      <c r="M885" s="392" t="n"/>
    </row>
    <row r="886" ht="17.25" customHeight="1" s="436">
      <c r="A886" s="30" t="n">
        <v>43514</v>
      </c>
      <c r="B886" s="31" t="inlineStr">
        <is>
          <t>6333</t>
        </is>
      </c>
      <c r="C886" s="35" t="n"/>
      <c r="D886" s="36" t="n">
        <v>56</v>
      </c>
      <c r="E886" s="36" t="n"/>
      <c r="F886" s="37" t="n"/>
      <c r="G886" s="37" t="n">
        <v>25</v>
      </c>
      <c r="H886" s="33">
        <f>H885-G886</f>
        <v/>
      </c>
      <c r="I886" s="36" t="n"/>
      <c r="J886" s="711" t="n"/>
      <c r="K886" s="722">
        <f>G886*D886</f>
        <v/>
      </c>
      <c r="L886" s="710" t="n"/>
      <c r="M886" s="392" t="n"/>
    </row>
    <row r="887" ht="17.25" customHeight="1" s="436">
      <c r="A887" s="30" t="n">
        <v>43514</v>
      </c>
      <c r="B887" s="31" t="inlineStr">
        <is>
          <t>6334</t>
        </is>
      </c>
      <c r="C887" s="35" t="n"/>
      <c r="D887" s="36" t="n">
        <v>52</v>
      </c>
      <c r="E887" s="36" t="n"/>
      <c r="F887" s="37" t="n"/>
      <c r="G887" s="37" t="n">
        <v>15</v>
      </c>
      <c r="H887" s="33">
        <f>H886-G887</f>
        <v/>
      </c>
      <c r="I887" s="36" t="n"/>
      <c r="J887" s="711" t="n"/>
      <c r="K887" s="722">
        <f>G887*D887</f>
        <v/>
      </c>
      <c r="L887" s="710" t="n"/>
      <c r="M887" s="392" t="n"/>
    </row>
    <row r="888" ht="17.25" customHeight="1" s="436">
      <c r="A888" s="30" t="n">
        <v>43514</v>
      </c>
      <c r="B888" s="31" t="inlineStr">
        <is>
          <t>6335</t>
        </is>
      </c>
      <c r="C888" s="35" t="n"/>
      <c r="D888" s="36" t="n">
        <v>52.5</v>
      </c>
      <c r="E888" s="36" t="n"/>
      <c r="F888" s="37" t="n"/>
      <c r="G888" s="37" t="n">
        <v>40</v>
      </c>
      <c r="H888" s="33">
        <f>H887-G888</f>
        <v/>
      </c>
      <c r="I888" s="36" t="n"/>
      <c r="J888" s="711" t="n"/>
      <c r="K888" s="722">
        <f>G888*D888</f>
        <v/>
      </c>
      <c r="L888" s="710" t="n"/>
      <c r="M888" s="392" t="n"/>
    </row>
    <row r="889" ht="17.25" customHeight="1" s="436">
      <c r="A889" s="30" t="n">
        <v>43514</v>
      </c>
      <c r="B889" s="31" t="inlineStr">
        <is>
          <t>6336</t>
        </is>
      </c>
      <c r="C889" s="35" t="n"/>
      <c r="D889" s="36" t="n">
        <v>57.6</v>
      </c>
      <c r="E889" s="36" t="n"/>
      <c r="F889" s="37" t="n"/>
      <c r="G889" s="37" t="n">
        <v>25</v>
      </c>
      <c r="H889" s="33">
        <f>H888-G889</f>
        <v/>
      </c>
      <c r="I889" s="36" t="n"/>
      <c r="J889" s="711" t="n"/>
      <c r="K889" s="722">
        <f>G889*D889</f>
        <v/>
      </c>
      <c r="L889" s="710" t="n"/>
      <c r="M889" s="392" t="n"/>
    </row>
    <row r="890" ht="17.25" customHeight="1" s="436">
      <c r="A890" s="30" t="n">
        <v>43514</v>
      </c>
      <c r="B890" s="31" t="inlineStr">
        <is>
          <t>6337</t>
        </is>
      </c>
      <c r="C890" s="35" t="n"/>
      <c r="D890" s="36" t="n">
        <v>57</v>
      </c>
      <c r="E890" s="36" t="n"/>
      <c r="F890" s="37" t="n"/>
      <c r="G890" s="37" t="n">
        <v>20</v>
      </c>
      <c r="H890" s="33">
        <f>H889-G890</f>
        <v/>
      </c>
      <c r="I890" s="36" t="n"/>
      <c r="J890" s="711" t="n"/>
      <c r="K890" s="722">
        <f>G890*D890</f>
        <v/>
      </c>
      <c r="L890" s="710" t="n"/>
      <c r="M890" s="392" t="n"/>
    </row>
    <row r="891" ht="17.25" customHeight="1" s="436">
      <c r="A891" s="30" t="n">
        <v>43514</v>
      </c>
      <c r="B891" s="31" t="inlineStr">
        <is>
          <t>6338</t>
        </is>
      </c>
      <c r="C891" s="35" t="n"/>
      <c r="D891" s="36" t="n">
        <v>57</v>
      </c>
      <c r="E891" s="36" t="n"/>
      <c r="F891" s="37" t="n"/>
      <c r="G891" s="37" t="n">
        <v>20</v>
      </c>
      <c r="H891" s="33">
        <f>H890-G891</f>
        <v/>
      </c>
      <c r="I891" s="36" t="n"/>
      <c r="J891" s="711" t="n"/>
      <c r="K891" s="722">
        <f>G891*D891</f>
        <v/>
      </c>
      <c r="L891" s="710" t="n"/>
      <c r="M891" s="392" t="n"/>
    </row>
    <row r="892" ht="17.25" customHeight="1" s="436">
      <c r="A892" s="30" t="n">
        <v>43514</v>
      </c>
      <c r="B892" s="31" t="inlineStr">
        <is>
          <t>6339</t>
        </is>
      </c>
      <c r="C892" s="35" t="n"/>
      <c r="D892" s="36" t="n">
        <v>60</v>
      </c>
      <c r="E892" s="36" t="n"/>
      <c r="F892" s="37" t="n"/>
      <c r="G892" s="37" t="n">
        <v>20</v>
      </c>
      <c r="H892" s="33">
        <f>H891-G892</f>
        <v/>
      </c>
      <c r="I892" s="36" t="n"/>
      <c r="J892" s="711" t="n"/>
      <c r="K892" s="722">
        <f>G892*D892</f>
        <v/>
      </c>
      <c r="L892" s="710" t="n"/>
      <c r="M892" s="392" t="n"/>
    </row>
    <row r="893" ht="17.25" customHeight="1" s="436">
      <c r="A893" s="30" t="n">
        <v>43514</v>
      </c>
      <c r="B893" s="31" t="inlineStr">
        <is>
          <t>6340</t>
        </is>
      </c>
      <c r="C893" s="35" t="n"/>
      <c r="D893" s="36" t="n">
        <v>60</v>
      </c>
      <c r="E893" s="36" t="n"/>
      <c r="F893" s="37" t="n"/>
      <c r="G893" s="37" t="n">
        <v>20</v>
      </c>
      <c r="H893" s="33">
        <f>H892-G893</f>
        <v/>
      </c>
      <c r="I893" s="36" t="n"/>
      <c r="J893" s="711" t="n"/>
      <c r="K893" s="722">
        <f>G893*D893</f>
        <v/>
      </c>
      <c r="L893" s="710" t="n"/>
      <c r="M893" s="392" t="n"/>
    </row>
    <row r="894" ht="17.25" customHeight="1" s="436">
      <c r="A894" s="30" t="n">
        <v>43514</v>
      </c>
      <c r="B894" s="31" t="inlineStr">
        <is>
          <t>6341</t>
        </is>
      </c>
      <c r="C894" s="35" t="n"/>
      <c r="D894" s="36" t="n">
        <v>52</v>
      </c>
      <c r="E894" s="36" t="n"/>
      <c r="F894" s="37" t="n"/>
      <c r="G894" s="37" t="n">
        <v>50</v>
      </c>
      <c r="H894" s="33">
        <f>H893-G894</f>
        <v/>
      </c>
      <c r="I894" s="36" t="n"/>
      <c r="J894" s="711" t="n"/>
      <c r="K894" s="722">
        <f>G894*D894</f>
        <v/>
      </c>
      <c r="L894" s="710" t="n"/>
      <c r="M894" s="392" t="n"/>
    </row>
    <row r="895" ht="17.25" customHeight="1" s="436">
      <c r="A895" s="30" t="n">
        <v>43514</v>
      </c>
      <c r="B895" s="31" t="inlineStr">
        <is>
          <t>6342</t>
        </is>
      </c>
      <c r="C895" s="35" t="n"/>
      <c r="D895" s="36" t="n">
        <v>57</v>
      </c>
      <c r="E895" s="36" t="n"/>
      <c r="F895" s="37" t="n"/>
      <c r="G895" s="37" t="n">
        <v>10</v>
      </c>
      <c r="H895" s="33">
        <f>H894-G895</f>
        <v/>
      </c>
      <c r="I895" s="36" t="n"/>
      <c r="J895" s="711" t="n"/>
      <c r="K895" s="722">
        <f>G895*D895</f>
        <v/>
      </c>
      <c r="L895" s="710" t="n"/>
      <c r="M895" s="392" t="n"/>
    </row>
    <row r="896" ht="17.25" customHeight="1" s="436">
      <c r="A896" s="92" t="n">
        <v>43514</v>
      </c>
      <c r="B896" s="93" t="inlineStr">
        <is>
          <t>2428</t>
        </is>
      </c>
      <c r="C896" s="96" t="n"/>
      <c r="D896" s="97" t="n">
        <v>34.2</v>
      </c>
      <c r="E896" s="97" t="n"/>
      <c r="F896" s="98" t="n">
        <v>200</v>
      </c>
      <c r="G896" s="98" t="n"/>
      <c r="H896" s="95" t="n">
        <v>1765</v>
      </c>
      <c r="I896" s="36" t="n"/>
      <c r="J896" s="711" t="n"/>
      <c r="K896" s="722" t="n"/>
      <c r="L896" s="710" t="n"/>
      <c r="M896" s="392" t="n"/>
    </row>
    <row r="897" ht="17.25" customHeight="1" s="436">
      <c r="A897" s="92" t="n">
        <v>43515</v>
      </c>
      <c r="B897" s="93" t="inlineStr">
        <is>
          <t>111020</t>
        </is>
      </c>
      <c r="C897" s="96" t="n"/>
      <c r="D897" s="97" t="n">
        <v>41.8</v>
      </c>
      <c r="E897" s="97" t="n"/>
      <c r="F897" s="98" t="n">
        <v>800</v>
      </c>
      <c r="G897" s="98" t="n"/>
      <c r="H897" s="95" t="n">
        <v>2565</v>
      </c>
      <c r="I897" s="36" t="n"/>
      <c r="J897" s="711" t="n"/>
      <c r="K897" s="722" t="n"/>
      <c r="L897" s="710" t="n"/>
      <c r="M897" s="392" t="n"/>
    </row>
    <row r="898" ht="17.25" customHeight="1" s="436">
      <c r="A898" s="30" t="n">
        <v>43515</v>
      </c>
      <c r="B898" s="31" t="inlineStr">
        <is>
          <t>6343</t>
        </is>
      </c>
      <c r="C898" s="35" t="n"/>
      <c r="D898" s="36" t="n">
        <v>52</v>
      </c>
      <c r="E898" s="36" t="n"/>
      <c r="F898" s="37" t="n"/>
      <c r="G898" s="37" t="n">
        <v>50</v>
      </c>
      <c r="H898" s="33">
        <f>H897-G898</f>
        <v/>
      </c>
      <c r="I898" s="36" t="n"/>
      <c r="J898" s="711" t="n"/>
      <c r="K898" s="722">
        <f>G898*D898</f>
        <v/>
      </c>
      <c r="L898" s="710" t="n"/>
      <c r="M898" s="392" t="n"/>
    </row>
    <row r="899" ht="17.25" customHeight="1" s="436">
      <c r="A899" s="30" t="n">
        <v>43516</v>
      </c>
      <c r="B899" s="31" t="inlineStr">
        <is>
          <t>6344</t>
        </is>
      </c>
      <c r="C899" s="35" t="n"/>
      <c r="D899" s="36" t="n">
        <v>58</v>
      </c>
      <c r="E899" s="36" t="n"/>
      <c r="F899" s="37" t="n"/>
      <c r="G899" s="37" t="n">
        <v>30</v>
      </c>
      <c r="H899" s="33">
        <f>H898-G899</f>
        <v/>
      </c>
      <c r="I899" s="36" t="n"/>
      <c r="J899" s="711" t="n"/>
      <c r="K899" s="722">
        <f>G899*D899</f>
        <v/>
      </c>
      <c r="L899" s="710" t="n"/>
      <c r="M899" s="392" t="n"/>
    </row>
    <row r="900" ht="17.25" customHeight="1" s="436">
      <c r="A900" s="30" t="n">
        <v>43516</v>
      </c>
      <c r="B900" s="31" t="inlineStr">
        <is>
          <t>6346</t>
        </is>
      </c>
      <c r="C900" s="35" t="n"/>
      <c r="D900" s="36" t="n">
        <v>57</v>
      </c>
      <c r="E900" s="36" t="n"/>
      <c r="F900" s="37" t="n"/>
      <c r="G900" s="37" t="n">
        <v>20</v>
      </c>
      <c r="H900" s="33">
        <f>H899-G900</f>
        <v/>
      </c>
      <c r="I900" s="36" t="n"/>
      <c r="J900" s="711" t="n"/>
      <c r="K900" s="722">
        <f>G900*D900</f>
        <v/>
      </c>
      <c r="L900" s="710" t="n"/>
      <c r="M900" s="392" t="n"/>
    </row>
    <row r="901" ht="17.25" customHeight="1" s="436">
      <c r="A901" s="30" t="n">
        <v>43516</v>
      </c>
      <c r="B901" s="31" t="inlineStr">
        <is>
          <t>6350</t>
        </is>
      </c>
      <c r="C901" s="35" t="n"/>
      <c r="D901" s="36" t="n">
        <v>56</v>
      </c>
      <c r="E901" s="36" t="n"/>
      <c r="F901" s="37" t="n"/>
      <c r="G901" s="37" t="n">
        <v>30</v>
      </c>
      <c r="H901" s="33">
        <f>H900-G901</f>
        <v/>
      </c>
      <c r="I901" s="36" t="n"/>
      <c r="J901" s="711" t="n"/>
      <c r="K901" s="722">
        <f>G901*D901</f>
        <v/>
      </c>
      <c r="L901" s="710" t="n"/>
      <c r="M901" s="392" t="n"/>
    </row>
    <row r="902" ht="17.25" customHeight="1" s="436">
      <c r="A902" s="92" t="n">
        <v>43518</v>
      </c>
      <c r="B902" s="93" t="inlineStr">
        <is>
          <t>35971</t>
        </is>
      </c>
      <c r="C902" s="96" t="n"/>
      <c r="D902" s="97" t="n">
        <v>45.5</v>
      </c>
      <c r="E902" s="97" t="n"/>
      <c r="F902" s="98" t="n">
        <v>1340</v>
      </c>
      <c r="G902" s="98" t="n"/>
      <c r="H902" s="95" t="n">
        <v>3775</v>
      </c>
      <c r="I902" s="36" t="n"/>
      <c r="J902" s="711" t="n"/>
      <c r="K902" s="722" t="n"/>
      <c r="L902" s="710" t="n"/>
      <c r="M902" s="392" t="n"/>
    </row>
    <row r="903" ht="17.25" customHeight="1" s="436">
      <c r="A903" s="30" t="n">
        <v>43518</v>
      </c>
      <c r="B903" s="31" t="inlineStr">
        <is>
          <t>6353</t>
        </is>
      </c>
      <c r="C903" s="35" t="n"/>
      <c r="D903" s="36" t="n">
        <v>56</v>
      </c>
      <c r="E903" s="36" t="n"/>
      <c r="F903" s="37" t="n"/>
      <c r="G903" s="37" t="n">
        <v>10</v>
      </c>
      <c r="H903" s="33">
        <f>H902-G903</f>
        <v/>
      </c>
      <c r="I903" s="36" t="n"/>
      <c r="J903" s="711" t="n"/>
      <c r="K903" s="722">
        <f>G903*D903</f>
        <v/>
      </c>
      <c r="L903" s="710" t="n"/>
      <c r="M903" s="392" t="n"/>
    </row>
    <row r="904" ht="17.25" customHeight="1" s="436">
      <c r="A904" s="30" t="n">
        <v>43518</v>
      </c>
      <c r="B904" s="31" t="inlineStr">
        <is>
          <t>6354</t>
        </is>
      </c>
      <c r="C904" s="35" t="n"/>
      <c r="D904" s="36" t="n">
        <v>58</v>
      </c>
      <c r="E904" s="36" t="n"/>
      <c r="F904" s="37" t="n"/>
      <c r="G904" s="37" t="n">
        <v>50</v>
      </c>
      <c r="H904" s="33">
        <f>H903-G904</f>
        <v/>
      </c>
      <c r="I904" s="36" t="n"/>
      <c r="J904" s="711" t="n"/>
      <c r="K904" s="722">
        <f>G904*D904</f>
        <v/>
      </c>
      <c r="L904" s="710" t="n"/>
      <c r="M904" s="392" t="n"/>
    </row>
    <row r="905" ht="17.25" customHeight="1" s="436">
      <c r="A905" s="30" t="n">
        <v>43518</v>
      </c>
      <c r="B905" s="31" t="inlineStr">
        <is>
          <t>6355</t>
        </is>
      </c>
      <c r="C905" s="35" t="n"/>
      <c r="D905" s="36" t="n">
        <v>58</v>
      </c>
      <c r="E905" s="36" t="n"/>
      <c r="F905" s="37" t="n"/>
      <c r="G905" s="37" t="n">
        <v>30</v>
      </c>
      <c r="H905" s="33">
        <f>H904-G905</f>
        <v/>
      </c>
      <c r="I905" s="36" t="n"/>
      <c r="J905" s="711" t="n"/>
      <c r="K905" s="722">
        <f>G905*D905</f>
        <v/>
      </c>
      <c r="L905" s="710" t="n"/>
      <c r="M905" s="392" t="n"/>
    </row>
    <row r="906" ht="17.25" customHeight="1" s="436">
      <c r="A906" s="30" t="n">
        <v>43518</v>
      </c>
      <c r="B906" s="31" t="inlineStr">
        <is>
          <t>6356</t>
        </is>
      </c>
      <c r="C906" s="35" t="n"/>
      <c r="D906" s="36" t="n">
        <v>52</v>
      </c>
      <c r="E906" s="36" t="n"/>
      <c r="F906" s="37" t="n"/>
      <c r="G906" s="37" t="n">
        <v>50</v>
      </c>
      <c r="H906" s="33">
        <f>H905-G906</f>
        <v/>
      </c>
      <c r="I906" s="36" t="n"/>
      <c r="J906" s="711" t="n"/>
      <c r="K906" s="722">
        <f>G906*D906</f>
        <v/>
      </c>
      <c r="L906" s="710" t="n"/>
      <c r="M906" s="392" t="n"/>
    </row>
    <row r="907" ht="17.25" customHeight="1" s="436">
      <c r="A907" s="30" t="n">
        <v>43521</v>
      </c>
      <c r="B907" s="31" t="inlineStr">
        <is>
          <t>6359</t>
        </is>
      </c>
      <c r="C907" s="35" t="n"/>
      <c r="D907" s="36" t="n">
        <v>52</v>
      </c>
      <c r="E907" s="36" t="n"/>
      <c r="F907" s="37" t="n"/>
      <c r="G907" s="37" t="n">
        <v>15</v>
      </c>
      <c r="H907" s="33">
        <f>H906-G907</f>
        <v/>
      </c>
      <c r="I907" s="36" t="n"/>
      <c r="J907" s="711" t="n"/>
      <c r="K907" s="722">
        <f>G907*D907</f>
        <v/>
      </c>
      <c r="L907" s="710" t="n"/>
      <c r="M907" s="392" t="n"/>
    </row>
    <row r="908" ht="17.25" customHeight="1" s="436">
      <c r="A908" s="30" t="n">
        <v>43521</v>
      </c>
      <c r="B908" s="31" t="inlineStr">
        <is>
          <t>6360</t>
        </is>
      </c>
      <c r="C908" s="35" t="n"/>
      <c r="D908" s="36" t="n">
        <v>52.5</v>
      </c>
      <c r="E908" s="36" t="n"/>
      <c r="F908" s="37" t="n"/>
      <c r="G908" s="37" t="n">
        <v>40</v>
      </c>
      <c r="H908" s="33">
        <f>H907-G908</f>
        <v/>
      </c>
      <c r="I908" s="36" t="n"/>
      <c r="J908" s="711" t="n"/>
      <c r="K908" s="722">
        <f>G908*D908</f>
        <v/>
      </c>
      <c r="L908" s="710" t="n"/>
      <c r="M908" s="392" t="n"/>
    </row>
    <row r="909" ht="17.25" customHeight="1" s="436">
      <c r="A909" s="30" t="n">
        <v>43521</v>
      </c>
      <c r="B909" s="31" t="inlineStr">
        <is>
          <t>6361</t>
        </is>
      </c>
      <c r="C909" s="35" t="n"/>
      <c r="D909" s="36" t="n">
        <v>53</v>
      </c>
      <c r="E909" s="36" t="n"/>
      <c r="F909" s="37" t="n"/>
      <c r="G909" s="37" t="n">
        <v>20</v>
      </c>
      <c r="H909" s="33">
        <f>H908-G909</f>
        <v/>
      </c>
      <c r="I909" s="36" t="n"/>
      <c r="J909" s="711" t="n"/>
      <c r="K909" s="722">
        <f>G909*D909</f>
        <v/>
      </c>
      <c r="L909" s="710" t="n"/>
      <c r="M909" s="392" t="n"/>
    </row>
    <row r="910" ht="17.25" customHeight="1" s="436">
      <c r="A910" s="30" t="n">
        <v>43522</v>
      </c>
      <c r="B910" s="31" t="inlineStr">
        <is>
          <t>6363</t>
        </is>
      </c>
      <c r="C910" s="35" t="n"/>
      <c r="D910" s="36" t="n">
        <v>56.75</v>
      </c>
      <c r="E910" s="36" t="n"/>
      <c r="F910" s="37" t="n"/>
      <c r="G910" s="37" t="n">
        <v>40</v>
      </c>
      <c r="H910" s="33">
        <f>H909-G910</f>
        <v/>
      </c>
      <c r="I910" s="36" t="n"/>
      <c r="J910" s="711" t="n"/>
      <c r="K910" s="722">
        <f>G910*D910</f>
        <v/>
      </c>
      <c r="L910" s="710" t="n"/>
      <c r="M910" s="392" t="n"/>
    </row>
    <row r="911" ht="17.25" customHeight="1" s="436">
      <c r="A911" s="30" t="n">
        <v>43522</v>
      </c>
      <c r="B911" s="31" t="inlineStr">
        <is>
          <t>6364</t>
        </is>
      </c>
      <c r="C911" s="35" t="n"/>
      <c r="D911" s="36" t="n">
        <v>58</v>
      </c>
      <c r="E911" s="36" t="n"/>
      <c r="F911" s="37" t="n"/>
      <c r="G911" s="37" t="n">
        <v>60</v>
      </c>
      <c r="H911" s="33">
        <f>H910-G911</f>
        <v/>
      </c>
      <c r="I911" s="36" t="n"/>
      <c r="J911" s="711" t="n"/>
      <c r="K911" s="722">
        <f>G911*D911</f>
        <v/>
      </c>
      <c r="L911" s="710" t="n"/>
      <c r="M911" s="392" t="n"/>
    </row>
    <row r="912" ht="17.25" customHeight="1" s="436">
      <c r="A912" s="30" t="n">
        <v>43523</v>
      </c>
      <c r="B912" s="31" t="inlineStr">
        <is>
          <t>6365</t>
        </is>
      </c>
      <c r="C912" s="35" t="n"/>
      <c r="D912" s="36" t="n">
        <v>57.6</v>
      </c>
      <c r="E912" s="36" t="n"/>
      <c r="F912" s="37" t="n"/>
      <c r="G912" s="37" t="n">
        <v>25</v>
      </c>
      <c r="H912" s="33">
        <f>H911-G912</f>
        <v/>
      </c>
      <c r="I912" s="36" t="n"/>
      <c r="J912" s="711" t="n"/>
      <c r="K912" s="722">
        <f>G912*D912</f>
        <v/>
      </c>
      <c r="L912" s="710" t="n"/>
      <c r="M912" s="392" t="n"/>
    </row>
    <row r="913" ht="17.25" customHeight="1" s="436">
      <c r="A913" s="30" t="n">
        <v>43523</v>
      </c>
      <c r="B913" s="31" t="inlineStr">
        <is>
          <t>6366</t>
        </is>
      </c>
      <c r="C913" s="35" t="n"/>
      <c r="D913" s="36" t="n">
        <v>56</v>
      </c>
      <c r="E913" s="36" t="n"/>
      <c r="F913" s="37" t="n"/>
      <c r="G913" s="37" t="n">
        <v>30</v>
      </c>
      <c r="H913" s="33">
        <f>H912-G913</f>
        <v/>
      </c>
      <c r="I913" s="36" t="n"/>
      <c r="J913" s="711" t="n"/>
      <c r="K913" s="722">
        <f>G913*D913</f>
        <v/>
      </c>
      <c r="L913" s="710" t="n"/>
      <c r="M913" s="392" t="n"/>
    </row>
    <row r="914" ht="17.25" customHeight="1" s="436">
      <c r="A914" s="30" t="n">
        <v>43523</v>
      </c>
      <c r="B914" s="31" t="inlineStr">
        <is>
          <t>6368</t>
        </is>
      </c>
      <c r="C914" s="35" t="n"/>
      <c r="D914" s="36" t="n">
        <v>57</v>
      </c>
      <c r="E914" s="36" t="n"/>
      <c r="F914" s="37" t="n"/>
      <c r="G914" s="37" t="n">
        <v>10</v>
      </c>
      <c r="H914" s="33">
        <f>H913-G914</f>
        <v/>
      </c>
      <c r="I914" s="36" t="n"/>
      <c r="J914" s="711" t="n"/>
      <c r="K914" s="722">
        <f>G914*D914</f>
        <v/>
      </c>
      <c r="L914" s="710" t="n"/>
      <c r="M914" s="392" t="n"/>
    </row>
    <row r="915" ht="17.25" customHeight="1" s="436">
      <c r="A915" s="30" t="n">
        <v>43524</v>
      </c>
      <c r="B915" s="31" t="inlineStr">
        <is>
          <t>6369</t>
        </is>
      </c>
      <c r="C915" s="35" t="n"/>
      <c r="D915" s="36" t="n">
        <v>52</v>
      </c>
      <c r="E915" s="36" t="n"/>
      <c r="F915" s="37" t="n"/>
      <c r="G915" s="37" t="n">
        <v>150</v>
      </c>
      <c r="H915" s="33">
        <f>H914-G915</f>
        <v/>
      </c>
      <c r="I915" s="36" t="n"/>
      <c r="J915" s="711" t="n"/>
      <c r="K915" s="722">
        <f>G915*D915</f>
        <v/>
      </c>
      <c r="L915" s="710" t="n"/>
      <c r="M915" s="392" t="n"/>
    </row>
    <row r="916" ht="17.25" customHeight="1" s="436">
      <c r="A916" s="30" t="n">
        <v>43508</v>
      </c>
      <c r="B916" s="31" t="inlineStr">
        <is>
          <t>6284</t>
        </is>
      </c>
      <c r="C916" s="35" t="n"/>
      <c r="D916" s="36" t="n">
        <v>96</v>
      </c>
      <c r="E916" s="36" t="n"/>
      <c r="F916" s="37" t="n"/>
      <c r="G916" s="37" t="n"/>
      <c r="H916" s="33">
        <f>H915-G916</f>
        <v/>
      </c>
      <c r="I916" s="36" t="n"/>
      <c r="J916" s="711" t="n"/>
      <c r="K916" s="722">
        <f>G916*D916</f>
        <v/>
      </c>
      <c r="L916" s="710" t="n"/>
      <c r="M916" s="392" t="n"/>
    </row>
    <row r="917" ht="17.25" customHeight="1" s="436">
      <c r="A917" s="30" t="n">
        <v>43509</v>
      </c>
      <c r="B917" s="31" t="inlineStr">
        <is>
          <t>6285</t>
        </is>
      </c>
      <c r="C917" s="35" t="n"/>
      <c r="D917" s="36" t="n">
        <v>97</v>
      </c>
      <c r="E917" s="36" t="n"/>
      <c r="F917" s="37" t="n"/>
      <c r="G917" s="37" t="n"/>
      <c r="H917" s="33">
        <f>H916-G917</f>
        <v/>
      </c>
      <c r="I917" s="36" t="n"/>
      <c r="J917" s="711" t="n"/>
      <c r="K917" s="722">
        <f>G917*D917</f>
        <v/>
      </c>
      <c r="L917" s="710" t="n"/>
      <c r="M917" s="392" t="n"/>
    </row>
    <row r="918" ht="17.25" customHeight="1" s="436">
      <c r="A918" s="30" t="n">
        <v>43510</v>
      </c>
      <c r="B918" s="31" t="inlineStr">
        <is>
          <t>6286</t>
        </is>
      </c>
      <c r="C918" s="35" t="n"/>
      <c r="D918" s="36" t="n">
        <v>98</v>
      </c>
      <c r="E918" s="36" t="n"/>
      <c r="F918" s="37" t="n"/>
      <c r="G918" s="37" t="n"/>
      <c r="H918" s="33">
        <f>H917-G918</f>
        <v/>
      </c>
      <c r="I918" s="36" t="n"/>
      <c r="J918" s="711" t="n"/>
      <c r="K918" s="722">
        <f>G918*D918</f>
        <v/>
      </c>
      <c r="L918" s="710" t="n"/>
      <c r="M918" s="392" t="n"/>
    </row>
    <row r="919" ht="17.25" customHeight="1" s="436">
      <c r="A919" s="30" t="n">
        <v>43511</v>
      </c>
      <c r="B919" s="31" t="inlineStr">
        <is>
          <t>6287</t>
        </is>
      </c>
      <c r="C919" s="35" t="n"/>
      <c r="D919" s="36" t="n">
        <v>99</v>
      </c>
      <c r="E919" s="36" t="n"/>
      <c r="F919" s="37" t="n"/>
      <c r="G919" s="37" t="n"/>
      <c r="H919" s="33">
        <f>H918-G919</f>
        <v/>
      </c>
      <c r="I919" s="36" t="n"/>
      <c r="J919" s="711" t="n"/>
      <c r="K919" s="722">
        <f>G919*D919</f>
        <v/>
      </c>
      <c r="L919" s="710" t="n"/>
      <c r="M919" s="392" t="n"/>
    </row>
    <row r="920" ht="17.25" customHeight="1" s="436">
      <c r="A920" s="30" t="n">
        <v>43512</v>
      </c>
      <c r="B920" s="31" t="inlineStr">
        <is>
          <t>6288</t>
        </is>
      </c>
      <c r="C920" s="35" t="n"/>
      <c r="D920" s="36" t="n">
        <v>100</v>
      </c>
      <c r="E920" s="36" t="n"/>
      <c r="F920" s="37" t="n"/>
      <c r="G920" s="37" t="n"/>
      <c r="H920" s="33">
        <f>H919-G920</f>
        <v/>
      </c>
      <c r="I920" s="36" t="n"/>
      <c r="J920" s="711" t="n"/>
      <c r="K920" s="722">
        <f>G920*D920</f>
        <v/>
      </c>
      <c r="L920" s="710" t="n"/>
      <c r="M920" s="392" t="n"/>
    </row>
    <row r="921" ht="17.25" customHeight="1" s="436">
      <c r="A921" s="30" t="n">
        <v>43513</v>
      </c>
      <c r="B921" s="31" t="inlineStr">
        <is>
          <t>6289</t>
        </is>
      </c>
      <c r="C921" s="35" t="n"/>
      <c r="D921" s="36" t="n">
        <v>101</v>
      </c>
      <c r="E921" s="36" t="n"/>
      <c r="F921" s="37" t="n"/>
      <c r="G921" s="37" t="n"/>
      <c r="H921" s="33">
        <f>H920-G921</f>
        <v/>
      </c>
      <c r="I921" s="36" t="n"/>
      <c r="J921" s="711" t="n"/>
      <c r="K921" s="722">
        <f>G921*D921</f>
        <v/>
      </c>
      <c r="L921" s="710" t="n"/>
      <c r="M921" s="392" t="n"/>
    </row>
    <row r="922"/>
    <row r="923"/>
    <row r="924"/>
    <row r="925"/>
    <row r="926"/>
    <row r="927"/>
    <row r="928" ht="15.75" customHeight="1" s="436" thickBot="1"/>
    <row r="929" ht="27" customHeight="1" s="436" thickBot="1">
      <c r="A929" s="720" t="inlineStr">
        <is>
          <t xml:space="preserve"> FARINHA DE TRIGO TIPO: 1 - 25 KG</t>
        </is>
      </c>
      <c r="B929" s="697" t="n"/>
      <c r="C929" s="697" t="n"/>
      <c r="D929" s="697" t="n"/>
      <c r="E929" s="697" t="n"/>
      <c r="F929" s="697" t="n"/>
      <c r="G929" s="697" t="n"/>
      <c r="H929" s="697" t="n"/>
      <c r="I929" s="697" t="n"/>
      <c r="J929" s="697" t="n"/>
      <c r="K929" s="697" t="n"/>
      <c r="L929" s="697" t="n"/>
      <c r="M929" s="698" t="n"/>
    </row>
    <row r="930">
      <c r="A930" s="643" t="inlineStr">
        <is>
          <t>DATA</t>
        </is>
      </c>
      <c r="B930" s="633" t="inlineStr">
        <is>
          <t>N.F.</t>
        </is>
      </c>
      <c r="C930" s="633" t="inlineStr">
        <is>
          <t>TIPO</t>
        </is>
      </c>
      <c r="D930" s="633" t="inlineStr">
        <is>
          <t>PREÇO UNITÁRIO</t>
        </is>
      </c>
      <c r="E930" s="701" t="n"/>
      <c r="F930" s="633" t="inlineStr">
        <is>
          <t>QUANTIDADE / KG</t>
        </is>
      </c>
      <c r="H930" s="701" t="n"/>
      <c r="I930" s="632" t="inlineStr">
        <is>
          <t>PREÇO</t>
        </is>
      </c>
      <c r="J930" s="632" t="inlineStr">
        <is>
          <t>VALORES</t>
        </is>
      </c>
      <c r="L930" s="701" t="n"/>
      <c r="M930" s="649" t="n"/>
    </row>
    <row r="931" ht="15.75" customHeight="1" s="436" thickBot="1">
      <c r="A931" s="703" t="n"/>
      <c r="B931" s="704" t="n"/>
      <c r="C931" s="704" t="n"/>
      <c r="D931" s="703" t="n"/>
      <c r="E931" s="701" t="n"/>
      <c r="F931" s="705" t="n"/>
      <c r="G931" s="706" t="n"/>
      <c r="H931" s="707" t="n"/>
      <c r="I931" s="704" t="n"/>
      <c r="J931" s="703" t="n"/>
      <c r="L931" s="701" t="n"/>
      <c r="M931" s="704" t="n"/>
    </row>
    <row r="932" ht="15.75" customHeight="1" s="436" thickBot="1">
      <c r="A932" s="703" t="n"/>
      <c r="B932" s="704" t="n"/>
      <c r="C932" s="704" t="n"/>
      <c r="D932" s="705" t="n"/>
      <c r="E932" s="707" t="n"/>
      <c r="F932" s="3" t="inlineStr">
        <is>
          <t>ENTRADA</t>
        </is>
      </c>
      <c r="G932" s="3" t="inlineStr">
        <is>
          <t>SAÍDA</t>
        </is>
      </c>
      <c r="H932" s="640" t="n"/>
      <c r="I932" s="633" t="inlineStr">
        <is>
          <t>MÉDIO</t>
        </is>
      </c>
      <c r="J932" s="652" t="inlineStr">
        <is>
          <t>SALDO EM 30/11/2017</t>
        </is>
      </c>
      <c r="K932" s="706" t="n"/>
      <c r="L932" s="17" t="n"/>
      <c r="M932" s="704" t="n"/>
    </row>
    <row r="933" ht="18" customHeight="1" s="436" thickBot="1">
      <c r="A933" s="705" t="n"/>
      <c r="B933" s="695" t="n"/>
      <c r="C933" s="695" t="n"/>
      <c r="D933" s="3" t="inlineStr">
        <is>
          <t>C/ICMS</t>
        </is>
      </c>
      <c r="E933" s="3" t="inlineStr">
        <is>
          <t>S/ICMS</t>
        </is>
      </c>
      <c r="F933" s="695" t="n"/>
      <c r="G933" s="695" t="n"/>
      <c r="H933" s="84" t="inlineStr">
        <is>
          <t>Saldo em 28/02/19</t>
        </is>
      </c>
      <c r="I933" s="695" t="n"/>
      <c r="J933" s="645" t="inlineStr">
        <is>
          <t>ENTRADA</t>
        </is>
      </c>
      <c r="K933" s="633" t="inlineStr">
        <is>
          <t>SAÍDA / CMV</t>
        </is>
      </c>
      <c r="L933" s="643" t="inlineStr">
        <is>
          <t>SALDO</t>
        </is>
      </c>
      <c r="M933" s="392" t="n"/>
    </row>
    <row r="934" ht="17.25" customHeight="1" s="436">
      <c r="A934" s="30" t="inlineStr">
        <is>
          <t>As</t>
        </is>
      </c>
      <c r="B934" s="31" t="n"/>
      <c r="C934" s="35" t="n"/>
      <c r="D934" s="36" t="n"/>
      <c r="E934" s="36" t="n"/>
      <c r="F934" s="37" t="n"/>
      <c r="G934" s="37" t="n">
        <v>0</v>
      </c>
      <c r="H934" s="37" t="n"/>
      <c r="I934" s="36" t="n"/>
      <c r="J934" s="711">
        <f>F934*I934</f>
        <v/>
      </c>
      <c r="K934" s="721" t="n">
        <v>0</v>
      </c>
      <c r="L934" s="710">
        <f>J934-K934</f>
        <v/>
      </c>
      <c r="M934" s="392" t="n"/>
    </row>
    <row r="935" ht="17.25" customHeight="1" s="436">
      <c r="A935" s="92" t="n">
        <v>43525</v>
      </c>
      <c r="B935" s="93" t="n"/>
      <c r="C935" s="93" t="n"/>
      <c r="D935" s="94" t="n"/>
      <c r="E935" s="94" t="n"/>
      <c r="F935" s="95" t="n"/>
      <c r="G935" s="95" t="n"/>
      <c r="H935" s="95" t="n">
        <v>3245</v>
      </c>
      <c r="I935" s="32" t="n"/>
      <c r="J935" s="711" t="n"/>
      <c r="K935" s="722" t="n"/>
      <c r="L935" s="710" t="n"/>
      <c r="M935" s="392" t="n"/>
    </row>
    <row r="936" ht="17.25" customHeight="1" s="436">
      <c r="A936" s="89" t="n">
        <v>43530</v>
      </c>
      <c r="B936" s="31" t="inlineStr">
        <is>
          <t>6371</t>
        </is>
      </c>
      <c r="C936" s="31" t="n"/>
      <c r="D936" s="32" t="n">
        <v>47</v>
      </c>
      <c r="E936" s="32" t="n"/>
      <c r="F936" s="33" t="n"/>
      <c r="G936" s="33" t="n">
        <v>50</v>
      </c>
      <c r="H936" s="33">
        <f>H935-G936</f>
        <v/>
      </c>
      <c r="I936" s="32" t="n"/>
      <c r="J936" s="711" t="n"/>
      <c r="K936" s="722" t="n"/>
      <c r="L936" s="710" t="n"/>
      <c r="M936" s="392" t="n"/>
    </row>
    <row r="937" ht="17.25" customHeight="1" s="436">
      <c r="A937" s="30" t="n">
        <v>43530</v>
      </c>
      <c r="B937" s="31" t="inlineStr">
        <is>
          <t>6372</t>
        </is>
      </c>
      <c r="C937" s="35" t="n"/>
      <c r="D937" s="36" t="n">
        <v>57</v>
      </c>
      <c r="E937" s="36" t="n"/>
      <c r="F937" s="37" t="n"/>
      <c r="G937" s="37" t="n">
        <v>25</v>
      </c>
      <c r="H937" s="33">
        <f>H936-G937</f>
        <v/>
      </c>
      <c r="I937" s="36" t="n"/>
      <c r="J937" s="711" t="n"/>
      <c r="K937" s="722">
        <f>G937*D937</f>
        <v/>
      </c>
      <c r="L937" s="710" t="n"/>
      <c r="M937" s="392" t="n"/>
    </row>
    <row r="938" ht="17.25" customHeight="1" s="436">
      <c r="A938" s="30" t="n">
        <v>43530</v>
      </c>
      <c r="B938" s="31" t="inlineStr">
        <is>
          <t>6373</t>
        </is>
      </c>
      <c r="C938" s="35" t="n"/>
      <c r="D938" s="36" t="n">
        <v>57</v>
      </c>
      <c r="E938" s="36" t="n"/>
      <c r="F938" s="37" t="n"/>
      <c r="G938" s="101" t="n">
        <v>25</v>
      </c>
      <c r="H938" s="33">
        <f>H937-G938</f>
        <v/>
      </c>
      <c r="I938" s="36" t="n"/>
      <c r="J938" s="711" t="n"/>
      <c r="K938" s="722">
        <f>G938*D938</f>
        <v/>
      </c>
      <c r="L938" s="710" t="n"/>
      <c r="M938" s="392" t="n"/>
    </row>
    <row r="939" ht="17.25" customHeight="1" s="436">
      <c r="A939" s="30" t="n">
        <v>43530</v>
      </c>
      <c r="B939" s="31" t="inlineStr">
        <is>
          <t>6374</t>
        </is>
      </c>
      <c r="C939" s="35" t="n"/>
      <c r="D939" s="36" t="n">
        <v>50</v>
      </c>
      <c r="E939" s="36" t="n"/>
      <c r="F939" s="37" t="n"/>
      <c r="G939" s="37" t="n">
        <v>10</v>
      </c>
      <c r="H939" s="33">
        <f>H938-G939</f>
        <v/>
      </c>
      <c r="I939" s="36" t="n"/>
      <c r="J939" s="711" t="n"/>
      <c r="K939" s="722">
        <f>G939*D939</f>
        <v/>
      </c>
      <c r="L939" s="710" t="n"/>
      <c r="M939" s="392" t="n"/>
    </row>
    <row r="940">
      <c r="A940" s="30" t="n">
        <v>43530</v>
      </c>
      <c r="B940" s="31" t="inlineStr">
        <is>
          <t>6375</t>
        </is>
      </c>
      <c r="C940" s="35" t="n"/>
      <c r="D940" s="36" t="n">
        <v>56</v>
      </c>
      <c r="E940" s="36" t="n"/>
      <c r="F940" s="37" t="n"/>
      <c r="G940" s="37" t="n">
        <v>10</v>
      </c>
      <c r="H940" s="33">
        <f>H939-G940</f>
        <v/>
      </c>
      <c r="I940" s="36" t="n"/>
      <c r="J940" s="711" t="n"/>
      <c r="K940" s="709">
        <f>G940*D940</f>
        <v/>
      </c>
      <c r="L940" s="710" t="n"/>
      <c r="M940" s="392" t="n"/>
    </row>
    <row r="941" ht="17.25" customHeight="1" s="436">
      <c r="A941" s="30" t="n">
        <v>43531</v>
      </c>
      <c r="B941" s="31" t="inlineStr">
        <is>
          <t>6376</t>
        </is>
      </c>
      <c r="C941" s="35" t="n"/>
      <c r="D941" s="36" t="n">
        <v>54</v>
      </c>
      <c r="E941" s="36" t="n"/>
      <c r="F941" s="37" t="n"/>
      <c r="G941" s="37" t="n">
        <v>10</v>
      </c>
      <c r="H941" s="33">
        <f>H940-G941</f>
        <v/>
      </c>
      <c r="I941" s="36" t="n"/>
      <c r="J941" s="711" t="n"/>
      <c r="K941" s="722">
        <f>G941*D941</f>
        <v/>
      </c>
      <c r="L941" s="710" t="n"/>
      <c r="M941" s="392" t="n"/>
    </row>
    <row r="942" ht="17.25" customHeight="1" s="436">
      <c r="A942" s="30" t="n">
        <v>43531</v>
      </c>
      <c r="B942" s="31" t="inlineStr">
        <is>
          <t>6377</t>
        </is>
      </c>
      <c r="C942" s="35" t="n"/>
      <c r="D942" s="36" t="n">
        <v>56.7</v>
      </c>
      <c r="E942" s="36" t="n"/>
      <c r="F942" s="37" t="n"/>
      <c r="G942" s="37" t="n">
        <v>30</v>
      </c>
      <c r="H942" s="33">
        <f>H941-G942</f>
        <v/>
      </c>
      <c r="I942" s="36" t="n"/>
      <c r="J942" s="711" t="n"/>
      <c r="K942" s="722">
        <f>G942*D942</f>
        <v/>
      </c>
      <c r="L942" s="710" t="n"/>
      <c r="M942" s="392" t="n"/>
    </row>
    <row r="943" ht="17.25" customHeight="1" s="436">
      <c r="A943" s="30" t="n">
        <v>43531</v>
      </c>
      <c r="B943" s="31" t="inlineStr">
        <is>
          <t>6378</t>
        </is>
      </c>
      <c r="C943" s="35" t="n"/>
      <c r="D943" s="36" t="n">
        <v>57</v>
      </c>
      <c r="E943" s="36" t="n"/>
      <c r="F943" s="37" t="n"/>
      <c r="G943" s="37" t="n">
        <v>30</v>
      </c>
      <c r="H943" s="33">
        <f>H942-G943</f>
        <v/>
      </c>
      <c r="I943" s="36" t="n"/>
      <c r="J943" s="711" t="n"/>
      <c r="K943" s="722">
        <f>G943*D943</f>
        <v/>
      </c>
      <c r="L943" s="710" t="n"/>
      <c r="M943" s="392" t="n"/>
    </row>
    <row r="944" ht="17.25" customHeight="1" s="436">
      <c r="A944" s="30" t="n">
        <v>43531</v>
      </c>
      <c r="B944" s="31" t="inlineStr">
        <is>
          <t>6379</t>
        </is>
      </c>
      <c r="C944" s="35" t="n"/>
      <c r="D944" s="36" t="n">
        <v>60</v>
      </c>
      <c r="E944" s="36" t="n"/>
      <c r="F944" s="37" t="n"/>
      <c r="G944" s="37" t="n">
        <v>20</v>
      </c>
      <c r="H944" s="33">
        <f>H943-G944</f>
        <v/>
      </c>
      <c r="I944" s="36" t="n"/>
      <c r="J944" s="711" t="n"/>
      <c r="K944" s="722">
        <f>G944*D944</f>
        <v/>
      </c>
      <c r="L944" s="710" t="n"/>
      <c r="M944" s="392" t="n"/>
    </row>
    <row r="945" ht="17.25" customHeight="1" s="436">
      <c r="A945" s="30" t="n">
        <v>43533</v>
      </c>
      <c r="B945" s="31" t="inlineStr">
        <is>
          <t>6380</t>
        </is>
      </c>
      <c r="C945" s="35" t="n"/>
      <c r="D945" s="36" t="n">
        <v>50</v>
      </c>
      <c r="E945" s="36" t="n"/>
      <c r="F945" s="37" t="n"/>
      <c r="G945" s="37" t="n">
        <v>50</v>
      </c>
      <c r="H945" s="33">
        <f>H944-G945</f>
        <v/>
      </c>
      <c r="I945" s="36" t="n"/>
      <c r="J945" s="711" t="n"/>
      <c r="K945" s="722">
        <f>G945*D945</f>
        <v/>
      </c>
      <c r="L945" s="710" t="n"/>
      <c r="M945" s="392" t="n"/>
    </row>
    <row r="946" ht="17.25" customHeight="1" s="436">
      <c r="A946" s="30" t="n">
        <v>43533</v>
      </c>
      <c r="B946" s="31" t="inlineStr">
        <is>
          <t>6381</t>
        </is>
      </c>
      <c r="C946" s="35" t="n"/>
      <c r="D946" s="36" t="n">
        <v>58</v>
      </c>
      <c r="E946" s="36" t="n"/>
      <c r="F946" s="37" t="n"/>
      <c r="G946" s="37" t="n">
        <v>25</v>
      </c>
      <c r="H946" s="33">
        <f>H945-G946</f>
        <v/>
      </c>
      <c r="I946" s="36" t="n"/>
      <c r="J946" s="711" t="n"/>
      <c r="K946" s="722">
        <f>G946*D946</f>
        <v/>
      </c>
      <c r="L946" s="710" t="n"/>
      <c r="M946" s="392" t="n"/>
    </row>
    <row r="947" ht="17.25" customHeight="1" s="436">
      <c r="A947" s="30" t="n">
        <v>43536</v>
      </c>
      <c r="B947" s="31" t="inlineStr">
        <is>
          <t>6382</t>
        </is>
      </c>
      <c r="C947" s="35" t="n"/>
      <c r="D947" s="36" t="n">
        <v>50</v>
      </c>
      <c r="E947" s="36" t="n"/>
      <c r="F947" s="37" t="n"/>
      <c r="G947" s="37" t="n">
        <v>20</v>
      </c>
      <c r="H947" s="33">
        <f>H946-G947</f>
        <v/>
      </c>
      <c r="I947" s="36" t="n"/>
      <c r="J947" s="711" t="n"/>
      <c r="K947" s="722">
        <f>G947*D947</f>
        <v/>
      </c>
      <c r="L947" s="710" t="n"/>
      <c r="M947" s="392" t="n"/>
    </row>
    <row r="948" ht="17.25" customHeight="1" s="436">
      <c r="A948" s="30" t="n">
        <v>43536</v>
      </c>
      <c r="B948" s="31" t="inlineStr">
        <is>
          <t>6383</t>
        </is>
      </c>
      <c r="C948" s="35" t="n"/>
      <c r="D948" s="36" t="n">
        <v>50</v>
      </c>
      <c r="E948" s="36" t="n"/>
      <c r="F948" s="37" t="n"/>
      <c r="G948" s="37" t="n">
        <v>10</v>
      </c>
      <c r="H948" s="33">
        <f>H947-G948</f>
        <v/>
      </c>
      <c r="I948" s="36" t="n"/>
      <c r="J948" s="711" t="n"/>
      <c r="K948" s="722">
        <f>G948*D948</f>
        <v/>
      </c>
      <c r="L948" s="710" t="n"/>
      <c r="M948" s="392" t="n"/>
    </row>
    <row r="949" ht="17.25" customHeight="1" s="436">
      <c r="A949" s="30" t="n">
        <v>43536</v>
      </c>
      <c r="B949" s="31" t="inlineStr">
        <is>
          <t>6386</t>
        </is>
      </c>
      <c r="C949" s="35" t="n"/>
      <c r="D949" s="36" t="n">
        <v>48</v>
      </c>
      <c r="E949" s="36" t="n"/>
      <c r="F949" s="37" t="n"/>
      <c r="G949" s="37" t="n">
        <v>50</v>
      </c>
      <c r="H949" s="33">
        <f>H948-G949</f>
        <v/>
      </c>
      <c r="I949" s="36" t="n"/>
      <c r="J949" s="711" t="n"/>
      <c r="K949" s="722">
        <f>G949*D949</f>
        <v/>
      </c>
      <c r="L949" s="710" t="n"/>
      <c r="M949" s="392" t="n"/>
    </row>
    <row r="950" ht="17.25" customHeight="1" s="436">
      <c r="A950" s="30" t="n">
        <v>43536</v>
      </c>
      <c r="B950" s="31" t="inlineStr">
        <is>
          <t>6389</t>
        </is>
      </c>
      <c r="C950" s="35" t="n"/>
      <c r="D950" s="36" t="n">
        <v>60</v>
      </c>
      <c r="E950" s="36" t="n"/>
      <c r="F950" s="37" t="n"/>
      <c r="G950" s="37" t="n">
        <v>20</v>
      </c>
      <c r="H950" s="33">
        <f>H949-G950</f>
        <v/>
      </c>
      <c r="I950" s="36" t="n"/>
      <c r="J950" s="711" t="n"/>
      <c r="K950" s="722">
        <f>G950*D950</f>
        <v/>
      </c>
      <c r="L950" s="710" t="n"/>
      <c r="M950" s="392" t="n"/>
    </row>
    <row r="951" ht="17.25" customHeight="1" s="436">
      <c r="A951" s="30" t="n">
        <v>43538</v>
      </c>
      <c r="B951" s="31" t="inlineStr">
        <is>
          <t>6391</t>
        </is>
      </c>
      <c r="C951" s="35" t="n"/>
      <c r="D951" s="36" t="n">
        <v>57</v>
      </c>
      <c r="E951" s="36" t="n"/>
      <c r="F951" s="37" t="n"/>
      <c r="G951" s="37" t="n">
        <v>30</v>
      </c>
      <c r="H951" s="33">
        <f>H950-G951</f>
        <v/>
      </c>
      <c r="I951" s="36" t="n"/>
      <c r="J951" s="711" t="n"/>
      <c r="K951" s="722">
        <f>G951*D951</f>
        <v/>
      </c>
      <c r="L951" s="710" t="n"/>
      <c r="M951" s="392" t="n"/>
    </row>
    <row r="952" ht="17.25" customHeight="1" s="436">
      <c r="A952" s="30" t="n">
        <v>43541</v>
      </c>
      <c r="B952" s="31" t="inlineStr">
        <is>
          <t>6392</t>
        </is>
      </c>
      <c r="C952" s="35" t="n"/>
      <c r="D952" s="36" t="n">
        <v>50</v>
      </c>
      <c r="E952" s="36" t="n"/>
      <c r="F952" s="37" t="n"/>
      <c r="G952" s="101" t="n">
        <v>100</v>
      </c>
      <c r="H952" s="33">
        <f>H951-G952</f>
        <v/>
      </c>
      <c r="I952" s="36" t="n"/>
      <c r="J952" s="711" t="n"/>
      <c r="K952" s="722">
        <f>G952*D952</f>
        <v/>
      </c>
      <c r="L952" s="710" t="n"/>
      <c r="M952" s="392" t="n"/>
    </row>
    <row r="953" ht="17.25" customHeight="1" s="436">
      <c r="A953" s="30" t="n">
        <v>43541</v>
      </c>
      <c r="B953" s="31" t="inlineStr">
        <is>
          <t>6393</t>
        </is>
      </c>
      <c r="C953" s="35" t="n"/>
      <c r="D953" s="36" t="n">
        <v>50</v>
      </c>
      <c r="E953" s="36" t="n"/>
      <c r="F953" s="37" t="n"/>
      <c r="G953" s="37" t="n">
        <v>50</v>
      </c>
      <c r="H953" s="33">
        <f>H952-G953</f>
        <v/>
      </c>
      <c r="I953" s="36" t="n"/>
      <c r="J953" s="711" t="n"/>
      <c r="K953" s="722">
        <f>G953*D953</f>
        <v/>
      </c>
      <c r="L953" s="710" t="n"/>
      <c r="M953" s="392" t="n"/>
    </row>
    <row r="954" ht="17.25" customHeight="1" s="436">
      <c r="A954" s="30" t="n">
        <v>43542</v>
      </c>
      <c r="B954" s="31" t="inlineStr">
        <is>
          <t>6394</t>
        </is>
      </c>
      <c r="C954" s="35" t="n"/>
      <c r="D954" s="36" t="n">
        <v>52</v>
      </c>
      <c r="E954" s="36" t="n"/>
      <c r="F954" s="37" t="n"/>
      <c r="G954" s="37" t="n">
        <v>100</v>
      </c>
      <c r="H954" s="33">
        <f>H953-G954</f>
        <v/>
      </c>
      <c r="I954" s="36" t="n"/>
      <c r="J954" s="711" t="n"/>
      <c r="K954" s="722">
        <f>G954*D954</f>
        <v/>
      </c>
      <c r="L954" s="710" t="n"/>
      <c r="M954" s="392" t="n"/>
    </row>
    <row r="955" ht="17.25" customHeight="1" s="436">
      <c r="A955" s="30" t="n">
        <v>43542</v>
      </c>
      <c r="B955" s="31" t="inlineStr">
        <is>
          <t>6395</t>
        </is>
      </c>
      <c r="C955" s="35" t="n"/>
      <c r="D955" s="36" t="n">
        <v>52</v>
      </c>
      <c r="E955" s="36" t="n"/>
      <c r="F955" s="37" t="n"/>
      <c r="G955" s="37" t="n">
        <v>25</v>
      </c>
      <c r="H955" s="33">
        <f>H954-G955</f>
        <v/>
      </c>
      <c r="I955" s="36" t="n"/>
      <c r="J955" s="711" t="n"/>
      <c r="K955" s="722">
        <f>G955*D955</f>
        <v/>
      </c>
      <c r="L955" s="710" t="n"/>
      <c r="M955" s="392" t="n"/>
    </row>
    <row r="956" ht="17.25" customHeight="1" s="436">
      <c r="A956" s="30" t="n">
        <v>43542</v>
      </c>
      <c r="B956" s="31" t="inlineStr">
        <is>
          <t>6396</t>
        </is>
      </c>
      <c r="C956" s="35" t="n"/>
      <c r="D956" s="36" t="n">
        <v>52</v>
      </c>
      <c r="E956" s="36" t="n"/>
      <c r="F956" s="37" t="n"/>
      <c r="G956" s="37" t="n">
        <v>35</v>
      </c>
      <c r="H956" s="33">
        <f>H955-G956</f>
        <v/>
      </c>
      <c r="I956" s="36" t="n"/>
      <c r="J956" s="711" t="n"/>
      <c r="K956" s="722">
        <f>G956*D956</f>
        <v/>
      </c>
      <c r="L956" s="710" t="n"/>
      <c r="M956" s="392" t="n"/>
    </row>
    <row r="957" ht="17.25" customHeight="1" s="436">
      <c r="A957" s="30" t="n">
        <v>43542</v>
      </c>
      <c r="B957" s="31" t="inlineStr">
        <is>
          <t>6398</t>
        </is>
      </c>
      <c r="C957" s="35" t="n"/>
      <c r="D957" s="36" t="n">
        <v>52.5</v>
      </c>
      <c r="E957" s="36" t="n"/>
      <c r="F957" s="37" t="n"/>
      <c r="G957" s="37" t="n">
        <v>40</v>
      </c>
      <c r="H957" s="33">
        <f>H956-G957</f>
        <v/>
      </c>
      <c r="I957" s="36" t="n"/>
      <c r="J957" s="711" t="n"/>
      <c r="K957" s="722">
        <f>G957*D957</f>
        <v/>
      </c>
      <c r="L957" s="710" t="n"/>
      <c r="M957" s="392" t="n"/>
    </row>
    <row r="958" ht="17.25" customHeight="1" s="436">
      <c r="A958" s="30" t="n">
        <v>43542</v>
      </c>
      <c r="B958" s="31" t="inlineStr">
        <is>
          <t>6399</t>
        </is>
      </c>
      <c r="C958" s="35" t="n"/>
      <c r="D958" s="36" t="n">
        <v>56</v>
      </c>
      <c r="E958" s="36" t="n"/>
      <c r="F958" s="37" t="n"/>
      <c r="G958" s="37" t="n">
        <v>20</v>
      </c>
      <c r="H958" s="33">
        <f>H957-G958</f>
        <v/>
      </c>
      <c r="I958" s="36" t="n"/>
      <c r="J958" s="711" t="n"/>
      <c r="K958" s="722">
        <f>G958*D958</f>
        <v/>
      </c>
      <c r="L958" s="710" t="n"/>
      <c r="M958" s="392" t="n"/>
    </row>
    <row r="959" ht="17.25" customHeight="1" s="436">
      <c r="A959" s="92" t="n">
        <v>43544</v>
      </c>
      <c r="B959" s="93" t="inlineStr">
        <is>
          <t>2442</t>
        </is>
      </c>
      <c r="C959" s="96" t="n"/>
      <c r="D959" s="97" t="n">
        <v>34.2</v>
      </c>
      <c r="E959" s="97" t="n"/>
      <c r="F959" s="98" t="n">
        <v>150</v>
      </c>
      <c r="G959" s="98" t="n"/>
      <c r="H959" s="95" t="n">
        <v>2610</v>
      </c>
      <c r="I959" s="36" t="n"/>
      <c r="J959" s="711" t="n"/>
      <c r="K959" s="722" t="n"/>
      <c r="L959" s="710" t="n"/>
      <c r="M959" s="392" t="n"/>
    </row>
    <row r="960" ht="17.25" customHeight="1" s="436">
      <c r="A960" s="92" t="n">
        <v>43544</v>
      </c>
      <c r="B960" s="93" t="inlineStr">
        <is>
          <t>2442</t>
        </is>
      </c>
      <c r="C960" s="96" t="n"/>
      <c r="D960" s="97" t="n">
        <v>44.5</v>
      </c>
      <c r="E960" s="97" t="n"/>
      <c r="F960" s="98" t="n">
        <v>50</v>
      </c>
      <c r="G960" s="98" t="n"/>
      <c r="H960" s="95" t="n">
        <v>2660</v>
      </c>
      <c r="I960" s="36" t="n"/>
      <c r="J960" s="711" t="n"/>
      <c r="K960" s="722" t="n"/>
      <c r="L960" s="710" t="n"/>
      <c r="M960" s="392" t="n"/>
    </row>
    <row r="961" ht="17.25" customHeight="1" s="436">
      <c r="A961" s="30" t="n">
        <v>43546</v>
      </c>
      <c r="B961" s="31" t="inlineStr">
        <is>
          <t>6400</t>
        </is>
      </c>
      <c r="C961" s="35" t="n"/>
      <c r="D961" s="36" t="n">
        <v>51</v>
      </c>
      <c r="E961" s="36" t="n"/>
      <c r="F961" s="37" t="n"/>
      <c r="G961" s="37" t="n">
        <v>30</v>
      </c>
      <c r="H961" s="33">
        <f>H960-G961</f>
        <v/>
      </c>
      <c r="I961" s="36" t="n"/>
      <c r="J961" s="711" t="n"/>
      <c r="K961" s="722">
        <f>G961*D961</f>
        <v/>
      </c>
      <c r="L961" s="710" t="n"/>
      <c r="M961" s="392" t="n"/>
    </row>
    <row r="962" ht="17.25" customHeight="1" s="436">
      <c r="A962" s="30" t="n">
        <v>43546</v>
      </c>
      <c r="B962" s="31" t="inlineStr">
        <is>
          <t>6401</t>
        </is>
      </c>
      <c r="C962" s="35" t="n"/>
      <c r="D962" s="36" t="n">
        <v>50</v>
      </c>
      <c r="E962" s="36" t="n"/>
      <c r="F962" s="37" t="n"/>
      <c r="G962" s="37" t="n">
        <v>50</v>
      </c>
      <c r="H962" s="33">
        <f>H961-G962</f>
        <v/>
      </c>
      <c r="I962" s="36" t="n"/>
      <c r="J962" s="711" t="n"/>
      <c r="K962" s="722">
        <f>G962*D962</f>
        <v/>
      </c>
      <c r="L962" s="710" t="n"/>
      <c r="M962" s="392" t="n"/>
    </row>
    <row r="963" ht="17.25" customHeight="1" s="436">
      <c r="A963" s="30" t="n">
        <v>43548</v>
      </c>
      <c r="B963" s="31" t="inlineStr">
        <is>
          <t>6402</t>
        </is>
      </c>
      <c r="C963" s="35" t="n"/>
      <c r="D963" s="36" t="n">
        <v>57.5</v>
      </c>
      <c r="E963" s="36" t="n"/>
      <c r="F963" s="37" t="n"/>
      <c r="G963" s="37" t="n">
        <v>40</v>
      </c>
      <c r="H963" s="33">
        <f>H962-G963</f>
        <v/>
      </c>
      <c r="I963" s="36" t="n"/>
      <c r="J963" s="711" t="n"/>
      <c r="K963" s="722">
        <f>G963*D963</f>
        <v/>
      </c>
      <c r="L963" s="710" t="n"/>
      <c r="M963" s="392" t="n"/>
    </row>
    <row r="964" ht="17.25" customHeight="1" s="436">
      <c r="A964" s="30" t="n">
        <v>43548</v>
      </c>
      <c r="B964" s="31" t="inlineStr">
        <is>
          <t>6404</t>
        </is>
      </c>
      <c r="C964" s="35" t="n"/>
      <c r="D964" s="36" t="n">
        <v>57</v>
      </c>
      <c r="E964" s="36" t="n"/>
      <c r="F964" s="37" t="n"/>
      <c r="G964" s="37" t="n">
        <v>25</v>
      </c>
      <c r="H964" s="33">
        <f>H963-G964</f>
        <v/>
      </c>
      <c r="I964" s="36" t="n"/>
      <c r="J964" s="711" t="n"/>
      <c r="K964" s="722">
        <f>G964*D964</f>
        <v/>
      </c>
      <c r="L964" s="710" t="n"/>
      <c r="M964" s="392" t="n"/>
    </row>
    <row r="965" ht="17.25" customHeight="1" s="436">
      <c r="A965" s="30" t="n">
        <v>43548</v>
      </c>
      <c r="B965" s="31" t="inlineStr">
        <is>
          <t>6405</t>
        </is>
      </c>
      <c r="C965" s="35" t="n"/>
      <c r="D965" s="36" t="n">
        <v>57</v>
      </c>
      <c r="E965" s="36" t="n"/>
      <c r="F965" s="37" t="n"/>
      <c r="G965" s="37" t="n">
        <v>20</v>
      </c>
      <c r="H965" s="33">
        <f>H964-G965</f>
        <v/>
      </c>
      <c r="I965" s="36" t="n"/>
      <c r="J965" s="711" t="n"/>
      <c r="K965" s="722">
        <f>G965*D965</f>
        <v/>
      </c>
      <c r="L965" s="710" t="n"/>
      <c r="M965" s="392" t="n"/>
    </row>
    <row r="966" ht="17.25" customHeight="1" s="436">
      <c r="A966" s="30" t="n">
        <v>43548</v>
      </c>
      <c r="B966" s="31" t="inlineStr">
        <is>
          <t>6406</t>
        </is>
      </c>
      <c r="C966" s="35" t="n"/>
      <c r="D966" s="36" t="n">
        <v>58</v>
      </c>
      <c r="E966" s="36" t="n"/>
      <c r="F966" s="37" t="n"/>
      <c r="G966" s="37" t="n">
        <v>60</v>
      </c>
      <c r="H966" s="33">
        <f>H965-G966</f>
        <v/>
      </c>
      <c r="I966" s="36" t="n"/>
      <c r="J966" s="711" t="n"/>
      <c r="K966" s="722">
        <f>G966*D966</f>
        <v/>
      </c>
      <c r="L966" s="710" t="n"/>
      <c r="M966" s="392" t="n"/>
    </row>
    <row r="967" ht="17.25" customHeight="1" s="436">
      <c r="A967" s="30" t="n">
        <v>43548</v>
      </c>
      <c r="B967" s="31" t="inlineStr">
        <is>
          <t>6407</t>
        </is>
      </c>
      <c r="C967" s="35" t="n"/>
      <c r="D967" s="36" t="n">
        <v>60</v>
      </c>
      <c r="E967" s="36" t="n"/>
      <c r="F967" s="37" t="n"/>
      <c r="G967" s="37" t="n">
        <v>20</v>
      </c>
      <c r="H967" s="33">
        <f>H966-G967</f>
        <v/>
      </c>
      <c r="I967" s="36" t="n"/>
      <c r="J967" s="711" t="n"/>
      <c r="K967" s="722">
        <f>G967*D967</f>
        <v/>
      </c>
      <c r="L967" s="710" t="n"/>
      <c r="M967" s="392" t="n"/>
    </row>
    <row r="968" ht="17.25" customHeight="1" s="436">
      <c r="A968" s="30" t="n">
        <v>43548</v>
      </c>
      <c r="B968" s="31" t="inlineStr">
        <is>
          <t>6411</t>
        </is>
      </c>
      <c r="C968" s="35" t="n"/>
      <c r="D968" s="36" t="n">
        <v>57</v>
      </c>
      <c r="E968" s="36" t="n"/>
      <c r="F968" s="37" t="n"/>
      <c r="G968" s="37" t="n">
        <v>60</v>
      </c>
      <c r="H968" s="33">
        <f>H967-G968</f>
        <v/>
      </c>
      <c r="I968" s="36" t="n"/>
      <c r="J968" s="711" t="n"/>
      <c r="K968" s="722">
        <f>G968*D968</f>
        <v/>
      </c>
      <c r="L968" s="710" t="n"/>
      <c r="M968" s="392" t="n"/>
    </row>
    <row r="969" ht="17.25" customHeight="1" s="436">
      <c r="A969" s="30" t="n">
        <v>43548</v>
      </c>
      <c r="B969" s="31" t="inlineStr">
        <is>
          <t>6412</t>
        </is>
      </c>
      <c r="C969" s="35" t="n"/>
      <c r="D969" s="36" t="n">
        <v>56</v>
      </c>
      <c r="E969" s="36" t="n"/>
      <c r="F969" s="37" t="n"/>
      <c r="G969" s="37" t="n">
        <v>25</v>
      </c>
      <c r="H969" s="33">
        <f>H968-G969</f>
        <v/>
      </c>
      <c r="I969" s="36" t="n"/>
      <c r="J969" s="711" t="n"/>
      <c r="K969" s="722">
        <f>G969*D969</f>
        <v/>
      </c>
      <c r="L969" s="710" t="n"/>
      <c r="M969" s="392" t="n"/>
    </row>
    <row r="970" ht="17.25" customHeight="1" s="436">
      <c r="A970" s="30" t="n">
        <v>43548</v>
      </c>
      <c r="B970" s="31" t="inlineStr">
        <is>
          <t>6413</t>
        </is>
      </c>
      <c r="C970" s="35" t="n"/>
      <c r="D970" s="36" t="n">
        <v>52</v>
      </c>
      <c r="E970" s="36" t="n"/>
      <c r="F970" s="37" t="n"/>
      <c r="G970" s="37" t="n">
        <v>25</v>
      </c>
      <c r="H970" s="33">
        <f>H969-G970</f>
        <v/>
      </c>
      <c r="I970" s="36" t="n"/>
      <c r="J970" s="711" t="n"/>
      <c r="K970" s="722">
        <f>G970*D970</f>
        <v/>
      </c>
      <c r="L970" s="710" t="n"/>
      <c r="M970" s="392" t="n"/>
    </row>
    <row r="971" ht="17.25" customHeight="1" s="436">
      <c r="A971" s="92" t="n">
        <v>43549</v>
      </c>
      <c r="B971" s="93" t="inlineStr">
        <is>
          <t>113365</t>
        </is>
      </c>
      <c r="C971" s="96" t="n"/>
      <c r="D971" s="97" t="n">
        <v>41.8</v>
      </c>
      <c r="E971" s="97" t="n"/>
      <c r="F971" s="98" t="n">
        <v>580</v>
      </c>
      <c r="G971" s="98" t="n"/>
      <c r="H971" s="95" t="n">
        <v>2885</v>
      </c>
      <c r="I971" s="36" t="n"/>
      <c r="J971" s="711" t="n"/>
      <c r="K971" s="722" t="n"/>
      <c r="L971" s="710" t="n"/>
      <c r="M971" s="392" t="n"/>
    </row>
    <row r="972" ht="17.25" customHeight="1" s="436">
      <c r="A972" s="30" t="n">
        <v>43551</v>
      </c>
      <c r="B972" s="31" t="inlineStr">
        <is>
          <t>6415</t>
        </is>
      </c>
      <c r="C972" s="35" t="n"/>
      <c r="D972" s="36" t="n">
        <v>57</v>
      </c>
      <c r="E972" s="36" t="n"/>
      <c r="F972" s="37" t="n"/>
      <c r="G972" s="37" t="n">
        <v>30</v>
      </c>
      <c r="H972" s="33">
        <f>H971-G972</f>
        <v/>
      </c>
      <c r="I972" s="36" t="n"/>
      <c r="J972" s="711" t="n"/>
      <c r="K972" s="722">
        <f>G972*D972</f>
        <v/>
      </c>
      <c r="L972" s="710" t="n"/>
      <c r="M972" s="392" t="n"/>
    </row>
    <row r="973" ht="17.25" customHeight="1" s="436">
      <c r="A973" s="30" t="n">
        <v>43551</v>
      </c>
      <c r="B973" s="31" t="inlineStr">
        <is>
          <t>6420</t>
        </is>
      </c>
      <c r="C973" s="35" t="n"/>
      <c r="D973" s="36" t="n">
        <v>57</v>
      </c>
      <c r="E973" s="36" t="n"/>
      <c r="F973" s="37" t="n"/>
      <c r="G973" s="37" t="n">
        <v>10</v>
      </c>
      <c r="H973" s="33">
        <f>H972-G973</f>
        <v/>
      </c>
      <c r="I973" s="36" t="n"/>
      <c r="J973" s="711" t="n"/>
      <c r="K973" s="722">
        <f>G973*D973</f>
        <v/>
      </c>
      <c r="L973" s="710" t="n"/>
      <c r="M973" s="392" t="n"/>
    </row>
    <row r="974" ht="17.25" customHeight="1" s="436">
      <c r="A974" s="30" t="n">
        <v>43551</v>
      </c>
      <c r="B974" s="31" t="inlineStr">
        <is>
          <t>6421</t>
        </is>
      </c>
      <c r="C974" s="35" t="n"/>
      <c r="D974" s="36" t="n">
        <v>50</v>
      </c>
      <c r="E974" s="36" t="n"/>
      <c r="F974" s="37" t="n"/>
      <c r="G974" s="37" t="n">
        <v>20</v>
      </c>
      <c r="H974" s="33">
        <f>H973-G974</f>
        <v/>
      </c>
      <c r="I974" s="36" t="n"/>
      <c r="J974" s="711" t="n"/>
      <c r="K974" s="722">
        <f>G974*D974</f>
        <v/>
      </c>
      <c r="L974" s="710" t="n"/>
      <c r="M974" s="392" t="n"/>
    </row>
    <row r="975" ht="17.25" customHeight="1" s="436">
      <c r="A975" s="30" t="n"/>
      <c r="B975" s="31" t="inlineStr">
        <is>
          <t>6349</t>
        </is>
      </c>
      <c r="C975" s="35" t="n"/>
      <c r="D975" s="36" t="n">
        <v>72</v>
      </c>
      <c r="E975" s="36" t="n"/>
      <c r="F975" s="37" t="n"/>
      <c r="G975" s="37" t="n"/>
      <c r="H975" s="33">
        <f>H974-G975</f>
        <v/>
      </c>
      <c r="I975" s="36" t="n"/>
      <c r="J975" s="711" t="n"/>
      <c r="K975" s="722">
        <f>G975*D975</f>
        <v/>
      </c>
      <c r="L975" s="710" t="n"/>
      <c r="M975" s="392" t="n"/>
    </row>
    <row r="976"/>
    <row r="977"/>
    <row r="978"/>
    <row r="979"/>
    <row r="980"/>
    <row r="981" ht="15.75" customHeight="1" s="436" thickBot="1"/>
    <row r="982" ht="27" customHeight="1" s="436" thickBot="1">
      <c r="A982" s="720" t="inlineStr">
        <is>
          <t xml:space="preserve"> FARINHA DE TRIGO TIPO: 1 - 25 KG</t>
        </is>
      </c>
      <c r="B982" s="697" t="n"/>
      <c r="C982" s="697" t="n"/>
      <c r="D982" s="697" t="n"/>
      <c r="E982" s="697" t="n"/>
      <c r="F982" s="697" t="n"/>
      <c r="G982" s="697" t="n"/>
      <c r="H982" s="697" t="n"/>
      <c r="I982" s="697" t="n"/>
      <c r="J982" s="697" t="n"/>
      <c r="K982" s="697" t="n"/>
      <c r="L982" s="697" t="n"/>
      <c r="M982" s="698" t="n"/>
    </row>
    <row r="983">
      <c r="A983" s="643" t="inlineStr">
        <is>
          <t>DATA</t>
        </is>
      </c>
      <c r="B983" s="633" t="inlineStr">
        <is>
          <t>N.F.</t>
        </is>
      </c>
      <c r="C983" s="633" t="inlineStr">
        <is>
          <t>TIPO</t>
        </is>
      </c>
      <c r="D983" s="633" t="inlineStr">
        <is>
          <t>PREÇO UNITÁRIO</t>
        </is>
      </c>
      <c r="E983" s="701" t="n"/>
      <c r="F983" s="633" t="inlineStr">
        <is>
          <t>QUANTIDADE / KG</t>
        </is>
      </c>
      <c r="H983" s="701" t="n"/>
      <c r="I983" s="632" t="inlineStr">
        <is>
          <t>PREÇO</t>
        </is>
      </c>
      <c r="J983" s="632" t="inlineStr">
        <is>
          <t>VALORES</t>
        </is>
      </c>
      <c r="L983" s="701" t="n"/>
      <c r="M983" s="649" t="n"/>
    </row>
    <row r="984" ht="15.75" customHeight="1" s="436" thickBot="1">
      <c r="A984" s="703" t="n"/>
      <c r="B984" s="704" t="n"/>
      <c r="C984" s="704" t="n"/>
      <c r="D984" s="703" t="n"/>
      <c r="E984" s="701" t="n"/>
      <c r="F984" s="705" t="n"/>
      <c r="G984" s="706" t="n"/>
      <c r="H984" s="707" t="n"/>
      <c r="I984" s="704" t="n"/>
      <c r="J984" s="703" t="n"/>
      <c r="L984" s="701" t="n"/>
      <c r="M984" s="704" t="n"/>
    </row>
    <row r="985" ht="15.75" customHeight="1" s="436" thickBot="1">
      <c r="A985" s="703" t="n"/>
      <c r="B985" s="704" t="n"/>
      <c r="C985" s="704" t="n"/>
      <c r="D985" s="705" t="n"/>
      <c r="E985" s="707" t="n"/>
      <c r="F985" s="3" t="inlineStr">
        <is>
          <t>ENTRADA</t>
        </is>
      </c>
      <c r="G985" s="3" t="inlineStr">
        <is>
          <t>SAÍDA</t>
        </is>
      </c>
      <c r="H985" s="640" t="n"/>
      <c r="I985" s="633" t="inlineStr">
        <is>
          <t>MÉDIO</t>
        </is>
      </c>
      <c r="J985" s="652" t="inlineStr">
        <is>
          <t>SALDO EM 30/11/2017</t>
        </is>
      </c>
      <c r="K985" s="706" t="n"/>
      <c r="L985" s="17" t="n"/>
      <c r="M985" s="704" t="n"/>
    </row>
    <row r="986" ht="18" customHeight="1" s="436" thickBot="1">
      <c r="A986" s="705" t="n"/>
      <c r="B986" s="695" t="n"/>
      <c r="C986" s="695" t="n"/>
      <c r="D986" s="3" t="inlineStr">
        <is>
          <t>C/ICMS</t>
        </is>
      </c>
      <c r="E986" s="3" t="inlineStr">
        <is>
          <t>S/ICMS</t>
        </is>
      </c>
      <c r="F986" s="695" t="n"/>
      <c r="G986" s="695" t="n"/>
      <c r="H986" s="84" t="inlineStr">
        <is>
          <t>Saldo em 31/03/2019</t>
        </is>
      </c>
      <c r="I986" s="695" t="n"/>
      <c r="J986" s="645" t="inlineStr">
        <is>
          <t>ENTRADA</t>
        </is>
      </c>
      <c r="K986" s="633" t="inlineStr">
        <is>
          <t>SAÍDA / CMV</t>
        </is>
      </c>
      <c r="L986" s="643" t="inlineStr">
        <is>
          <t>SALDO</t>
        </is>
      </c>
      <c r="M986" s="392" t="n"/>
    </row>
    <row r="987" ht="17.25" customHeight="1" s="436">
      <c r="A987" s="30" t="inlineStr">
        <is>
          <t>As</t>
        </is>
      </c>
      <c r="B987" s="31" t="n"/>
      <c r="C987" s="35" t="n"/>
      <c r="D987" s="36" t="n"/>
      <c r="E987" s="36" t="n"/>
      <c r="F987" s="37" t="n"/>
      <c r="G987" s="37" t="n">
        <v>0</v>
      </c>
      <c r="H987" s="37" t="n"/>
      <c r="I987" s="36" t="n"/>
      <c r="J987" s="711">
        <f>F987*I987</f>
        <v/>
      </c>
      <c r="K987" s="721" t="n">
        <v>0</v>
      </c>
      <c r="L987" s="710">
        <f>J987-K987</f>
        <v/>
      </c>
      <c r="M987" s="392" t="n"/>
    </row>
    <row r="988" ht="17.25" customHeight="1" s="436">
      <c r="A988" s="92" t="n">
        <v>43556</v>
      </c>
      <c r="B988" s="93" t="n"/>
      <c r="C988" s="93" t="n"/>
      <c r="D988" s="94" t="n"/>
      <c r="E988" s="94" t="n"/>
      <c r="F988" s="95" t="n"/>
      <c r="G988" s="95" t="n"/>
      <c r="H988" s="95" t="n">
        <v>2825</v>
      </c>
      <c r="I988" s="32" t="n"/>
      <c r="J988" s="711" t="n"/>
      <c r="K988" s="722" t="n"/>
      <c r="L988" s="710" t="n"/>
      <c r="M988" s="392" t="n"/>
    </row>
    <row r="989" ht="17.25" customHeight="1" s="436">
      <c r="A989" s="89" t="n">
        <v>43556</v>
      </c>
      <c r="B989" s="31" t="inlineStr">
        <is>
          <t>6424</t>
        </is>
      </c>
      <c r="C989" s="31" t="n"/>
      <c r="D989" s="32" t="n">
        <v>57</v>
      </c>
      <c r="E989" s="32" t="n"/>
      <c r="F989" s="33" t="n"/>
      <c r="G989" s="33" t="n">
        <v>25</v>
      </c>
      <c r="H989" s="33">
        <f>H988-G989</f>
        <v/>
      </c>
      <c r="I989" s="32" t="n"/>
      <c r="J989" s="711" t="n"/>
      <c r="K989" s="722" t="n"/>
      <c r="L989" s="710" t="n"/>
      <c r="M989" s="392" t="n"/>
    </row>
    <row r="990" ht="17.25" customHeight="1" s="436">
      <c r="A990" s="30" t="n">
        <v>43556</v>
      </c>
      <c r="B990" s="31" t="inlineStr">
        <is>
          <t>6425</t>
        </is>
      </c>
      <c r="C990" s="35" t="n"/>
      <c r="D990" s="36" t="n">
        <v>56</v>
      </c>
      <c r="E990" s="36" t="n"/>
      <c r="F990" s="37" t="n"/>
      <c r="G990" s="37" t="n">
        <v>30</v>
      </c>
      <c r="H990" s="33">
        <f>H989-G990</f>
        <v/>
      </c>
      <c r="I990" s="36" t="n"/>
      <c r="J990" s="711" t="n"/>
      <c r="K990" s="722">
        <f>G990*D990</f>
        <v/>
      </c>
      <c r="L990" s="710" t="n"/>
      <c r="M990" s="392" t="n"/>
    </row>
    <row r="991" ht="17.25" customHeight="1" s="436">
      <c r="A991" s="30" t="n">
        <v>43556</v>
      </c>
      <c r="B991" s="31" t="inlineStr">
        <is>
          <t>6426</t>
        </is>
      </c>
      <c r="C991" s="35" t="n"/>
      <c r="D991" s="36" t="n">
        <v>56</v>
      </c>
      <c r="E991" s="36" t="n"/>
      <c r="F991" s="37" t="n"/>
      <c r="G991" s="101" t="n">
        <v>30</v>
      </c>
      <c r="H991" s="33">
        <f>H990-G991</f>
        <v/>
      </c>
      <c r="I991" s="36" t="n"/>
      <c r="J991" s="711" t="n"/>
      <c r="K991" s="722">
        <f>G991*D991</f>
        <v/>
      </c>
      <c r="L991" s="710" t="n"/>
      <c r="M991" s="392" t="n"/>
    </row>
    <row r="992" ht="17.25" customHeight="1" s="436">
      <c r="A992" s="30" t="n">
        <v>43556</v>
      </c>
      <c r="B992" s="31" t="inlineStr">
        <is>
          <t>6429</t>
        </is>
      </c>
      <c r="C992" s="35" t="n"/>
      <c r="D992" s="36" t="n">
        <v>60</v>
      </c>
      <c r="E992" s="36" t="n"/>
      <c r="F992" s="37" t="n"/>
      <c r="G992" s="37" t="n">
        <v>20</v>
      </c>
      <c r="H992" s="33">
        <f>H991-G992</f>
        <v/>
      </c>
      <c r="I992" s="36" t="n"/>
      <c r="J992" s="711" t="n"/>
      <c r="K992" s="722">
        <f>G992*D992</f>
        <v/>
      </c>
      <c r="L992" s="710" t="n"/>
      <c r="M992" s="392" t="n"/>
    </row>
    <row r="993">
      <c r="A993" s="30" t="n">
        <v>43556</v>
      </c>
      <c r="B993" s="31" t="inlineStr">
        <is>
          <t>6431</t>
        </is>
      </c>
      <c r="C993" s="35" t="n"/>
      <c r="D993" s="36" t="n">
        <v>56</v>
      </c>
      <c r="E993" s="36" t="n"/>
      <c r="F993" s="37" t="n"/>
      <c r="G993" s="37" t="n">
        <v>20</v>
      </c>
      <c r="H993" s="33">
        <f>H992-G993</f>
        <v/>
      </c>
      <c r="I993" s="36" t="n"/>
      <c r="J993" s="711" t="n"/>
      <c r="K993" s="709">
        <f>G993*D993</f>
        <v/>
      </c>
      <c r="L993" s="710" t="n"/>
      <c r="M993" s="392" t="n"/>
    </row>
    <row r="994">
      <c r="A994" s="92" t="n">
        <v>43558</v>
      </c>
      <c r="B994" s="93" t="inlineStr">
        <is>
          <t>2449</t>
        </is>
      </c>
      <c r="C994" s="96" t="n"/>
      <c r="D994" s="97" t="n">
        <v>41</v>
      </c>
      <c r="E994" s="97" t="n"/>
      <c r="F994" s="98" t="n">
        <v>180</v>
      </c>
      <c r="G994" s="98" t="n"/>
      <c r="H994" s="95" t="n">
        <v>2880</v>
      </c>
      <c r="I994" s="36" t="n"/>
      <c r="J994" s="711" t="n"/>
      <c r="K994" s="709" t="n"/>
      <c r="L994" s="710" t="n"/>
      <c r="M994" s="392" t="n"/>
    </row>
    <row r="995" ht="17.25" customHeight="1" s="436">
      <c r="A995" s="30" t="n">
        <v>43558</v>
      </c>
      <c r="B995" s="31" t="inlineStr">
        <is>
          <t>6433</t>
        </is>
      </c>
      <c r="C995" s="35" t="n"/>
      <c r="D995" s="36" t="n">
        <v>48</v>
      </c>
      <c r="E995" s="36" t="n"/>
      <c r="F995" s="37" t="n"/>
      <c r="G995" s="37" t="n">
        <v>60</v>
      </c>
      <c r="H995" s="33">
        <f>H994-G995</f>
        <v/>
      </c>
      <c r="I995" s="36" t="n"/>
      <c r="J995" s="711" t="n"/>
      <c r="K995" s="722">
        <f>G995*D995</f>
        <v/>
      </c>
      <c r="L995" s="710" t="n"/>
      <c r="M995" s="392" t="n"/>
    </row>
    <row r="996" ht="17.25" customHeight="1" s="436">
      <c r="A996" s="89" t="n">
        <v>43558</v>
      </c>
      <c r="B996" s="31" t="inlineStr">
        <is>
          <t>6434</t>
        </is>
      </c>
      <c r="C996" s="35" t="n"/>
      <c r="D996" s="36" t="n">
        <v>57</v>
      </c>
      <c r="E996" s="36" t="n"/>
      <c r="F996" s="37" t="n"/>
      <c r="G996" s="37" t="n">
        <v>60</v>
      </c>
      <c r="H996" s="33">
        <f>H995-G996</f>
        <v/>
      </c>
      <c r="I996" s="36" t="n"/>
      <c r="J996" s="711" t="n"/>
      <c r="K996" s="722">
        <f>G996*D996</f>
        <v/>
      </c>
      <c r="L996" s="710" t="n"/>
      <c r="M996" s="392" t="n"/>
    </row>
    <row r="997" ht="17.25" customHeight="1" s="436">
      <c r="A997" s="30" t="n">
        <v>43558</v>
      </c>
      <c r="B997" s="31" t="inlineStr">
        <is>
          <t>6435</t>
        </is>
      </c>
      <c r="C997" s="35" t="n"/>
      <c r="D997" s="36" t="n">
        <v>55</v>
      </c>
      <c r="E997" s="36" t="n"/>
      <c r="F997" s="37" t="n"/>
      <c r="G997" s="37" t="n">
        <v>20</v>
      </c>
      <c r="H997" s="33">
        <f>H996-G997</f>
        <v/>
      </c>
      <c r="I997" s="36" t="n"/>
      <c r="J997" s="711" t="n"/>
      <c r="K997" s="722">
        <f>G997*D997</f>
        <v/>
      </c>
      <c r="L997" s="710" t="n"/>
      <c r="M997" s="392" t="n"/>
    </row>
    <row r="998" ht="17.25" customHeight="1" s="436">
      <c r="A998" s="30" t="n">
        <v>43558</v>
      </c>
      <c r="B998" s="31" t="inlineStr">
        <is>
          <t>6436</t>
        </is>
      </c>
      <c r="C998" s="35" t="n"/>
      <c r="D998" s="36" t="n">
        <v>54</v>
      </c>
      <c r="E998" s="36" t="n"/>
      <c r="F998" s="37" t="n"/>
      <c r="G998" s="37" t="n">
        <v>15</v>
      </c>
      <c r="H998" s="33">
        <f>H997-G998</f>
        <v/>
      </c>
      <c r="I998" s="36" t="n"/>
      <c r="J998" s="711" t="n"/>
      <c r="K998" s="722">
        <f>G998*D998</f>
        <v/>
      </c>
      <c r="L998" s="710" t="n"/>
      <c r="M998" s="392" t="n"/>
    </row>
    <row r="999" ht="17.25" customHeight="1" s="436">
      <c r="A999" s="30" t="n">
        <v>43564</v>
      </c>
      <c r="B999" s="31" t="inlineStr">
        <is>
          <t>6437</t>
        </is>
      </c>
      <c r="C999" s="35" t="n"/>
      <c r="D999" s="36" t="n">
        <v>54.4</v>
      </c>
      <c r="E999" s="36" t="n"/>
      <c r="F999" s="37" t="n"/>
      <c r="G999" s="37" t="n">
        <v>100</v>
      </c>
      <c r="H999" s="33">
        <f>H998-G999</f>
        <v/>
      </c>
      <c r="I999" s="36" t="n"/>
      <c r="J999" s="711" t="n"/>
      <c r="K999" s="722">
        <f>G999*D999</f>
        <v/>
      </c>
      <c r="L999" s="710" t="n"/>
      <c r="M999" s="392" t="n"/>
    </row>
    <row r="1000" ht="17.25" customHeight="1" s="436">
      <c r="A1000" s="30" t="n">
        <v>43564</v>
      </c>
      <c r="B1000" s="31" t="inlineStr">
        <is>
          <t>6438</t>
        </is>
      </c>
      <c r="C1000" s="35" t="n"/>
      <c r="D1000" s="36" t="n">
        <v>54</v>
      </c>
      <c r="E1000" s="36" t="n"/>
      <c r="F1000" s="37" t="n"/>
      <c r="G1000" s="37" t="n">
        <v>15</v>
      </c>
      <c r="H1000" s="33">
        <f>H999-G1000</f>
        <v/>
      </c>
      <c r="I1000" s="36" t="n"/>
      <c r="J1000" s="711" t="n"/>
      <c r="K1000" s="722">
        <f>G1000*D1000</f>
        <v/>
      </c>
      <c r="L1000" s="710" t="n"/>
      <c r="M1000" s="392" t="n"/>
    </row>
    <row r="1001" ht="17.25" customHeight="1" s="436">
      <c r="A1001" s="30" t="n">
        <v>43565</v>
      </c>
      <c r="B1001" s="31" t="inlineStr">
        <is>
          <t>6440</t>
        </is>
      </c>
      <c r="C1001" s="35" t="n"/>
      <c r="D1001" s="36" t="n">
        <v>56</v>
      </c>
      <c r="E1001" s="36" t="n"/>
      <c r="F1001" s="37" t="n"/>
      <c r="G1001" s="37" t="n">
        <v>20</v>
      </c>
      <c r="H1001" s="33">
        <f>H1000-G1001</f>
        <v/>
      </c>
      <c r="I1001" s="36" t="n"/>
      <c r="J1001" s="711" t="n"/>
      <c r="K1001" s="722">
        <f>G1001*D1001</f>
        <v/>
      </c>
      <c r="L1001" s="710" t="n"/>
      <c r="M1001" s="392" t="n"/>
    </row>
    <row r="1002" ht="17.25" customHeight="1" s="436">
      <c r="A1002" s="30" t="n">
        <v>43565</v>
      </c>
      <c r="B1002" s="31" t="inlineStr">
        <is>
          <t>6441</t>
        </is>
      </c>
      <c r="C1002" s="35" t="n"/>
      <c r="D1002" s="36" t="n">
        <v>57.34</v>
      </c>
      <c r="E1002" s="36" t="n"/>
      <c r="F1002" s="37" t="n"/>
      <c r="G1002" s="37" t="n">
        <v>45</v>
      </c>
      <c r="H1002" s="33">
        <f>H1001-G1002</f>
        <v/>
      </c>
      <c r="I1002" s="36" t="n"/>
      <c r="J1002" s="711" t="n"/>
      <c r="K1002" s="722">
        <f>G1002*D1002</f>
        <v/>
      </c>
      <c r="L1002" s="710" t="n"/>
      <c r="M1002" s="392" t="n"/>
    </row>
    <row r="1003" ht="17.25" customHeight="1" s="436">
      <c r="A1003" s="30" t="n">
        <v>43565</v>
      </c>
      <c r="B1003" s="31" t="inlineStr">
        <is>
          <t>6443</t>
        </is>
      </c>
      <c r="C1003" s="35" t="n"/>
      <c r="D1003" s="36" t="n">
        <v>52.5</v>
      </c>
      <c r="E1003" s="36" t="n"/>
      <c r="F1003" s="37" t="n"/>
      <c r="G1003" s="37" t="n">
        <v>40</v>
      </c>
      <c r="H1003" s="33">
        <f>H1002-G1003</f>
        <v/>
      </c>
      <c r="I1003" s="36" t="n"/>
      <c r="J1003" s="711" t="n"/>
      <c r="K1003" s="722">
        <f>G1003*D1003</f>
        <v/>
      </c>
      <c r="L1003" s="710" t="n"/>
      <c r="M1003" s="392" t="n"/>
    </row>
    <row r="1004" ht="17.25" customHeight="1" s="436">
      <c r="A1004" s="30" t="n">
        <v>43565</v>
      </c>
      <c r="B1004" s="31" t="inlineStr">
        <is>
          <t>6444</t>
        </is>
      </c>
      <c r="C1004" s="35" t="n"/>
      <c r="D1004" s="36" t="n">
        <v>56</v>
      </c>
      <c r="E1004" s="36" t="n"/>
      <c r="F1004" s="37" t="n"/>
      <c r="G1004" s="37" t="n">
        <v>15</v>
      </c>
      <c r="H1004" s="33">
        <f>H1003-G1004</f>
        <v/>
      </c>
      <c r="I1004" s="36" t="n"/>
      <c r="J1004" s="711" t="n"/>
      <c r="K1004" s="722">
        <f>G1004*D1004</f>
        <v/>
      </c>
      <c r="L1004" s="710" t="n"/>
      <c r="M1004" s="392" t="n"/>
    </row>
    <row r="1005" ht="17.25" customHeight="1" s="436">
      <c r="A1005" s="30" t="n">
        <v>43565</v>
      </c>
      <c r="B1005" s="31" t="inlineStr">
        <is>
          <t>6445</t>
        </is>
      </c>
      <c r="C1005" s="35" t="n"/>
      <c r="D1005" s="36" t="n">
        <v>56</v>
      </c>
      <c r="E1005" s="36" t="n"/>
      <c r="F1005" s="37" t="n"/>
      <c r="G1005" s="37" t="n">
        <v>20</v>
      </c>
      <c r="H1005" s="33">
        <f>H1004-G1005</f>
        <v/>
      </c>
      <c r="I1005" s="36" t="n"/>
      <c r="J1005" s="711" t="n"/>
      <c r="K1005" s="722">
        <f>G1005*D1005</f>
        <v/>
      </c>
      <c r="L1005" s="710" t="n"/>
      <c r="M1005" s="392" t="n"/>
    </row>
    <row r="1006" ht="17.25" customHeight="1" s="436">
      <c r="A1006" s="30" t="n">
        <v>43565</v>
      </c>
      <c r="B1006" s="31" t="inlineStr">
        <is>
          <t>6447</t>
        </is>
      </c>
      <c r="C1006" s="35" t="n"/>
      <c r="D1006" s="36" t="n">
        <v>56</v>
      </c>
      <c r="E1006" s="36" t="n"/>
      <c r="F1006" s="37" t="n"/>
      <c r="G1006" s="101" t="n">
        <v>10</v>
      </c>
      <c r="H1006" s="33">
        <f>H1005-G1006</f>
        <v/>
      </c>
      <c r="I1006" s="36" t="n"/>
      <c r="J1006" s="711" t="n"/>
      <c r="K1006" s="722">
        <f>G1006*D1006</f>
        <v/>
      </c>
      <c r="L1006" s="710" t="n"/>
      <c r="M1006" s="392" t="n"/>
    </row>
    <row r="1007" ht="17.25" customHeight="1" s="436">
      <c r="A1007" s="30" t="n">
        <v>43565</v>
      </c>
      <c r="B1007" s="31" t="inlineStr">
        <is>
          <t>6448</t>
        </is>
      </c>
      <c r="C1007" s="35" t="n"/>
      <c r="D1007" s="36" t="n">
        <v>57</v>
      </c>
      <c r="E1007" s="36" t="n"/>
      <c r="F1007" s="37" t="n"/>
      <c r="G1007" s="37" t="n">
        <v>25</v>
      </c>
      <c r="H1007" s="33">
        <f>H1006-G1007</f>
        <v/>
      </c>
      <c r="I1007" s="36" t="n"/>
      <c r="J1007" s="711" t="n"/>
      <c r="K1007" s="722">
        <f>G1007*D1007</f>
        <v/>
      </c>
      <c r="L1007" s="710" t="n"/>
      <c r="M1007" s="392" t="n"/>
    </row>
    <row r="1008" ht="17.25" customHeight="1" s="436">
      <c r="A1008" s="30" t="n">
        <v>43565</v>
      </c>
      <c r="B1008" s="31" t="inlineStr">
        <is>
          <t>6450</t>
        </is>
      </c>
      <c r="C1008" s="35" t="n"/>
      <c r="D1008" s="36" t="n">
        <v>51</v>
      </c>
      <c r="E1008" s="36" t="n"/>
      <c r="F1008" s="37" t="n"/>
      <c r="G1008" s="37" t="n">
        <v>20</v>
      </c>
      <c r="H1008" s="33">
        <f>H1007-G1008</f>
        <v/>
      </c>
      <c r="I1008" s="36" t="n"/>
      <c r="J1008" s="711" t="n"/>
      <c r="K1008" s="722">
        <f>G1008*D1008</f>
        <v/>
      </c>
      <c r="L1008" s="710" t="n"/>
      <c r="M1008" s="392" t="n"/>
    </row>
    <row r="1009" ht="17.25" customHeight="1" s="436">
      <c r="A1009" s="30" t="n">
        <v>43566</v>
      </c>
      <c r="B1009" s="31" t="inlineStr">
        <is>
          <t>6451</t>
        </is>
      </c>
      <c r="C1009" s="35" t="n"/>
      <c r="D1009" s="36" t="n">
        <v>50</v>
      </c>
      <c r="E1009" s="36" t="n"/>
      <c r="F1009" s="37" t="n"/>
      <c r="G1009" s="37" t="n">
        <v>10</v>
      </c>
      <c r="H1009" s="33">
        <f>H1008-G1009</f>
        <v/>
      </c>
      <c r="I1009" s="36" t="n"/>
      <c r="J1009" s="711" t="n"/>
      <c r="K1009" s="722">
        <f>G1009*D1009</f>
        <v/>
      </c>
      <c r="L1009" s="710" t="n"/>
      <c r="M1009" s="392" t="n"/>
    </row>
    <row r="1010" ht="17.25" customHeight="1" s="436">
      <c r="A1010" s="92" t="n">
        <v>43567</v>
      </c>
      <c r="B1010" s="93" t="inlineStr">
        <is>
          <t>36611</t>
        </is>
      </c>
      <c r="C1010" s="96" t="n"/>
      <c r="D1010" s="97" t="n">
        <v>45</v>
      </c>
      <c r="E1010" s="97" t="n"/>
      <c r="F1010" s="98" t="n">
        <v>1120</v>
      </c>
      <c r="G1010" s="98" t="n"/>
      <c r="H1010" s="95" t="n">
        <v>3525</v>
      </c>
      <c r="I1010" s="36" t="n"/>
      <c r="J1010" s="711" t="n"/>
      <c r="K1010" s="722" t="n"/>
      <c r="L1010" s="710" t="n"/>
      <c r="M1010" s="392" t="n"/>
    </row>
    <row r="1011" ht="17.25" customHeight="1" s="436">
      <c r="A1011" s="30" t="n">
        <v>43568</v>
      </c>
      <c r="B1011" s="31" t="inlineStr">
        <is>
          <t>6453</t>
        </is>
      </c>
      <c r="C1011" s="35" t="n"/>
      <c r="D1011" s="36" t="n">
        <v>58</v>
      </c>
      <c r="E1011" s="36" t="n"/>
      <c r="F1011" s="37" t="n"/>
      <c r="G1011" s="37" t="n">
        <v>20</v>
      </c>
      <c r="H1011" s="33">
        <f>H1010-G1011</f>
        <v/>
      </c>
      <c r="I1011" s="36" t="n"/>
      <c r="J1011" s="711" t="n"/>
      <c r="K1011" s="722">
        <f>G1011*D1011</f>
        <v/>
      </c>
      <c r="L1011" s="710" t="n"/>
      <c r="M1011" s="392" t="n"/>
    </row>
    <row r="1012" ht="17.25" customHeight="1" s="436">
      <c r="A1012" s="30" t="n">
        <v>43570</v>
      </c>
      <c r="B1012" s="31" t="inlineStr">
        <is>
          <t>6454</t>
        </is>
      </c>
      <c r="C1012" s="35" t="n"/>
      <c r="D1012" s="36" t="n">
        <v>51</v>
      </c>
      <c r="E1012" s="36" t="n"/>
      <c r="F1012" s="37" t="n"/>
      <c r="G1012" s="37" t="n">
        <v>20</v>
      </c>
      <c r="H1012" s="33">
        <f>H1011-G1012</f>
        <v/>
      </c>
      <c r="I1012" s="36" t="n"/>
      <c r="J1012" s="711" t="n"/>
      <c r="K1012" s="722">
        <f>G1012*D1012</f>
        <v/>
      </c>
      <c r="L1012" s="710" t="n"/>
      <c r="M1012" s="392" t="n"/>
    </row>
    <row r="1013" ht="17.25" customHeight="1" s="436">
      <c r="A1013" s="30" t="n">
        <v>43570</v>
      </c>
      <c r="B1013" s="31" t="inlineStr">
        <is>
          <t>6455</t>
        </is>
      </c>
      <c r="C1013" s="35" t="n"/>
      <c r="D1013" s="36" t="n">
        <v>53</v>
      </c>
      <c r="E1013" s="36" t="n"/>
      <c r="F1013" s="37" t="n"/>
      <c r="G1013" s="37" t="n">
        <v>30</v>
      </c>
      <c r="H1013" s="33">
        <f>H1012-G1013</f>
        <v/>
      </c>
      <c r="I1013" s="36" t="n"/>
      <c r="J1013" s="711" t="n"/>
      <c r="K1013" s="722">
        <f>G1013*D1013</f>
        <v/>
      </c>
      <c r="L1013" s="710" t="n"/>
      <c r="M1013" s="392" t="n"/>
    </row>
    <row r="1014" ht="17.25" customHeight="1" s="436">
      <c r="A1014" s="30" t="n">
        <v>43570</v>
      </c>
      <c r="B1014" s="31" t="inlineStr">
        <is>
          <t>6456</t>
        </is>
      </c>
      <c r="C1014" s="35" t="n"/>
      <c r="D1014" s="36" t="n">
        <v>50</v>
      </c>
      <c r="E1014" s="36" t="n"/>
      <c r="F1014" s="37" t="n"/>
      <c r="G1014" s="37" t="n">
        <v>10</v>
      </c>
      <c r="H1014" s="33">
        <f>H1013-G1014</f>
        <v/>
      </c>
      <c r="I1014" s="36" t="n"/>
      <c r="J1014" s="711" t="n"/>
      <c r="K1014" s="722">
        <f>G1014*D1014</f>
        <v/>
      </c>
      <c r="L1014" s="710" t="n"/>
      <c r="M1014" s="392" t="n"/>
    </row>
    <row r="1015" ht="17.25" customHeight="1" s="436">
      <c r="A1015" s="30" t="n">
        <v>43570</v>
      </c>
      <c r="B1015" s="31" t="inlineStr">
        <is>
          <t>6458</t>
        </is>
      </c>
      <c r="C1015" s="35" t="n"/>
      <c r="D1015" s="36" t="n">
        <v>54</v>
      </c>
      <c r="E1015" s="36" t="n"/>
      <c r="F1015" s="37" t="n"/>
      <c r="G1015" s="37" t="n">
        <v>30</v>
      </c>
      <c r="H1015" s="33">
        <f>H1014-G1015</f>
        <v/>
      </c>
      <c r="I1015" s="36" t="n"/>
      <c r="J1015" s="711" t="n"/>
      <c r="K1015" s="722">
        <f>G1015*D1015</f>
        <v/>
      </c>
      <c r="L1015" s="710" t="n"/>
      <c r="M1015" s="392" t="n"/>
    </row>
    <row r="1016" ht="17.25" customHeight="1" s="436">
      <c r="A1016" s="30" t="n">
        <v>43570</v>
      </c>
      <c r="B1016" s="31" t="inlineStr">
        <is>
          <t>6459</t>
        </is>
      </c>
      <c r="C1016" s="35" t="n"/>
      <c r="D1016" s="36" t="n">
        <v>55</v>
      </c>
      <c r="E1016" s="36" t="n"/>
      <c r="F1016" s="37" t="n"/>
      <c r="G1016" s="37" t="n">
        <v>20</v>
      </c>
      <c r="H1016" s="33">
        <f>H1015-G1016</f>
        <v/>
      </c>
      <c r="I1016" s="36" t="n"/>
      <c r="J1016" s="711" t="n"/>
      <c r="K1016" s="722">
        <f>G1016*D1016</f>
        <v/>
      </c>
      <c r="L1016" s="710" t="n"/>
      <c r="M1016" s="392" t="n"/>
    </row>
    <row r="1017" ht="17.25" customHeight="1" s="436">
      <c r="A1017" s="30" t="n">
        <v>43570</v>
      </c>
      <c r="B1017" s="31" t="inlineStr">
        <is>
          <t>6460</t>
        </is>
      </c>
      <c r="C1017" s="35" t="n"/>
      <c r="D1017" s="36" t="n">
        <v>55</v>
      </c>
      <c r="E1017" s="36" t="n"/>
      <c r="F1017" s="37" t="n"/>
      <c r="G1017" s="37" t="n">
        <v>10</v>
      </c>
      <c r="H1017" s="33">
        <f>H1016-G1017</f>
        <v/>
      </c>
      <c r="I1017" s="36" t="n"/>
      <c r="J1017" s="711" t="n"/>
      <c r="K1017" s="722">
        <f>G1017*D1017</f>
        <v/>
      </c>
      <c r="L1017" s="710" t="n"/>
      <c r="M1017" s="392" t="n"/>
    </row>
    <row r="1018" ht="17.25" customHeight="1" s="436">
      <c r="A1018" s="30" t="n">
        <v>43571</v>
      </c>
      <c r="B1018" s="31" t="inlineStr">
        <is>
          <t>6462</t>
        </is>
      </c>
      <c r="C1018" s="35" t="n"/>
      <c r="D1018" s="36" t="n">
        <v>57</v>
      </c>
      <c r="E1018" s="36" t="n"/>
      <c r="F1018" s="37" t="n"/>
      <c r="G1018" s="37" t="n">
        <v>20</v>
      </c>
      <c r="H1018" s="33">
        <f>H1017-G1018</f>
        <v/>
      </c>
      <c r="I1018" s="36" t="n"/>
      <c r="J1018" s="711" t="n"/>
      <c r="K1018" s="722">
        <f>G1018*D1018</f>
        <v/>
      </c>
      <c r="L1018" s="710" t="n"/>
      <c r="M1018" s="392" t="n"/>
    </row>
    <row r="1019" ht="17.25" customHeight="1" s="436">
      <c r="A1019" s="30" t="n">
        <v>43571</v>
      </c>
      <c r="B1019" s="31" t="inlineStr">
        <is>
          <t>6463</t>
        </is>
      </c>
      <c r="C1019" s="35" t="n"/>
      <c r="D1019" s="36" t="n">
        <v>50</v>
      </c>
      <c r="E1019" s="36" t="n"/>
      <c r="F1019" s="37" t="n"/>
      <c r="G1019" s="37" t="n">
        <v>20</v>
      </c>
      <c r="H1019" s="33">
        <f>H1018-G1019</f>
        <v/>
      </c>
      <c r="I1019" s="36" t="n"/>
      <c r="J1019" s="711" t="n"/>
      <c r="K1019" s="722">
        <f>G1019*D1019</f>
        <v/>
      </c>
      <c r="L1019" s="710" t="n"/>
      <c r="M1019" s="392" t="n"/>
    </row>
    <row r="1020" ht="17.25" customHeight="1" s="436">
      <c r="A1020" s="30" t="n">
        <v>43571</v>
      </c>
      <c r="B1020" s="31" t="inlineStr">
        <is>
          <t>6465</t>
        </is>
      </c>
      <c r="C1020" s="35" t="n"/>
      <c r="D1020" s="36" t="n">
        <v>57</v>
      </c>
      <c r="E1020" s="36" t="n"/>
      <c r="F1020" s="37" t="n"/>
      <c r="G1020" s="37" t="n">
        <v>30</v>
      </c>
      <c r="H1020" s="33">
        <f>H1019-G1020</f>
        <v/>
      </c>
      <c r="I1020" s="36" t="n"/>
      <c r="J1020" s="711" t="n"/>
      <c r="K1020" s="722">
        <f>G1020*D1020</f>
        <v/>
      </c>
      <c r="L1020" s="710" t="n"/>
      <c r="M1020" s="392" t="n"/>
    </row>
    <row r="1021" ht="17.25" customHeight="1" s="436">
      <c r="A1021" s="30" t="n">
        <v>43571</v>
      </c>
      <c r="B1021" s="31" t="inlineStr">
        <is>
          <t>6467</t>
        </is>
      </c>
      <c r="C1021" s="35" t="n"/>
      <c r="D1021" s="36" t="n">
        <v>50</v>
      </c>
      <c r="E1021" s="36" t="n"/>
      <c r="F1021" s="37" t="n"/>
      <c r="G1021" s="37" t="n">
        <v>20</v>
      </c>
      <c r="H1021" s="33">
        <f>H1020-G1021</f>
        <v/>
      </c>
      <c r="I1021" s="36" t="n"/>
      <c r="J1021" s="711" t="n"/>
      <c r="K1021" s="722">
        <f>G1021*D1021</f>
        <v/>
      </c>
      <c r="L1021" s="710" t="n"/>
      <c r="M1021" s="392" t="n"/>
    </row>
    <row r="1022" ht="17.25" customHeight="1" s="436">
      <c r="A1022" s="30" t="n">
        <v>43572</v>
      </c>
      <c r="B1022" s="31" t="inlineStr">
        <is>
          <t>6468</t>
        </is>
      </c>
      <c r="C1022" s="35" t="n"/>
      <c r="D1022" s="36" t="n">
        <v>51</v>
      </c>
      <c r="E1022" s="36" t="n"/>
      <c r="F1022" s="37" t="n"/>
      <c r="G1022" s="37" t="n">
        <v>20</v>
      </c>
      <c r="H1022" s="33">
        <f>H1021-G1022</f>
        <v/>
      </c>
      <c r="I1022" s="36" t="n"/>
      <c r="J1022" s="711" t="n"/>
      <c r="K1022" s="722">
        <f>G1022*D1022</f>
        <v/>
      </c>
      <c r="L1022" s="710" t="n"/>
      <c r="M1022" s="392" t="n"/>
    </row>
    <row r="1023" ht="17.25" customHeight="1" s="436">
      <c r="A1023" s="30" t="n">
        <v>43578</v>
      </c>
      <c r="B1023" s="31" t="inlineStr">
        <is>
          <t>6470</t>
        </is>
      </c>
      <c r="C1023" s="35" t="n"/>
      <c r="D1023" s="36" t="n">
        <v>56</v>
      </c>
      <c r="E1023" s="36" t="n"/>
      <c r="F1023" s="37" t="n"/>
      <c r="G1023" s="37" t="n">
        <v>60</v>
      </c>
      <c r="H1023" s="33">
        <f>H1022-G1023</f>
        <v/>
      </c>
      <c r="I1023" s="36" t="n"/>
      <c r="J1023" s="711" t="n"/>
      <c r="K1023" s="722">
        <f>G1023*D1023</f>
        <v/>
      </c>
      <c r="L1023" s="710" t="n"/>
      <c r="M1023" s="392" t="n"/>
    </row>
    <row r="1024" ht="17.25" customHeight="1" s="436">
      <c r="A1024" s="30" t="n">
        <v>43578</v>
      </c>
      <c r="B1024" s="31" t="inlineStr">
        <is>
          <t>6472</t>
        </is>
      </c>
      <c r="C1024" s="35" t="n"/>
      <c r="D1024" s="36" t="n">
        <v>56</v>
      </c>
      <c r="E1024" s="36" t="n"/>
      <c r="F1024" s="37" t="n"/>
      <c r="G1024" s="37" t="n">
        <v>30</v>
      </c>
      <c r="H1024" s="33">
        <f>H1023-G1024</f>
        <v/>
      </c>
      <c r="I1024" s="36" t="n"/>
      <c r="J1024" s="711" t="n"/>
      <c r="K1024" s="722">
        <f>G1024*D1024</f>
        <v/>
      </c>
      <c r="L1024" s="710" t="n"/>
      <c r="M1024" s="392" t="n"/>
    </row>
    <row r="1025" ht="17.25" customHeight="1" s="436">
      <c r="A1025" s="30" t="n">
        <v>43578</v>
      </c>
      <c r="B1025" s="31" t="inlineStr">
        <is>
          <t>6474</t>
        </is>
      </c>
      <c r="C1025" s="35" t="n"/>
      <c r="D1025" s="36" t="n">
        <v>52.5</v>
      </c>
      <c r="E1025" s="36" t="n"/>
      <c r="F1025" s="37" t="n"/>
      <c r="G1025" s="37" t="n">
        <v>40</v>
      </c>
      <c r="H1025" s="33">
        <f>H1024-G1025</f>
        <v/>
      </c>
      <c r="I1025" s="36" t="n"/>
      <c r="J1025" s="711" t="n"/>
      <c r="K1025" s="722">
        <f>G1025*D1025</f>
        <v/>
      </c>
      <c r="L1025" s="710" t="n"/>
      <c r="M1025" s="392" t="n"/>
    </row>
    <row r="1026" ht="17.25" customHeight="1" s="436">
      <c r="A1026" s="30" t="n">
        <v>43578</v>
      </c>
      <c r="B1026" s="31" t="inlineStr">
        <is>
          <t>6475</t>
        </is>
      </c>
      <c r="C1026" s="35" t="n"/>
      <c r="D1026" s="36" t="n">
        <v>56</v>
      </c>
      <c r="E1026" s="36" t="n"/>
      <c r="F1026" s="37" t="n"/>
      <c r="G1026" s="37" t="n">
        <v>18</v>
      </c>
      <c r="H1026" s="33">
        <f>H1025-G1026</f>
        <v/>
      </c>
      <c r="I1026" s="36" t="n"/>
      <c r="J1026" s="711" t="n"/>
      <c r="K1026" s="722">
        <f>G1026*D1026</f>
        <v/>
      </c>
      <c r="L1026" s="710" t="n"/>
      <c r="M1026" s="392" t="n"/>
    </row>
    <row r="1027" ht="17.25" customHeight="1" s="436">
      <c r="A1027" s="30" t="n">
        <v>43578</v>
      </c>
      <c r="B1027" s="31" t="inlineStr">
        <is>
          <t>6476</t>
        </is>
      </c>
      <c r="C1027" s="35" t="n"/>
      <c r="D1027" s="36" t="n">
        <v>56</v>
      </c>
      <c r="E1027" s="36" t="n"/>
      <c r="F1027" s="37" t="n"/>
      <c r="G1027" s="37" t="n">
        <v>25</v>
      </c>
      <c r="H1027" s="33">
        <f>H1026-G1027</f>
        <v/>
      </c>
      <c r="I1027" s="36" t="n"/>
      <c r="J1027" s="711" t="n"/>
      <c r="K1027" s="722">
        <f>G1027*D1027</f>
        <v/>
      </c>
      <c r="L1027" s="710" t="n"/>
      <c r="M1027" s="392" t="n"/>
    </row>
    <row r="1028" ht="17.25" customHeight="1" s="436">
      <c r="A1028" s="30" t="n">
        <v>43578</v>
      </c>
      <c r="B1028" s="31" t="inlineStr">
        <is>
          <t>6477</t>
        </is>
      </c>
      <c r="C1028" s="35" t="n"/>
      <c r="D1028" s="36" t="n">
        <v>57</v>
      </c>
      <c r="E1028" s="36" t="n"/>
      <c r="F1028" s="37" t="n"/>
      <c r="G1028" s="37" t="n">
        <v>30</v>
      </c>
      <c r="H1028" s="33">
        <f>H1027-G1028</f>
        <v/>
      </c>
      <c r="I1028" s="36" t="n"/>
      <c r="J1028" s="711" t="n"/>
      <c r="K1028" s="722">
        <f>G1028*D1028</f>
        <v/>
      </c>
      <c r="L1028" s="710" t="n"/>
      <c r="M1028" s="392" t="n"/>
    </row>
    <row r="1029" ht="17.25" customHeight="1" s="436">
      <c r="A1029" s="30" t="n">
        <v>43578</v>
      </c>
      <c r="B1029" s="31" t="inlineStr">
        <is>
          <t>6478</t>
        </is>
      </c>
      <c r="C1029" s="35" t="n"/>
      <c r="D1029" s="36" t="n">
        <v>57</v>
      </c>
      <c r="E1029" s="36" t="n"/>
      <c r="F1029" s="37" t="n"/>
      <c r="G1029" s="37" t="n">
        <v>15</v>
      </c>
      <c r="H1029" s="33">
        <f>H1028-G1029</f>
        <v/>
      </c>
      <c r="I1029" s="36" t="n"/>
      <c r="J1029" s="711" t="n"/>
      <c r="K1029" s="722">
        <f>G1029*D1029</f>
        <v/>
      </c>
      <c r="L1029" s="710" t="n"/>
      <c r="M1029" s="392" t="n"/>
    </row>
    <row r="1030" ht="17.25" customHeight="1" s="436">
      <c r="A1030" s="92" t="n">
        <v>43580</v>
      </c>
      <c r="B1030" s="93" t="n"/>
      <c r="C1030" s="96" t="n"/>
      <c r="D1030" s="97" t="n">
        <v>38.75</v>
      </c>
      <c r="E1030" s="97" t="n"/>
      <c r="F1030" s="98" t="n">
        <v>315</v>
      </c>
      <c r="G1030" s="98" t="n"/>
      <c r="H1030" s="95" t="n">
        <v>3372</v>
      </c>
      <c r="I1030" s="36" t="n"/>
      <c r="J1030" s="711" t="n"/>
      <c r="K1030" s="722" t="n"/>
      <c r="L1030" s="710" t="n"/>
      <c r="M1030" s="392" t="n"/>
    </row>
    <row r="1031" ht="17.25" customHeight="1" s="436">
      <c r="A1031" s="30" t="n">
        <v>43582</v>
      </c>
      <c r="B1031" s="31" t="inlineStr">
        <is>
          <t>6479</t>
        </is>
      </c>
      <c r="C1031" s="35" t="n"/>
      <c r="D1031" s="36" t="n">
        <v>58</v>
      </c>
      <c r="E1031" s="36" t="n"/>
      <c r="F1031" s="37" t="n"/>
      <c r="G1031" s="37" t="n">
        <v>50</v>
      </c>
      <c r="H1031" s="33">
        <f>H1030-G1031</f>
        <v/>
      </c>
      <c r="I1031" s="36" t="n"/>
      <c r="J1031" s="711" t="n"/>
      <c r="K1031" s="722">
        <f>G1031*D1031</f>
        <v/>
      </c>
      <c r="L1031" s="710" t="n"/>
      <c r="M1031" s="392" t="n"/>
    </row>
    <row r="1032" ht="17.25" customHeight="1" s="436">
      <c r="A1032" s="30" t="n">
        <v>43582</v>
      </c>
      <c r="B1032" s="31" t="inlineStr">
        <is>
          <t>6480</t>
        </is>
      </c>
      <c r="C1032" s="35" t="n"/>
      <c r="D1032" s="36" t="n">
        <v>58</v>
      </c>
      <c r="E1032" s="36" t="n"/>
      <c r="F1032" s="37" t="n"/>
      <c r="G1032" s="37" t="n">
        <v>50</v>
      </c>
      <c r="H1032" s="33">
        <f>H1031-G1032</f>
        <v/>
      </c>
      <c r="I1032" s="36" t="n"/>
      <c r="J1032" s="711" t="n"/>
      <c r="K1032" s="722">
        <f>G1032*D1032</f>
        <v/>
      </c>
      <c r="L1032" s="710" t="n"/>
      <c r="M1032" s="392" t="n"/>
    </row>
    <row r="1033" ht="17.25" customHeight="1" s="436">
      <c r="A1033" s="30" t="n">
        <v>43582</v>
      </c>
      <c r="B1033" s="31" t="inlineStr">
        <is>
          <t>6481</t>
        </is>
      </c>
      <c r="C1033" s="35" t="n"/>
      <c r="D1033" s="36" t="n">
        <v>54</v>
      </c>
      <c r="E1033" s="36" t="n"/>
      <c r="F1033" s="37" t="n"/>
      <c r="G1033" s="37" t="n">
        <v>30</v>
      </c>
      <c r="H1033" s="33">
        <f>H1032-G1033</f>
        <v/>
      </c>
      <c r="I1033" s="36" t="n"/>
      <c r="J1033" s="711" t="n"/>
      <c r="K1033" s="722">
        <f>G1033*D1033</f>
        <v/>
      </c>
      <c r="L1033" s="710" t="n"/>
      <c r="M1033" s="392" t="n"/>
    </row>
    <row r="1034" ht="17.25" customHeight="1" s="436">
      <c r="A1034" s="92" t="n">
        <v>43584</v>
      </c>
      <c r="B1034" s="93" t="inlineStr">
        <is>
          <t>115792</t>
        </is>
      </c>
      <c r="C1034" s="96" t="n"/>
      <c r="D1034" s="97" t="n">
        <v>41.8</v>
      </c>
      <c r="E1034" s="97" t="n"/>
      <c r="F1034" s="98" t="n">
        <v>200</v>
      </c>
      <c r="G1034" s="98" t="n"/>
      <c r="H1034" s="95" t="n">
        <v>3442</v>
      </c>
      <c r="I1034" s="36" t="n"/>
      <c r="J1034" s="711" t="n"/>
      <c r="K1034" s="722">
        <f>G1034*D1034</f>
        <v/>
      </c>
      <c r="L1034" s="710" t="n"/>
      <c r="M1034" s="392" t="n"/>
    </row>
    <row r="1035" ht="17.25" customHeight="1" s="436">
      <c r="A1035" s="92" t="n">
        <v>43584</v>
      </c>
      <c r="B1035" s="93" t="inlineStr">
        <is>
          <t>115791</t>
        </is>
      </c>
      <c r="C1035" s="96" t="n"/>
      <c r="D1035" s="97" t="n">
        <v>41.8</v>
      </c>
      <c r="E1035" s="97" t="n"/>
      <c r="F1035" s="98" t="n">
        <v>140</v>
      </c>
      <c r="G1035" s="98" t="n"/>
      <c r="H1035" s="95" t="n">
        <v>3582</v>
      </c>
      <c r="I1035" s="36" t="n"/>
      <c r="J1035" s="711" t="n"/>
      <c r="K1035" s="722">
        <f>G1035*D1035</f>
        <v/>
      </c>
      <c r="L1035" s="710" t="n"/>
      <c r="M1035" s="392" t="n"/>
    </row>
    <row r="1036" ht="17.25" customHeight="1" s="436">
      <c r="A1036" s="30" t="n">
        <v>43564</v>
      </c>
      <c r="B1036" s="31" t="inlineStr">
        <is>
          <t>6421</t>
        </is>
      </c>
      <c r="C1036" s="35" t="n"/>
      <c r="D1036" s="36" t="n">
        <v>78</v>
      </c>
      <c r="E1036" s="36" t="n"/>
      <c r="F1036" s="37" t="n"/>
      <c r="G1036" s="37" t="n"/>
      <c r="H1036" s="33">
        <f>H1035-G1036</f>
        <v/>
      </c>
      <c r="I1036" s="36" t="n"/>
      <c r="J1036" s="711" t="n"/>
      <c r="K1036" s="722">
        <f>G1036*D1036</f>
        <v/>
      </c>
      <c r="L1036" s="710" t="n"/>
      <c r="M1036" s="392" t="n"/>
    </row>
    <row r="1037" ht="17.25" customHeight="1" s="436">
      <c r="A1037" s="30" t="n">
        <v>43565</v>
      </c>
      <c r="B1037" s="31" t="inlineStr">
        <is>
          <t>6422</t>
        </is>
      </c>
      <c r="C1037" s="35" t="n"/>
      <c r="D1037" s="36" t="n">
        <v>79</v>
      </c>
      <c r="E1037" s="36" t="n"/>
      <c r="F1037" s="37" t="n"/>
      <c r="G1037" s="37" t="n"/>
      <c r="H1037" s="33">
        <f>H1036-G1037</f>
        <v/>
      </c>
      <c r="I1037" s="36" t="n"/>
      <c r="J1037" s="711" t="n"/>
      <c r="K1037" s="722">
        <f>G1037*D1037</f>
        <v/>
      </c>
      <c r="L1037" s="710" t="n"/>
      <c r="M1037" s="392" t="n"/>
    </row>
    <row r="1038" ht="17.25" customHeight="1" s="436">
      <c r="A1038" s="30" t="n">
        <v>43566</v>
      </c>
      <c r="B1038" s="31" t="inlineStr">
        <is>
          <t>6423</t>
        </is>
      </c>
      <c r="C1038" s="35" t="n"/>
      <c r="D1038" s="36" t="n">
        <v>80</v>
      </c>
      <c r="E1038" s="36" t="n"/>
      <c r="F1038" s="37" t="n"/>
      <c r="G1038" s="37" t="n"/>
      <c r="H1038" s="33">
        <f>H1037-G1038</f>
        <v/>
      </c>
      <c r="I1038" s="36" t="n"/>
      <c r="J1038" s="711" t="n"/>
      <c r="K1038" s="722">
        <f>G1038*D1038</f>
        <v/>
      </c>
      <c r="L1038" s="710" t="n"/>
      <c r="M1038" s="392" t="n"/>
    </row>
    <row r="1039" ht="17.25" customHeight="1" s="436">
      <c r="A1039" s="30" t="n">
        <v>43567</v>
      </c>
      <c r="B1039" s="31" t="inlineStr">
        <is>
          <t>6424</t>
        </is>
      </c>
      <c r="C1039" s="35" t="n"/>
      <c r="D1039" s="36" t="n">
        <v>81</v>
      </c>
      <c r="E1039" s="36" t="n"/>
      <c r="F1039" s="37" t="n"/>
      <c r="G1039" s="37" t="n"/>
      <c r="H1039" s="33">
        <f>H1038-G1039</f>
        <v/>
      </c>
      <c r="I1039" s="36" t="n"/>
      <c r="J1039" s="711" t="n"/>
      <c r="K1039" s="722">
        <f>G1039*D1039</f>
        <v/>
      </c>
      <c r="L1039" s="710" t="n"/>
      <c r="M1039" s="392" t="n"/>
    </row>
    <row r="1040" ht="17.25" customHeight="1" s="436">
      <c r="A1040" s="30" t="n">
        <v>43568</v>
      </c>
      <c r="B1040" s="31" t="inlineStr">
        <is>
          <t>6425</t>
        </is>
      </c>
      <c r="C1040" s="35" t="n"/>
      <c r="D1040" s="36" t="n">
        <v>82</v>
      </c>
      <c r="E1040" s="36" t="n"/>
      <c r="F1040" s="37" t="n"/>
      <c r="G1040" s="37" t="n"/>
      <c r="H1040" s="33">
        <f>H1039-G1040</f>
        <v/>
      </c>
      <c r="I1040" s="36" t="n"/>
      <c r="J1040" s="711" t="n"/>
      <c r="K1040" s="722">
        <f>G1040*D1040</f>
        <v/>
      </c>
      <c r="L1040" s="710" t="n"/>
      <c r="M1040" s="392" t="n"/>
    </row>
    <row r="1041" ht="17.25" customHeight="1" s="436">
      <c r="A1041" s="30" t="n">
        <v>43569</v>
      </c>
      <c r="B1041" s="31" t="inlineStr">
        <is>
          <t>6426</t>
        </is>
      </c>
      <c r="C1041" s="35" t="n"/>
      <c r="D1041" s="36" t="n">
        <v>83</v>
      </c>
      <c r="E1041" s="36" t="n"/>
      <c r="F1041" s="37" t="n"/>
      <c r="G1041" s="37" t="n"/>
      <c r="H1041" s="33">
        <f>H1040-G1041</f>
        <v/>
      </c>
      <c r="I1041" s="36" t="n"/>
      <c r="J1041" s="711" t="n"/>
      <c r="K1041" s="722">
        <f>G1041*D1041</f>
        <v/>
      </c>
      <c r="L1041" s="710" t="n"/>
      <c r="M1041" s="392" t="n"/>
    </row>
    <row r="1042"/>
    <row r="1043"/>
    <row r="1044"/>
    <row r="1045"/>
    <row r="1046"/>
    <row r="1047" ht="15.75" customHeight="1" s="436" thickBot="1"/>
    <row r="1048" ht="27" customHeight="1" s="436" thickBot="1">
      <c r="A1048" s="720" t="inlineStr">
        <is>
          <t xml:space="preserve"> FARINHA DE TRIGO TIPO: 1 - 25 KG</t>
        </is>
      </c>
      <c r="B1048" s="697" t="n"/>
      <c r="C1048" s="697" t="n"/>
      <c r="D1048" s="697" t="n"/>
      <c r="E1048" s="697" t="n"/>
      <c r="F1048" s="697" t="n"/>
      <c r="G1048" s="697" t="n"/>
      <c r="H1048" s="697" t="n"/>
      <c r="I1048" s="697" t="n"/>
      <c r="J1048" s="697" t="n"/>
      <c r="K1048" s="697" t="n"/>
      <c r="L1048" s="697" t="n"/>
      <c r="M1048" s="698" t="n"/>
    </row>
    <row r="1049">
      <c r="A1049" s="643" t="inlineStr">
        <is>
          <t>DATA</t>
        </is>
      </c>
      <c r="B1049" s="633" t="inlineStr">
        <is>
          <t>N.F.</t>
        </is>
      </c>
      <c r="C1049" s="633" t="inlineStr">
        <is>
          <t>TIPO</t>
        </is>
      </c>
      <c r="D1049" s="633" t="inlineStr">
        <is>
          <t>PREÇO UNITÁRIO</t>
        </is>
      </c>
      <c r="E1049" s="701" t="n"/>
      <c r="F1049" s="633" t="inlineStr">
        <is>
          <t>QUANTIDADE / KG</t>
        </is>
      </c>
      <c r="H1049" s="701" t="n"/>
      <c r="I1049" s="632" t="inlineStr">
        <is>
          <t>PREÇO</t>
        </is>
      </c>
      <c r="J1049" s="632" t="inlineStr">
        <is>
          <t>VALORES</t>
        </is>
      </c>
      <c r="L1049" s="701" t="n"/>
      <c r="M1049" s="649" t="n"/>
    </row>
    <row r="1050" ht="15.75" customHeight="1" s="436" thickBot="1">
      <c r="A1050" s="703" t="n"/>
      <c r="B1050" s="704" t="n"/>
      <c r="C1050" s="704" t="n"/>
      <c r="D1050" s="703" t="n"/>
      <c r="E1050" s="701" t="n"/>
      <c r="F1050" s="705" t="n"/>
      <c r="G1050" s="706" t="n"/>
      <c r="H1050" s="707" t="n"/>
      <c r="I1050" s="704" t="n"/>
      <c r="J1050" s="703" t="n"/>
      <c r="L1050" s="701" t="n"/>
      <c r="M1050" s="704" t="n"/>
    </row>
    <row r="1051" ht="15.75" customHeight="1" s="436" thickBot="1">
      <c r="A1051" s="703" t="n"/>
      <c r="B1051" s="704" t="n"/>
      <c r="C1051" s="704" t="n"/>
      <c r="D1051" s="705" t="n"/>
      <c r="E1051" s="707" t="n"/>
      <c r="F1051" s="3" t="inlineStr">
        <is>
          <t>ENTRADA</t>
        </is>
      </c>
      <c r="G1051" s="3" t="inlineStr">
        <is>
          <t>SAÍDA</t>
        </is>
      </c>
      <c r="H1051" s="640" t="n"/>
      <c r="I1051" s="633" t="inlineStr">
        <is>
          <t>MÉDIO</t>
        </is>
      </c>
      <c r="J1051" s="652" t="inlineStr">
        <is>
          <t>SALDO EM 30/11/2017</t>
        </is>
      </c>
      <c r="K1051" s="706" t="n"/>
      <c r="L1051" s="17" t="n"/>
      <c r="M1051" s="704" t="n"/>
    </row>
    <row r="1052" ht="18" customHeight="1" s="436" thickBot="1">
      <c r="A1052" s="705" t="n"/>
      <c r="B1052" s="695" t="n"/>
      <c r="C1052" s="695" t="n"/>
      <c r="D1052" s="3" t="inlineStr">
        <is>
          <t>C/ICMS</t>
        </is>
      </c>
      <c r="E1052" s="3" t="inlineStr">
        <is>
          <t>S/ICMS</t>
        </is>
      </c>
      <c r="F1052" s="695" t="n"/>
      <c r="G1052" s="695" t="n"/>
      <c r="H1052" s="84" t="inlineStr">
        <is>
          <t>Saldo em 30/04/2019</t>
        </is>
      </c>
      <c r="I1052" s="695" t="n"/>
      <c r="J1052" s="645" t="inlineStr">
        <is>
          <t>ENTRADA</t>
        </is>
      </c>
      <c r="K1052" s="633" t="inlineStr">
        <is>
          <t>SAÍDA / CMV</t>
        </is>
      </c>
      <c r="L1052" s="643" t="inlineStr">
        <is>
          <t>SALDO</t>
        </is>
      </c>
      <c r="M1052" s="392" t="n"/>
    </row>
    <row r="1053" ht="17.25" customHeight="1" s="436">
      <c r="A1053" s="30" t="inlineStr">
        <is>
          <t>As</t>
        </is>
      </c>
      <c r="B1053" s="31" t="n"/>
      <c r="C1053" s="35" t="n"/>
      <c r="D1053" s="36" t="n"/>
      <c r="E1053" s="36" t="n"/>
      <c r="F1053" s="37" t="n"/>
      <c r="G1053" s="37" t="n">
        <v>0</v>
      </c>
      <c r="H1053" s="37" t="n"/>
      <c r="I1053" s="36" t="n"/>
      <c r="J1053" s="711">
        <f>F1053*I1053</f>
        <v/>
      </c>
      <c r="K1053" s="721" t="n">
        <v>0</v>
      </c>
      <c r="L1053" s="710">
        <f>J1053-K1053</f>
        <v/>
      </c>
      <c r="M1053" s="392" t="n"/>
    </row>
    <row r="1054" ht="17.25" customHeight="1" s="436">
      <c r="A1054" s="92" t="n">
        <v>43586</v>
      </c>
      <c r="B1054" s="93" t="n"/>
      <c r="C1054" s="93" t="n"/>
      <c r="D1054" s="94" t="n"/>
      <c r="E1054" s="94" t="n"/>
      <c r="F1054" s="95" t="n"/>
      <c r="G1054" s="95" t="n"/>
      <c r="H1054" s="95" t="n">
        <v>3582</v>
      </c>
      <c r="I1054" s="32" t="n"/>
      <c r="J1054" s="711" t="n"/>
      <c r="K1054" s="722" t="n"/>
      <c r="L1054" s="710" t="n"/>
      <c r="M1054" s="392" t="n"/>
    </row>
    <row r="1055" ht="17.25" customHeight="1" s="436">
      <c r="A1055" s="89" t="n">
        <v>43586</v>
      </c>
      <c r="B1055" s="31" t="inlineStr">
        <is>
          <t>6482</t>
        </is>
      </c>
      <c r="C1055" s="31" t="n"/>
      <c r="D1055" s="32" t="n">
        <v>50</v>
      </c>
      <c r="E1055" s="32" t="n"/>
      <c r="F1055" s="33" t="n"/>
      <c r="G1055" s="33" t="n">
        <v>50</v>
      </c>
      <c r="H1055" s="33">
        <f>H1054-G1055</f>
        <v/>
      </c>
      <c r="I1055" s="32" t="n"/>
      <c r="J1055" s="711" t="n"/>
      <c r="K1055" s="722" t="n"/>
      <c r="L1055" s="710" t="n"/>
      <c r="M1055" s="392" t="n"/>
    </row>
    <row r="1056" ht="17.25" customHeight="1" s="436">
      <c r="A1056" s="89" t="n">
        <v>43586</v>
      </c>
      <c r="B1056" s="31" t="inlineStr">
        <is>
          <t>6484</t>
        </is>
      </c>
      <c r="C1056" s="35" t="n"/>
      <c r="D1056" s="36" t="n">
        <v>58.3</v>
      </c>
      <c r="E1056" s="36" t="n"/>
      <c r="F1056" s="37" t="n"/>
      <c r="G1056" s="37" t="n">
        <v>35</v>
      </c>
      <c r="H1056" s="33">
        <f>H1055-G1056</f>
        <v/>
      </c>
      <c r="I1056" s="36" t="n"/>
      <c r="J1056" s="711" t="n"/>
      <c r="K1056" s="722">
        <f>G1056*D1056</f>
        <v/>
      </c>
      <c r="L1056" s="710" t="n"/>
      <c r="M1056" s="392" t="n"/>
    </row>
    <row r="1057" ht="17.25" customHeight="1" s="436">
      <c r="A1057" s="89" t="n">
        <v>43586</v>
      </c>
      <c r="B1057" s="31" t="inlineStr">
        <is>
          <t>6485</t>
        </is>
      </c>
      <c r="C1057" s="35" t="n"/>
      <c r="D1057" s="36" t="n">
        <v>56</v>
      </c>
      <c r="E1057" s="36" t="n"/>
      <c r="F1057" s="37" t="n"/>
      <c r="G1057" s="101" t="n">
        <v>30</v>
      </c>
      <c r="H1057" s="33">
        <f>H1056-G1057</f>
        <v/>
      </c>
      <c r="I1057" s="36" t="n"/>
      <c r="J1057" s="711" t="n"/>
      <c r="K1057" s="722">
        <f>G1057*D1057</f>
        <v/>
      </c>
      <c r="L1057" s="710" t="n"/>
      <c r="M1057" s="392" t="n"/>
    </row>
    <row r="1058" ht="17.25" customHeight="1" s="436">
      <c r="A1058" s="89" t="n">
        <v>43586</v>
      </c>
      <c r="B1058" s="31" t="inlineStr">
        <is>
          <t>6486</t>
        </is>
      </c>
      <c r="C1058" s="35" t="n"/>
      <c r="D1058" s="36" t="n">
        <v>57</v>
      </c>
      <c r="E1058" s="36" t="n"/>
      <c r="F1058" s="37" t="n"/>
      <c r="G1058" s="37" t="n">
        <v>30</v>
      </c>
      <c r="H1058" s="33">
        <f>H1057-G1058</f>
        <v/>
      </c>
      <c r="I1058" s="36" t="n"/>
      <c r="J1058" s="711" t="n"/>
      <c r="K1058" s="722">
        <f>G1058*D1058</f>
        <v/>
      </c>
      <c r="L1058" s="710" t="n"/>
      <c r="M1058" s="392" t="n"/>
    </row>
    <row r="1059">
      <c r="A1059" s="89" t="n">
        <v>43586</v>
      </c>
      <c r="B1059" s="31" t="inlineStr">
        <is>
          <t>+6487</t>
        </is>
      </c>
      <c r="C1059" s="35" t="n"/>
      <c r="D1059" s="36" t="n">
        <v>54</v>
      </c>
      <c r="E1059" s="36" t="n"/>
      <c r="F1059" s="37" t="n"/>
      <c r="G1059" s="37" t="n">
        <v>20</v>
      </c>
      <c r="H1059" s="33">
        <f>H1058-G1059</f>
        <v/>
      </c>
      <c r="I1059" s="36" t="n"/>
      <c r="J1059" s="711" t="n"/>
      <c r="K1059" s="709">
        <f>G1059*D1059</f>
        <v/>
      </c>
      <c r="L1059" s="710" t="n"/>
      <c r="M1059" s="392" t="n"/>
    </row>
    <row r="1060" ht="17.25" customHeight="1" s="436">
      <c r="A1060" s="89" t="n">
        <v>43586</v>
      </c>
      <c r="B1060" s="31" t="inlineStr">
        <is>
          <t>6489</t>
        </is>
      </c>
      <c r="C1060" s="35" t="n"/>
      <c r="D1060" s="36" t="n">
        <v>50</v>
      </c>
      <c r="E1060" s="36" t="n"/>
      <c r="F1060" s="37" t="n"/>
      <c r="G1060" s="37" t="n">
        <v>10</v>
      </c>
      <c r="H1060" s="33">
        <f>H1059-G1060</f>
        <v/>
      </c>
      <c r="I1060" s="36" t="n"/>
      <c r="J1060" s="711" t="n"/>
      <c r="K1060" s="722">
        <f>G1060*D1060</f>
        <v/>
      </c>
      <c r="L1060" s="710" t="n"/>
      <c r="M1060" s="392" t="n"/>
    </row>
    <row r="1061" ht="17.25" customHeight="1" s="436">
      <c r="A1061" s="89" t="n">
        <v>43586</v>
      </c>
      <c r="B1061" s="31" t="inlineStr">
        <is>
          <t>6490</t>
        </is>
      </c>
      <c r="C1061" s="35" t="n"/>
      <c r="D1061" s="36" t="n">
        <v>57</v>
      </c>
      <c r="E1061" s="36" t="n"/>
      <c r="F1061" s="37" t="n"/>
      <c r="G1061" s="37" t="n">
        <v>30</v>
      </c>
      <c r="H1061" s="33">
        <f>H1060-G1061</f>
        <v/>
      </c>
      <c r="I1061" s="36" t="n"/>
      <c r="J1061" s="711" t="n"/>
      <c r="K1061" s="722">
        <f>G1061*D1061</f>
        <v/>
      </c>
      <c r="L1061" s="710" t="n"/>
      <c r="M1061" s="392" t="n"/>
    </row>
    <row r="1062" ht="17.25" customHeight="1" s="436">
      <c r="A1062" s="89" t="n">
        <v>43586</v>
      </c>
      <c r="B1062" s="31" t="inlineStr">
        <is>
          <t>6491</t>
        </is>
      </c>
      <c r="C1062" s="35" t="n"/>
      <c r="D1062" s="36" t="n">
        <v>55</v>
      </c>
      <c r="E1062" s="36" t="n"/>
      <c r="F1062" s="37" t="n"/>
      <c r="G1062" s="37" t="n">
        <v>20</v>
      </c>
      <c r="H1062" s="33">
        <f>H1061-G1062</f>
        <v/>
      </c>
      <c r="I1062" s="36" t="n"/>
      <c r="J1062" s="711" t="n"/>
      <c r="K1062" s="722">
        <f>G1062*D1062</f>
        <v/>
      </c>
      <c r="L1062" s="710" t="n"/>
      <c r="M1062" s="392" t="n"/>
    </row>
    <row r="1063" ht="17.25" customHeight="1" s="436">
      <c r="A1063" s="102" t="n">
        <v>43591</v>
      </c>
      <c r="B1063" s="93" t="inlineStr">
        <is>
          <t>36899</t>
        </is>
      </c>
      <c r="C1063" s="96" t="n"/>
      <c r="D1063" s="97" t="n">
        <v>45</v>
      </c>
      <c r="E1063" s="97" t="n"/>
      <c r="F1063" s="98" t="n">
        <v>1120</v>
      </c>
      <c r="G1063" s="98" t="n"/>
      <c r="H1063" s="95" t="n">
        <v>4477</v>
      </c>
      <c r="I1063" s="36" t="n"/>
      <c r="J1063" s="711" t="n"/>
      <c r="K1063" s="722" t="n"/>
      <c r="L1063" s="710" t="n"/>
      <c r="M1063" s="392" t="n"/>
    </row>
    <row r="1064" ht="17.25" customHeight="1" s="436">
      <c r="A1064" s="89" t="n">
        <v>43591</v>
      </c>
      <c r="B1064" s="31" t="inlineStr">
        <is>
          <t>6492</t>
        </is>
      </c>
      <c r="C1064" s="35" t="n"/>
      <c r="D1064" s="36" t="n">
        <v>58</v>
      </c>
      <c r="E1064" s="36" t="n"/>
      <c r="F1064" s="37" t="n"/>
      <c r="G1064" s="101" t="n">
        <v>20</v>
      </c>
      <c r="H1064" s="33">
        <f>H1063-G1064</f>
        <v/>
      </c>
      <c r="I1064" s="36" t="n"/>
      <c r="J1064" s="711" t="n"/>
      <c r="K1064" s="722">
        <f>G1064*D1064</f>
        <v/>
      </c>
      <c r="L1064" s="710" t="n"/>
      <c r="M1064" s="392" t="n"/>
    </row>
    <row r="1065" ht="17.25" customHeight="1" s="436">
      <c r="A1065" s="89" t="n">
        <v>43591</v>
      </c>
      <c r="B1065" s="31" t="inlineStr">
        <is>
          <t>6493</t>
        </is>
      </c>
      <c r="C1065" s="35" t="n"/>
      <c r="D1065" s="36" t="n">
        <v>57</v>
      </c>
      <c r="E1065" s="36" t="n"/>
      <c r="F1065" s="37" t="n"/>
      <c r="G1065" s="37" t="n">
        <v>30</v>
      </c>
      <c r="H1065" s="33">
        <f>H1064-G1065</f>
        <v/>
      </c>
      <c r="I1065" s="36" t="n"/>
      <c r="J1065" s="711" t="n"/>
      <c r="K1065" s="722">
        <f>G1065*D1065</f>
        <v/>
      </c>
      <c r="L1065" s="710" t="n"/>
      <c r="M1065" s="392" t="n"/>
    </row>
    <row r="1066" ht="17.25" customHeight="1" s="436">
      <c r="A1066" s="89" t="n">
        <v>43591</v>
      </c>
      <c r="B1066" s="31" t="inlineStr">
        <is>
          <t>6496</t>
        </is>
      </c>
      <c r="C1066" s="35" t="n"/>
      <c r="D1066" s="36" t="n">
        <v>48</v>
      </c>
      <c r="E1066" s="36" t="n"/>
      <c r="F1066" s="37" t="n"/>
      <c r="G1066" s="37" t="n">
        <v>25</v>
      </c>
      <c r="H1066" s="33">
        <f>H1065-G1066</f>
        <v/>
      </c>
      <c r="I1066" s="36" t="n"/>
      <c r="J1066" s="711" t="n"/>
      <c r="K1066" s="722">
        <f>G1066*D1066</f>
        <v/>
      </c>
      <c r="L1066" s="710" t="n"/>
      <c r="M1066" s="392" t="n"/>
    </row>
    <row r="1067" ht="17.25" customHeight="1" s="436">
      <c r="A1067" s="89" t="n">
        <v>43591</v>
      </c>
      <c r="B1067" s="31" t="inlineStr">
        <is>
          <t>6502</t>
        </is>
      </c>
      <c r="C1067" s="35" t="n"/>
      <c r="D1067" s="36" t="n">
        <v>57.5</v>
      </c>
      <c r="E1067" s="36" t="n"/>
      <c r="F1067" s="37" t="n"/>
      <c r="G1067" s="37" t="n">
        <v>30</v>
      </c>
      <c r="H1067" s="33">
        <f>H1066-G1067</f>
        <v/>
      </c>
      <c r="I1067" s="36" t="n"/>
      <c r="J1067" s="711" t="n"/>
      <c r="K1067" s="722">
        <f>G1067*D1067</f>
        <v/>
      </c>
      <c r="L1067" s="710" t="n"/>
      <c r="M1067" s="392" t="n"/>
    </row>
    <row r="1068" ht="17.25" customHeight="1" s="436">
      <c r="A1068" s="30" t="n">
        <v>43594</v>
      </c>
      <c r="B1068" s="31" t="inlineStr">
        <is>
          <t>6504</t>
        </is>
      </c>
      <c r="C1068" s="31" t="n"/>
      <c r="D1068" s="32" t="n">
        <v>50</v>
      </c>
      <c r="E1068" s="32" t="n"/>
      <c r="F1068" s="33" t="n"/>
      <c r="G1068" s="33" t="n">
        <v>30</v>
      </c>
      <c r="H1068" s="33">
        <f>H1067-G1068</f>
        <v/>
      </c>
      <c r="I1068" s="36" t="n"/>
      <c r="J1068" s="711" t="n"/>
      <c r="K1068" s="722">
        <f>G1068*D1068</f>
        <v/>
      </c>
      <c r="L1068" s="710" t="n"/>
      <c r="M1068" s="392" t="n"/>
    </row>
    <row r="1069" ht="17.25" customHeight="1" s="436">
      <c r="A1069" s="30" t="n">
        <v>43594</v>
      </c>
      <c r="B1069" s="31" t="inlineStr">
        <is>
          <t>6505</t>
        </is>
      </c>
      <c r="C1069" s="31" t="n"/>
      <c r="D1069" s="32" t="n">
        <v>56</v>
      </c>
      <c r="E1069" s="32" t="n"/>
      <c r="F1069" s="33" t="n"/>
      <c r="G1069" s="33" t="n">
        <v>10</v>
      </c>
      <c r="H1069" s="33">
        <f>H1068-G1069</f>
        <v/>
      </c>
      <c r="I1069" s="36" t="n"/>
      <c r="J1069" s="711" t="n"/>
      <c r="K1069" s="722">
        <f>G1069*D1069</f>
        <v/>
      </c>
      <c r="L1069" s="710" t="n"/>
      <c r="M1069" s="392" t="n"/>
    </row>
    <row r="1070" ht="17.25" customHeight="1" s="436">
      <c r="A1070" s="89" t="n">
        <v>43598</v>
      </c>
      <c r="B1070" s="31" t="inlineStr">
        <is>
          <t>6507</t>
        </is>
      </c>
      <c r="C1070" s="35" t="n"/>
      <c r="D1070" s="36" t="n">
        <v>56</v>
      </c>
      <c r="E1070" s="36" t="n"/>
      <c r="F1070" s="37" t="n"/>
      <c r="G1070" s="37" t="n">
        <v>15</v>
      </c>
      <c r="H1070" s="33">
        <f>H1069-G1070</f>
        <v/>
      </c>
      <c r="I1070" s="36" t="n"/>
      <c r="J1070" s="711" t="n"/>
      <c r="K1070" s="722">
        <f>G1070*D1070</f>
        <v/>
      </c>
      <c r="L1070" s="710" t="n"/>
      <c r="M1070" s="392" t="n"/>
    </row>
    <row r="1071" ht="17.25" customHeight="1" s="436">
      <c r="A1071" s="89" t="n">
        <v>43598</v>
      </c>
      <c r="B1071" s="31" t="inlineStr">
        <is>
          <t>6508</t>
        </is>
      </c>
      <c r="C1071" s="35" t="n"/>
      <c r="D1071" s="36" t="n">
        <v>56</v>
      </c>
      <c r="E1071" s="36" t="n"/>
      <c r="F1071" s="37" t="n"/>
      <c r="G1071" s="37" t="n">
        <v>20</v>
      </c>
      <c r="H1071" s="33">
        <f>H1070-G1071</f>
        <v/>
      </c>
      <c r="I1071" s="36" t="n"/>
      <c r="J1071" s="711" t="n"/>
      <c r="K1071" s="722">
        <f>G1071*D1071</f>
        <v/>
      </c>
      <c r="L1071" s="710" t="n"/>
      <c r="M1071" s="392" t="n"/>
    </row>
    <row r="1072" ht="17.25" customHeight="1" s="436">
      <c r="A1072" s="89" t="n">
        <v>43598</v>
      </c>
      <c r="B1072" s="31" t="inlineStr">
        <is>
          <t>6510</t>
        </is>
      </c>
      <c r="C1072" s="35" t="n"/>
      <c r="D1072" s="36" t="n">
        <v>50</v>
      </c>
      <c r="E1072" s="36" t="n"/>
      <c r="F1072" s="37" t="n"/>
      <c r="G1072" s="37" t="n">
        <v>10</v>
      </c>
      <c r="H1072" s="33">
        <f>H1071-G1072</f>
        <v/>
      </c>
      <c r="I1072" s="36" t="n"/>
      <c r="J1072" s="711" t="n"/>
      <c r="K1072" s="722">
        <f>G1072*D1072</f>
        <v/>
      </c>
      <c r="L1072" s="710" t="n"/>
      <c r="M1072" s="392" t="n"/>
    </row>
    <row r="1073" ht="17.25" customHeight="1" s="436">
      <c r="A1073" s="89" t="n">
        <v>43598</v>
      </c>
      <c r="B1073" s="31" t="inlineStr">
        <is>
          <t>6511</t>
        </is>
      </c>
      <c r="C1073" s="35" t="n"/>
      <c r="D1073" s="36" t="n">
        <v>56</v>
      </c>
      <c r="E1073" s="36" t="n"/>
      <c r="F1073" s="37" t="n"/>
      <c r="G1073" s="37" t="n">
        <v>20</v>
      </c>
      <c r="H1073" s="33">
        <f>H1072-G1073</f>
        <v/>
      </c>
      <c r="I1073" s="36" t="n"/>
      <c r="J1073" s="711" t="n"/>
      <c r="K1073" s="722">
        <f>G1073*D1073</f>
        <v/>
      </c>
      <c r="L1073" s="710" t="n"/>
      <c r="M1073" s="392" t="n"/>
    </row>
    <row r="1074" ht="17.25" customHeight="1" s="436">
      <c r="A1074" s="89" t="n">
        <v>43598</v>
      </c>
      <c r="B1074" s="31" t="inlineStr">
        <is>
          <t>6513</t>
        </is>
      </c>
      <c r="C1074" s="35" t="n"/>
      <c r="D1074" s="36" t="n">
        <v>52.5</v>
      </c>
      <c r="E1074" s="36" t="n"/>
      <c r="F1074" s="37" t="n"/>
      <c r="G1074" s="37" t="n">
        <v>40</v>
      </c>
      <c r="H1074" s="33">
        <f>H1073-G1074</f>
        <v/>
      </c>
      <c r="I1074" s="36" t="n"/>
      <c r="J1074" s="711" t="n"/>
      <c r="K1074" s="722">
        <f>G1074*D1074</f>
        <v/>
      </c>
      <c r="L1074" s="710" t="n"/>
      <c r="M1074" s="392" t="n"/>
    </row>
    <row r="1075" ht="17.25" customHeight="1" s="436">
      <c r="A1075" s="89" t="n">
        <v>43598</v>
      </c>
      <c r="B1075" s="31" t="inlineStr">
        <is>
          <t>6514</t>
        </is>
      </c>
      <c r="C1075" s="35" t="n"/>
      <c r="D1075" s="36" t="n">
        <v>57</v>
      </c>
      <c r="E1075" s="36" t="n"/>
      <c r="F1075" s="37" t="n"/>
      <c r="G1075" s="37" t="n">
        <v>30</v>
      </c>
      <c r="H1075" s="33">
        <f>H1074-G1075</f>
        <v/>
      </c>
      <c r="I1075" s="36" t="n"/>
      <c r="J1075" s="711" t="n"/>
      <c r="K1075" s="722">
        <f>G1075*D1075</f>
        <v/>
      </c>
      <c r="L1075" s="710" t="n"/>
      <c r="M1075" s="392" t="n"/>
    </row>
    <row r="1076" ht="17.25" customHeight="1" s="436">
      <c r="A1076" s="89" t="n">
        <v>43598</v>
      </c>
      <c r="B1076" s="31" t="inlineStr">
        <is>
          <t>6517</t>
        </is>
      </c>
      <c r="C1076" s="35" t="n"/>
      <c r="D1076" s="36" t="n">
        <v>50</v>
      </c>
      <c r="E1076" s="36" t="n"/>
      <c r="F1076" s="37" t="n"/>
      <c r="G1076" s="37" t="n">
        <v>50</v>
      </c>
      <c r="H1076" s="33">
        <f>H1075-G1076</f>
        <v/>
      </c>
      <c r="I1076" s="36" t="n"/>
      <c r="J1076" s="711" t="n"/>
      <c r="K1076" s="722">
        <f>G1076*D1076</f>
        <v/>
      </c>
      <c r="L1076" s="710" t="n"/>
      <c r="M1076" s="392" t="n"/>
    </row>
    <row r="1077" ht="17.25" customHeight="1" s="436">
      <c r="A1077" s="89" t="n">
        <v>43600</v>
      </c>
      <c r="B1077" s="31" t="inlineStr">
        <is>
          <t>6520</t>
        </is>
      </c>
      <c r="C1077" s="35" t="n"/>
      <c r="D1077" s="36" t="n">
        <v>58</v>
      </c>
      <c r="E1077" s="36" t="n"/>
      <c r="F1077" s="37" t="n"/>
      <c r="G1077" s="37" t="n">
        <v>40</v>
      </c>
      <c r="H1077" s="33">
        <f>H1076-G1077</f>
        <v/>
      </c>
      <c r="I1077" s="36" t="n"/>
      <c r="J1077" s="711" t="n"/>
      <c r="K1077" s="722">
        <f>G1077*D1077</f>
        <v/>
      </c>
      <c r="L1077" s="710" t="n"/>
      <c r="M1077" s="392" t="n"/>
    </row>
    <row r="1078" ht="17.25" customHeight="1" s="436">
      <c r="A1078" s="102" t="n">
        <v>43601</v>
      </c>
      <c r="B1078" s="93" t="n"/>
      <c r="C1078" s="96" t="n"/>
      <c r="D1078" s="97" t="n">
        <v>54</v>
      </c>
      <c r="E1078" s="97" t="n"/>
      <c r="F1078" s="98" t="n">
        <v>100</v>
      </c>
      <c r="G1078" s="98" t="n"/>
      <c r="H1078" s="95" t="n">
        <v>4207</v>
      </c>
      <c r="I1078" s="36" t="n"/>
      <c r="J1078" s="711" t="n"/>
      <c r="K1078" s="722" t="n"/>
      <c r="L1078" s="710" t="n"/>
      <c r="M1078" s="392" t="n"/>
    </row>
    <row r="1079" ht="17.25" customHeight="1" s="436">
      <c r="A1079" s="102" t="n">
        <v>43601</v>
      </c>
      <c r="B1079" s="93" t="inlineStr">
        <is>
          <t>2471</t>
        </is>
      </c>
      <c r="C1079" s="96" t="n"/>
      <c r="D1079" s="97" t="n">
        <v>38.8</v>
      </c>
      <c r="E1079" s="97" t="n"/>
      <c r="F1079" s="98" t="n">
        <v>20</v>
      </c>
      <c r="G1079" s="98" t="n"/>
      <c r="H1079" s="95" t="n">
        <v>4227</v>
      </c>
      <c r="I1079" s="36" t="n"/>
      <c r="J1079" s="711" t="n"/>
      <c r="K1079" s="722" t="n"/>
      <c r="L1079" s="710" t="n"/>
      <c r="M1079" s="392" t="n"/>
    </row>
    <row r="1080" ht="17.25" customHeight="1" s="436">
      <c r="A1080" s="89" t="n">
        <v>43604</v>
      </c>
      <c r="B1080" s="31" t="inlineStr">
        <is>
          <t>6524</t>
        </is>
      </c>
      <c r="C1080" s="35" t="n"/>
      <c r="D1080" s="36" t="n">
        <v>56</v>
      </c>
      <c r="E1080" s="36" t="n"/>
      <c r="F1080" s="37" t="n"/>
      <c r="G1080" s="37" t="n">
        <v>50</v>
      </c>
      <c r="H1080" s="33">
        <f>H1079-G1080</f>
        <v/>
      </c>
      <c r="I1080" s="36" t="n"/>
      <c r="J1080" s="711" t="n"/>
      <c r="K1080" s="722">
        <f>G1080*D1080</f>
        <v/>
      </c>
      <c r="L1080" s="710" t="n"/>
      <c r="M1080" s="392" t="n"/>
    </row>
    <row r="1081" ht="17.25" customHeight="1" s="436">
      <c r="A1081" s="89" t="n">
        <v>43605</v>
      </c>
      <c r="B1081" s="31" t="inlineStr">
        <is>
          <t>6526</t>
        </is>
      </c>
      <c r="C1081" s="35" t="n"/>
      <c r="D1081" s="36" t="n">
        <v>57</v>
      </c>
      <c r="E1081" s="36" t="n"/>
      <c r="F1081" s="37" t="n"/>
      <c r="G1081" s="37" t="n">
        <v>20</v>
      </c>
      <c r="H1081" s="33">
        <f>H1080-G1081</f>
        <v/>
      </c>
      <c r="I1081" s="36" t="n"/>
      <c r="J1081" s="711" t="n"/>
      <c r="K1081" s="722">
        <f>G1081*D1081</f>
        <v/>
      </c>
      <c r="L1081" s="710" t="n"/>
      <c r="M1081" s="392" t="n"/>
    </row>
    <row r="1082" ht="17.25" customHeight="1" s="436">
      <c r="A1082" s="89" t="n">
        <v>43606</v>
      </c>
      <c r="B1082" s="31" t="inlineStr">
        <is>
          <t>6527</t>
        </is>
      </c>
      <c r="C1082" s="35" t="n"/>
      <c r="D1082" s="36" t="n">
        <v>50.28</v>
      </c>
      <c r="E1082" s="36" t="n"/>
      <c r="F1082" s="37" t="n"/>
      <c r="G1082" s="37" t="n">
        <v>11</v>
      </c>
      <c r="H1082" s="33">
        <f>H1081-G1082</f>
        <v/>
      </c>
      <c r="I1082" s="36" t="n"/>
      <c r="J1082" s="711" t="n"/>
      <c r="K1082" s="722">
        <f>G1082*D1082</f>
        <v/>
      </c>
      <c r="L1082" s="710" t="n"/>
      <c r="M1082" s="392" t="n"/>
    </row>
    <row r="1083" ht="17.25" customHeight="1" s="436">
      <c r="A1083" s="89" t="n">
        <v>43606</v>
      </c>
      <c r="B1083" s="31" t="inlineStr">
        <is>
          <t>6529</t>
        </is>
      </c>
      <c r="C1083" s="35" t="n"/>
      <c r="D1083" s="36" t="n">
        <v>56.58</v>
      </c>
      <c r="E1083" s="36" t="n"/>
      <c r="F1083" s="37" t="n"/>
      <c r="G1083" s="37" t="n">
        <v>35</v>
      </c>
      <c r="H1083" s="33">
        <f>H1082-G1083</f>
        <v/>
      </c>
      <c r="I1083" s="36" t="n"/>
      <c r="J1083" s="711" t="n"/>
      <c r="K1083" s="722">
        <f>G1083*D1083</f>
        <v/>
      </c>
      <c r="L1083" s="710" t="n"/>
      <c r="M1083" s="392" t="n"/>
    </row>
    <row r="1084" ht="17.25" customHeight="1" s="436">
      <c r="A1084" s="89" t="n">
        <v>43606</v>
      </c>
      <c r="B1084" s="31" t="inlineStr">
        <is>
          <t>6530</t>
        </is>
      </c>
      <c r="C1084" s="35" t="n"/>
      <c r="D1084" s="36" t="n">
        <v>56</v>
      </c>
      <c r="E1084" s="36" t="n"/>
      <c r="F1084" s="37" t="n"/>
      <c r="G1084" s="37" t="n">
        <v>40</v>
      </c>
      <c r="H1084" s="33">
        <f>H1083-G1084</f>
        <v/>
      </c>
      <c r="I1084" s="36" t="n"/>
      <c r="J1084" s="711" t="n"/>
      <c r="K1084" s="722">
        <f>G1084*D1084</f>
        <v/>
      </c>
      <c r="L1084" s="710" t="n"/>
      <c r="M1084" s="392" t="n"/>
    </row>
    <row r="1085" ht="17.25" customHeight="1" s="436">
      <c r="A1085" s="89" t="n">
        <v>43606</v>
      </c>
      <c r="B1085" s="31" t="inlineStr">
        <is>
          <t>6531</t>
        </is>
      </c>
      <c r="C1085" s="35" t="n"/>
      <c r="D1085" s="36" t="n">
        <v>48</v>
      </c>
      <c r="E1085" s="36" t="n"/>
      <c r="F1085" s="37" t="n"/>
      <c r="G1085" s="37" t="n">
        <v>25</v>
      </c>
      <c r="H1085" s="33">
        <f>H1084-G1085</f>
        <v/>
      </c>
      <c r="I1085" s="36" t="n"/>
      <c r="J1085" s="711" t="n"/>
      <c r="K1085" s="722">
        <f>G1085*D1085</f>
        <v/>
      </c>
      <c r="L1085" s="710" t="n"/>
      <c r="M1085" s="392" t="n"/>
    </row>
    <row r="1086" ht="17.25" customHeight="1" s="436">
      <c r="A1086" s="89" t="n">
        <v>43606</v>
      </c>
      <c r="B1086" s="31" t="inlineStr">
        <is>
          <t>6532</t>
        </is>
      </c>
      <c r="C1086" s="35" t="n"/>
      <c r="D1086" s="36" t="n">
        <v>51</v>
      </c>
      <c r="E1086" s="36" t="n"/>
      <c r="F1086" s="37" t="n"/>
      <c r="G1086" s="37" t="n">
        <v>150</v>
      </c>
      <c r="H1086" s="33">
        <f>H1085-G1086</f>
        <v/>
      </c>
      <c r="I1086" s="36" t="n"/>
      <c r="J1086" s="711" t="n"/>
      <c r="K1086" s="722">
        <f>G1086*D1086</f>
        <v/>
      </c>
      <c r="L1086" s="710" t="n"/>
      <c r="M1086" s="392" t="n"/>
    </row>
    <row r="1087" ht="17.25" customHeight="1" s="436">
      <c r="A1087" s="89" t="n">
        <v>43608</v>
      </c>
      <c r="B1087" s="31" t="inlineStr">
        <is>
          <t>6534</t>
        </is>
      </c>
      <c r="C1087" s="35" t="n"/>
      <c r="D1087" s="36" t="n">
        <v>56</v>
      </c>
      <c r="E1087" s="36" t="n"/>
      <c r="F1087" s="37" t="n"/>
      <c r="G1087" s="37" t="n">
        <v>25</v>
      </c>
      <c r="H1087" s="33">
        <f>H1086-G1087</f>
        <v/>
      </c>
      <c r="I1087" s="36" t="n"/>
      <c r="J1087" s="711" t="n"/>
      <c r="K1087" s="722">
        <f>G1087*D1087</f>
        <v/>
      </c>
      <c r="L1087" s="710" t="n"/>
      <c r="M1087" s="392" t="n"/>
    </row>
    <row r="1088" ht="17.25" customHeight="1" s="436">
      <c r="A1088" s="89" t="n">
        <v>43608</v>
      </c>
      <c r="B1088" s="31" t="inlineStr">
        <is>
          <t>6537</t>
        </is>
      </c>
      <c r="C1088" s="35" t="n"/>
      <c r="D1088" s="36" t="n">
        <v>55.4</v>
      </c>
      <c r="E1088" s="36" t="n"/>
      <c r="F1088" s="37" t="n"/>
      <c r="G1088" s="37" t="n">
        <v>25</v>
      </c>
      <c r="H1088" s="33">
        <f>H1087-G1088</f>
        <v/>
      </c>
      <c r="I1088" s="36" t="n"/>
      <c r="J1088" s="711" t="n"/>
      <c r="K1088" s="722">
        <f>G1088*D1088</f>
        <v/>
      </c>
      <c r="L1088" s="710" t="n"/>
      <c r="M1088" s="392" t="n"/>
    </row>
    <row r="1089" ht="17.25" customHeight="1" s="436">
      <c r="A1089" s="89" t="n">
        <v>43608</v>
      </c>
      <c r="B1089" s="31" t="inlineStr">
        <is>
          <t>6538</t>
        </is>
      </c>
      <c r="C1089" s="35" t="n"/>
      <c r="D1089" s="36" t="n">
        <v>60</v>
      </c>
      <c r="E1089" s="36" t="n"/>
      <c r="F1089" s="37" t="n"/>
      <c r="G1089" s="37" t="n">
        <v>20</v>
      </c>
      <c r="H1089" s="33">
        <f>H1088-G1089</f>
        <v/>
      </c>
      <c r="I1089" s="36" t="n"/>
      <c r="J1089" s="711" t="n"/>
      <c r="K1089" s="722">
        <f>G1089*D1089</f>
        <v/>
      </c>
      <c r="L1089" s="710" t="n"/>
      <c r="M1089" s="392" t="n"/>
    </row>
    <row r="1090" ht="17.25" customHeight="1" s="436">
      <c r="A1090" s="89" t="n">
        <v>43608</v>
      </c>
      <c r="B1090" s="31" t="inlineStr">
        <is>
          <t>6539</t>
        </is>
      </c>
      <c r="C1090" s="35" t="n"/>
      <c r="D1090" s="36" t="n">
        <v>56</v>
      </c>
      <c r="E1090" s="36" t="n"/>
      <c r="F1090" s="37" t="n"/>
      <c r="G1090" s="37" t="n">
        <v>10</v>
      </c>
      <c r="H1090" s="33">
        <f>H1089-G1090</f>
        <v/>
      </c>
      <c r="I1090" s="36" t="n"/>
      <c r="J1090" s="711" t="n"/>
      <c r="K1090" s="722">
        <f>G1090*D1090</f>
        <v/>
      </c>
      <c r="L1090" s="710" t="n"/>
      <c r="M1090" s="392" t="n"/>
    </row>
    <row r="1091" ht="17.25" customHeight="1" s="436">
      <c r="A1091" s="89" t="n">
        <v>43612</v>
      </c>
      <c r="B1091" s="31" t="inlineStr">
        <is>
          <t>6542</t>
        </is>
      </c>
      <c r="C1091" s="35" t="n"/>
      <c r="D1091" s="36" t="n">
        <v>56</v>
      </c>
      <c r="E1091" s="36" t="n"/>
      <c r="F1091" s="37" t="n"/>
      <c r="G1091" s="37" t="n">
        <v>60</v>
      </c>
      <c r="H1091" s="33">
        <f>H1090-G1091</f>
        <v/>
      </c>
      <c r="I1091" s="36" t="n"/>
      <c r="J1091" s="711" t="n"/>
      <c r="K1091" s="722">
        <f>G1091*D1091</f>
        <v/>
      </c>
      <c r="L1091" s="710" t="n"/>
      <c r="M1091" s="392" t="n"/>
    </row>
    <row r="1092" ht="17.25" customHeight="1" s="436">
      <c r="A1092" s="89" t="n">
        <v>43612</v>
      </c>
      <c r="B1092" s="31" t="inlineStr">
        <is>
          <t>6543</t>
        </is>
      </c>
      <c r="C1092" s="35" t="n"/>
      <c r="D1092" s="36" t="n">
        <v>57.5</v>
      </c>
      <c r="E1092" s="36" t="n"/>
      <c r="F1092" s="37" t="n"/>
      <c r="G1092" s="37" t="n">
        <v>30</v>
      </c>
      <c r="H1092" s="33">
        <f>H1091-G1092</f>
        <v/>
      </c>
      <c r="I1092" s="36" t="n"/>
      <c r="J1092" s="711" t="n"/>
      <c r="K1092" s="722">
        <f>G1092*D1092</f>
        <v/>
      </c>
      <c r="L1092" s="710" t="n"/>
      <c r="M1092" s="392" t="n"/>
    </row>
    <row r="1093" ht="17.25" customHeight="1" s="436">
      <c r="A1093" s="102" t="n">
        <v>43612</v>
      </c>
      <c r="B1093" s="93" t="inlineStr">
        <is>
          <t>37148</t>
        </is>
      </c>
      <c r="C1093" s="96" t="n"/>
      <c r="D1093" s="97" t="n">
        <v>45</v>
      </c>
      <c r="E1093" s="97" t="n"/>
      <c r="F1093" s="98" t="n">
        <v>547</v>
      </c>
      <c r="G1093" s="98" t="n"/>
      <c r="H1093" s="95" t="n">
        <v>4273</v>
      </c>
      <c r="I1093" s="36" t="n"/>
      <c r="J1093" s="711" t="n"/>
      <c r="K1093" s="722" t="n"/>
      <c r="L1093" s="710" t="n"/>
      <c r="M1093" s="392" t="n"/>
    </row>
    <row r="1094" ht="17.25" customHeight="1" s="436">
      <c r="A1094" s="102" t="n">
        <v>43612</v>
      </c>
      <c r="B1094" s="93" t="inlineStr">
        <is>
          <t>37149</t>
        </is>
      </c>
      <c r="C1094" s="96" t="n"/>
      <c r="D1094" s="97" t="n">
        <v>45</v>
      </c>
      <c r="E1094" s="97" t="n"/>
      <c r="F1094" s="98" t="n">
        <v>13</v>
      </c>
      <c r="G1094" s="98" t="n"/>
      <c r="H1094" s="95" t="n">
        <v>4286</v>
      </c>
      <c r="I1094" s="36" t="n"/>
      <c r="J1094" s="711" t="n"/>
      <c r="K1094" s="722" t="n"/>
      <c r="L1094" s="710" t="n"/>
      <c r="M1094" s="392" t="n"/>
    </row>
    <row r="1095" ht="17.25" customHeight="1" s="436">
      <c r="A1095" s="89" t="n">
        <v>43613</v>
      </c>
      <c r="B1095" s="31" t="inlineStr">
        <is>
          <t>6545</t>
        </is>
      </c>
      <c r="C1095" s="35" t="n"/>
      <c r="D1095" s="36" t="n">
        <v>49</v>
      </c>
      <c r="E1095" s="36" t="n"/>
      <c r="F1095" s="37" t="n"/>
      <c r="G1095" s="37" t="n">
        <v>30</v>
      </c>
      <c r="H1095" s="33">
        <f>H1094-G1095</f>
        <v/>
      </c>
      <c r="I1095" s="36" t="n"/>
      <c r="J1095" s="711" t="n"/>
      <c r="K1095" s="722">
        <f>G1095*D1095</f>
        <v/>
      </c>
      <c r="L1095" s="710" t="n"/>
      <c r="M1095" s="392" t="n"/>
    </row>
    <row r="1096" ht="17.25" customHeight="1" s="436">
      <c r="A1096" s="89" t="n">
        <v>43613</v>
      </c>
      <c r="B1096" s="31" t="inlineStr">
        <is>
          <t>6546</t>
        </is>
      </c>
      <c r="C1096" s="35" t="n"/>
      <c r="D1096" s="36" t="n">
        <v>57</v>
      </c>
      <c r="E1096" s="36" t="n"/>
      <c r="F1096" s="37" t="n"/>
      <c r="G1096" s="37" t="n">
        <v>40</v>
      </c>
      <c r="H1096" s="33">
        <f>H1095-G1096</f>
        <v/>
      </c>
      <c r="I1096" s="36" t="n"/>
      <c r="J1096" s="711" t="n"/>
      <c r="K1096" s="722">
        <f>G1096*D1096</f>
        <v/>
      </c>
      <c r="L1096" s="710" t="n"/>
      <c r="M1096" s="392" t="n"/>
    </row>
    <row r="1097" ht="17.25" customHeight="1" s="436">
      <c r="A1097" s="89" t="n">
        <v>43613</v>
      </c>
      <c r="B1097" s="31" t="inlineStr">
        <is>
          <t>6549</t>
        </is>
      </c>
      <c r="C1097" s="35" t="n"/>
      <c r="D1097" s="36" t="n">
        <v>57</v>
      </c>
      <c r="E1097" s="36" t="n"/>
      <c r="F1097" s="37" t="n"/>
      <c r="G1097" s="37" t="n">
        <v>10</v>
      </c>
      <c r="H1097" s="33">
        <f>H1096-G1097</f>
        <v/>
      </c>
      <c r="I1097" s="36" t="n"/>
      <c r="J1097" s="711" t="n"/>
      <c r="K1097" s="722">
        <f>G1097*D1097</f>
        <v/>
      </c>
      <c r="L1097" s="710" t="n"/>
      <c r="M1097" s="392" t="n"/>
    </row>
    <row r="1098" ht="17.25" customHeight="1" s="436">
      <c r="A1098" s="89" t="n">
        <v>43613</v>
      </c>
      <c r="B1098" s="31" t="inlineStr">
        <is>
          <t>6550</t>
        </is>
      </c>
      <c r="C1098" s="35" t="n"/>
      <c r="D1098" s="36" t="n">
        <v>57</v>
      </c>
      <c r="E1098" s="36" t="n"/>
      <c r="F1098" s="37" t="n"/>
      <c r="G1098" s="37" t="n">
        <v>30</v>
      </c>
      <c r="H1098" s="33">
        <f>H1097-G1098</f>
        <v/>
      </c>
      <c r="I1098" s="36" t="n"/>
      <c r="J1098" s="711" t="n"/>
      <c r="K1098" s="722">
        <f>G1098*D1098</f>
        <v/>
      </c>
      <c r="L1098" s="710" t="n"/>
      <c r="M1098" s="392" t="n"/>
    </row>
    <row r="1099" ht="17.25" customHeight="1" s="436">
      <c r="A1099" s="89" t="n">
        <v>43613</v>
      </c>
      <c r="B1099" s="31" t="inlineStr">
        <is>
          <t>6552</t>
        </is>
      </c>
      <c r="C1099" s="35" t="n"/>
      <c r="D1099" s="36" t="n">
        <v>56</v>
      </c>
      <c r="E1099" s="36" t="n"/>
      <c r="F1099" s="37" t="n"/>
      <c r="G1099" s="37" t="n">
        <v>30</v>
      </c>
      <c r="H1099" s="33">
        <f>H1098-G1099</f>
        <v/>
      </c>
      <c r="I1099" s="36" t="n"/>
      <c r="J1099" s="711" t="n"/>
      <c r="K1099" s="722">
        <f>G1099*D1099</f>
        <v/>
      </c>
      <c r="L1099" s="710" t="n"/>
      <c r="M1099" s="392" t="n"/>
    </row>
    <row r="1100" ht="17.25" customHeight="1" s="436">
      <c r="A1100" s="89" t="n">
        <v>43613</v>
      </c>
      <c r="B1100" s="31" t="inlineStr">
        <is>
          <t>6554</t>
        </is>
      </c>
      <c r="C1100" s="35" t="n"/>
      <c r="D1100" s="36" t="n">
        <v>58</v>
      </c>
      <c r="E1100" s="36" t="n"/>
      <c r="F1100" s="37" t="n"/>
      <c r="G1100" s="37" t="n">
        <v>20</v>
      </c>
      <c r="H1100" s="33">
        <f>H1099-G1100</f>
        <v/>
      </c>
      <c r="I1100" s="36" t="n"/>
      <c r="J1100" s="711" t="n"/>
      <c r="K1100" s="722">
        <f>G1100*D1100</f>
        <v/>
      </c>
      <c r="L1100" s="710" t="n"/>
      <c r="M1100" s="392" t="n"/>
    </row>
    <row r="1101" ht="17.25" customHeight="1" s="436">
      <c r="A1101" s="89" t="n">
        <v>43628</v>
      </c>
      <c r="B1101" s="31" t="inlineStr">
        <is>
          <t>6469</t>
        </is>
      </c>
      <c r="C1101" s="35" t="n"/>
      <c r="D1101" s="36" t="n">
        <v>89</v>
      </c>
      <c r="E1101" s="36" t="n"/>
      <c r="F1101" s="37" t="n"/>
      <c r="G1101" s="37" t="n"/>
      <c r="H1101" s="33">
        <f>H1100-G1101</f>
        <v/>
      </c>
      <c r="I1101" s="36" t="n"/>
      <c r="J1101" s="711" t="n"/>
      <c r="K1101" s="722">
        <f>G1101*D1101</f>
        <v/>
      </c>
      <c r="L1101" s="710" t="n"/>
      <c r="M1101" s="392" t="n"/>
    </row>
    <row r="1102" ht="17.25" customHeight="1" s="436">
      <c r="A1102" s="89" t="n">
        <v>43629</v>
      </c>
      <c r="B1102" s="31" t="inlineStr">
        <is>
          <t>6470</t>
        </is>
      </c>
      <c r="C1102" s="35" t="n"/>
      <c r="D1102" s="36" t="n">
        <v>90</v>
      </c>
      <c r="E1102" s="36" t="n"/>
      <c r="F1102" s="37" t="n"/>
      <c r="G1102" s="37" t="n"/>
      <c r="H1102" s="33">
        <f>H1101-G1102</f>
        <v/>
      </c>
      <c r="I1102" s="36" t="n"/>
      <c r="J1102" s="711" t="n"/>
      <c r="K1102" s="722">
        <f>G1102*D1102</f>
        <v/>
      </c>
      <c r="L1102" s="710" t="n"/>
      <c r="M1102" s="392" t="n"/>
    </row>
    <row r="1103" ht="17.25" customHeight="1" s="436">
      <c r="A1103" s="89" t="n">
        <v>43630</v>
      </c>
      <c r="B1103" s="31" t="inlineStr">
        <is>
          <t>6471</t>
        </is>
      </c>
      <c r="C1103" s="35" t="n"/>
      <c r="D1103" s="36" t="n">
        <v>91</v>
      </c>
      <c r="E1103" s="36" t="n"/>
      <c r="F1103" s="37" t="n"/>
      <c r="G1103" s="101" t="n"/>
      <c r="H1103" s="33">
        <f>H1102-G1103</f>
        <v/>
      </c>
      <c r="I1103" s="36" t="n"/>
      <c r="J1103" s="711" t="n"/>
      <c r="K1103" s="722">
        <f>G1103*D1103</f>
        <v/>
      </c>
      <c r="L1103" s="710" t="n"/>
      <c r="M1103" s="392" t="n"/>
    </row>
    <row r="1104" ht="17.25" customHeight="1" s="436">
      <c r="A1104" s="89" t="n">
        <v>43631</v>
      </c>
      <c r="B1104" s="31" t="inlineStr">
        <is>
          <t>6472</t>
        </is>
      </c>
      <c r="C1104" s="35" t="n"/>
      <c r="D1104" s="36" t="n">
        <v>92</v>
      </c>
      <c r="E1104" s="36" t="n"/>
      <c r="F1104" s="37" t="n"/>
      <c r="G1104" s="37" t="n"/>
      <c r="H1104" s="33">
        <f>H1103-G1104</f>
        <v/>
      </c>
      <c r="I1104" s="36" t="n"/>
      <c r="J1104" s="711" t="n"/>
      <c r="K1104" s="722">
        <f>G1104*D1104</f>
        <v/>
      </c>
      <c r="L1104" s="710" t="n"/>
      <c r="M1104" s="392" t="n"/>
    </row>
    <row r="1105" ht="17.25" customHeight="1" s="436">
      <c r="A1105" s="89" t="n">
        <v>43632</v>
      </c>
      <c r="B1105" s="31" t="inlineStr">
        <is>
          <t>6473</t>
        </is>
      </c>
      <c r="C1105" s="35" t="n"/>
      <c r="D1105" s="36" t="n">
        <v>93</v>
      </c>
      <c r="E1105" s="36" t="n"/>
      <c r="F1105" s="37" t="n"/>
      <c r="G1105" s="37" t="n"/>
      <c r="H1105" s="33">
        <f>H1104-G1105</f>
        <v/>
      </c>
      <c r="I1105" s="36" t="n"/>
      <c r="J1105" s="711" t="n"/>
      <c r="K1105" s="722">
        <f>G1105*D1105</f>
        <v/>
      </c>
      <c r="L1105" s="710" t="n"/>
      <c r="M1105" s="392" t="n"/>
    </row>
    <row r="1106" ht="17.25" customHeight="1" s="436">
      <c r="A1106" s="89" t="n">
        <v>43633</v>
      </c>
      <c r="B1106" s="31" t="inlineStr">
        <is>
          <t>6474</t>
        </is>
      </c>
      <c r="C1106" s="35" t="n"/>
      <c r="D1106" s="36" t="n">
        <v>94</v>
      </c>
      <c r="E1106" s="36" t="n"/>
      <c r="F1106" s="37" t="n"/>
      <c r="G1106" s="37" t="n"/>
      <c r="H1106" s="33">
        <f>H1105-G1106</f>
        <v/>
      </c>
      <c r="I1106" s="36" t="n"/>
      <c r="J1106" s="711" t="n"/>
      <c r="K1106" s="722">
        <f>G1106*D1106</f>
        <v/>
      </c>
      <c r="L1106" s="710" t="n"/>
      <c r="M1106" s="392" t="n"/>
    </row>
    <row r="1107" ht="17.25" customHeight="1" s="436">
      <c r="A1107" s="89" t="n">
        <v>43634</v>
      </c>
      <c r="B1107" s="31" t="inlineStr">
        <is>
          <t>6475</t>
        </is>
      </c>
      <c r="C1107" s="35" t="n"/>
      <c r="D1107" s="36" t="n">
        <v>95</v>
      </c>
      <c r="E1107" s="36" t="n"/>
      <c r="F1107" s="37" t="n"/>
      <c r="G1107" s="37" t="n"/>
      <c r="H1107" s="33">
        <f>H1106-G1107</f>
        <v/>
      </c>
      <c r="I1107" s="36" t="n"/>
      <c r="J1107" s="711" t="n"/>
      <c r="K1107" s="722">
        <f>G1107*D1107</f>
        <v/>
      </c>
      <c r="L1107" s="710" t="n"/>
      <c r="M1107" s="392" t="n"/>
    </row>
    <row r="1108" ht="17.25" customHeight="1" s="436">
      <c r="A1108" s="89" t="n">
        <v>43635</v>
      </c>
      <c r="B1108" s="31" t="inlineStr">
        <is>
          <t>6476</t>
        </is>
      </c>
      <c r="C1108" s="35" t="n"/>
      <c r="D1108" s="36" t="n">
        <v>96</v>
      </c>
      <c r="E1108" s="36" t="n"/>
      <c r="F1108" s="37" t="n"/>
      <c r="G1108" s="37" t="n"/>
      <c r="H1108" s="33">
        <f>H1107-G1108</f>
        <v/>
      </c>
      <c r="I1108" s="36" t="n"/>
      <c r="J1108" s="711" t="n"/>
      <c r="K1108" s="722">
        <f>G1108*D1108</f>
        <v/>
      </c>
      <c r="L1108" s="710" t="n"/>
      <c r="M1108" s="392" t="n"/>
    </row>
    <row r="1109" ht="17.25" customHeight="1" s="436">
      <c r="A1109" s="89" t="n">
        <v>43636</v>
      </c>
      <c r="B1109" s="31" t="inlineStr">
        <is>
          <t>6477</t>
        </is>
      </c>
      <c r="C1109" s="35" t="n"/>
      <c r="D1109" s="36" t="n">
        <v>97</v>
      </c>
      <c r="E1109" s="36" t="n"/>
      <c r="F1109" s="37" t="n"/>
      <c r="G1109" s="37" t="n"/>
      <c r="H1109" s="33">
        <f>H1108-G1109</f>
        <v/>
      </c>
      <c r="I1109" s="36" t="n"/>
      <c r="J1109" s="711" t="n"/>
      <c r="K1109" s="722">
        <f>G1109*D1109</f>
        <v/>
      </c>
      <c r="L1109" s="710" t="n"/>
      <c r="M1109" s="392" t="n"/>
    </row>
    <row r="1110" ht="17.25" customHeight="1" s="436">
      <c r="A1110" s="89" t="n">
        <v>43637</v>
      </c>
      <c r="B1110" s="31" t="inlineStr">
        <is>
          <t>6478</t>
        </is>
      </c>
      <c r="C1110" s="35" t="n"/>
      <c r="D1110" s="36" t="n">
        <v>98</v>
      </c>
      <c r="E1110" s="36" t="n"/>
      <c r="F1110" s="37" t="n"/>
      <c r="G1110" s="37" t="n"/>
      <c r="H1110" s="33">
        <f>H1109-G1110</f>
        <v/>
      </c>
      <c r="I1110" s="36" t="n"/>
      <c r="J1110" s="711" t="n"/>
      <c r="K1110" s="722">
        <f>G1110*D1110</f>
        <v/>
      </c>
      <c r="L1110" s="710" t="n"/>
      <c r="M1110" s="392" t="n"/>
    </row>
    <row r="1111" ht="17.25" customHeight="1" s="436">
      <c r="A1111" s="89" t="n">
        <v>43638</v>
      </c>
      <c r="B1111" s="31" t="inlineStr">
        <is>
          <t>6479</t>
        </is>
      </c>
      <c r="C1111" s="35" t="n"/>
      <c r="D1111" s="36" t="n">
        <v>99</v>
      </c>
      <c r="E1111" s="36" t="n"/>
      <c r="F1111" s="37" t="n"/>
      <c r="G1111" s="37" t="n"/>
      <c r="H1111" s="33">
        <f>H1110-G1111</f>
        <v/>
      </c>
      <c r="I1111" s="36" t="n"/>
      <c r="J1111" s="711" t="n"/>
      <c r="K1111" s="722">
        <f>G1111*D1111</f>
        <v/>
      </c>
      <c r="L1111" s="710" t="n"/>
      <c r="M1111" s="392" t="n"/>
    </row>
    <row r="1112" ht="17.25" customHeight="1" s="436">
      <c r="A1112" s="89" t="n">
        <v>43639</v>
      </c>
      <c r="B1112" s="31" t="inlineStr">
        <is>
          <t>6480</t>
        </is>
      </c>
      <c r="C1112" s="35" t="n"/>
      <c r="D1112" s="36" t="n">
        <v>100</v>
      </c>
      <c r="E1112" s="36" t="n"/>
      <c r="F1112" s="37" t="n"/>
      <c r="G1112" s="37" t="n"/>
      <c r="H1112" s="33">
        <f>H1111-G1112</f>
        <v/>
      </c>
      <c r="I1112" s="36" t="n"/>
      <c r="J1112" s="711" t="n"/>
      <c r="K1112" s="722">
        <f>G1112*D1112</f>
        <v/>
      </c>
      <c r="L1112" s="710" t="n"/>
      <c r="M1112" s="392" t="n"/>
    </row>
    <row r="1113" ht="17.25" customHeight="1" s="436">
      <c r="A1113" s="89" t="n">
        <v>43640</v>
      </c>
      <c r="B1113" s="31" t="inlineStr">
        <is>
          <t>6481</t>
        </is>
      </c>
      <c r="C1113" s="35" t="n"/>
      <c r="D1113" s="36" t="n">
        <v>101</v>
      </c>
      <c r="E1113" s="36" t="n"/>
      <c r="F1113" s="37" t="n"/>
      <c r="G1113" s="37" t="n"/>
      <c r="H1113" s="33">
        <f>H1112-G1113</f>
        <v/>
      </c>
      <c r="I1113" s="36" t="n"/>
      <c r="J1113" s="711" t="n"/>
      <c r="K1113" s="722">
        <f>G1113*D1113</f>
        <v/>
      </c>
      <c r="L1113" s="710" t="n"/>
      <c r="M1113" s="392" t="n"/>
    </row>
    <row r="1114"/>
    <row r="1115"/>
    <row r="1116"/>
    <row r="1117"/>
    <row r="1118"/>
    <row r="1119"/>
    <row r="1120"/>
    <row r="1121"/>
    <row r="1122" ht="15.75" customHeight="1" s="436" thickBot="1"/>
    <row r="1123" ht="27" customHeight="1" s="436" thickBot="1">
      <c r="A1123" s="720" t="inlineStr">
        <is>
          <t xml:space="preserve"> FARINHA DE TRIGO TIPO: 1 - 25 KG</t>
        </is>
      </c>
      <c r="B1123" s="697" t="n"/>
      <c r="C1123" s="697" t="n"/>
      <c r="D1123" s="697" t="n"/>
      <c r="E1123" s="697" t="n"/>
      <c r="F1123" s="697" t="n"/>
      <c r="G1123" s="697" t="n"/>
      <c r="H1123" s="697" t="n"/>
      <c r="I1123" s="697" t="n"/>
      <c r="J1123" s="697" t="n"/>
      <c r="K1123" s="697" t="n"/>
      <c r="L1123" s="697" t="n"/>
      <c r="M1123" s="698" t="n"/>
    </row>
    <row r="1124">
      <c r="A1124" s="643" t="inlineStr">
        <is>
          <t>DATA</t>
        </is>
      </c>
      <c r="B1124" s="633" t="inlineStr">
        <is>
          <t>N.F.</t>
        </is>
      </c>
      <c r="C1124" s="633" t="inlineStr">
        <is>
          <t>TIPO</t>
        </is>
      </c>
      <c r="D1124" s="633" t="inlineStr">
        <is>
          <t>PREÇO UNITÁRIO</t>
        </is>
      </c>
      <c r="E1124" s="701" t="n"/>
      <c r="F1124" s="633" t="inlineStr">
        <is>
          <t>QUANTIDADE / KG</t>
        </is>
      </c>
      <c r="H1124" s="701" t="n"/>
      <c r="I1124" s="632" t="inlineStr">
        <is>
          <t>PREÇO</t>
        </is>
      </c>
      <c r="J1124" s="632" t="inlineStr">
        <is>
          <t>VALORES</t>
        </is>
      </c>
      <c r="L1124" s="701" t="n"/>
      <c r="M1124" s="649" t="n"/>
    </row>
    <row r="1125" ht="15.75" customHeight="1" s="436" thickBot="1">
      <c r="A1125" s="703" t="n"/>
      <c r="B1125" s="704" t="n"/>
      <c r="C1125" s="704" t="n"/>
      <c r="D1125" s="703" t="n"/>
      <c r="E1125" s="701" t="n"/>
      <c r="F1125" s="705" t="n"/>
      <c r="G1125" s="706" t="n"/>
      <c r="H1125" s="707" t="n"/>
      <c r="I1125" s="704" t="n"/>
      <c r="J1125" s="703" t="n"/>
      <c r="L1125" s="701" t="n"/>
      <c r="M1125" s="704" t="n"/>
    </row>
    <row r="1126" ht="15.75" customHeight="1" s="436" thickBot="1">
      <c r="A1126" s="703" t="n"/>
      <c r="B1126" s="704" t="n"/>
      <c r="C1126" s="704" t="n"/>
      <c r="D1126" s="705" t="n"/>
      <c r="E1126" s="707" t="n"/>
      <c r="F1126" s="3" t="inlineStr">
        <is>
          <t>ENTRADA</t>
        </is>
      </c>
      <c r="G1126" s="3" t="inlineStr">
        <is>
          <t>SAÍDA</t>
        </is>
      </c>
      <c r="H1126" s="640" t="n"/>
      <c r="I1126" s="633" t="inlineStr">
        <is>
          <t>MÉDIO</t>
        </is>
      </c>
      <c r="J1126" s="652" t="inlineStr">
        <is>
          <t>SALDO EM 30/11/2017</t>
        </is>
      </c>
      <c r="K1126" s="706" t="n"/>
      <c r="L1126" s="17" t="n"/>
      <c r="M1126" s="704" t="n"/>
    </row>
    <row r="1127" ht="18" customHeight="1" s="436" thickBot="1">
      <c r="A1127" s="705" t="n"/>
      <c r="B1127" s="695" t="n"/>
      <c r="C1127" s="695" t="n"/>
      <c r="D1127" s="3" t="inlineStr">
        <is>
          <t>C/ICMS</t>
        </is>
      </c>
      <c r="E1127" s="3" t="inlineStr">
        <is>
          <t>S/ICMS</t>
        </is>
      </c>
      <c r="F1127" s="695" t="n"/>
      <c r="G1127" s="695" t="n"/>
      <c r="H1127" s="84" t="inlineStr">
        <is>
          <t>Saldo em 31/05/2019</t>
        </is>
      </c>
      <c r="I1127" s="695" t="n"/>
      <c r="J1127" s="645" t="inlineStr">
        <is>
          <t>ENTRADA</t>
        </is>
      </c>
      <c r="K1127" s="633" t="inlineStr">
        <is>
          <t>SAÍDA / CMV</t>
        </is>
      </c>
      <c r="L1127" s="643" t="inlineStr">
        <is>
          <t>SALDO</t>
        </is>
      </c>
      <c r="M1127" s="392" t="n"/>
    </row>
    <row r="1128" ht="17.25" customHeight="1" s="436">
      <c r="A1128" s="30" t="inlineStr">
        <is>
          <t>As</t>
        </is>
      </c>
      <c r="B1128" s="31" t="n"/>
      <c r="C1128" s="35" t="n"/>
      <c r="D1128" s="36" t="n"/>
      <c r="E1128" s="36" t="n"/>
      <c r="F1128" s="37" t="n"/>
      <c r="G1128" s="37" t="n">
        <v>0</v>
      </c>
      <c r="H1128" s="37" t="n"/>
      <c r="I1128" s="36" t="n"/>
      <c r="J1128" s="711">
        <f>F1128*I1128</f>
        <v/>
      </c>
      <c r="K1128" s="721" t="n">
        <v>0</v>
      </c>
      <c r="L1128" s="710">
        <f>J1128-K1128</f>
        <v/>
      </c>
      <c r="M1128" s="392" t="n"/>
    </row>
    <row r="1129" ht="17.25" customHeight="1" s="436">
      <c r="A1129" s="92" t="n">
        <v>43617</v>
      </c>
      <c r="B1129" s="93" t="n"/>
      <c r="C1129" s="93" t="n"/>
      <c r="D1129" s="94" t="n"/>
      <c r="E1129" s="94" t="n"/>
      <c r="F1129" s="95" t="n"/>
      <c r="G1129" s="95" t="n"/>
      <c r="H1129" s="95" t="n">
        <v>4126</v>
      </c>
      <c r="I1129" s="32" t="n"/>
      <c r="J1129" s="711" t="n"/>
      <c r="K1129" s="722" t="n"/>
      <c r="L1129" s="710" t="n"/>
      <c r="M1129" s="392" t="n"/>
    </row>
    <row r="1130" ht="17.25" customHeight="1" s="436">
      <c r="A1130" s="92" t="n">
        <v>43617</v>
      </c>
      <c r="B1130" s="93" t="inlineStr">
        <is>
          <t>118065</t>
        </is>
      </c>
      <c r="C1130" s="93" t="n"/>
      <c r="D1130" s="94" t="n">
        <v>41.8</v>
      </c>
      <c r="E1130" s="94" t="n"/>
      <c r="F1130" s="95" t="n">
        <v>480</v>
      </c>
      <c r="G1130" s="95" t="n"/>
      <c r="H1130" s="95" t="n">
        <v>4606</v>
      </c>
      <c r="I1130" s="32" t="n"/>
      <c r="J1130" s="711" t="n"/>
      <c r="K1130" s="722" t="n"/>
      <c r="L1130" s="710" t="n"/>
      <c r="M1130" s="392" t="n"/>
    </row>
    <row r="1131" ht="17.25" customHeight="1" s="436">
      <c r="A1131" s="92" t="n">
        <v>43620</v>
      </c>
      <c r="B1131" s="93" t="inlineStr">
        <is>
          <t>12928</t>
        </is>
      </c>
      <c r="C1131" s="93" t="n"/>
      <c r="D1131" s="94" t="n">
        <v>45.7</v>
      </c>
      <c r="E1131" s="94" t="n"/>
      <c r="F1131" s="95" t="n">
        <v>200</v>
      </c>
      <c r="G1131" s="95" t="n"/>
      <c r="H1131" s="95" t="n">
        <v>4806</v>
      </c>
      <c r="I1131" s="32" t="n"/>
      <c r="J1131" s="711" t="n"/>
      <c r="K1131" s="722" t="n"/>
      <c r="L1131" s="710" t="n"/>
      <c r="M1131" s="392" t="n"/>
    </row>
    <row r="1132" ht="17.25" customHeight="1" s="436">
      <c r="A1132" s="89" t="n">
        <v>43620</v>
      </c>
      <c r="B1132" s="31" t="inlineStr">
        <is>
          <t>6558</t>
        </is>
      </c>
      <c r="C1132" s="31" t="n"/>
      <c r="D1132" s="32" t="n">
        <v>56</v>
      </c>
      <c r="E1132" s="32" t="n"/>
      <c r="F1132" s="33" t="n"/>
      <c r="G1132" s="33" t="n">
        <v>30</v>
      </c>
      <c r="H1132" s="33">
        <f>H1131-G1132</f>
        <v/>
      </c>
      <c r="I1132" s="32" t="n"/>
      <c r="J1132" s="711" t="n"/>
      <c r="K1132" s="722" t="n"/>
      <c r="L1132" s="710" t="n"/>
      <c r="M1132" s="392" t="n"/>
    </row>
    <row r="1133" ht="17.25" customHeight="1" s="436">
      <c r="A1133" s="89" t="n">
        <v>43620</v>
      </c>
      <c r="B1133" s="31" t="inlineStr">
        <is>
          <t>6559</t>
        </is>
      </c>
      <c r="C1133" s="35" t="n"/>
      <c r="D1133" s="36" t="n">
        <v>56</v>
      </c>
      <c r="E1133" s="36" t="n"/>
      <c r="F1133" s="37" t="n"/>
      <c r="G1133" s="37" t="n">
        <v>20</v>
      </c>
      <c r="H1133" s="33">
        <f>H1132-G1133</f>
        <v/>
      </c>
      <c r="I1133" s="36" t="n"/>
      <c r="J1133" s="711" t="n"/>
      <c r="K1133" s="722">
        <f>G1133*D1133</f>
        <v/>
      </c>
      <c r="L1133" s="710" t="n"/>
      <c r="M1133" s="392" t="n"/>
    </row>
    <row r="1134" ht="17.25" customHeight="1" s="436">
      <c r="A1134" s="89" t="n">
        <v>43620</v>
      </c>
      <c r="B1134" s="31" t="inlineStr">
        <is>
          <t>6562</t>
        </is>
      </c>
      <c r="C1134" s="35" t="n"/>
      <c r="D1134" s="36" t="n">
        <v>57</v>
      </c>
      <c r="E1134" s="36" t="n"/>
      <c r="F1134" s="37" t="n"/>
      <c r="G1134" s="101" t="n">
        <v>30</v>
      </c>
      <c r="H1134" s="33">
        <f>H1133-G1134</f>
        <v/>
      </c>
      <c r="I1134" s="36" t="n"/>
      <c r="J1134" s="711" t="n"/>
      <c r="K1134" s="722">
        <f>G1134*D1134</f>
        <v/>
      </c>
      <c r="L1134" s="710" t="n"/>
      <c r="M1134" s="392" t="n"/>
    </row>
    <row r="1135" ht="17.25" customHeight="1" s="436">
      <c r="A1135" s="89" t="n">
        <v>43622</v>
      </c>
      <c r="B1135" s="31" t="inlineStr">
        <is>
          <t>6566</t>
        </is>
      </c>
      <c r="C1135" s="35" t="n"/>
      <c r="D1135" s="36" t="n">
        <v>58</v>
      </c>
      <c r="E1135" s="36" t="n"/>
      <c r="F1135" s="37" t="n"/>
      <c r="G1135" s="37" t="n">
        <v>70</v>
      </c>
      <c r="H1135" s="33">
        <f>H1134-G1135</f>
        <v/>
      </c>
      <c r="I1135" s="36" t="n"/>
      <c r="J1135" s="711" t="n"/>
      <c r="K1135" s="722">
        <f>G1135*D1135</f>
        <v/>
      </c>
      <c r="L1135" s="710" t="n"/>
      <c r="M1135" s="392" t="n"/>
    </row>
    <row r="1136">
      <c r="A1136" s="89" t="n">
        <v>43622</v>
      </c>
      <c r="B1136" s="31" t="inlineStr">
        <is>
          <t>6567</t>
        </is>
      </c>
      <c r="C1136" s="35" t="n"/>
      <c r="D1136" s="36" t="n">
        <v>58</v>
      </c>
      <c r="E1136" s="36" t="n"/>
      <c r="F1136" s="37" t="n"/>
      <c r="G1136" s="37" t="n">
        <v>70</v>
      </c>
      <c r="H1136" s="33">
        <f>H1135-G1136</f>
        <v/>
      </c>
      <c r="I1136" s="36" t="n"/>
      <c r="J1136" s="711" t="n"/>
      <c r="K1136" s="709">
        <f>G1136*D1136</f>
        <v/>
      </c>
      <c r="L1136" s="710" t="n"/>
      <c r="M1136" s="392" t="n"/>
    </row>
    <row r="1137" ht="17.25" customHeight="1" s="436">
      <c r="A1137" s="89" t="n">
        <v>43626</v>
      </c>
      <c r="B1137" s="31" t="inlineStr">
        <is>
          <t>6569</t>
        </is>
      </c>
      <c r="C1137" s="35" t="n"/>
      <c r="D1137" s="36" t="n">
        <v>50</v>
      </c>
      <c r="E1137" s="36" t="n"/>
      <c r="F1137" s="37" t="n"/>
      <c r="G1137" s="37" t="n">
        <v>20</v>
      </c>
      <c r="H1137" s="33">
        <f>H1136-G1137</f>
        <v/>
      </c>
      <c r="I1137" s="36" t="n"/>
      <c r="J1137" s="711" t="n"/>
      <c r="K1137" s="722">
        <f>G1137*D1137</f>
        <v/>
      </c>
      <c r="L1137" s="710" t="n"/>
      <c r="M1137" s="392" t="n"/>
    </row>
    <row r="1138" ht="17.25" customHeight="1" s="436">
      <c r="A1138" s="89" t="n">
        <v>43626</v>
      </c>
      <c r="B1138" s="31" t="inlineStr">
        <is>
          <t>6571</t>
        </is>
      </c>
      <c r="C1138" s="35" t="n"/>
      <c r="D1138" s="36" t="n">
        <v>54</v>
      </c>
      <c r="E1138" s="36" t="n"/>
      <c r="F1138" s="37" t="n"/>
      <c r="G1138" s="37" t="n">
        <v>9</v>
      </c>
      <c r="H1138" s="33">
        <f>H1137-G1138</f>
        <v/>
      </c>
      <c r="I1138" s="36" t="n"/>
      <c r="J1138" s="711" t="n"/>
      <c r="K1138" s="722">
        <f>G1138*D1138</f>
        <v/>
      </c>
      <c r="L1138" s="710" t="n"/>
      <c r="M1138" s="392" t="n"/>
    </row>
    <row r="1139" ht="17.25" customHeight="1" s="436">
      <c r="A1139" s="89" t="n">
        <v>43626</v>
      </c>
      <c r="B1139" s="31" t="inlineStr">
        <is>
          <t>6572</t>
        </is>
      </c>
      <c r="C1139" s="35" t="n"/>
      <c r="D1139" s="36" t="n">
        <v>55</v>
      </c>
      <c r="E1139" s="36" t="n"/>
      <c r="F1139" s="37" t="n"/>
      <c r="G1139" s="37" t="n">
        <v>20</v>
      </c>
      <c r="H1139" s="33">
        <f>H1138-G1139</f>
        <v/>
      </c>
      <c r="I1139" s="36" t="n"/>
      <c r="J1139" s="711" t="n"/>
      <c r="K1139" s="722">
        <f>G1139*D1139</f>
        <v/>
      </c>
      <c r="L1139" s="710" t="n"/>
      <c r="M1139" s="392" t="n"/>
    </row>
    <row r="1140" ht="17.25" customHeight="1" s="436">
      <c r="A1140" s="89" t="n">
        <v>43626</v>
      </c>
      <c r="B1140" s="31" t="inlineStr">
        <is>
          <t>6573</t>
        </is>
      </c>
      <c r="C1140" s="35" t="n"/>
      <c r="D1140" s="36" t="n">
        <v>57.5</v>
      </c>
      <c r="E1140" s="36" t="n"/>
      <c r="F1140" s="37" t="n"/>
      <c r="G1140" s="101" t="n">
        <v>40</v>
      </c>
      <c r="H1140" s="33">
        <f>H1139-G1140</f>
        <v/>
      </c>
      <c r="I1140" s="36" t="n"/>
      <c r="J1140" s="711" t="n"/>
      <c r="K1140" s="722">
        <f>G1140*D1140</f>
        <v/>
      </c>
      <c r="L1140" s="710" t="n"/>
      <c r="M1140" s="392" t="n"/>
    </row>
    <row r="1141" ht="17.25" customHeight="1" s="436">
      <c r="A1141" s="89" t="n">
        <v>43626</v>
      </c>
      <c r="B1141" s="31" t="inlineStr">
        <is>
          <t>6576</t>
        </is>
      </c>
      <c r="C1141" s="35" t="n"/>
      <c r="D1141" s="36" t="n">
        <v>50</v>
      </c>
      <c r="E1141" s="36" t="n"/>
      <c r="F1141" s="37" t="n"/>
      <c r="G1141" s="37" t="n">
        <v>10</v>
      </c>
      <c r="H1141" s="33">
        <f>H1140-G1141</f>
        <v/>
      </c>
      <c r="I1141" s="36" t="n"/>
      <c r="J1141" s="711" t="n"/>
      <c r="K1141" s="722">
        <f>G1141*D1141</f>
        <v/>
      </c>
      <c r="L1141" s="710" t="n"/>
      <c r="M1141" s="392" t="n"/>
    </row>
    <row r="1142" ht="17.25" customHeight="1" s="436">
      <c r="A1142" s="89" t="n">
        <v>43626</v>
      </c>
      <c r="B1142" s="31" t="inlineStr">
        <is>
          <t>6577</t>
        </is>
      </c>
      <c r="C1142" s="35" t="n"/>
      <c r="D1142" s="36" t="n">
        <v>58</v>
      </c>
      <c r="E1142" s="36" t="n"/>
      <c r="F1142" s="37" t="n"/>
      <c r="G1142" s="37" t="n">
        <v>100</v>
      </c>
      <c r="H1142" s="33">
        <f>H1141-G1142</f>
        <v/>
      </c>
      <c r="I1142" s="36" t="n"/>
      <c r="J1142" s="711" t="n"/>
      <c r="K1142" s="722">
        <f>G1142*D1142</f>
        <v/>
      </c>
      <c r="L1142" s="710" t="n"/>
      <c r="M1142" s="392" t="n"/>
    </row>
    <row r="1143" ht="17.25" customHeight="1" s="436">
      <c r="A1143" s="89" t="n">
        <v>43627</v>
      </c>
      <c r="B1143" s="31" t="inlineStr">
        <is>
          <t>6579</t>
        </is>
      </c>
      <c r="C1143" s="35" t="n"/>
      <c r="D1143" s="36" t="n">
        <v>50</v>
      </c>
      <c r="E1143" s="36" t="n"/>
      <c r="F1143" s="37" t="n"/>
      <c r="G1143" s="37" t="n">
        <v>20</v>
      </c>
      <c r="H1143" s="33">
        <f>H1142-G1143</f>
        <v/>
      </c>
      <c r="I1143" s="36" t="n"/>
      <c r="J1143" s="711" t="n"/>
      <c r="K1143" s="722">
        <f>G1143*D1143</f>
        <v/>
      </c>
      <c r="L1143" s="710" t="n"/>
      <c r="M1143" s="392" t="n"/>
    </row>
    <row r="1144" ht="17.25" customHeight="1" s="436">
      <c r="A1144" s="30" t="n">
        <v>43627</v>
      </c>
      <c r="B1144" s="31" t="inlineStr">
        <is>
          <t>6580</t>
        </is>
      </c>
      <c r="C1144" s="31" t="n"/>
      <c r="D1144" s="32" t="n">
        <v>56</v>
      </c>
      <c r="E1144" s="32" t="n"/>
      <c r="F1144" s="33" t="n"/>
      <c r="G1144" s="33" t="n">
        <v>30</v>
      </c>
      <c r="H1144" s="33">
        <f>H1143-G1144</f>
        <v/>
      </c>
      <c r="I1144" s="36" t="n"/>
      <c r="J1144" s="711" t="n"/>
      <c r="K1144" s="722">
        <f>G1144*D1144</f>
        <v/>
      </c>
      <c r="L1144" s="710" t="n"/>
      <c r="M1144" s="392" t="n"/>
    </row>
    <row r="1145" ht="17.25" customHeight="1" s="436">
      <c r="A1145" s="92" t="n">
        <v>43633</v>
      </c>
      <c r="B1145" s="93" t="inlineStr">
        <is>
          <t>2488</t>
        </is>
      </c>
      <c r="C1145" s="93" t="n"/>
      <c r="D1145" s="94" t="n">
        <v>40</v>
      </c>
      <c r="E1145" s="94" t="n"/>
      <c r="F1145" s="95" t="n">
        <v>200</v>
      </c>
      <c r="G1145" s="95" t="n"/>
      <c r="H1145" s="95" t="n">
        <v>4337</v>
      </c>
      <c r="I1145" s="36" t="n"/>
      <c r="J1145" s="711" t="n"/>
      <c r="K1145" s="722">
        <f>G1145*D1145</f>
        <v/>
      </c>
      <c r="L1145" s="710" t="n"/>
      <c r="M1145" s="392" t="n"/>
    </row>
    <row r="1146" ht="17.25" customHeight="1" s="436">
      <c r="A1146" s="89" t="n">
        <v>43627</v>
      </c>
      <c r="B1146" s="31" t="inlineStr">
        <is>
          <t>6581</t>
        </is>
      </c>
      <c r="C1146" s="35" t="n"/>
      <c r="D1146" s="36" t="n">
        <v>53</v>
      </c>
      <c r="E1146" s="36" t="n"/>
      <c r="F1146" s="37" t="n"/>
      <c r="G1146" s="37" t="n">
        <v>20</v>
      </c>
      <c r="H1146" s="33">
        <f>H1145-G1146</f>
        <v/>
      </c>
      <c r="I1146" s="36" t="n"/>
      <c r="J1146" s="711" t="n"/>
      <c r="K1146" s="722">
        <f>G1146*D1146</f>
        <v/>
      </c>
      <c r="L1146" s="710" t="n"/>
      <c r="M1146" s="392" t="n"/>
    </row>
    <row r="1147" ht="17.25" customHeight="1" s="436">
      <c r="A1147" s="89" t="n">
        <v>43627</v>
      </c>
      <c r="B1147" s="31" t="inlineStr">
        <is>
          <t>6582</t>
        </is>
      </c>
      <c r="C1147" s="35" t="n"/>
      <c r="D1147" s="36" t="n">
        <v>57</v>
      </c>
      <c r="E1147" s="36" t="n"/>
      <c r="F1147" s="37" t="n"/>
      <c r="G1147" s="37" t="n">
        <v>10</v>
      </c>
      <c r="H1147" s="33">
        <f>H1146-G1147</f>
        <v/>
      </c>
      <c r="I1147" s="36" t="n"/>
      <c r="J1147" s="711" t="n"/>
      <c r="K1147" s="722">
        <f>G1147*D1147</f>
        <v/>
      </c>
      <c r="L1147" s="710" t="n"/>
      <c r="M1147" s="392" t="n"/>
    </row>
    <row r="1148" ht="17.25" customHeight="1" s="436">
      <c r="A1148" s="89" t="n">
        <v>43627</v>
      </c>
      <c r="B1148" s="31" t="inlineStr">
        <is>
          <t>6584</t>
        </is>
      </c>
      <c r="C1148" s="35" t="n"/>
      <c r="D1148" s="36" t="n">
        <v>54</v>
      </c>
      <c r="E1148" s="36" t="n"/>
      <c r="F1148" s="37" t="n"/>
      <c r="G1148" s="37" t="n">
        <v>25</v>
      </c>
      <c r="H1148" s="33">
        <f>H1147-G1148</f>
        <v/>
      </c>
      <c r="I1148" s="36" t="n"/>
      <c r="J1148" s="711" t="n"/>
      <c r="K1148" s="722">
        <f>G1148*D1148</f>
        <v/>
      </c>
      <c r="L1148" s="710" t="n"/>
      <c r="M1148" s="392" t="n"/>
    </row>
    <row r="1149" ht="17.25" customHeight="1" s="436">
      <c r="A1149" s="89" t="n">
        <v>43627</v>
      </c>
      <c r="B1149" s="31" t="inlineStr">
        <is>
          <t>6585</t>
        </is>
      </c>
      <c r="C1149" s="35" t="n"/>
      <c r="D1149" s="36" t="n">
        <v>60</v>
      </c>
      <c r="E1149" s="36" t="n"/>
      <c r="F1149" s="37" t="n"/>
      <c r="G1149" s="37" t="n">
        <v>20</v>
      </c>
      <c r="H1149" s="33">
        <f>H1148-G1149</f>
        <v/>
      </c>
      <c r="I1149" s="36" t="n"/>
      <c r="J1149" s="711" t="n"/>
      <c r="K1149" s="722">
        <f>G1149*D1149</f>
        <v/>
      </c>
      <c r="L1149" s="710" t="n"/>
      <c r="M1149" s="392" t="n"/>
    </row>
    <row r="1150" ht="17.25" customHeight="1" s="436">
      <c r="A1150" s="89" t="n">
        <v>43627</v>
      </c>
      <c r="B1150" s="31" t="inlineStr">
        <is>
          <t>6586</t>
        </is>
      </c>
      <c r="C1150" s="35" t="n"/>
      <c r="D1150" s="36" t="n">
        <v>50</v>
      </c>
      <c r="E1150" s="36" t="n"/>
      <c r="F1150" s="37" t="n"/>
      <c r="G1150" s="37" t="n">
        <v>15</v>
      </c>
      <c r="H1150" s="33">
        <f>H1149-G1150</f>
        <v/>
      </c>
      <c r="I1150" s="36" t="n"/>
      <c r="J1150" s="711" t="n"/>
      <c r="K1150" s="722">
        <f>G1150*D1150</f>
        <v/>
      </c>
      <c r="L1150" s="710" t="n"/>
      <c r="M1150" s="392" t="n"/>
    </row>
    <row r="1151" ht="17.25" customHeight="1" s="436">
      <c r="A1151" s="89" t="n">
        <v>43627</v>
      </c>
      <c r="B1151" s="31" t="inlineStr">
        <is>
          <t>6587</t>
        </is>
      </c>
      <c r="C1151" s="35" t="n"/>
      <c r="D1151" s="36" t="n">
        <v>50</v>
      </c>
      <c r="E1151" s="36" t="n"/>
      <c r="F1151" s="37" t="n"/>
      <c r="G1151" s="37" t="n">
        <v>40</v>
      </c>
      <c r="H1151" s="33">
        <f>H1150-G1151</f>
        <v/>
      </c>
      <c r="I1151" s="36" t="n"/>
      <c r="J1151" s="711" t="n"/>
      <c r="K1151" s="722">
        <f>G1151*D1151</f>
        <v/>
      </c>
      <c r="L1151" s="710" t="n"/>
      <c r="M1151" s="392" t="n"/>
    </row>
    <row r="1152" ht="17.25" customHeight="1" s="436">
      <c r="A1152" s="89" t="n">
        <v>43630</v>
      </c>
      <c r="B1152" s="31" t="inlineStr">
        <is>
          <t>6589</t>
        </is>
      </c>
      <c r="C1152" s="35" t="n"/>
      <c r="D1152" s="36" t="n">
        <v>50</v>
      </c>
      <c r="E1152" s="36" t="n"/>
      <c r="F1152" s="37" t="n"/>
      <c r="G1152" s="37" t="n">
        <v>30</v>
      </c>
      <c r="H1152" s="33">
        <f>H1151-G1152</f>
        <v/>
      </c>
      <c r="I1152" s="36" t="n"/>
      <c r="J1152" s="711" t="n"/>
      <c r="K1152" s="722">
        <f>G1152*D1152</f>
        <v/>
      </c>
      <c r="L1152" s="710" t="n"/>
      <c r="M1152" s="392" t="n"/>
    </row>
    <row r="1153" ht="17.25" customHeight="1" s="436">
      <c r="A1153" s="89" t="n">
        <v>43630</v>
      </c>
      <c r="B1153" s="31" t="inlineStr">
        <is>
          <t>6590</t>
        </is>
      </c>
      <c r="C1153" s="35" t="n"/>
      <c r="D1153" s="36" t="n">
        <v>59</v>
      </c>
      <c r="E1153" s="36" t="n"/>
      <c r="F1153" s="37" t="n"/>
      <c r="G1153" s="37" t="n">
        <v>50</v>
      </c>
      <c r="H1153" s="33">
        <f>H1152-G1153</f>
        <v/>
      </c>
      <c r="I1153" s="36" t="n"/>
      <c r="J1153" s="711" t="n"/>
      <c r="K1153" s="722">
        <f>G1153*D1153</f>
        <v/>
      </c>
      <c r="L1153" s="710" t="n"/>
      <c r="M1153" s="392" t="n"/>
    </row>
    <row r="1154" ht="17.25" customHeight="1" s="436">
      <c r="A1154" s="89" t="n">
        <v>43633</v>
      </c>
      <c r="B1154" s="31" t="inlineStr">
        <is>
          <t>6592</t>
        </is>
      </c>
      <c r="C1154" s="35" t="n"/>
      <c r="D1154" s="36" t="n">
        <v>51</v>
      </c>
      <c r="E1154" s="36" t="n"/>
      <c r="F1154" s="37" t="n"/>
      <c r="G1154" s="37" t="n">
        <v>58</v>
      </c>
      <c r="H1154" s="33">
        <f>H1153-G1154</f>
        <v/>
      </c>
      <c r="I1154" s="36" t="n"/>
      <c r="J1154" s="711" t="n"/>
      <c r="K1154" s="722">
        <f>G1154*D1154</f>
        <v/>
      </c>
      <c r="L1154" s="710" t="n"/>
      <c r="M1154" s="392" t="n"/>
    </row>
    <row r="1155" ht="17.25" customHeight="1" s="436">
      <c r="A1155" s="89" t="n">
        <v>43633</v>
      </c>
      <c r="B1155" s="31" t="inlineStr">
        <is>
          <t>6593</t>
        </is>
      </c>
      <c r="C1155" s="35" t="n"/>
      <c r="D1155" s="36" t="n">
        <v>56</v>
      </c>
      <c r="E1155" s="36" t="n"/>
      <c r="F1155" s="37" t="n"/>
      <c r="G1155" s="37" t="n">
        <v>40</v>
      </c>
      <c r="H1155" s="33">
        <f>H1154-G1155</f>
        <v/>
      </c>
      <c r="I1155" s="36" t="n"/>
      <c r="J1155" s="711" t="n"/>
      <c r="K1155" s="722">
        <f>G1155*D1155</f>
        <v/>
      </c>
      <c r="L1155" s="710" t="n"/>
      <c r="M1155" s="392" t="n"/>
    </row>
    <row r="1156" ht="17.25" customHeight="1" s="436">
      <c r="A1156" s="89" t="n">
        <v>43633</v>
      </c>
      <c r="B1156" s="31" t="inlineStr">
        <is>
          <t>6594</t>
        </is>
      </c>
      <c r="C1156" s="35" t="n"/>
      <c r="D1156" s="36" t="n">
        <v>57.89</v>
      </c>
      <c r="E1156" s="36" t="n"/>
      <c r="F1156" s="37" t="n"/>
      <c r="G1156" s="37" t="n">
        <v>45</v>
      </c>
      <c r="H1156" s="33">
        <f>H1155-G1156</f>
        <v/>
      </c>
      <c r="I1156" s="36" t="n"/>
      <c r="J1156" s="711" t="n"/>
      <c r="K1156" s="722">
        <f>G1156*D1156</f>
        <v/>
      </c>
      <c r="L1156" s="710" t="n"/>
      <c r="M1156" s="392" t="n"/>
    </row>
    <row r="1157" ht="17.25" customHeight="1" s="436">
      <c r="A1157" s="89" t="n">
        <v>43633</v>
      </c>
      <c r="B1157" s="31" t="inlineStr">
        <is>
          <t>6596</t>
        </is>
      </c>
      <c r="C1157" s="35" t="n"/>
      <c r="D1157" s="36" t="n">
        <v>56.5</v>
      </c>
      <c r="E1157" s="36" t="n"/>
      <c r="F1157" s="37" t="n"/>
      <c r="G1157" s="37" t="n">
        <v>30</v>
      </c>
      <c r="H1157" s="33">
        <f>H1156-G1157</f>
        <v/>
      </c>
      <c r="I1157" s="36" t="n"/>
      <c r="J1157" s="711" t="n"/>
      <c r="K1157" s="722">
        <f>G1157*D1157</f>
        <v/>
      </c>
      <c r="L1157" s="710" t="n"/>
      <c r="M1157" s="392" t="n"/>
    </row>
    <row r="1158" ht="17.25" customHeight="1" s="436">
      <c r="A1158" s="89" t="n">
        <v>43640</v>
      </c>
      <c r="B1158" s="31" t="inlineStr">
        <is>
          <t>6598</t>
        </is>
      </c>
      <c r="C1158" s="35" t="n"/>
      <c r="D1158" s="36" t="n">
        <v>57</v>
      </c>
      <c r="E1158" s="36" t="n"/>
      <c r="F1158" s="37" t="n"/>
      <c r="G1158" s="37" t="n">
        <v>30</v>
      </c>
      <c r="H1158" s="33">
        <f>H1157-G1158</f>
        <v/>
      </c>
      <c r="I1158" s="36" t="n"/>
      <c r="J1158" s="711" t="n"/>
      <c r="K1158" s="722">
        <f>G1158*D1158</f>
        <v/>
      </c>
      <c r="L1158" s="710" t="n"/>
      <c r="M1158" s="392" t="n"/>
    </row>
    <row r="1159" ht="17.25" customHeight="1" s="436">
      <c r="A1159" s="89" t="n">
        <v>43640</v>
      </c>
      <c r="B1159" s="31" t="inlineStr">
        <is>
          <t>6599</t>
        </is>
      </c>
      <c r="C1159" s="35" t="n"/>
      <c r="D1159" s="36" t="n">
        <v>60</v>
      </c>
      <c r="E1159" s="36" t="n"/>
      <c r="F1159" s="37" t="n"/>
      <c r="G1159" s="37" t="n">
        <v>20</v>
      </c>
      <c r="H1159" s="33">
        <f>H1158-G1159</f>
        <v/>
      </c>
      <c r="I1159" s="36" t="n"/>
      <c r="J1159" s="711" t="n"/>
      <c r="K1159" s="722">
        <f>G1159*D1159</f>
        <v/>
      </c>
      <c r="L1159" s="710" t="n"/>
      <c r="M1159" s="392" t="n"/>
    </row>
    <row r="1160" ht="17.25" customHeight="1" s="436">
      <c r="A1160" s="89" t="n">
        <v>43640</v>
      </c>
      <c r="B1160" s="31" t="inlineStr">
        <is>
          <t>6602</t>
        </is>
      </c>
      <c r="C1160" s="35" t="n"/>
      <c r="D1160" s="36" t="n">
        <v>51</v>
      </c>
      <c r="E1160" s="36" t="n"/>
      <c r="F1160" s="37" t="n"/>
      <c r="G1160" s="37" t="n">
        <v>200</v>
      </c>
      <c r="H1160" s="33">
        <f>H1159-G1160</f>
        <v/>
      </c>
      <c r="I1160" s="36" t="n"/>
      <c r="J1160" s="711" t="n"/>
      <c r="K1160" s="722">
        <f>G1160*D1160</f>
        <v/>
      </c>
      <c r="L1160" s="710" t="n"/>
      <c r="M1160" s="392" t="n"/>
    </row>
    <row r="1161" ht="17.25" customHeight="1" s="436">
      <c r="A1161" s="89" t="n">
        <v>43640</v>
      </c>
      <c r="B1161" s="31" t="inlineStr">
        <is>
          <t>6603</t>
        </is>
      </c>
      <c r="C1161" s="35" t="n"/>
      <c r="D1161" s="36" t="n">
        <v>56</v>
      </c>
      <c r="E1161" s="36" t="n"/>
      <c r="F1161" s="37" t="n"/>
      <c r="G1161" s="37" t="n">
        <v>60</v>
      </c>
      <c r="H1161" s="33">
        <f>H1160-G1161</f>
        <v/>
      </c>
      <c r="I1161" s="36" t="n"/>
      <c r="J1161" s="711" t="n"/>
      <c r="K1161" s="722">
        <f>G1161*D1161</f>
        <v/>
      </c>
      <c r="L1161" s="710" t="n"/>
      <c r="M1161" s="392" t="n"/>
    </row>
    <row r="1162" ht="17.25" customHeight="1" s="436">
      <c r="A1162" s="89" t="n">
        <v>43640</v>
      </c>
      <c r="B1162" s="31" t="inlineStr">
        <is>
          <t>6604</t>
        </is>
      </c>
      <c r="C1162" s="35" t="n"/>
      <c r="D1162" s="36" t="n">
        <v>56</v>
      </c>
      <c r="E1162" s="36" t="n"/>
      <c r="F1162" s="37" t="n"/>
      <c r="G1162" s="37" t="n">
        <v>11</v>
      </c>
      <c r="H1162" s="33">
        <f>H1161-G1162</f>
        <v/>
      </c>
      <c r="I1162" s="36" t="n"/>
      <c r="J1162" s="711" t="n"/>
      <c r="K1162" s="722">
        <f>G1162*D1162</f>
        <v/>
      </c>
      <c r="L1162" s="710" t="n"/>
      <c r="M1162" s="392" t="n"/>
    </row>
    <row r="1163" ht="17.25" customHeight="1" s="436">
      <c r="A1163" s="89" t="n">
        <v>43642</v>
      </c>
      <c r="B1163" s="31" t="inlineStr">
        <is>
          <t>6605</t>
        </is>
      </c>
      <c r="C1163" s="35" t="n"/>
      <c r="D1163" s="36" t="n">
        <v>50</v>
      </c>
      <c r="E1163" s="36" t="n"/>
      <c r="F1163" s="37" t="n"/>
      <c r="G1163" s="37" t="n">
        <v>15</v>
      </c>
      <c r="H1163" s="33">
        <f>H1162-G1163</f>
        <v/>
      </c>
      <c r="I1163" s="36" t="n"/>
      <c r="J1163" s="711" t="n"/>
      <c r="K1163" s="722">
        <f>G1163*D1163</f>
        <v/>
      </c>
      <c r="L1163" s="710" t="n"/>
      <c r="M1163" s="392" t="n"/>
    </row>
    <row r="1164" ht="17.25" customHeight="1" s="436">
      <c r="A1164" s="89" t="n">
        <v>43642</v>
      </c>
      <c r="B1164" s="31" t="inlineStr">
        <is>
          <t>6606</t>
        </is>
      </c>
      <c r="C1164" s="35" t="n"/>
      <c r="D1164" s="36" t="n">
        <v>56</v>
      </c>
      <c r="E1164" s="36" t="n"/>
      <c r="F1164" s="37" t="n"/>
      <c r="G1164" s="37" t="n">
        <v>40</v>
      </c>
      <c r="H1164" s="33">
        <f>H1163-G1164</f>
        <v/>
      </c>
      <c r="I1164" s="36" t="n"/>
      <c r="J1164" s="711" t="n"/>
      <c r="K1164" s="722">
        <f>G1164*D1164</f>
        <v/>
      </c>
      <c r="L1164" s="710" t="n"/>
      <c r="M1164" s="392" t="n"/>
    </row>
    <row r="1165" ht="17.25" customHeight="1" s="436">
      <c r="A1165" s="89" t="n">
        <v>43642</v>
      </c>
      <c r="B1165" s="31" t="inlineStr">
        <is>
          <t>6609</t>
        </is>
      </c>
      <c r="C1165" s="35" t="n"/>
      <c r="D1165" s="36" t="n">
        <v>57</v>
      </c>
      <c r="E1165" s="36" t="n"/>
      <c r="F1165" s="37" t="n"/>
      <c r="G1165" s="37" t="n">
        <v>10</v>
      </c>
      <c r="H1165" s="33">
        <f>H1164-G1165</f>
        <v/>
      </c>
      <c r="I1165" s="36" t="n"/>
      <c r="J1165" s="711" t="n"/>
      <c r="K1165" s="722">
        <f>G1165*D1165</f>
        <v/>
      </c>
      <c r="L1165" s="710" t="n"/>
      <c r="M1165" s="392" t="n"/>
    </row>
    <row r="1166" ht="17.25" customHeight="1" s="436">
      <c r="A1166" s="89" t="n">
        <v>43642</v>
      </c>
      <c r="B1166" s="31" t="inlineStr">
        <is>
          <t>6610</t>
        </is>
      </c>
      <c r="C1166" s="35" t="n"/>
      <c r="D1166" s="36" t="n">
        <v>57</v>
      </c>
      <c r="E1166" s="36" t="n"/>
      <c r="F1166" s="37" t="n"/>
      <c r="G1166" s="37" t="n">
        <v>30</v>
      </c>
      <c r="H1166" s="33">
        <f>H1165-G1166</f>
        <v/>
      </c>
      <c r="I1166" s="36" t="n"/>
      <c r="J1166" s="711" t="n"/>
      <c r="K1166" s="722">
        <f>G1166*D1166</f>
        <v/>
      </c>
      <c r="L1166" s="710" t="n"/>
      <c r="M1166" s="392" t="n"/>
    </row>
    <row r="1167" ht="17.25" customHeight="1" s="436">
      <c r="A1167" s="89" t="n">
        <v>43642</v>
      </c>
      <c r="B1167" s="31" t="inlineStr">
        <is>
          <t>6613</t>
        </is>
      </c>
      <c r="C1167" s="35" t="n"/>
      <c r="D1167" s="36" t="n">
        <v>51</v>
      </c>
      <c r="E1167" s="36" t="n"/>
      <c r="F1167" s="37" t="n"/>
      <c r="G1167" s="37" t="n">
        <v>20</v>
      </c>
      <c r="H1167" s="33">
        <f>H1166-G1167</f>
        <v/>
      </c>
      <c r="I1167" s="36" t="n"/>
      <c r="J1167" s="711" t="n"/>
      <c r="K1167" s="722">
        <f>G1167*D1167</f>
        <v/>
      </c>
      <c r="L1167" s="710" t="n"/>
      <c r="M1167" s="392" t="n"/>
    </row>
    <row r="1168" ht="17.25" customHeight="1" s="436">
      <c r="A1168" s="89" t="n">
        <v>43645</v>
      </c>
      <c r="B1168" s="31" t="n"/>
      <c r="C1168" s="35" t="n"/>
      <c r="D1168" s="36" t="n">
        <v>74</v>
      </c>
      <c r="E1168" s="36" t="n"/>
      <c r="F1168" s="37" t="n"/>
      <c r="G1168" s="37" t="n"/>
      <c r="H1168" s="33">
        <f>H1167-G1168</f>
        <v/>
      </c>
      <c r="I1168" s="36" t="n"/>
      <c r="J1168" s="711" t="n"/>
      <c r="K1168" s="722">
        <f>G1168*D1168</f>
        <v/>
      </c>
      <c r="L1168" s="710" t="n"/>
      <c r="M1168" s="392" t="n"/>
    </row>
    <row r="1169" ht="17.25" customHeight="1" s="436">
      <c r="A1169" s="89" t="n">
        <v>43646</v>
      </c>
      <c r="B1169" s="31" t="n"/>
      <c r="C1169" s="35" t="n"/>
      <c r="D1169" s="36" t="n">
        <v>75</v>
      </c>
      <c r="E1169" s="36" t="n"/>
      <c r="F1169" s="37" t="n"/>
      <c r="G1169" s="37" t="n"/>
      <c r="H1169" s="33">
        <f>H1168-G1169</f>
        <v/>
      </c>
      <c r="I1169" s="36" t="n"/>
      <c r="J1169" s="711" t="n"/>
      <c r="K1169" s="722">
        <f>G1169*D1169</f>
        <v/>
      </c>
      <c r="L1169" s="710" t="n"/>
      <c r="M1169" s="392" t="n"/>
    </row>
    <row r="1170" ht="17.25" customHeight="1" s="436">
      <c r="A1170" s="89" t="n">
        <v>43647</v>
      </c>
      <c r="B1170" s="31" t="n"/>
      <c r="C1170" s="35" t="n"/>
      <c r="D1170" s="36" t="n">
        <v>76</v>
      </c>
      <c r="E1170" s="36" t="n"/>
      <c r="F1170" s="37" t="n"/>
      <c r="G1170" s="37" t="n"/>
      <c r="H1170" s="33">
        <f>H1169-G1170</f>
        <v/>
      </c>
      <c r="I1170" s="36" t="n"/>
      <c r="J1170" s="711" t="n"/>
      <c r="K1170" s="722">
        <f>G1170*D1170</f>
        <v/>
      </c>
      <c r="L1170" s="710" t="n"/>
      <c r="M1170" s="392" t="n"/>
    </row>
    <row r="1171" ht="17.25" customHeight="1" s="436">
      <c r="A1171" s="89" t="n">
        <v>43648</v>
      </c>
      <c r="B1171" s="31" t="n"/>
      <c r="C1171" s="35" t="n"/>
      <c r="D1171" s="36" t="n">
        <v>77</v>
      </c>
      <c r="E1171" s="36" t="n"/>
      <c r="F1171" s="37" t="n"/>
      <c r="G1171" s="37" t="n"/>
      <c r="H1171" s="33">
        <f>H1170-G1171</f>
        <v/>
      </c>
      <c r="I1171" s="36" t="n"/>
      <c r="J1171" s="711" t="n"/>
      <c r="K1171" s="722">
        <f>G1171*D1171</f>
        <v/>
      </c>
      <c r="L1171" s="710" t="n"/>
      <c r="M1171" s="392" t="n"/>
    </row>
    <row r="1172" ht="17.25" customHeight="1" s="436">
      <c r="A1172" s="89" t="n">
        <v>43649</v>
      </c>
      <c r="B1172" s="31" t="n"/>
      <c r="C1172" s="35" t="n"/>
      <c r="D1172" s="36" t="n">
        <v>78</v>
      </c>
      <c r="E1172" s="36" t="n"/>
      <c r="F1172" s="37" t="n"/>
      <c r="G1172" s="37" t="n"/>
      <c r="H1172" s="33">
        <f>H1171-G1172</f>
        <v/>
      </c>
      <c r="I1172" s="36" t="n"/>
      <c r="J1172" s="711" t="n"/>
      <c r="K1172" s="722">
        <f>G1172*D1172</f>
        <v/>
      </c>
      <c r="L1172" s="710" t="n"/>
      <c r="M1172" s="392" t="n"/>
    </row>
    <row r="1173" ht="17.25" customHeight="1" s="436">
      <c r="A1173" s="89" t="n">
        <v>43650</v>
      </c>
      <c r="B1173" s="31" t="n"/>
      <c r="C1173" s="35" t="n"/>
      <c r="D1173" s="36" t="n">
        <v>79</v>
      </c>
      <c r="E1173" s="36" t="n"/>
      <c r="F1173" s="37" t="n"/>
      <c r="G1173" s="37" t="n"/>
      <c r="H1173" s="33">
        <f>H1172-G1173</f>
        <v/>
      </c>
      <c r="I1173" s="36" t="n"/>
      <c r="J1173" s="711" t="n"/>
      <c r="K1173" s="722">
        <f>G1173*D1173</f>
        <v/>
      </c>
      <c r="L1173" s="710" t="n"/>
      <c r="M1173" s="392" t="n"/>
    </row>
    <row r="1174"/>
    <row r="1175"/>
    <row r="1176"/>
    <row r="1177"/>
    <row r="1178"/>
    <row r="1179"/>
    <row r="1180" ht="15.75" customHeight="1" s="436" thickBot="1"/>
    <row r="1181" ht="27" customHeight="1" s="436" thickBot="1">
      <c r="A1181" s="720" t="inlineStr">
        <is>
          <t xml:space="preserve"> FARINHA DE TRIGO TIPO: 1 - 25 KG</t>
        </is>
      </c>
      <c r="B1181" s="697" t="n"/>
      <c r="C1181" s="697" t="n"/>
      <c r="D1181" s="697" t="n"/>
      <c r="E1181" s="697" t="n"/>
      <c r="F1181" s="697" t="n"/>
      <c r="G1181" s="697" t="n"/>
      <c r="H1181" s="697" t="n"/>
      <c r="I1181" s="697" t="n"/>
      <c r="J1181" s="697" t="n"/>
      <c r="K1181" s="697" t="n"/>
      <c r="L1181" s="697" t="n"/>
      <c r="M1181" s="698" t="n"/>
    </row>
    <row r="1182">
      <c r="A1182" s="643" t="inlineStr">
        <is>
          <t>DATA</t>
        </is>
      </c>
      <c r="B1182" s="633" t="inlineStr">
        <is>
          <t>N.F.</t>
        </is>
      </c>
      <c r="C1182" s="633" t="inlineStr">
        <is>
          <t>TIPO</t>
        </is>
      </c>
      <c r="D1182" s="633" t="inlineStr">
        <is>
          <t>PREÇO UNITÁRIO</t>
        </is>
      </c>
      <c r="E1182" s="701" t="n"/>
      <c r="F1182" s="633" t="inlineStr">
        <is>
          <t>QUANTIDADE / KG</t>
        </is>
      </c>
      <c r="H1182" s="701" t="n"/>
      <c r="I1182" s="632" t="inlineStr">
        <is>
          <t>PREÇO</t>
        </is>
      </c>
      <c r="J1182" s="632" t="inlineStr">
        <is>
          <t>VALORES</t>
        </is>
      </c>
      <c r="L1182" s="701" t="n"/>
      <c r="M1182" s="649" t="n"/>
    </row>
    <row r="1183" ht="15.75" customHeight="1" s="436" thickBot="1">
      <c r="A1183" s="703" t="n"/>
      <c r="B1183" s="704" t="n"/>
      <c r="C1183" s="704" t="n"/>
      <c r="D1183" s="703" t="n"/>
      <c r="E1183" s="701" t="n"/>
      <c r="F1183" s="705" t="n"/>
      <c r="G1183" s="706" t="n"/>
      <c r="H1183" s="707" t="n"/>
      <c r="I1183" s="704" t="n"/>
      <c r="J1183" s="703" t="n"/>
      <c r="L1183" s="701" t="n"/>
      <c r="M1183" s="704" t="n"/>
    </row>
    <row r="1184" ht="15.75" customHeight="1" s="436" thickBot="1">
      <c r="A1184" s="703" t="n"/>
      <c r="B1184" s="704" t="n"/>
      <c r="C1184" s="704" t="n"/>
      <c r="D1184" s="705" t="n"/>
      <c r="E1184" s="707" t="n"/>
      <c r="F1184" s="3" t="inlineStr">
        <is>
          <t>ENTRADA</t>
        </is>
      </c>
      <c r="G1184" s="3" t="inlineStr">
        <is>
          <t>SAÍDA</t>
        </is>
      </c>
      <c r="H1184" s="640" t="n"/>
      <c r="I1184" s="633" t="inlineStr">
        <is>
          <t>MÉDIO</t>
        </is>
      </c>
      <c r="J1184" s="652" t="inlineStr">
        <is>
          <t>SALDO EM 30/11/2017</t>
        </is>
      </c>
      <c r="K1184" s="706" t="n"/>
      <c r="L1184" s="17" t="n"/>
      <c r="M1184" s="704" t="n"/>
    </row>
    <row r="1185" ht="18" customHeight="1" s="436" thickBot="1">
      <c r="A1185" s="705" t="n"/>
      <c r="B1185" s="695" t="n"/>
      <c r="C1185" s="695" t="n"/>
      <c r="D1185" s="3" t="inlineStr">
        <is>
          <t>C/ICMS</t>
        </is>
      </c>
      <c r="E1185" s="3" t="inlineStr">
        <is>
          <t>S/ICMS</t>
        </is>
      </c>
      <c r="F1185" s="695" t="n"/>
      <c r="G1185" s="695" t="n"/>
      <c r="H1185" s="84" t="inlineStr">
        <is>
          <t>Saldo em 30/04/2019</t>
        </is>
      </c>
      <c r="I1185" s="695" t="n"/>
      <c r="J1185" s="645" t="inlineStr">
        <is>
          <t>ENTRADA</t>
        </is>
      </c>
      <c r="K1185" s="633" t="inlineStr">
        <is>
          <t>SAÍDA / CMV</t>
        </is>
      </c>
      <c r="L1185" s="643" t="inlineStr">
        <is>
          <t>SALDO</t>
        </is>
      </c>
      <c r="M1185" s="392" t="n"/>
    </row>
    <row r="1186" ht="17.25" customHeight="1" s="436">
      <c r="A1186" s="30" t="inlineStr">
        <is>
          <t>As</t>
        </is>
      </c>
      <c r="B1186" s="31" t="n"/>
      <c r="C1186" s="35" t="n"/>
      <c r="D1186" s="36" t="n"/>
      <c r="E1186" s="36" t="n"/>
      <c r="F1186" s="37" t="n"/>
      <c r="G1186" s="37" t="n">
        <v>0</v>
      </c>
      <c r="H1186" s="37" t="n"/>
      <c r="I1186" s="36" t="n"/>
      <c r="J1186" s="711">
        <f>F1186*I1186</f>
        <v/>
      </c>
      <c r="K1186" s="721" t="n">
        <v>0</v>
      </c>
      <c r="L1186" s="710">
        <f>J1186-K1186</f>
        <v/>
      </c>
      <c r="M1186" s="392" t="n"/>
    </row>
    <row r="1187" ht="17.25" customHeight="1" s="436">
      <c r="A1187" s="92" t="n">
        <v>43647</v>
      </c>
      <c r="B1187" s="93" t="n"/>
      <c r="C1187" s="93" t="n"/>
      <c r="D1187" s="94" t="n"/>
      <c r="E1187" s="94" t="n"/>
      <c r="F1187" s="95" t="n"/>
      <c r="G1187" s="95" t="n"/>
      <c r="H1187" s="95" t="n">
        <v>3518</v>
      </c>
      <c r="I1187" s="32" t="n"/>
      <c r="J1187" s="711" t="n"/>
      <c r="K1187" s="722" t="n"/>
      <c r="L1187" s="710" t="n"/>
      <c r="M1187" s="392" t="n"/>
    </row>
    <row r="1188" ht="17.25" customHeight="1" s="436">
      <c r="A1188" s="89" t="n">
        <v>43647</v>
      </c>
      <c r="B1188" s="31" t="inlineStr">
        <is>
          <t>6615</t>
        </is>
      </c>
      <c r="C1188" s="31" t="n"/>
      <c r="D1188" s="32" t="n">
        <v>48</v>
      </c>
      <c r="E1188" s="32" t="n"/>
      <c r="F1188" s="33" t="n"/>
      <c r="G1188" s="33" t="n">
        <v>50</v>
      </c>
      <c r="H1188" s="33">
        <f>H1187-G1188</f>
        <v/>
      </c>
      <c r="I1188" s="32" t="n"/>
      <c r="J1188" s="711" t="n"/>
      <c r="K1188" s="722" t="n"/>
      <c r="L1188" s="710" t="n"/>
      <c r="M1188" s="392" t="n"/>
    </row>
    <row r="1189" ht="17.25" customHeight="1" s="436">
      <c r="A1189" s="89" t="n">
        <v>43647</v>
      </c>
      <c r="B1189" s="31" t="inlineStr">
        <is>
          <t>6616</t>
        </is>
      </c>
      <c r="C1189" s="35" t="n"/>
      <c r="D1189" s="36" t="n">
        <v>50</v>
      </c>
      <c r="E1189" s="36" t="n"/>
      <c r="F1189" s="37" t="n"/>
      <c r="G1189" s="37" t="n">
        <v>10</v>
      </c>
      <c r="H1189" s="33">
        <f>H1188-G1189</f>
        <v/>
      </c>
      <c r="I1189" s="36" t="n"/>
      <c r="J1189" s="711" t="n"/>
      <c r="K1189" s="722">
        <f>G1189*D1189</f>
        <v/>
      </c>
      <c r="L1189" s="710" t="n"/>
      <c r="M1189" s="392" t="n"/>
    </row>
    <row r="1190" ht="17.25" customHeight="1" s="436">
      <c r="A1190" s="89" t="n">
        <v>43647</v>
      </c>
      <c r="B1190" s="31" t="inlineStr">
        <is>
          <t>6618</t>
        </is>
      </c>
      <c r="C1190" s="35" t="n"/>
      <c r="D1190" s="36" t="n">
        <v>56</v>
      </c>
      <c r="E1190" s="36" t="n"/>
      <c r="F1190" s="37" t="n"/>
      <c r="G1190" s="101" t="n">
        <v>20</v>
      </c>
      <c r="H1190" s="33">
        <f>H1189-G1190</f>
        <v/>
      </c>
      <c r="I1190" s="36" t="n"/>
      <c r="J1190" s="711" t="n"/>
      <c r="K1190" s="722">
        <f>G1190*D1190</f>
        <v/>
      </c>
      <c r="L1190" s="710" t="n"/>
      <c r="M1190" s="392" t="n"/>
    </row>
    <row r="1191" ht="17.25" customHeight="1" s="436">
      <c r="A1191" s="89" t="n">
        <v>43647</v>
      </c>
      <c r="B1191" s="31" t="inlineStr">
        <is>
          <t>6622</t>
        </is>
      </c>
      <c r="C1191" s="35" t="n"/>
      <c r="D1191" s="36" t="n">
        <v>50</v>
      </c>
      <c r="E1191" s="36" t="n"/>
      <c r="F1191" s="37" t="n"/>
      <c r="G1191" s="37" t="n">
        <v>10</v>
      </c>
      <c r="H1191" s="33">
        <f>H1190-G1191</f>
        <v/>
      </c>
      <c r="I1191" s="36" t="n"/>
      <c r="J1191" s="711" t="n"/>
      <c r="K1191" s="722">
        <f>G1191*D1191</f>
        <v/>
      </c>
      <c r="L1191" s="710" t="n"/>
      <c r="M1191" s="392" t="n"/>
    </row>
    <row r="1192">
      <c r="A1192" s="89" t="n">
        <v>43648</v>
      </c>
      <c r="B1192" s="31" t="inlineStr">
        <is>
          <t>6624</t>
        </is>
      </c>
      <c r="C1192" s="35" t="n"/>
      <c r="D1192" s="36" t="n">
        <v>57</v>
      </c>
      <c r="E1192" s="36" t="n"/>
      <c r="F1192" s="37" t="n"/>
      <c r="G1192" s="37" t="n">
        <v>30</v>
      </c>
      <c r="H1192" s="33">
        <f>H1191-G1192</f>
        <v/>
      </c>
      <c r="I1192" s="36" t="n"/>
      <c r="J1192" s="711" t="n"/>
      <c r="K1192" s="709">
        <f>G1192*D1192</f>
        <v/>
      </c>
      <c r="L1192" s="710" t="n"/>
      <c r="M1192" s="392" t="n"/>
    </row>
    <row r="1193" ht="17.25" customHeight="1" s="436">
      <c r="A1193" s="89" t="n">
        <v>43648</v>
      </c>
      <c r="B1193" s="31" t="inlineStr">
        <is>
          <t>6625</t>
        </is>
      </c>
      <c r="C1193" s="35" t="n"/>
      <c r="D1193" s="36" t="n">
        <v>50</v>
      </c>
      <c r="E1193" s="36" t="n"/>
      <c r="F1193" s="37" t="n"/>
      <c r="G1193" s="37" t="n">
        <v>40</v>
      </c>
      <c r="H1193" s="33">
        <f>H1192-G1193</f>
        <v/>
      </c>
      <c r="I1193" s="36" t="n"/>
      <c r="J1193" s="711" t="n"/>
      <c r="K1193" s="722">
        <f>G1193*D1193</f>
        <v/>
      </c>
      <c r="L1193" s="710" t="n"/>
      <c r="M1193" s="392" t="n"/>
    </row>
    <row r="1194" ht="17.25" customHeight="1" s="436">
      <c r="A1194" s="89" t="n">
        <v>43649</v>
      </c>
      <c r="B1194" s="31" t="inlineStr">
        <is>
          <t>6627</t>
        </is>
      </c>
      <c r="C1194" s="35" t="n"/>
      <c r="D1194" s="36" t="n">
        <v>56</v>
      </c>
      <c r="E1194" s="36" t="n"/>
      <c r="F1194" s="37" t="n"/>
      <c r="G1194" s="37" t="n">
        <v>25</v>
      </c>
      <c r="H1194" s="33">
        <f>H1193-G1194</f>
        <v/>
      </c>
      <c r="I1194" s="36" t="n"/>
      <c r="J1194" s="711" t="n"/>
      <c r="K1194" s="722">
        <f>G1194*D1194</f>
        <v/>
      </c>
      <c r="L1194" s="710" t="n"/>
      <c r="M1194" s="392" t="n"/>
    </row>
    <row r="1195" ht="17.25" customHeight="1" s="436">
      <c r="A1195" s="89" t="n">
        <v>43649</v>
      </c>
      <c r="B1195" s="31" t="inlineStr">
        <is>
          <t>6629</t>
        </is>
      </c>
      <c r="C1195" s="35" t="n"/>
      <c r="D1195" s="36" t="n">
        <v>57</v>
      </c>
      <c r="E1195" s="36" t="n"/>
      <c r="F1195" s="37" t="n"/>
      <c r="G1195" s="37" t="n">
        <v>30</v>
      </c>
      <c r="H1195" s="33">
        <f>H1194-G1195</f>
        <v/>
      </c>
      <c r="I1195" s="36" t="n"/>
      <c r="J1195" s="711" t="n"/>
      <c r="K1195" s="722">
        <f>G1195*D1195</f>
        <v/>
      </c>
      <c r="L1195" s="710" t="n"/>
      <c r="M1195" s="392" t="n"/>
    </row>
    <row r="1196" ht="17.25" customHeight="1" s="436">
      <c r="A1196" s="89" t="n">
        <v>43649</v>
      </c>
      <c r="B1196" s="31" t="inlineStr">
        <is>
          <t>6631</t>
        </is>
      </c>
      <c r="C1196" s="35" t="n"/>
      <c r="D1196" s="36" t="n">
        <v>54</v>
      </c>
      <c r="E1196" s="36" t="n"/>
      <c r="F1196" s="37" t="n"/>
      <c r="G1196" s="37" t="n">
        <v>25</v>
      </c>
      <c r="H1196" s="33">
        <f>H1195-G1196</f>
        <v/>
      </c>
      <c r="I1196" s="36" t="n"/>
      <c r="J1196" s="711" t="n"/>
      <c r="K1196" s="722">
        <f>G1196*D1196</f>
        <v/>
      </c>
      <c r="L1196" s="710" t="n"/>
      <c r="M1196" s="392" t="n"/>
    </row>
    <row r="1197" ht="17.25" customHeight="1" s="436">
      <c r="A1197" s="102" t="n">
        <v>43650</v>
      </c>
      <c r="B1197" s="93" t="inlineStr">
        <is>
          <t>120325</t>
        </is>
      </c>
      <c r="C1197" s="96" t="n"/>
      <c r="D1197" s="97" t="n">
        <v>42.9</v>
      </c>
      <c r="E1197" s="97" t="n"/>
      <c r="F1197" s="98" t="n">
        <v>200</v>
      </c>
      <c r="G1197" s="98" t="n"/>
      <c r="H1197" s="95" t="n">
        <v>3478</v>
      </c>
      <c r="I1197" s="36" t="n"/>
      <c r="J1197" s="711" t="n"/>
      <c r="K1197" s="722" t="n"/>
      <c r="L1197" s="710" t="n"/>
      <c r="M1197" s="392" t="n"/>
    </row>
    <row r="1198" ht="17.25" customHeight="1" s="436">
      <c r="A1198" s="102" t="n">
        <v>43650</v>
      </c>
      <c r="B1198" s="93" t="inlineStr">
        <is>
          <t>120325</t>
        </is>
      </c>
      <c r="C1198" s="96" t="n"/>
      <c r="D1198" s="97" t="n">
        <v>41.8</v>
      </c>
      <c r="E1198" s="97" t="n"/>
      <c r="F1198" s="98" t="n">
        <v>150</v>
      </c>
      <c r="G1198" s="98" t="n"/>
      <c r="H1198" s="95" t="n">
        <v>3628</v>
      </c>
      <c r="I1198" s="36" t="n"/>
      <c r="J1198" s="711" t="n"/>
      <c r="K1198" s="722" t="n"/>
      <c r="L1198" s="710" t="n"/>
      <c r="M1198" s="392" t="n"/>
    </row>
    <row r="1199" ht="17.25" customHeight="1" s="436">
      <c r="A1199" s="89" t="n">
        <v>43656</v>
      </c>
      <c r="B1199" s="31" t="inlineStr">
        <is>
          <t>6633</t>
        </is>
      </c>
      <c r="C1199" s="35" t="n"/>
      <c r="D1199" s="36" t="n">
        <v>57.29</v>
      </c>
      <c r="E1199" s="36" t="n"/>
      <c r="F1199" s="37" t="n"/>
      <c r="G1199" s="37" t="n">
        <v>35</v>
      </c>
      <c r="H1199" s="33" t="n">
        <v>3593</v>
      </c>
      <c r="I1199" s="36" t="n"/>
      <c r="J1199" s="711" t="n"/>
      <c r="K1199" s="722">
        <f>G1199*D1199</f>
        <v/>
      </c>
      <c r="L1199" s="710" t="n"/>
      <c r="M1199" s="392" t="n"/>
    </row>
    <row r="1200" ht="17.25" customHeight="1" s="436">
      <c r="A1200" s="89" t="n">
        <v>43656</v>
      </c>
      <c r="B1200" s="31" t="inlineStr">
        <is>
          <t>6636</t>
        </is>
      </c>
      <c r="C1200" s="35" t="n"/>
      <c r="D1200" s="36" t="n">
        <v>60</v>
      </c>
      <c r="E1200" s="36" t="n"/>
      <c r="F1200" s="37" t="n"/>
      <c r="G1200" s="37" t="n">
        <v>20</v>
      </c>
      <c r="H1200" s="33">
        <f>H1199-G1200</f>
        <v/>
      </c>
      <c r="I1200" s="36" t="n"/>
      <c r="J1200" s="711" t="n"/>
      <c r="K1200" s="722">
        <f>G1200*D1200</f>
        <v/>
      </c>
      <c r="L1200" s="710" t="n"/>
      <c r="M1200" s="392" t="n"/>
    </row>
    <row r="1201" ht="17.25" customHeight="1" s="436">
      <c r="A1201" s="89" t="n">
        <v>43656</v>
      </c>
      <c r="B1201" s="31" t="inlineStr">
        <is>
          <t>6637</t>
        </is>
      </c>
      <c r="C1201" s="35" t="n"/>
      <c r="D1201" s="36" t="n">
        <v>60</v>
      </c>
      <c r="E1201" s="36" t="n"/>
      <c r="F1201" s="37" t="n"/>
      <c r="G1201" s="37" t="n">
        <v>20</v>
      </c>
      <c r="H1201" s="33">
        <f>H1200-G1201</f>
        <v/>
      </c>
      <c r="I1201" s="36" t="n"/>
      <c r="J1201" s="711" t="n"/>
      <c r="K1201" s="722">
        <f>G1201*D1201</f>
        <v/>
      </c>
      <c r="L1201" s="710" t="n"/>
      <c r="M1201" s="392" t="n"/>
    </row>
    <row r="1202" ht="17.25" customHeight="1" s="436">
      <c r="A1202" s="89" t="n">
        <v>43661</v>
      </c>
      <c r="B1202" s="31" t="inlineStr">
        <is>
          <t>6642</t>
        </is>
      </c>
      <c r="C1202" s="35" t="n"/>
      <c r="D1202" s="36" t="n">
        <v>57</v>
      </c>
      <c r="E1202" s="36" t="n"/>
      <c r="F1202" s="37" t="n"/>
      <c r="G1202" s="37" t="n">
        <v>50</v>
      </c>
      <c r="H1202" s="33">
        <f>H1201-G1202</f>
        <v/>
      </c>
      <c r="I1202" s="36" t="n"/>
      <c r="J1202" s="711" t="n"/>
      <c r="K1202" s="722">
        <f>G1202*D1202</f>
        <v/>
      </c>
      <c r="L1202" s="710" t="n"/>
      <c r="M1202" s="392" t="n"/>
    </row>
    <row r="1203" ht="17.25" customHeight="1" s="436">
      <c r="A1203" s="89" t="n">
        <v>43661</v>
      </c>
      <c r="B1203" s="31" t="inlineStr">
        <is>
          <t>6645</t>
        </is>
      </c>
      <c r="C1203" s="35" t="n"/>
      <c r="D1203" s="36" t="n">
        <v>56</v>
      </c>
      <c r="E1203" s="36" t="n"/>
      <c r="F1203" s="37" t="n"/>
      <c r="G1203" s="37" t="n">
        <v>20</v>
      </c>
      <c r="H1203" s="33">
        <f>H1202-G1203</f>
        <v/>
      </c>
      <c r="I1203" s="36" t="n"/>
      <c r="J1203" s="711" t="n"/>
      <c r="K1203" s="722">
        <f>G1203*D1203</f>
        <v/>
      </c>
      <c r="L1203" s="710" t="n"/>
      <c r="M1203" s="392" t="n"/>
    </row>
    <row r="1204" ht="17.25" customHeight="1" s="436">
      <c r="A1204" s="89" t="n">
        <v>43661</v>
      </c>
      <c r="B1204" s="31" t="inlineStr">
        <is>
          <t>6646</t>
        </is>
      </c>
      <c r="C1204" s="35" t="n"/>
      <c r="D1204" s="36" t="n">
        <v>57</v>
      </c>
      <c r="E1204" s="36" t="n"/>
      <c r="F1204" s="37" t="n"/>
      <c r="G1204" s="37" t="n">
        <v>10</v>
      </c>
      <c r="H1204" s="33">
        <f>H1203-G1204</f>
        <v/>
      </c>
      <c r="I1204" s="36" t="n"/>
      <c r="J1204" s="711" t="n"/>
      <c r="K1204" s="722">
        <f>G1204*D1204</f>
        <v/>
      </c>
      <c r="L1204" s="710" t="n"/>
      <c r="M1204" s="392" t="n"/>
    </row>
    <row r="1205" ht="17.25" customHeight="1" s="436">
      <c r="A1205" s="89" t="n">
        <v>43661</v>
      </c>
      <c r="B1205" s="31" t="inlineStr">
        <is>
          <t>6647</t>
        </is>
      </c>
      <c r="C1205" s="35" t="n"/>
      <c r="D1205" s="36" t="n">
        <v>50</v>
      </c>
      <c r="E1205" s="36" t="n"/>
      <c r="F1205" s="37" t="n"/>
      <c r="G1205" s="37" t="n">
        <v>20</v>
      </c>
      <c r="H1205" s="33">
        <f>H1204-G1205</f>
        <v/>
      </c>
      <c r="I1205" s="36" t="n"/>
      <c r="J1205" s="711" t="n"/>
      <c r="K1205" s="722">
        <f>G1205*D1205</f>
        <v/>
      </c>
      <c r="L1205" s="710" t="n"/>
      <c r="M1205" s="392" t="n"/>
    </row>
    <row r="1206" ht="17.25" customHeight="1" s="436">
      <c r="A1206" s="89" t="n">
        <v>43662</v>
      </c>
      <c r="B1206" s="31" t="inlineStr">
        <is>
          <t>6653</t>
        </is>
      </c>
      <c r="C1206" s="35" t="n"/>
      <c r="D1206" s="36" t="n">
        <v>56</v>
      </c>
      <c r="E1206" s="36" t="n"/>
      <c r="F1206" s="37" t="n"/>
      <c r="G1206" s="37" t="n">
        <v>10</v>
      </c>
      <c r="H1206" s="33">
        <f>H1205-G1206</f>
        <v/>
      </c>
      <c r="I1206" s="36" t="n"/>
      <c r="J1206" s="711" t="n"/>
      <c r="K1206" s="722">
        <f>G1206*D1206</f>
        <v/>
      </c>
      <c r="L1206" s="710" t="n"/>
      <c r="M1206" s="392" t="n"/>
    </row>
    <row r="1207" ht="17.25" customHeight="1" s="436">
      <c r="A1207" s="89" t="n">
        <v>43662</v>
      </c>
      <c r="B1207" s="31" t="inlineStr">
        <is>
          <t>6654</t>
        </is>
      </c>
      <c r="C1207" s="35" t="n"/>
      <c r="D1207" s="36" t="n">
        <v>56</v>
      </c>
      <c r="E1207" s="36" t="n"/>
      <c r="F1207" s="37" t="n"/>
      <c r="G1207" s="37" t="n">
        <v>20</v>
      </c>
      <c r="H1207" s="33">
        <f>H1206-G1207</f>
        <v/>
      </c>
      <c r="I1207" s="36" t="n"/>
      <c r="J1207" s="711" t="n"/>
      <c r="K1207" s="722">
        <f>G1207*D1207</f>
        <v/>
      </c>
      <c r="L1207" s="710" t="n"/>
      <c r="M1207" s="392" t="n"/>
    </row>
    <row r="1208" ht="17.25" customHeight="1" s="436">
      <c r="A1208" s="89" t="n">
        <v>43662</v>
      </c>
      <c r="B1208" s="31" t="inlineStr">
        <is>
          <t>6656</t>
        </is>
      </c>
      <c r="C1208" s="35" t="n"/>
      <c r="D1208" s="36" t="n">
        <v>53</v>
      </c>
      <c r="E1208" s="36" t="n"/>
      <c r="F1208" s="37" t="n"/>
      <c r="G1208" s="37" t="n">
        <v>20</v>
      </c>
      <c r="H1208" s="33">
        <f>H1207-G1208</f>
        <v/>
      </c>
      <c r="I1208" s="36" t="n"/>
      <c r="J1208" s="711" t="n"/>
      <c r="K1208" s="722">
        <f>G1208*D1208</f>
        <v/>
      </c>
      <c r="L1208" s="710" t="n"/>
      <c r="M1208" s="392" t="n"/>
    </row>
    <row r="1209" ht="17.25" customHeight="1" s="436">
      <c r="A1209" s="89" t="n">
        <v>43662</v>
      </c>
      <c r="B1209" s="31" t="inlineStr">
        <is>
          <t>6657</t>
        </is>
      </c>
      <c r="C1209" s="35" t="n"/>
      <c r="D1209" s="36" t="n">
        <v>56</v>
      </c>
      <c r="E1209" s="36" t="n"/>
      <c r="F1209" s="37" t="n"/>
      <c r="G1209" s="37" t="n">
        <v>40</v>
      </c>
      <c r="H1209" s="33">
        <f>H1208-G1209</f>
        <v/>
      </c>
      <c r="I1209" s="36" t="n"/>
      <c r="J1209" s="711" t="n"/>
      <c r="K1209" s="722">
        <f>G1209*D1209</f>
        <v/>
      </c>
      <c r="L1209" s="710" t="n"/>
      <c r="M1209" s="392" t="n"/>
    </row>
    <row r="1210" ht="17.25" customHeight="1" s="436">
      <c r="A1210" s="89" t="n">
        <v>43668</v>
      </c>
      <c r="B1210" s="31" t="inlineStr">
        <is>
          <t>6659</t>
        </is>
      </c>
      <c r="C1210" s="35" t="n"/>
      <c r="D1210" s="36" t="n">
        <v>57.13</v>
      </c>
      <c r="E1210" s="36" t="n"/>
      <c r="F1210" s="37" t="n"/>
      <c r="G1210" s="37" t="n">
        <v>40</v>
      </c>
      <c r="H1210" s="33">
        <f>H1209-G1210</f>
        <v/>
      </c>
      <c r="I1210" s="36" t="n"/>
      <c r="J1210" s="711" t="n"/>
      <c r="K1210" s="722">
        <f>G1210*D1210</f>
        <v/>
      </c>
      <c r="L1210" s="710" t="n"/>
      <c r="M1210" s="392" t="n"/>
    </row>
    <row r="1211" ht="17.25" customHeight="1" s="436">
      <c r="A1211" s="89" t="n">
        <v>43668</v>
      </c>
      <c r="B1211" s="31" t="inlineStr">
        <is>
          <t>6660</t>
        </is>
      </c>
      <c r="C1211" s="35" t="n"/>
      <c r="D1211" s="36" t="n">
        <v>57</v>
      </c>
      <c r="E1211" s="36" t="n"/>
      <c r="F1211" s="37" t="n"/>
      <c r="G1211" s="37" t="n">
        <v>30</v>
      </c>
      <c r="H1211" s="33">
        <f>H1210-G1211</f>
        <v/>
      </c>
      <c r="I1211" s="36" t="n"/>
      <c r="J1211" s="711" t="n"/>
      <c r="K1211" s="722">
        <f>G1211*D1211</f>
        <v/>
      </c>
      <c r="L1211" s="710" t="n"/>
      <c r="M1211" s="392" t="n"/>
    </row>
    <row r="1212" ht="17.25" customHeight="1" s="436">
      <c r="A1212" s="89" t="n">
        <v>43668</v>
      </c>
      <c r="B1212" s="31" t="inlineStr">
        <is>
          <t>6661</t>
        </is>
      </c>
      <c r="C1212" s="35" t="n"/>
      <c r="D1212" s="36" t="n">
        <v>55.86</v>
      </c>
      <c r="E1212" s="36" t="n"/>
      <c r="F1212" s="37" t="n"/>
      <c r="G1212" s="37" t="n">
        <v>70</v>
      </c>
      <c r="H1212" s="33">
        <f>H1211-G1212</f>
        <v/>
      </c>
      <c r="I1212" s="36" t="n"/>
      <c r="J1212" s="711" t="n"/>
      <c r="K1212" s="722">
        <f>G1212*D1212</f>
        <v/>
      </c>
      <c r="L1212" s="710" t="n"/>
      <c r="M1212" s="392" t="n"/>
    </row>
    <row r="1213" ht="17.25" customHeight="1" s="436">
      <c r="A1213" s="89" t="n">
        <v>43670</v>
      </c>
      <c r="B1213" s="31" t="inlineStr">
        <is>
          <t>6662</t>
        </is>
      </c>
      <c r="C1213" s="35" t="n"/>
      <c r="D1213" s="36" t="n">
        <v>50</v>
      </c>
      <c r="E1213" s="36" t="n"/>
      <c r="F1213" s="37" t="n"/>
      <c r="G1213" s="37" t="n">
        <v>20</v>
      </c>
      <c r="H1213" s="33">
        <f>H1212-G1213</f>
        <v/>
      </c>
      <c r="I1213" s="36" t="n"/>
      <c r="J1213" s="711" t="n"/>
      <c r="K1213" s="722">
        <f>G1213*D1213</f>
        <v/>
      </c>
      <c r="L1213" s="710" t="n"/>
      <c r="M1213" s="392" t="n"/>
    </row>
    <row r="1214" ht="17.25" customHeight="1" s="436">
      <c r="A1214" s="89" t="n">
        <v>43670</v>
      </c>
      <c r="B1214" s="31" t="inlineStr">
        <is>
          <t>6663</t>
        </is>
      </c>
      <c r="C1214" s="35" t="n"/>
      <c r="D1214" s="36" t="n">
        <v>50</v>
      </c>
      <c r="E1214" s="36" t="n"/>
      <c r="F1214" s="37" t="n"/>
      <c r="G1214" s="37" t="n">
        <v>10</v>
      </c>
      <c r="H1214" s="33">
        <f>H1213-G1214</f>
        <v/>
      </c>
      <c r="I1214" s="36" t="n"/>
      <c r="J1214" s="711" t="n"/>
      <c r="K1214" s="722">
        <f>G1214*D1214</f>
        <v/>
      </c>
      <c r="L1214" s="710" t="n"/>
      <c r="M1214" s="392" t="n"/>
    </row>
    <row r="1215" ht="17.25" customHeight="1" s="436">
      <c r="A1215" s="89" t="n">
        <v>43670</v>
      </c>
      <c r="B1215" s="31" t="inlineStr">
        <is>
          <t>6666</t>
        </is>
      </c>
      <c r="C1215" s="35" t="n"/>
      <c r="D1215" s="36" t="n">
        <v>52</v>
      </c>
      <c r="E1215" s="36" t="n"/>
      <c r="F1215" s="37" t="n"/>
      <c r="G1215" s="37" t="n">
        <v>30</v>
      </c>
      <c r="H1215" s="33">
        <f>H1214-G1215</f>
        <v/>
      </c>
      <c r="I1215" s="36" t="n"/>
      <c r="J1215" s="711" t="n"/>
      <c r="K1215" s="722">
        <f>G1215*D1215</f>
        <v/>
      </c>
      <c r="L1215" s="710" t="n"/>
      <c r="M1215" s="392" t="n"/>
    </row>
    <row r="1216" ht="17.25" customHeight="1" s="436">
      <c r="A1216" s="89" t="n">
        <v>43670</v>
      </c>
      <c r="B1216" s="31" t="inlineStr">
        <is>
          <t>6668</t>
        </is>
      </c>
      <c r="C1216" s="35" t="n"/>
      <c r="D1216" s="36" t="n">
        <v>56</v>
      </c>
      <c r="E1216" s="36" t="n"/>
      <c r="F1216" s="37" t="n"/>
      <c r="G1216" s="37" t="n">
        <v>30</v>
      </c>
      <c r="H1216" s="33">
        <f>H1215-G1216</f>
        <v/>
      </c>
      <c r="I1216" s="36" t="n"/>
      <c r="J1216" s="711" t="n"/>
      <c r="K1216" s="722">
        <f>G1216*D1216</f>
        <v/>
      </c>
      <c r="L1216" s="710" t="n"/>
      <c r="M1216" s="392" t="n"/>
    </row>
    <row r="1217" ht="17.25" customHeight="1" s="436">
      <c r="A1217" s="89" t="n">
        <v>43670</v>
      </c>
      <c r="B1217" s="31" t="inlineStr">
        <is>
          <t>6669</t>
        </is>
      </c>
      <c r="C1217" s="35" t="n"/>
      <c r="D1217" s="36" t="n">
        <v>54</v>
      </c>
      <c r="E1217" s="36" t="n"/>
      <c r="F1217" s="37" t="n"/>
      <c r="G1217" s="37" t="n">
        <v>25</v>
      </c>
      <c r="H1217" s="33">
        <f>H1216-G1217</f>
        <v/>
      </c>
      <c r="I1217" s="36" t="n"/>
      <c r="J1217" s="711" t="n"/>
      <c r="K1217" s="722">
        <f>G1217*D1217</f>
        <v/>
      </c>
      <c r="L1217" s="710" t="n"/>
      <c r="M1217" s="392" t="n"/>
    </row>
    <row r="1218" ht="17.25" customHeight="1" s="436">
      <c r="A1218" s="102" t="n">
        <v>43671</v>
      </c>
      <c r="B1218" s="93" t="inlineStr">
        <is>
          <t>2508</t>
        </is>
      </c>
      <c r="C1218" s="96" t="n"/>
      <c r="D1218" s="97" t="n">
        <v>37.5</v>
      </c>
      <c r="E1218" s="97" t="n"/>
      <c r="F1218" s="98" t="n">
        <v>200</v>
      </c>
      <c r="G1218" s="98" t="n"/>
      <c r="H1218" s="95" t="n">
        <v>3308</v>
      </c>
      <c r="I1218" s="36" t="n"/>
      <c r="J1218" s="711" t="n"/>
      <c r="K1218" s="722" t="n"/>
      <c r="L1218" s="710" t="n"/>
      <c r="M1218" s="392" t="n"/>
    </row>
    <row r="1219" ht="17.25" customHeight="1" s="436">
      <c r="A1219" s="102" t="n">
        <v>43671</v>
      </c>
      <c r="B1219" s="93" t="inlineStr">
        <is>
          <t>121626</t>
        </is>
      </c>
      <c r="C1219" s="96" t="n"/>
      <c r="D1219" s="97" t="n">
        <v>42.9</v>
      </c>
      <c r="E1219" s="97" t="n"/>
      <c r="F1219" s="98" t="n">
        <v>200</v>
      </c>
      <c r="G1219" s="98" t="n"/>
      <c r="H1219" s="95" t="n">
        <v>3508</v>
      </c>
      <c r="I1219" s="36" t="n"/>
      <c r="J1219" s="711" t="n"/>
      <c r="K1219" s="722" t="n"/>
      <c r="L1219" s="710" t="n"/>
      <c r="M1219" s="392" t="n"/>
    </row>
    <row r="1220" ht="17.25" customHeight="1" s="436">
      <c r="A1220" s="102" t="n">
        <v>43671</v>
      </c>
      <c r="B1220" s="93" t="inlineStr">
        <is>
          <t>121626</t>
        </is>
      </c>
      <c r="C1220" s="96" t="n"/>
      <c r="D1220" s="97" t="n">
        <v>41.8</v>
      </c>
      <c r="E1220" s="97" t="n"/>
      <c r="F1220" s="98" t="n">
        <v>400</v>
      </c>
      <c r="G1220" s="98" t="n"/>
      <c r="H1220" s="95" t="n">
        <v>3908</v>
      </c>
      <c r="I1220" s="36" t="n"/>
      <c r="J1220" s="711" t="n"/>
      <c r="K1220" s="722" t="n"/>
      <c r="L1220" s="710" t="n"/>
      <c r="M1220" s="392" t="n"/>
    </row>
    <row r="1221" ht="17.25" customHeight="1" s="436">
      <c r="A1221" s="89" t="n">
        <v>43677</v>
      </c>
      <c r="B1221" s="31" t="inlineStr">
        <is>
          <t>6672</t>
        </is>
      </c>
      <c r="C1221" s="35" t="n"/>
      <c r="D1221" s="36" t="n">
        <v>57.13</v>
      </c>
      <c r="E1221" s="36" t="n"/>
      <c r="F1221" s="37" t="n"/>
      <c r="G1221" s="37" t="n">
        <v>40</v>
      </c>
      <c r="H1221" s="33" t="n">
        <v>3868</v>
      </c>
      <c r="I1221" s="36" t="n"/>
      <c r="J1221" s="711" t="n"/>
      <c r="K1221" s="722">
        <f>G1221*D1221</f>
        <v/>
      </c>
      <c r="L1221" s="710" t="n"/>
      <c r="M1221" s="392" t="n"/>
    </row>
    <row r="1222" ht="17.25" customHeight="1" s="436">
      <c r="A1222" s="89" t="n">
        <v>43677</v>
      </c>
      <c r="B1222" s="31" t="inlineStr">
        <is>
          <t>6674</t>
        </is>
      </c>
      <c r="C1222" s="35" t="n"/>
      <c r="D1222" s="36" t="n">
        <v>58</v>
      </c>
      <c r="E1222" s="36" t="n"/>
      <c r="F1222" s="37" t="n"/>
      <c r="G1222" s="37" t="n">
        <v>30</v>
      </c>
      <c r="H1222" s="33">
        <f>H1221-G1222</f>
        <v/>
      </c>
      <c r="I1222" s="36" t="n"/>
      <c r="J1222" s="711" t="n"/>
      <c r="K1222" s="722">
        <f>G1222*D1222</f>
        <v/>
      </c>
      <c r="L1222" s="710" t="n"/>
      <c r="M1222" s="392" t="n"/>
    </row>
    <row r="1223" ht="17.25" customHeight="1" s="436">
      <c r="A1223" s="89" t="n">
        <v>43677</v>
      </c>
      <c r="B1223" s="31" t="inlineStr">
        <is>
          <t>6676</t>
        </is>
      </c>
      <c r="C1223" s="35" t="n"/>
      <c r="D1223" s="36" t="n">
        <v>52</v>
      </c>
      <c r="E1223" s="36" t="n"/>
      <c r="F1223" s="37" t="n"/>
      <c r="G1223" s="37" t="n">
        <v>20</v>
      </c>
      <c r="H1223" s="33">
        <f>H1222-G1223</f>
        <v/>
      </c>
      <c r="I1223" s="36" t="n"/>
      <c r="J1223" s="711" t="n"/>
      <c r="K1223" s="722">
        <f>G1223*D1223</f>
        <v/>
      </c>
      <c r="L1223" s="710" t="n"/>
      <c r="M1223" s="392" t="n"/>
    </row>
    <row r="1224" ht="17.25" customHeight="1" s="436">
      <c r="A1224" s="89" t="n">
        <v>43677</v>
      </c>
      <c r="B1224" s="31" t="inlineStr">
        <is>
          <t>6679</t>
        </is>
      </c>
      <c r="C1224" s="35" t="n"/>
      <c r="D1224" s="36" t="n">
        <v>56</v>
      </c>
      <c r="E1224" s="36" t="n"/>
      <c r="F1224" s="37" t="n"/>
      <c r="G1224" s="37" t="n">
        <v>10</v>
      </c>
      <c r="H1224" s="33">
        <f>H1223-G1224</f>
        <v/>
      </c>
      <c r="I1224" s="36" t="n"/>
      <c r="J1224" s="711" t="n"/>
      <c r="K1224" s="722">
        <f>G1224*D1224</f>
        <v/>
      </c>
      <c r="L1224" s="710" t="n"/>
      <c r="M1224" s="392" t="n"/>
    </row>
    <row r="1225" ht="17.25" customHeight="1" s="436">
      <c r="A1225" s="89" t="n">
        <v>43677</v>
      </c>
      <c r="B1225" s="31" t="inlineStr">
        <is>
          <t>6680</t>
        </is>
      </c>
      <c r="C1225" s="35" t="n"/>
      <c r="D1225" s="36" t="n">
        <v>49</v>
      </c>
      <c r="E1225" s="36" t="n"/>
      <c r="F1225" s="37" t="n"/>
      <c r="G1225" s="37" t="n">
        <v>50</v>
      </c>
      <c r="H1225" s="33">
        <f>H1224-G1225</f>
        <v/>
      </c>
      <c r="I1225" s="36" t="n"/>
      <c r="J1225" s="711" t="n"/>
      <c r="K1225" s="722">
        <f>G1225*D1225</f>
        <v/>
      </c>
      <c r="L1225" s="710" t="n"/>
      <c r="M1225" s="392" t="n"/>
    </row>
    <row r="1226" ht="17.25" customHeight="1" s="436">
      <c r="A1226" s="89" t="n">
        <v>43677</v>
      </c>
      <c r="B1226" s="31" t="inlineStr">
        <is>
          <t>6681</t>
        </is>
      </c>
      <c r="C1226" s="35" t="n"/>
      <c r="D1226" s="36" t="n">
        <v>56</v>
      </c>
      <c r="E1226" s="36" t="n"/>
      <c r="F1226" s="37" t="n"/>
      <c r="G1226" s="37" t="n">
        <v>20</v>
      </c>
      <c r="H1226" s="33">
        <f>H1225-G1226</f>
        <v/>
      </c>
      <c r="I1226" s="36" t="n"/>
      <c r="J1226" s="711" t="n"/>
      <c r="K1226" s="722">
        <f>G1226*D1226</f>
        <v/>
      </c>
      <c r="L1226" s="710" t="n"/>
      <c r="M1226" s="392" t="n"/>
    </row>
    <row r="1227" ht="17.25" customHeight="1" s="436">
      <c r="A1227" s="89" t="n">
        <v>43677</v>
      </c>
      <c r="B1227" s="31" t="inlineStr">
        <is>
          <t>6682</t>
        </is>
      </c>
      <c r="C1227" s="35" t="n"/>
      <c r="D1227" s="36" t="n">
        <v>56</v>
      </c>
      <c r="E1227" s="36" t="n"/>
      <c r="F1227" s="37" t="n"/>
      <c r="G1227" s="37" t="n">
        <v>20</v>
      </c>
      <c r="H1227" s="33">
        <f>H1226-G1227</f>
        <v/>
      </c>
      <c r="I1227" s="36" t="n"/>
      <c r="J1227" s="711" t="n"/>
      <c r="K1227" s="722">
        <f>G1227*D1227</f>
        <v/>
      </c>
      <c r="L1227" s="710" t="n"/>
      <c r="M1227" s="392" t="n"/>
    </row>
    <row r="1228" ht="17.25" customHeight="1" s="436">
      <c r="A1228" s="89" t="n">
        <v>43677</v>
      </c>
      <c r="B1228" s="31" t="inlineStr">
        <is>
          <t>6683</t>
        </is>
      </c>
      <c r="C1228" s="35" t="n"/>
      <c r="D1228" s="36" t="n">
        <v>57</v>
      </c>
      <c r="E1228" s="36" t="n"/>
      <c r="F1228" s="37" t="n"/>
      <c r="G1228" s="37" t="n">
        <v>30</v>
      </c>
      <c r="H1228" s="33">
        <f>H1227-G1228</f>
        <v/>
      </c>
      <c r="I1228" s="36" t="n"/>
      <c r="J1228" s="711" t="n"/>
      <c r="K1228" s="722">
        <f>G1228*D1228</f>
        <v/>
      </c>
      <c r="L1228" s="710" t="n"/>
      <c r="M1228" s="392" t="n"/>
    </row>
    <row r="1229" ht="17.25" customHeight="1" s="436">
      <c r="A1229" s="89" t="n">
        <v>43677</v>
      </c>
      <c r="B1229" s="31" t="inlineStr">
        <is>
          <t>6685</t>
        </is>
      </c>
      <c r="C1229" s="35" t="n"/>
      <c r="D1229" s="36" t="n">
        <v>56</v>
      </c>
      <c r="E1229" s="36" t="n"/>
      <c r="F1229" s="37" t="n"/>
      <c r="G1229" s="37" t="n">
        <v>20</v>
      </c>
      <c r="H1229" s="33">
        <f>H1228-G1229</f>
        <v/>
      </c>
      <c r="I1229" s="36" t="n"/>
      <c r="J1229" s="711" t="n"/>
      <c r="K1229" s="722">
        <f>G1229*D1229</f>
        <v/>
      </c>
      <c r="L1229" s="710" t="n"/>
      <c r="M1229" s="392" t="n"/>
    </row>
    <row r="1230" ht="17.25" customHeight="1" s="436">
      <c r="A1230" s="89" t="n">
        <v>43682</v>
      </c>
      <c r="B1230" s="31" t="n"/>
      <c r="C1230" s="35" t="n"/>
      <c r="D1230" s="36" t="n"/>
      <c r="E1230" s="36" t="n"/>
      <c r="F1230" s="37" t="n"/>
      <c r="G1230" s="37" t="n"/>
      <c r="H1230" s="33">
        <f>H1229-G1230</f>
        <v/>
      </c>
      <c r="I1230" s="36" t="n"/>
      <c r="J1230" s="711" t="n"/>
      <c r="K1230" s="722">
        <f>G1230*D1230</f>
        <v/>
      </c>
      <c r="L1230" s="710" t="n"/>
      <c r="M1230" s="392" t="n"/>
    </row>
    <row r="1231"/>
    <row r="1232"/>
    <row r="1233"/>
    <row r="1234" ht="15.75" customHeight="1" s="436" thickBot="1"/>
    <row r="1235" ht="27" customHeight="1" s="436" thickBot="1">
      <c r="A1235" s="720" t="inlineStr">
        <is>
          <t xml:space="preserve"> FARINHA DE TRIGO TIPO: 1 - 25 KG</t>
        </is>
      </c>
      <c r="B1235" s="697" t="n"/>
      <c r="C1235" s="697" t="n"/>
      <c r="D1235" s="697" t="n"/>
      <c r="E1235" s="697" t="n"/>
      <c r="F1235" s="697" t="n"/>
      <c r="G1235" s="697" t="n"/>
      <c r="H1235" s="697" t="n"/>
      <c r="I1235" s="697" t="n"/>
      <c r="J1235" s="697" t="n"/>
      <c r="K1235" s="697" t="n"/>
      <c r="L1235" s="697" t="n"/>
      <c r="M1235" s="698" t="n"/>
    </row>
    <row r="1236">
      <c r="A1236" s="643" t="inlineStr">
        <is>
          <t>DATA</t>
        </is>
      </c>
      <c r="B1236" s="633" t="inlineStr">
        <is>
          <t>N.F.</t>
        </is>
      </c>
      <c r="C1236" s="633" t="inlineStr">
        <is>
          <t>TIPO</t>
        </is>
      </c>
      <c r="D1236" s="633" t="inlineStr">
        <is>
          <t>PREÇO UNITÁRIO</t>
        </is>
      </c>
      <c r="E1236" s="701" t="n"/>
      <c r="F1236" s="633" t="inlineStr">
        <is>
          <t>QUANTIDADE / KG</t>
        </is>
      </c>
      <c r="H1236" s="701" t="n"/>
      <c r="I1236" s="632" t="inlineStr">
        <is>
          <t>PREÇO</t>
        </is>
      </c>
      <c r="J1236" s="632" t="inlineStr">
        <is>
          <t>VALORES</t>
        </is>
      </c>
      <c r="L1236" s="701" t="n"/>
      <c r="M1236" s="649" t="n"/>
    </row>
    <row r="1237" ht="15.75" customHeight="1" s="436" thickBot="1">
      <c r="A1237" s="703" t="n"/>
      <c r="B1237" s="704" t="n"/>
      <c r="C1237" s="704" t="n"/>
      <c r="D1237" s="703" t="n"/>
      <c r="E1237" s="701" t="n"/>
      <c r="F1237" s="705" t="n"/>
      <c r="G1237" s="706" t="n"/>
      <c r="H1237" s="707" t="n"/>
      <c r="I1237" s="704" t="n"/>
      <c r="J1237" s="703" t="n"/>
      <c r="L1237" s="701" t="n"/>
      <c r="M1237" s="704" t="n"/>
    </row>
    <row r="1238" ht="15.75" customHeight="1" s="436" thickBot="1">
      <c r="A1238" s="703" t="n"/>
      <c r="B1238" s="704" t="n"/>
      <c r="C1238" s="704" t="n"/>
      <c r="D1238" s="705" t="n"/>
      <c r="E1238" s="707" t="n"/>
      <c r="F1238" s="3" t="inlineStr">
        <is>
          <t>ENTRADA</t>
        </is>
      </c>
      <c r="G1238" s="3" t="inlineStr">
        <is>
          <t>SAÍDA</t>
        </is>
      </c>
      <c r="H1238" s="640" t="n"/>
      <c r="I1238" s="633" t="inlineStr">
        <is>
          <t>MÉDIO</t>
        </is>
      </c>
      <c r="J1238" s="652" t="inlineStr">
        <is>
          <t>SALDO EM 30/11/2017</t>
        </is>
      </c>
      <c r="K1238" s="706" t="n"/>
      <c r="L1238" s="17" t="n"/>
      <c r="M1238" s="704" t="n"/>
    </row>
    <row r="1239" ht="18" customHeight="1" s="436" thickBot="1">
      <c r="A1239" s="705" t="n"/>
      <c r="B1239" s="695" t="n"/>
      <c r="C1239" s="695" t="n"/>
      <c r="D1239" s="3" t="inlineStr">
        <is>
          <t>C/ICMS</t>
        </is>
      </c>
      <c r="E1239" s="3" t="inlineStr">
        <is>
          <t>S/ICMS</t>
        </is>
      </c>
      <c r="F1239" s="695" t="n"/>
      <c r="G1239" s="695" t="n"/>
      <c r="H1239" s="84" t="inlineStr">
        <is>
          <t>Saldo em 30/04/2019</t>
        </is>
      </c>
      <c r="I1239" s="695" t="n"/>
      <c r="J1239" s="645" t="inlineStr">
        <is>
          <t>ENTRADA</t>
        </is>
      </c>
      <c r="K1239" s="633" t="inlineStr">
        <is>
          <t>SAÍDA / CMV</t>
        </is>
      </c>
      <c r="L1239" s="643" t="inlineStr">
        <is>
          <t>SALDO</t>
        </is>
      </c>
      <c r="M1239" s="392" t="n"/>
    </row>
    <row r="1240" ht="17.25" customHeight="1" s="436">
      <c r="A1240" s="30" t="inlineStr">
        <is>
          <t>As</t>
        </is>
      </c>
      <c r="B1240" s="31" t="n"/>
      <c r="C1240" s="35" t="n"/>
      <c r="D1240" s="36" t="n"/>
      <c r="E1240" s="36" t="n"/>
      <c r="F1240" s="37" t="n"/>
      <c r="G1240" s="37" t="n">
        <v>0</v>
      </c>
      <c r="H1240" s="37" t="n"/>
      <c r="I1240" s="36" t="n"/>
      <c r="J1240" s="711">
        <f>F1240*I1240</f>
        <v/>
      </c>
      <c r="K1240" s="721" t="n">
        <v>0</v>
      </c>
      <c r="L1240" s="710">
        <f>J1240-K1240</f>
        <v/>
      </c>
      <c r="M1240" s="392" t="n"/>
    </row>
    <row r="1241" ht="17.25" customHeight="1" s="436">
      <c r="A1241" s="92" t="n">
        <v>43678</v>
      </c>
      <c r="B1241" s="93" t="n"/>
      <c r="C1241" s="93" t="n"/>
      <c r="D1241" s="94" t="n"/>
      <c r="E1241" s="94" t="n"/>
      <c r="F1241" s="95" t="n"/>
      <c r="G1241" s="95" t="n"/>
      <c r="H1241" s="95" t="n">
        <v>3668</v>
      </c>
      <c r="I1241" s="32" t="n"/>
      <c r="J1241" s="711" t="n"/>
      <c r="K1241" s="722" t="n"/>
      <c r="L1241" s="710" t="n"/>
      <c r="M1241" s="392" t="n"/>
    </row>
    <row r="1242" ht="17.25" customHeight="1" s="436">
      <c r="A1242" s="89" t="n">
        <v>43678</v>
      </c>
      <c r="B1242" s="31" t="inlineStr">
        <is>
          <t>6688</t>
        </is>
      </c>
      <c r="C1242" s="31" t="n"/>
      <c r="D1242" s="32" t="n">
        <v>54</v>
      </c>
      <c r="E1242" s="32" t="n"/>
      <c r="F1242" s="33" t="n"/>
      <c r="G1242" s="33" t="n">
        <v>20</v>
      </c>
      <c r="H1242" s="33">
        <f>H1241-G1242</f>
        <v/>
      </c>
      <c r="I1242" s="32" t="n"/>
      <c r="J1242" s="711" t="n"/>
      <c r="K1242" s="722" t="n"/>
      <c r="L1242" s="710" t="n"/>
      <c r="M1242" s="392" t="n"/>
    </row>
    <row r="1243" ht="17.25" customHeight="1" s="436">
      <c r="A1243" s="89" t="n">
        <v>43683</v>
      </c>
      <c r="B1243" s="31" t="inlineStr">
        <is>
          <t>6692</t>
        </is>
      </c>
      <c r="C1243" s="35" t="n"/>
      <c r="D1243" s="36" t="n">
        <v>52</v>
      </c>
      <c r="E1243" s="36" t="n"/>
      <c r="F1243" s="37" t="n"/>
      <c r="G1243" s="37" t="n">
        <v>20</v>
      </c>
      <c r="H1243" s="33">
        <f>H1242-G1243</f>
        <v/>
      </c>
      <c r="I1243" s="36" t="n"/>
      <c r="J1243" s="711" t="n"/>
      <c r="K1243" s="722">
        <f>G1243*D1243</f>
        <v/>
      </c>
      <c r="L1243" s="710" t="n"/>
      <c r="M1243" s="392" t="n"/>
    </row>
    <row r="1244" ht="17.25" customHeight="1" s="436">
      <c r="A1244" s="89" t="n">
        <v>43683</v>
      </c>
      <c r="B1244" s="31" t="inlineStr">
        <is>
          <t>6694</t>
        </is>
      </c>
      <c r="C1244" s="35" t="n"/>
      <c r="D1244" s="36" t="n">
        <v>56.75</v>
      </c>
      <c r="E1244" s="36" t="n"/>
      <c r="F1244" s="37" t="n"/>
      <c r="G1244" s="101" t="n">
        <v>40</v>
      </c>
      <c r="H1244" s="33">
        <f>H1243-G1244</f>
        <v/>
      </c>
      <c r="I1244" s="36" t="n"/>
      <c r="J1244" s="711" t="n"/>
      <c r="K1244" s="722">
        <f>G1244*D1244</f>
        <v/>
      </c>
      <c r="L1244" s="710" t="n"/>
      <c r="M1244" s="392" t="n"/>
    </row>
    <row r="1245" ht="17.25" customHeight="1" s="436">
      <c r="A1245" s="89" t="n">
        <v>43683</v>
      </c>
      <c r="B1245" s="31" t="inlineStr">
        <is>
          <t>6696</t>
        </is>
      </c>
      <c r="C1245" s="35" t="n"/>
      <c r="D1245" s="36" t="n">
        <v>57</v>
      </c>
      <c r="E1245" s="36" t="n"/>
      <c r="F1245" s="37" t="n"/>
      <c r="G1245" s="37" t="n">
        <v>20</v>
      </c>
      <c r="H1245" s="33">
        <f>H1244-G1245</f>
        <v/>
      </c>
      <c r="I1245" s="36" t="n"/>
      <c r="J1245" s="711" t="n"/>
      <c r="K1245" s="722">
        <f>G1245*D1245</f>
        <v/>
      </c>
      <c r="L1245" s="710" t="n"/>
      <c r="M1245" s="392" t="n"/>
    </row>
    <row r="1246">
      <c r="A1246" s="89" t="n">
        <v>43683</v>
      </c>
      <c r="B1246" s="31" t="inlineStr">
        <is>
          <t>6697</t>
        </is>
      </c>
      <c r="C1246" s="35" t="n"/>
      <c r="D1246" s="36" t="n">
        <v>53</v>
      </c>
      <c r="E1246" s="36" t="n"/>
      <c r="F1246" s="37" t="n"/>
      <c r="G1246" s="37" t="n">
        <v>20</v>
      </c>
      <c r="H1246" s="33">
        <f>H1245-G1246</f>
        <v/>
      </c>
      <c r="I1246" s="36" t="n"/>
      <c r="J1246" s="711" t="n"/>
      <c r="K1246" s="709">
        <f>G1246*D1246</f>
        <v/>
      </c>
      <c r="L1246" s="710" t="n"/>
      <c r="M1246" s="392" t="n"/>
    </row>
    <row r="1247" ht="17.25" customHeight="1" s="436">
      <c r="A1247" s="89" t="n">
        <v>2</v>
      </c>
      <c r="B1247" s="31" t="inlineStr">
        <is>
          <t>6698</t>
        </is>
      </c>
      <c r="C1247" s="35" t="n"/>
      <c r="D1247" s="36" t="n">
        <v>56</v>
      </c>
      <c r="E1247" s="36" t="n"/>
      <c r="F1247" s="37" t="n"/>
      <c r="G1247" s="37" t="n">
        <v>25</v>
      </c>
      <c r="H1247" s="33">
        <f>H1246-G1247</f>
        <v/>
      </c>
      <c r="I1247" s="36" t="n"/>
      <c r="J1247" s="711" t="n"/>
      <c r="K1247" s="722">
        <f>G1247*D1247</f>
        <v/>
      </c>
      <c r="L1247" s="710" t="n"/>
      <c r="M1247" s="392" t="n"/>
    </row>
    <row r="1248" ht="17.25" customHeight="1" s="436">
      <c r="A1248" s="89" t="n">
        <v>43683</v>
      </c>
      <c r="B1248" s="31" t="inlineStr">
        <is>
          <t>6699</t>
        </is>
      </c>
      <c r="C1248" s="35" t="n"/>
      <c r="D1248" s="36" t="n">
        <v>60</v>
      </c>
      <c r="E1248" s="36" t="n"/>
      <c r="F1248" s="37" t="n"/>
      <c r="G1248" s="37" t="n">
        <v>20</v>
      </c>
      <c r="H1248" s="33">
        <f>H1247-G1248</f>
        <v/>
      </c>
      <c r="I1248" s="36" t="n"/>
      <c r="J1248" s="711" t="n"/>
      <c r="K1248" s="722">
        <f>G1248*D1248</f>
        <v/>
      </c>
      <c r="L1248" s="710" t="n"/>
      <c r="M1248" s="392" t="n"/>
    </row>
    <row r="1249" ht="17.25" customHeight="1" s="436">
      <c r="A1249" s="89" t="n">
        <v>43683</v>
      </c>
      <c r="B1249" s="31" t="inlineStr">
        <is>
          <t>6700</t>
        </is>
      </c>
      <c r="C1249" s="35" t="n"/>
      <c r="D1249" s="36" t="n">
        <v>50</v>
      </c>
      <c r="E1249" s="36" t="n"/>
      <c r="F1249" s="37" t="n"/>
      <c r="G1249" s="37" t="n">
        <v>20</v>
      </c>
      <c r="H1249" s="33">
        <f>H1248-G1249</f>
        <v/>
      </c>
      <c r="I1249" s="36" t="n"/>
      <c r="J1249" s="711" t="n"/>
      <c r="K1249" s="722">
        <f>G1249*D1249</f>
        <v/>
      </c>
      <c r="L1249" s="710" t="n"/>
      <c r="M1249" s="392" t="n"/>
    </row>
    <row r="1250" ht="17.25" customHeight="1" s="436">
      <c r="A1250" s="89" t="n">
        <v>43685</v>
      </c>
      <c r="B1250" s="31" t="inlineStr">
        <is>
          <t>6701</t>
        </is>
      </c>
      <c r="C1250" s="35" t="n"/>
      <c r="D1250" s="36" t="n">
        <v>50</v>
      </c>
      <c r="E1250" s="36" t="n"/>
      <c r="F1250" s="37" t="n"/>
      <c r="G1250" s="37" t="n">
        <v>50</v>
      </c>
      <c r="H1250" s="33">
        <f>H1249-G1250</f>
        <v/>
      </c>
      <c r="I1250" s="36" t="n"/>
      <c r="J1250" s="711" t="n"/>
      <c r="K1250" s="722">
        <f>G1250*D1250</f>
        <v/>
      </c>
      <c r="L1250" s="710" t="n"/>
      <c r="M1250" s="392" t="n"/>
    </row>
    <row r="1251" ht="17.25" customHeight="1" s="436">
      <c r="A1251" s="89" t="n">
        <v>43685</v>
      </c>
      <c r="B1251" s="31" t="inlineStr">
        <is>
          <t>6703</t>
        </is>
      </c>
      <c r="C1251" s="35" t="n"/>
      <c r="D1251" s="36" t="n">
        <v>54</v>
      </c>
      <c r="E1251" s="36" t="n"/>
      <c r="F1251" s="37" t="n"/>
      <c r="G1251" s="37" t="n">
        <v>30</v>
      </c>
      <c r="H1251" s="33">
        <f>H1250-G1251</f>
        <v/>
      </c>
      <c r="I1251" s="36" t="n"/>
      <c r="J1251" s="711" t="n"/>
      <c r="K1251" s="722">
        <f>G1251*D1251</f>
        <v/>
      </c>
      <c r="L1251" s="710" t="n"/>
      <c r="M1251" s="392" t="n"/>
    </row>
    <row r="1252" ht="17.25" customHeight="1" s="436">
      <c r="A1252" s="89" t="n">
        <v>43689</v>
      </c>
      <c r="B1252" s="31" t="inlineStr">
        <is>
          <t>6704</t>
        </is>
      </c>
      <c r="C1252" s="35" t="n"/>
      <c r="D1252" s="36" t="n">
        <v>57.34</v>
      </c>
      <c r="E1252" s="36" t="n"/>
      <c r="F1252" s="37" t="n"/>
      <c r="G1252" s="37" t="n">
        <v>90</v>
      </c>
      <c r="H1252" s="33">
        <f>H1251-G1252</f>
        <v/>
      </c>
      <c r="I1252" s="36" t="n"/>
      <c r="J1252" s="711" t="n"/>
      <c r="K1252" s="722">
        <f>G1252*D1252</f>
        <v/>
      </c>
      <c r="L1252" s="710" t="n"/>
      <c r="M1252" s="392" t="n"/>
    </row>
    <row r="1253" ht="17.25" customHeight="1" s="436">
      <c r="A1253" s="89" t="n">
        <v>43689</v>
      </c>
      <c r="B1253" s="31" t="inlineStr">
        <is>
          <t>6706</t>
        </is>
      </c>
      <c r="C1253" s="35" t="n"/>
      <c r="D1253" s="36" t="n">
        <v>56</v>
      </c>
      <c r="E1253" s="36" t="n"/>
      <c r="F1253" s="37" t="n"/>
      <c r="G1253" s="37" t="n">
        <v>15</v>
      </c>
      <c r="H1253" s="33">
        <f>H1252-G1253</f>
        <v/>
      </c>
      <c r="I1253" s="36" t="n"/>
      <c r="J1253" s="711" t="n"/>
      <c r="K1253" s="722">
        <f>G1253*D1253</f>
        <v/>
      </c>
      <c r="L1253" s="710" t="n"/>
      <c r="M1253" s="392" t="n"/>
    </row>
    <row r="1254" ht="17.25" customHeight="1" s="436">
      <c r="A1254" s="89" t="n">
        <v>43689</v>
      </c>
      <c r="B1254" s="31" t="inlineStr">
        <is>
          <t>6708</t>
        </is>
      </c>
      <c r="C1254" s="35" t="n"/>
      <c r="D1254" s="36" t="n">
        <v>56</v>
      </c>
      <c r="E1254" s="36" t="n"/>
      <c r="F1254" s="37" t="n"/>
      <c r="G1254" s="37" t="n">
        <v>30</v>
      </c>
      <c r="H1254" s="33">
        <f>H1253-G1254</f>
        <v/>
      </c>
      <c r="I1254" s="36" t="n"/>
      <c r="J1254" s="711" t="n"/>
      <c r="K1254" s="722">
        <f>G1254*D1254</f>
        <v/>
      </c>
      <c r="L1254" s="710" t="n"/>
      <c r="M1254" s="392" t="n"/>
    </row>
    <row r="1255" ht="17.25" customHeight="1" s="436">
      <c r="A1255" s="89" t="n">
        <v>43690</v>
      </c>
      <c r="B1255" s="31" t="inlineStr">
        <is>
          <t>6710</t>
        </is>
      </c>
      <c r="C1255" s="35" t="n"/>
      <c r="D1255" s="36" t="n">
        <v>53</v>
      </c>
      <c r="E1255" s="36" t="n"/>
      <c r="F1255" s="37" t="n"/>
      <c r="G1255" s="37" t="n">
        <v>100</v>
      </c>
      <c r="H1255" s="33">
        <f>H1254-G1255</f>
        <v/>
      </c>
      <c r="I1255" s="36" t="n"/>
      <c r="J1255" s="711" t="n"/>
      <c r="K1255" s="722">
        <f>G1255*D1255</f>
        <v/>
      </c>
      <c r="L1255" s="710" t="n"/>
      <c r="M1255" s="392" t="n"/>
    </row>
    <row r="1256" ht="17.25" customHeight="1" s="436">
      <c r="A1256" s="89" t="n">
        <v>43690</v>
      </c>
      <c r="B1256" s="31" t="inlineStr">
        <is>
          <t>6711</t>
        </is>
      </c>
      <c r="C1256" s="35" t="n"/>
      <c r="D1256" s="36" t="n">
        <v>54</v>
      </c>
      <c r="E1256" s="36" t="n"/>
      <c r="F1256" s="37" t="n"/>
      <c r="G1256" s="37" t="n">
        <v>50</v>
      </c>
      <c r="H1256" s="33">
        <f>H1255-G1256</f>
        <v/>
      </c>
      <c r="I1256" s="36" t="n"/>
      <c r="J1256" s="711" t="n"/>
      <c r="K1256" s="722">
        <f>G1256*D1256</f>
        <v/>
      </c>
      <c r="L1256" s="710" t="n"/>
      <c r="M1256" s="392" t="n"/>
    </row>
    <row r="1257" ht="17.25" customHeight="1" s="436">
      <c r="A1257" s="89" t="n">
        <v>43691</v>
      </c>
      <c r="B1257" s="31" t="inlineStr">
        <is>
          <t>6712</t>
        </is>
      </c>
      <c r="C1257" s="35" t="n"/>
      <c r="D1257" s="36" t="n">
        <v>50</v>
      </c>
      <c r="E1257" s="36" t="n"/>
      <c r="F1257" s="37" t="n"/>
      <c r="G1257" s="37" t="n">
        <v>20</v>
      </c>
      <c r="H1257" s="33">
        <f>H1256-G1257</f>
        <v/>
      </c>
      <c r="I1257" s="36" t="n"/>
      <c r="J1257" s="711" t="n"/>
      <c r="K1257" s="722">
        <f>G1257*D1257</f>
        <v/>
      </c>
      <c r="L1257" s="710" t="n"/>
      <c r="M1257" s="392" t="n"/>
    </row>
    <row r="1258" ht="17.25" customHeight="1" s="436">
      <c r="A1258" s="89" t="n">
        <v>43691</v>
      </c>
      <c r="B1258" s="31" t="inlineStr">
        <is>
          <t>6713</t>
        </is>
      </c>
      <c r="C1258" s="35" t="n"/>
      <c r="D1258" s="36" t="n">
        <v>56</v>
      </c>
      <c r="E1258" s="36" t="n"/>
      <c r="F1258" s="37" t="n"/>
      <c r="G1258" s="37" t="n">
        <v>40</v>
      </c>
      <c r="H1258" s="33">
        <f>H1257-G1258</f>
        <v/>
      </c>
      <c r="I1258" s="36" t="n"/>
      <c r="J1258" s="711" t="n"/>
      <c r="K1258" s="722">
        <f>G1258*D1258</f>
        <v/>
      </c>
      <c r="L1258" s="710" t="n"/>
      <c r="M1258" s="392" t="n"/>
    </row>
    <row r="1259" ht="17.25" customHeight="1" s="436">
      <c r="A1259" s="89" t="n">
        <v>43691</v>
      </c>
      <c r="B1259" s="31" t="inlineStr">
        <is>
          <t>6714</t>
        </is>
      </c>
      <c r="C1259" s="35" t="n"/>
      <c r="D1259" s="36" t="n">
        <v>55</v>
      </c>
      <c r="E1259" s="36" t="n"/>
      <c r="F1259" s="37" t="n"/>
      <c r="G1259" s="37" t="n">
        <v>10</v>
      </c>
      <c r="H1259" s="33">
        <f>H1258-G1259</f>
        <v/>
      </c>
      <c r="I1259" s="36" t="n"/>
      <c r="J1259" s="711" t="n"/>
      <c r="K1259" s="722">
        <f>G1259*D1259</f>
        <v/>
      </c>
      <c r="L1259" s="710" t="n"/>
      <c r="M1259" s="392" t="n"/>
    </row>
    <row r="1260" ht="17.25" customHeight="1" s="436">
      <c r="A1260" s="89" t="n">
        <v>43691</v>
      </c>
      <c r="B1260" s="31" t="inlineStr">
        <is>
          <t>6715</t>
        </is>
      </c>
      <c r="C1260" s="35" t="n"/>
      <c r="D1260" s="36" t="n">
        <v>56</v>
      </c>
      <c r="E1260" s="36" t="n"/>
      <c r="F1260" s="37" t="n"/>
      <c r="G1260" s="37" t="n">
        <v>20</v>
      </c>
      <c r="H1260" s="33">
        <f>H1259-G1260</f>
        <v/>
      </c>
      <c r="I1260" s="36" t="n"/>
      <c r="J1260" s="711" t="n"/>
      <c r="K1260" s="722">
        <f>G1260*D1260</f>
        <v/>
      </c>
      <c r="L1260" s="710" t="n"/>
      <c r="M1260" s="392" t="n"/>
    </row>
    <row r="1261" ht="17.25" customHeight="1" s="436">
      <c r="A1261" s="89" t="n">
        <v>43691</v>
      </c>
      <c r="B1261" s="31" t="inlineStr">
        <is>
          <t>6716</t>
        </is>
      </c>
      <c r="C1261" s="35" t="n"/>
      <c r="D1261" s="36" t="n">
        <v>50.37</v>
      </c>
      <c r="E1261" s="36" t="n"/>
      <c r="F1261" s="37" t="n"/>
      <c r="G1261" s="37" t="n">
        <v>11</v>
      </c>
      <c r="H1261" s="33">
        <f>H1260-G1261</f>
        <v/>
      </c>
      <c r="I1261" s="36" t="n"/>
      <c r="J1261" s="711" t="n"/>
      <c r="K1261" s="722">
        <f>G1261*D1261</f>
        <v/>
      </c>
      <c r="L1261" s="710" t="n"/>
      <c r="M1261" s="392" t="n"/>
    </row>
    <row r="1262" ht="17.25" customHeight="1" s="436">
      <c r="A1262" s="89" t="n">
        <v>43691</v>
      </c>
      <c r="B1262" s="31" t="inlineStr">
        <is>
          <t>6717</t>
        </is>
      </c>
      <c r="C1262" s="35" t="n"/>
      <c r="D1262" s="36" t="n">
        <v>56</v>
      </c>
      <c r="E1262" s="36" t="n"/>
      <c r="F1262" s="37" t="n"/>
      <c r="G1262" s="37" t="n">
        <v>20</v>
      </c>
      <c r="H1262" s="33">
        <f>H1261-G1262</f>
        <v/>
      </c>
      <c r="I1262" s="36" t="n"/>
      <c r="J1262" s="711" t="n"/>
      <c r="K1262" s="722">
        <f>G1262*D1262</f>
        <v/>
      </c>
      <c r="L1262" s="710" t="n"/>
      <c r="M1262" s="392" t="n"/>
    </row>
    <row r="1263" ht="17.25" customHeight="1" s="436">
      <c r="A1263" s="102" t="n">
        <v>43692</v>
      </c>
      <c r="B1263" s="93" t="inlineStr">
        <is>
          <t>2515</t>
        </is>
      </c>
      <c r="C1263" s="96" t="n"/>
      <c r="D1263" s="97" t="n">
        <v>42</v>
      </c>
      <c r="E1263" s="97" t="n"/>
      <c r="F1263" s="98" t="n">
        <v>200</v>
      </c>
      <c r="G1263" s="98" t="n"/>
      <c r="H1263" s="95" t="n">
        <v>3197</v>
      </c>
      <c r="I1263" s="36" t="n"/>
      <c r="J1263" s="711" t="n"/>
      <c r="K1263" s="722" t="n"/>
      <c r="L1263" s="710" t="n"/>
      <c r="M1263" s="392" t="n"/>
    </row>
    <row r="1264" ht="17.25" customHeight="1" s="436">
      <c r="A1264" s="89" t="n">
        <v>43696</v>
      </c>
      <c r="B1264" s="31" t="inlineStr">
        <is>
          <t>6723</t>
        </is>
      </c>
      <c r="C1264" s="35" t="n"/>
      <c r="D1264" s="36" t="n">
        <v>56</v>
      </c>
      <c r="E1264" s="36" t="n"/>
      <c r="F1264" s="37" t="n"/>
      <c r="G1264" s="37" t="n">
        <v>40</v>
      </c>
      <c r="H1264" s="33">
        <f>H1263-G1264</f>
        <v/>
      </c>
      <c r="I1264" s="36" t="n"/>
      <c r="J1264" s="711" t="n"/>
      <c r="K1264" s="722">
        <f>G1264*D1264</f>
        <v/>
      </c>
      <c r="L1264" s="710" t="n"/>
      <c r="M1264" s="392" t="n"/>
    </row>
    <row r="1265" ht="17.25" customHeight="1" s="436">
      <c r="A1265" s="89" t="n">
        <v>43696</v>
      </c>
      <c r="B1265" s="31" t="inlineStr">
        <is>
          <t>6725</t>
        </is>
      </c>
      <c r="C1265" s="35" t="n"/>
      <c r="D1265" s="36" t="n">
        <v>56</v>
      </c>
      <c r="E1265" s="36" t="n"/>
      <c r="F1265" s="37" t="n"/>
      <c r="G1265" s="37" t="n">
        <v>30</v>
      </c>
      <c r="H1265" s="33">
        <f>H1264-G1265</f>
        <v/>
      </c>
      <c r="I1265" s="36" t="n"/>
      <c r="J1265" s="711" t="n"/>
      <c r="K1265" s="722">
        <f>G1265*D1265</f>
        <v/>
      </c>
      <c r="L1265" s="710" t="n"/>
      <c r="M1265" s="392" t="n"/>
    </row>
    <row r="1266" ht="17.25" customHeight="1" s="436">
      <c r="A1266" s="89" t="n">
        <v>43696</v>
      </c>
      <c r="B1266" s="31" t="inlineStr">
        <is>
          <t>6726</t>
        </is>
      </c>
      <c r="C1266" s="35" t="n"/>
      <c r="D1266" s="36" t="n">
        <v>54.5</v>
      </c>
      <c r="E1266" s="36" t="n"/>
      <c r="F1266" s="37" t="n"/>
      <c r="G1266" s="37" t="n">
        <v>60</v>
      </c>
      <c r="H1266" s="33">
        <f>H1265-G1266</f>
        <v/>
      </c>
      <c r="I1266" s="36" t="n"/>
      <c r="J1266" s="711" t="n"/>
      <c r="K1266" s="722">
        <f>G1266*D1266</f>
        <v/>
      </c>
      <c r="L1266" s="710" t="n"/>
      <c r="M1266" s="392" t="n"/>
    </row>
    <row r="1267" ht="17.25" customHeight="1" s="436">
      <c r="A1267" s="89" t="n">
        <v>43698</v>
      </c>
      <c r="B1267" s="31" t="inlineStr">
        <is>
          <t>6728</t>
        </is>
      </c>
      <c r="C1267" s="35" t="n"/>
      <c r="D1267" s="36" t="n">
        <v>54</v>
      </c>
      <c r="E1267" s="36" t="n"/>
      <c r="F1267" s="37" t="n"/>
      <c r="G1267" s="37" t="n">
        <v>40</v>
      </c>
      <c r="H1267" s="33">
        <f>H1266-G1267</f>
        <v/>
      </c>
      <c r="I1267" s="36" t="n"/>
      <c r="J1267" s="711" t="n"/>
      <c r="K1267" s="722">
        <f>G1267*D1267</f>
        <v/>
      </c>
      <c r="L1267" s="710" t="n"/>
      <c r="M1267" s="392" t="n"/>
    </row>
    <row r="1268" ht="17.25" customHeight="1" s="436">
      <c r="A1268" s="89" t="n">
        <v>43698</v>
      </c>
      <c r="B1268" s="31" t="inlineStr">
        <is>
          <t>6729</t>
        </is>
      </c>
      <c r="C1268" s="35" t="n"/>
      <c r="D1268" s="36" t="n">
        <v>57</v>
      </c>
      <c r="E1268" s="36" t="n"/>
      <c r="F1268" s="37" t="n"/>
      <c r="G1268" s="37" t="n">
        <v>10</v>
      </c>
      <c r="H1268" s="33">
        <f>H1267-G1268</f>
        <v/>
      </c>
      <c r="I1268" s="36" t="n"/>
      <c r="J1268" s="711" t="n"/>
      <c r="K1268" s="722">
        <f>G1268*D1268</f>
        <v/>
      </c>
      <c r="L1268" s="710" t="n"/>
      <c r="M1268" s="392" t="n"/>
    </row>
    <row r="1269" ht="17.25" customHeight="1" s="436">
      <c r="A1269" s="89" t="n">
        <v>43698</v>
      </c>
      <c r="B1269" s="31" t="inlineStr">
        <is>
          <t>6732</t>
        </is>
      </c>
      <c r="C1269" s="35" t="n"/>
      <c r="D1269" s="36" t="n">
        <v>56</v>
      </c>
      <c r="E1269" s="36" t="n"/>
      <c r="F1269" s="37" t="n"/>
      <c r="G1269" s="37" t="n">
        <v>60</v>
      </c>
      <c r="H1269" s="33">
        <f>H1268-G1269</f>
        <v/>
      </c>
      <c r="I1269" s="36" t="n"/>
      <c r="J1269" s="711" t="n"/>
      <c r="K1269" s="722">
        <f>G1269*D1269</f>
        <v/>
      </c>
      <c r="L1269" s="710" t="n"/>
      <c r="M1269" s="392" t="n"/>
    </row>
    <row r="1270" ht="17.25" customHeight="1" s="436">
      <c r="A1270" s="89" t="n">
        <v>43698</v>
      </c>
      <c r="B1270" s="31" t="inlineStr">
        <is>
          <t>6733</t>
        </is>
      </c>
      <c r="C1270" s="35" t="n"/>
      <c r="D1270" s="36" t="n">
        <v>51</v>
      </c>
      <c r="E1270" s="36" t="n"/>
      <c r="F1270" s="37" t="n"/>
      <c r="G1270" s="37" t="n">
        <v>30</v>
      </c>
      <c r="H1270" s="33">
        <f>H1269-G1270</f>
        <v/>
      </c>
      <c r="I1270" s="36" t="n"/>
      <c r="J1270" s="711" t="n"/>
      <c r="K1270" s="722">
        <f>G1270*D1270</f>
        <v/>
      </c>
      <c r="L1270" s="710" t="n"/>
      <c r="M1270" s="392" t="n"/>
    </row>
    <row r="1271" ht="17.25" customHeight="1" s="436">
      <c r="A1271" s="89" t="n">
        <v>43698</v>
      </c>
      <c r="B1271" s="31" t="inlineStr">
        <is>
          <t>6734</t>
        </is>
      </c>
      <c r="C1271" s="35" t="n"/>
      <c r="D1271" s="36" t="n">
        <v>57</v>
      </c>
      <c r="E1271" s="36" t="n"/>
      <c r="F1271" s="37" t="n"/>
      <c r="G1271" s="37" t="n">
        <v>30</v>
      </c>
      <c r="H1271" s="33">
        <f>H1270-G1271</f>
        <v/>
      </c>
      <c r="I1271" s="36" t="n"/>
      <c r="J1271" s="711" t="n"/>
      <c r="K1271" s="722">
        <f>G1271*D1271</f>
        <v/>
      </c>
      <c r="L1271" s="710" t="n"/>
      <c r="M1271" s="392" t="n"/>
    </row>
    <row r="1272" ht="17.25" customHeight="1" s="436">
      <c r="A1272" s="89" t="n">
        <v>43698</v>
      </c>
      <c r="B1272" s="31" t="inlineStr">
        <is>
          <t>6735</t>
        </is>
      </c>
      <c r="C1272" s="35" t="n"/>
      <c r="D1272" s="36" t="n">
        <v>54</v>
      </c>
      <c r="E1272" s="36" t="n"/>
      <c r="F1272" s="37" t="n"/>
      <c r="G1272" s="37" t="n">
        <v>50</v>
      </c>
      <c r="H1272" s="33">
        <f>H1271-G1272</f>
        <v/>
      </c>
      <c r="I1272" s="36" t="n"/>
      <c r="J1272" s="711" t="n"/>
      <c r="K1272" s="722">
        <f>G1272*D1272</f>
        <v/>
      </c>
      <c r="L1272" s="710" t="n"/>
      <c r="M1272" s="392" t="n"/>
    </row>
    <row r="1273" ht="17.25" customHeight="1" s="436">
      <c r="A1273" s="102" t="n">
        <v>43699</v>
      </c>
      <c r="B1273" s="93" t="inlineStr">
        <is>
          <t>123287</t>
        </is>
      </c>
      <c r="C1273" s="96" t="n"/>
      <c r="D1273" s="97" t="n">
        <v>42.9</v>
      </c>
      <c r="E1273" s="97" t="n"/>
      <c r="F1273" s="98" t="n">
        <v>200</v>
      </c>
      <c r="G1273" s="98" t="n"/>
      <c r="H1273" s="95" t="n">
        <v>3047</v>
      </c>
      <c r="I1273" s="36" t="n"/>
      <c r="J1273" s="711" t="n"/>
      <c r="K1273" s="722" t="n"/>
      <c r="L1273" s="710" t="n"/>
      <c r="M1273" s="392" t="n"/>
    </row>
    <row r="1274" ht="17.25" customHeight="1" s="436">
      <c r="A1274" s="102" t="n">
        <v>43699</v>
      </c>
      <c r="B1274" s="93" t="inlineStr">
        <is>
          <t>123287</t>
        </is>
      </c>
      <c r="C1274" s="96" t="n"/>
      <c r="D1274" s="97" t="n">
        <v>41.8</v>
      </c>
      <c r="E1274" s="97" t="n"/>
      <c r="F1274" s="98" t="n">
        <v>480</v>
      </c>
      <c r="G1274" s="98" t="n"/>
      <c r="H1274" s="95" t="n">
        <v>3527</v>
      </c>
      <c r="I1274" s="36" t="n"/>
      <c r="J1274" s="711" t="n"/>
      <c r="K1274" s="722" t="n"/>
      <c r="L1274" s="710" t="n"/>
      <c r="M1274" s="392" t="n"/>
    </row>
    <row r="1275" ht="17.25" customHeight="1" s="436">
      <c r="A1275" s="89" t="n">
        <v>43704</v>
      </c>
      <c r="B1275" s="31" t="inlineStr">
        <is>
          <t>6737</t>
        </is>
      </c>
      <c r="C1275" s="35" t="n"/>
      <c r="D1275" s="36" t="n">
        <v>52</v>
      </c>
      <c r="E1275" s="36" t="n"/>
      <c r="F1275" s="37" t="n"/>
      <c r="G1275" s="37" t="n">
        <v>20</v>
      </c>
      <c r="H1275" s="33">
        <f>H1274-G1275</f>
        <v/>
      </c>
      <c r="I1275" s="36" t="n"/>
      <c r="J1275" s="711" t="n"/>
      <c r="K1275" s="722">
        <f>G1275*D1275</f>
        <v/>
      </c>
      <c r="L1275" s="710" t="n"/>
      <c r="M1275" s="392" t="n"/>
    </row>
    <row r="1276" ht="17.25" customHeight="1" s="436">
      <c r="A1276" s="89" t="n">
        <v>43704</v>
      </c>
      <c r="B1276" s="31" t="inlineStr">
        <is>
          <t>6738</t>
        </is>
      </c>
      <c r="C1276" s="35" t="n"/>
      <c r="D1276" s="36" t="n">
        <v>49</v>
      </c>
      <c r="E1276" s="36" t="n"/>
      <c r="F1276" s="37" t="n"/>
      <c r="G1276" s="37" t="n">
        <v>40</v>
      </c>
      <c r="H1276" s="33">
        <f>H1275-G1276</f>
        <v/>
      </c>
      <c r="I1276" s="36" t="n"/>
      <c r="J1276" s="711" t="n"/>
      <c r="K1276" s="722">
        <f>G1276*D1276</f>
        <v/>
      </c>
      <c r="L1276" s="710" t="n"/>
      <c r="M1276" s="392" t="n"/>
    </row>
    <row r="1277" ht="17.25" customHeight="1" s="436">
      <c r="A1277" s="89" t="n">
        <v>43704</v>
      </c>
      <c r="B1277" s="31" t="inlineStr">
        <is>
          <t>6740</t>
        </is>
      </c>
      <c r="C1277" s="35" t="n"/>
      <c r="D1277" s="36" t="n">
        <v>50</v>
      </c>
      <c r="E1277" s="36" t="n"/>
      <c r="F1277" s="37" t="n"/>
      <c r="G1277" s="37" t="n">
        <v>20</v>
      </c>
      <c r="H1277" s="33">
        <f>H1276-G1277</f>
        <v/>
      </c>
      <c r="I1277" s="36" t="n"/>
      <c r="J1277" s="711" t="n"/>
      <c r="K1277" s="722">
        <f>G1277*D1277</f>
        <v/>
      </c>
      <c r="L1277" s="710" t="n"/>
      <c r="M1277" s="392" t="n"/>
    </row>
    <row r="1278" ht="17.25" customHeight="1" s="436">
      <c r="A1278" s="89" t="n">
        <v>43704</v>
      </c>
      <c r="B1278" s="31" t="inlineStr">
        <is>
          <t>6741</t>
        </is>
      </c>
      <c r="C1278" s="35" t="n"/>
      <c r="D1278" s="36" t="n">
        <v>49</v>
      </c>
      <c r="E1278" s="36" t="n"/>
      <c r="F1278" s="37" t="n"/>
      <c r="G1278" s="37" t="n">
        <v>50</v>
      </c>
      <c r="H1278" s="33">
        <f>H1277-G1278</f>
        <v/>
      </c>
      <c r="I1278" s="36" t="n"/>
      <c r="J1278" s="711" t="n"/>
      <c r="K1278" s="722">
        <f>G1278*D1278</f>
        <v/>
      </c>
      <c r="L1278" s="710" t="n"/>
      <c r="M1278" s="392" t="n"/>
    </row>
    <row r="1279" ht="17.25" customHeight="1" s="436">
      <c r="A1279" s="89" t="n">
        <v>43704</v>
      </c>
      <c r="B1279" s="31" t="inlineStr">
        <is>
          <t>6744</t>
        </is>
      </c>
      <c r="C1279" s="35" t="n"/>
      <c r="D1279" s="36" t="n">
        <v>55</v>
      </c>
      <c r="E1279" s="36" t="n"/>
      <c r="F1279" s="37" t="n"/>
      <c r="G1279" s="37" t="n">
        <v>20</v>
      </c>
      <c r="H1279" s="33">
        <f>H1278-G1279</f>
        <v/>
      </c>
      <c r="I1279" s="36" t="n"/>
      <c r="J1279" s="711" t="n"/>
      <c r="K1279" s="722">
        <f>G1279*D1279</f>
        <v/>
      </c>
      <c r="L1279" s="710" t="n"/>
      <c r="M1279" s="392" t="n"/>
    </row>
    <row r="1280" ht="17.25" customHeight="1" s="436">
      <c r="A1280" s="89" t="n">
        <v>43704</v>
      </c>
      <c r="B1280" s="31" t="inlineStr">
        <is>
          <t>6745</t>
        </is>
      </c>
      <c r="C1280" s="35" t="n"/>
      <c r="D1280" s="36" t="n">
        <v>60</v>
      </c>
      <c r="E1280" s="36" t="n"/>
      <c r="F1280" s="37" t="n"/>
      <c r="G1280" s="37" t="n">
        <v>10</v>
      </c>
      <c r="H1280" s="33">
        <f>H1279-G1280</f>
        <v/>
      </c>
      <c r="I1280" s="36" t="n"/>
      <c r="J1280" s="711" t="n"/>
      <c r="K1280" s="722">
        <f>G1280*D1280</f>
        <v/>
      </c>
      <c r="L1280" s="710" t="n"/>
      <c r="M1280" s="392" t="n"/>
    </row>
    <row r="1281" ht="17.25" customHeight="1" s="436">
      <c r="A1281" s="89" t="n">
        <v>43706</v>
      </c>
      <c r="B1281" s="31" t="inlineStr">
        <is>
          <t>6748</t>
        </is>
      </c>
      <c r="C1281" s="35" t="n"/>
      <c r="D1281" s="36" t="n">
        <v>56</v>
      </c>
      <c r="E1281" s="36" t="n"/>
      <c r="F1281" s="37" t="n"/>
      <c r="G1281" s="37" t="n">
        <v>20</v>
      </c>
      <c r="H1281" s="33">
        <f>H1280-G1281</f>
        <v/>
      </c>
      <c r="I1281" s="36" t="n"/>
      <c r="J1281" s="711" t="n"/>
      <c r="K1281" s="722">
        <f>G1281*D1281</f>
        <v/>
      </c>
      <c r="L1281" s="710" t="n"/>
      <c r="M1281" s="392" t="n"/>
    </row>
    <row r="1282" ht="17.25" customHeight="1" s="436">
      <c r="A1282" s="89" t="n">
        <v>43706</v>
      </c>
      <c r="B1282" s="31" t="inlineStr">
        <is>
          <t>6749</t>
        </is>
      </c>
      <c r="C1282" s="35" t="n"/>
      <c r="D1282" s="36" t="n">
        <v>56</v>
      </c>
      <c r="E1282" s="36" t="n"/>
      <c r="F1282" s="37" t="n"/>
      <c r="G1282" s="37" t="n">
        <v>30</v>
      </c>
      <c r="H1282" s="33">
        <f>H1281-G1282</f>
        <v/>
      </c>
      <c r="I1282" s="36" t="n"/>
      <c r="J1282" s="711" t="n"/>
      <c r="K1282" s="722">
        <f>G1282*D1282</f>
        <v/>
      </c>
      <c r="L1282" s="710" t="n"/>
      <c r="M1282" s="392" t="n"/>
    </row>
    <row r="1283" ht="17.25" customHeight="1" s="436">
      <c r="A1283" s="89" t="n">
        <v>43706</v>
      </c>
      <c r="B1283" s="31" t="inlineStr">
        <is>
          <t>6752</t>
        </is>
      </c>
      <c r="C1283" s="35" t="n"/>
      <c r="D1283" s="36" t="n">
        <v>55.5</v>
      </c>
      <c r="E1283" s="36" t="n"/>
      <c r="F1283" s="37" t="n"/>
      <c r="G1283" s="37" t="n">
        <v>50</v>
      </c>
      <c r="H1283" s="33">
        <f>H1282-G1283</f>
        <v/>
      </c>
      <c r="I1283" s="36" t="n"/>
      <c r="J1283" s="711" t="n"/>
      <c r="K1283" s="722">
        <f>G1283*D1283</f>
        <v/>
      </c>
      <c r="L1283" s="710" t="n"/>
      <c r="M1283" s="392" t="n"/>
    </row>
    <row r="1284" ht="17.25" customHeight="1" s="436">
      <c r="A1284" s="102" t="n">
        <v>43707</v>
      </c>
      <c r="B1284" s="93" t="inlineStr">
        <is>
          <t>123827</t>
        </is>
      </c>
      <c r="C1284" s="96" t="n"/>
      <c r="D1284" s="97" t="n">
        <v>42.9</v>
      </c>
      <c r="E1284" s="97" t="n"/>
      <c r="F1284" s="98" t="n">
        <v>200</v>
      </c>
      <c r="G1284" s="98" t="n"/>
      <c r="H1284" s="95" t="n">
        <v>3467</v>
      </c>
      <c r="I1284" s="36" t="n"/>
      <c r="J1284" s="711" t="n"/>
      <c r="K1284" s="722">
        <f>G1284*D1284</f>
        <v/>
      </c>
      <c r="L1284" s="710" t="n"/>
      <c r="M1284" s="392" t="n"/>
    </row>
    <row r="1285" ht="17.25" customHeight="1" s="436">
      <c r="A1285" s="102" t="n">
        <v>43707</v>
      </c>
      <c r="B1285" s="93" t="inlineStr">
        <is>
          <t>123827</t>
        </is>
      </c>
      <c r="C1285" s="96" t="n"/>
      <c r="D1285" s="97" t="n">
        <v>41.8</v>
      </c>
      <c r="E1285" s="97" t="n"/>
      <c r="F1285" s="98" t="n">
        <v>580</v>
      </c>
      <c r="G1285" s="98" t="n"/>
      <c r="H1285" s="95" t="n">
        <v>4047</v>
      </c>
      <c r="I1285" s="36" t="n"/>
      <c r="J1285" s="711" t="n"/>
      <c r="K1285" s="722">
        <f>G1285*D1285</f>
        <v/>
      </c>
      <c r="L1285" s="710" t="n"/>
      <c r="M1285" s="392" t="n"/>
    </row>
    <row r="1286" ht="17.25" customHeight="1" s="436">
      <c r="A1286" s="89" t="n">
        <v>43719</v>
      </c>
      <c r="B1286" s="31" t="n"/>
      <c r="C1286" s="35" t="n"/>
      <c r="D1286" s="36" t="n">
        <v>87</v>
      </c>
      <c r="E1286" s="36" t="n"/>
      <c r="F1286" s="37" t="n"/>
      <c r="G1286" s="37" t="n"/>
      <c r="H1286" s="33">
        <f>H1285-G1286</f>
        <v/>
      </c>
      <c r="I1286" s="36" t="n"/>
      <c r="J1286" s="711" t="n"/>
      <c r="K1286" s="722">
        <f>G1286*D1286</f>
        <v/>
      </c>
      <c r="L1286" s="710" t="n"/>
      <c r="M1286" s="392" t="n"/>
    </row>
    <row r="1287" ht="17.25" customHeight="1" s="436">
      <c r="A1287" s="89" t="n">
        <v>43720</v>
      </c>
      <c r="B1287" s="31" t="n"/>
      <c r="C1287" s="35" t="n"/>
      <c r="D1287" s="36" t="n">
        <v>88</v>
      </c>
      <c r="E1287" s="36" t="n"/>
      <c r="F1287" s="37" t="n"/>
      <c r="G1287" s="37" t="n"/>
      <c r="H1287" s="33">
        <f>H1286-G1287</f>
        <v/>
      </c>
      <c r="I1287" s="36" t="n"/>
      <c r="J1287" s="711" t="n"/>
      <c r="K1287" s="722">
        <f>G1287*D1287</f>
        <v/>
      </c>
      <c r="L1287" s="710" t="n"/>
      <c r="M1287" s="392" t="n"/>
    </row>
    <row r="1288" ht="17.25" customHeight="1" s="436">
      <c r="A1288" s="89" t="n">
        <v>43721</v>
      </c>
      <c r="B1288" s="31" t="n"/>
      <c r="C1288" s="35" t="n"/>
      <c r="D1288" s="36" t="n">
        <v>89</v>
      </c>
      <c r="E1288" s="36" t="n"/>
      <c r="F1288" s="37" t="n"/>
      <c r="G1288" s="37" t="n"/>
      <c r="H1288" s="33">
        <f>H1287-G1288</f>
        <v/>
      </c>
      <c r="I1288" s="36" t="n"/>
      <c r="J1288" s="711" t="n"/>
      <c r="K1288" s="722">
        <f>G1288*D1288</f>
        <v/>
      </c>
      <c r="L1288" s="710" t="n"/>
      <c r="M1288" s="392" t="n"/>
    </row>
    <row r="1289"/>
    <row r="1290"/>
    <row r="1291"/>
    <row r="1292"/>
    <row r="1293"/>
    <row r="1294"/>
    <row r="1295" ht="15.75" customHeight="1" s="436" thickBot="1"/>
    <row r="1296" ht="27" customHeight="1" s="436" thickBot="1">
      <c r="A1296" s="720" t="inlineStr">
        <is>
          <t xml:space="preserve"> FARINHA DE TRIGO TIPO: 1 - 25 KG</t>
        </is>
      </c>
      <c r="B1296" s="697" t="n"/>
      <c r="C1296" s="697" t="n"/>
      <c r="D1296" s="697" t="n"/>
      <c r="E1296" s="697" t="n"/>
      <c r="F1296" s="697" t="n"/>
      <c r="G1296" s="697" t="n"/>
      <c r="H1296" s="697" t="n"/>
      <c r="I1296" s="697" t="n"/>
      <c r="J1296" s="697" t="n"/>
      <c r="K1296" s="697" t="n"/>
      <c r="L1296" s="697" t="n"/>
      <c r="M1296" s="698" t="n"/>
    </row>
    <row r="1297">
      <c r="A1297" s="643" t="inlineStr">
        <is>
          <t>DATA</t>
        </is>
      </c>
      <c r="B1297" s="633" t="inlineStr">
        <is>
          <t>N.F.</t>
        </is>
      </c>
      <c r="C1297" s="633" t="inlineStr">
        <is>
          <t>TIPO</t>
        </is>
      </c>
      <c r="D1297" s="633" t="inlineStr">
        <is>
          <t>PREÇO UNITÁRIO</t>
        </is>
      </c>
      <c r="E1297" s="701" t="n"/>
      <c r="F1297" s="633" t="inlineStr">
        <is>
          <t>QUANTIDADE / KG</t>
        </is>
      </c>
      <c r="H1297" s="701" t="n"/>
      <c r="I1297" s="632" t="inlineStr">
        <is>
          <t>PREÇO</t>
        </is>
      </c>
      <c r="J1297" s="632" t="inlineStr">
        <is>
          <t>VALORES</t>
        </is>
      </c>
      <c r="L1297" s="701" t="n"/>
      <c r="M1297" s="649" t="n"/>
    </row>
    <row r="1298" ht="15.75" customHeight="1" s="436" thickBot="1">
      <c r="A1298" s="703" t="n"/>
      <c r="B1298" s="704" t="n"/>
      <c r="C1298" s="704" t="n"/>
      <c r="D1298" s="703" t="n"/>
      <c r="E1298" s="701" t="n"/>
      <c r="F1298" s="705" t="n"/>
      <c r="G1298" s="706" t="n"/>
      <c r="H1298" s="707" t="n"/>
      <c r="I1298" s="704" t="n"/>
      <c r="J1298" s="703" t="n"/>
      <c r="L1298" s="701" t="n"/>
      <c r="M1298" s="704" t="n"/>
    </row>
    <row r="1299" ht="15.75" customHeight="1" s="436" thickBot="1">
      <c r="A1299" s="703" t="n"/>
      <c r="B1299" s="704" t="n"/>
      <c r="C1299" s="704" t="n"/>
      <c r="D1299" s="705" t="n"/>
      <c r="E1299" s="707" t="n"/>
      <c r="F1299" s="3" t="inlineStr">
        <is>
          <t>ENTRADA</t>
        </is>
      </c>
      <c r="G1299" s="3" t="inlineStr">
        <is>
          <t>SAÍDA</t>
        </is>
      </c>
      <c r="H1299" s="640" t="n"/>
      <c r="I1299" s="633" t="inlineStr">
        <is>
          <t>MÉDIO</t>
        </is>
      </c>
      <c r="J1299" s="652" t="inlineStr">
        <is>
          <t>SALDO EM 30/11/2017</t>
        </is>
      </c>
      <c r="K1299" s="706" t="n"/>
      <c r="L1299" s="17" t="n"/>
      <c r="M1299" s="704" t="n"/>
    </row>
    <row r="1300" ht="18" customHeight="1" s="436" thickBot="1">
      <c r="A1300" s="705" t="n"/>
      <c r="B1300" s="695" t="n"/>
      <c r="C1300" s="695" t="n"/>
      <c r="D1300" s="3" t="inlineStr">
        <is>
          <t>C/ICMS</t>
        </is>
      </c>
      <c r="E1300" s="3" t="inlineStr">
        <is>
          <t>S/ICMS</t>
        </is>
      </c>
      <c r="F1300" s="695" t="n"/>
      <c r="G1300" s="695" t="n"/>
      <c r="H1300" s="84" t="inlineStr">
        <is>
          <t>Saldo em 31/08/2019</t>
        </is>
      </c>
      <c r="I1300" s="695" t="n"/>
      <c r="J1300" s="645" t="inlineStr">
        <is>
          <t>ENTRADA</t>
        </is>
      </c>
      <c r="K1300" s="633" t="inlineStr">
        <is>
          <t>SAÍDA / CMV</t>
        </is>
      </c>
      <c r="L1300" s="643" t="inlineStr">
        <is>
          <t>SALDO</t>
        </is>
      </c>
      <c r="M1300" s="392" t="n"/>
    </row>
    <row r="1301" ht="17.25" customHeight="1" s="436">
      <c r="A1301" s="30" t="inlineStr">
        <is>
          <t>As</t>
        </is>
      </c>
      <c r="B1301" s="31" t="n"/>
      <c r="C1301" s="35" t="n"/>
      <c r="D1301" s="36" t="n"/>
      <c r="E1301" s="36" t="n"/>
      <c r="F1301" s="37" t="n"/>
      <c r="G1301" s="37" t="n">
        <v>0</v>
      </c>
      <c r="H1301" s="37" t="n"/>
      <c r="I1301" s="36" t="n"/>
      <c r="J1301" s="711">
        <f>F1301*I1301</f>
        <v/>
      </c>
      <c r="K1301" s="721" t="n">
        <v>0</v>
      </c>
      <c r="L1301" s="710">
        <f>J1301-K1301</f>
        <v/>
      </c>
      <c r="M1301" s="392" t="n"/>
    </row>
    <row r="1302" ht="17.25" customHeight="1" s="436">
      <c r="A1302" s="92" t="n">
        <v>43739</v>
      </c>
      <c r="B1302" s="93" t="n"/>
      <c r="C1302" s="93" t="n"/>
      <c r="D1302" s="94" t="n"/>
      <c r="E1302" s="94" t="n"/>
      <c r="F1302" s="95" t="n"/>
      <c r="G1302" s="95" t="n"/>
      <c r="H1302" s="95" t="n">
        <v>4047</v>
      </c>
      <c r="I1302" s="32" t="n"/>
      <c r="J1302" s="711" t="n"/>
      <c r="K1302" s="722" t="n"/>
      <c r="L1302" s="710" t="n"/>
      <c r="M1302" s="392" t="n"/>
    </row>
    <row r="1303" ht="17.25" customHeight="1" s="436">
      <c r="A1303" s="89" t="n">
        <v>43711</v>
      </c>
      <c r="B1303" s="31" t="inlineStr">
        <is>
          <t>6754</t>
        </is>
      </c>
      <c r="C1303" s="31" t="n"/>
      <c r="D1303" s="32" t="n">
        <v>52.5</v>
      </c>
      <c r="E1303" s="32" t="n"/>
      <c r="F1303" s="33" t="n"/>
      <c r="G1303" s="33" t="n">
        <v>40</v>
      </c>
      <c r="H1303" s="33">
        <f>H1302-G1303</f>
        <v/>
      </c>
      <c r="I1303" s="32" t="n"/>
      <c r="J1303" s="711" t="n"/>
      <c r="K1303" s="722" t="n"/>
      <c r="L1303" s="710" t="n"/>
      <c r="M1303" s="392" t="n"/>
    </row>
    <row r="1304" ht="17.25" customHeight="1" s="436">
      <c r="A1304" s="89" t="n">
        <v>43711</v>
      </c>
      <c r="B1304" s="31" t="inlineStr">
        <is>
          <t>6756</t>
        </is>
      </c>
      <c r="C1304" s="35" t="n"/>
      <c r="D1304" s="36" t="n">
        <v>56</v>
      </c>
      <c r="E1304" s="36" t="n"/>
      <c r="F1304" s="37" t="n"/>
      <c r="G1304" s="37" t="n">
        <v>25</v>
      </c>
      <c r="H1304" s="33">
        <f>H1303-G1304</f>
        <v/>
      </c>
      <c r="I1304" s="36" t="n"/>
      <c r="J1304" s="711" t="n"/>
      <c r="K1304" s="722">
        <f>G1304*D1304</f>
        <v/>
      </c>
      <c r="L1304" s="710" t="n"/>
      <c r="M1304" s="392" t="n"/>
    </row>
    <row r="1305" ht="17.25" customHeight="1" s="436">
      <c r="A1305" s="89" t="n">
        <v>43711</v>
      </c>
      <c r="B1305" s="31" t="inlineStr">
        <is>
          <t>6758</t>
        </is>
      </c>
      <c r="C1305" s="35" t="n"/>
      <c r="D1305" s="36" t="n">
        <v>57</v>
      </c>
      <c r="E1305" s="36" t="n"/>
      <c r="F1305" s="37" t="n"/>
      <c r="G1305" s="101" t="n">
        <v>45</v>
      </c>
      <c r="H1305" s="33">
        <f>H1304-G1305</f>
        <v/>
      </c>
      <c r="I1305" s="36" t="n"/>
      <c r="J1305" s="711" t="n"/>
      <c r="K1305" s="722">
        <f>G1305*D1305</f>
        <v/>
      </c>
      <c r="L1305" s="710" t="n"/>
      <c r="M1305" s="392" t="n"/>
    </row>
    <row r="1306" ht="17.25" customHeight="1" s="436">
      <c r="A1306" s="89" t="n">
        <v>43711</v>
      </c>
      <c r="B1306" s="31" t="inlineStr">
        <is>
          <t>6764</t>
        </is>
      </c>
      <c r="C1306" s="35" t="n"/>
      <c r="D1306" s="36" t="n">
        <v>56.67</v>
      </c>
      <c r="E1306" s="36" t="n"/>
      <c r="F1306" s="37" t="n"/>
      <c r="G1306" s="37" t="n">
        <v>90</v>
      </c>
      <c r="H1306" s="33">
        <f>H1305-G1306</f>
        <v/>
      </c>
      <c r="I1306" s="36" t="n"/>
      <c r="J1306" s="711" t="n"/>
      <c r="K1306" s="722">
        <f>G1306*D1306</f>
        <v/>
      </c>
      <c r="L1306" s="710" t="n"/>
      <c r="M1306" s="392" t="n"/>
    </row>
    <row r="1307" ht="17.25" customHeight="1" s="436">
      <c r="A1307" s="102" t="n">
        <v>43713</v>
      </c>
      <c r="B1307" s="93" t="inlineStr">
        <is>
          <t>2527</t>
        </is>
      </c>
      <c r="C1307" s="96" t="n"/>
      <c r="D1307" s="97" t="n">
        <v>39.2</v>
      </c>
      <c r="E1307" s="97" t="n"/>
      <c r="F1307" s="98" t="n">
        <v>200</v>
      </c>
      <c r="G1307" s="98" t="n"/>
      <c r="H1307" s="95" t="n">
        <v>4047</v>
      </c>
      <c r="I1307" s="36" t="n"/>
      <c r="J1307" s="711" t="n"/>
      <c r="K1307" s="722" t="n"/>
      <c r="L1307" s="710" t="n"/>
      <c r="M1307" s="392" t="n"/>
    </row>
    <row r="1308">
      <c r="A1308" s="89" t="n">
        <v>43717</v>
      </c>
      <c r="B1308" s="31" t="inlineStr">
        <is>
          <t>6766</t>
        </is>
      </c>
      <c r="C1308" s="35" t="n"/>
      <c r="D1308" s="36" t="n">
        <v>56</v>
      </c>
      <c r="E1308" s="36" t="n"/>
      <c r="F1308" s="37" t="n"/>
      <c r="G1308" s="37" t="n">
        <v>30</v>
      </c>
      <c r="H1308" s="33">
        <f>H1307-G1308</f>
        <v/>
      </c>
      <c r="I1308" s="36" t="n"/>
      <c r="J1308" s="711" t="n"/>
      <c r="K1308" s="709">
        <f>G1308*D1308</f>
        <v/>
      </c>
      <c r="L1308" s="710" t="n"/>
      <c r="M1308" s="392" t="n"/>
    </row>
    <row r="1309" ht="17.25" customHeight="1" s="436">
      <c r="A1309" s="89" t="n">
        <v>43717</v>
      </c>
      <c r="B1309" s="31" t="inlineStr">
        <is>
          <t>6769</t>
        </is>
      </c>
      <c r="C1309" s="35" t="n"/>
      <c r="D1309" s="36" t="n">
        <v>54</v>
      </c>
      <c r="E1309" s="36" t="n"/>
      <c r="F1309" s="37" t="n"/>
      <c r="G1309" s="37" t="n">
        <v>40</v>
      </c>
      <c r="H1309" s="33">
        <f>H1308-G1309</f>
        <v/>
      </c>
      <c r="I1309" s="36" t="n"/>
      <c r="J1309" s="711" t="n"/>
      <c r="K1309" s="722">
        <f>G1309*D1309</f>
        <v/>
      </c>
      <c r="L1309" s="710" t="n"/>
      <c r="M1309" s="392" t="n"/>
    </row>
    <row r="1310" ht="17.25" customHeight="1" s="436">
      <c r="A1310" s="89" t="n">
        <v>43717</v>
      </c>
      <c r="B1310" s="31" t="inlineStr">
        <is>
          <t>6771</t>
        </is>
      </c>
      <c r="C1310" s="35" t="n"/>
      <c r="D1310" s="36" t="n">
        <v>58.5</v>
      </c>
      <c r="E1310" s="36" t="n"/>
      <c r="F1310" s="37" t="n"/>
      <c r="G1310" s="37" t="n">
        <v>20</v>
      </c>
      <c r="H1310" s="33">
        <f>H1309-G1310</f>
        <v/>
      </c>
      <c r="I1310" s="36" t="n"/>
      <c r="J1310" s="711" t="n"/>
      <c r="K1310" s="722">
        <f>G1310*D1310</f>
        <v/>
      </c>
      <c r="L1310" s="710" t="n"/>
      <c r="M1310" s="392" t="n"/>
    </row>
    <row r="1311" ht="17.25" customHeight="1" s="436">
      <c r="A1311" s="89" t="n">
        <v>43717</v>
      </c>
      <c r="B1311" s="31" t="inlineStr">
        <is>
          <t>6773</t>
        </is>
      </c>
      <c r="C1311" s="35" t="n"/>
      <c r="D1311" s="36" t="n">
        <v>56</v>
      </c>
      <c r="E1311" s="36" t="n"/>
      <c r="F1311" s="37" t="n"/>
      <c r="G1311" s="37" t="n">
        <v>40</v>
      </c>
      <c r="H1311" s="33">
        <f>H1310-G1311</f>
        <v/>
      </c>
      <c r="I1311" s="36" t="n"/>
      <c r="J1311" s="711" t="n"/>
      <c r="K1311" s="722">
        <f>G1311*D1311</f>
        <v/>
      </c>
      <c r="L1311" s="710" t="n"/>
      <c r="M1311" s="392" t="n"/>
    </row>
    <row r="1312" ht="17.25" customHeight="1" s="436">
      <c r="A1312" s="89" t="n">
        <v>43717</v>
      </c>
      <c r="B1312" s="31" t="inlineStr">
        <is>
          <t>6774</t>
        </is>
      </c>
      <c r="C1312" s="35" t="n"/>
      <c r="D1312" s="36" t="n">
        <v>56</v>
      </c>
      <c r="E1312" s="36" t="n"/>
      <c r="F1312" s="37" t="n"/>
      <c r="G1312" s="37" t="n">
        <v>40</v>
      </c>
      <c r="H1312" s="33">
        <f>H1311-G1312</f>
        <v/>
      </c>
      <c r="I1312" s="36" t="n"/>
      <c r="J1312" s="711" t="n"/>
      <c r="K1312" s="722">
        <f>G1312*D1312</f>
        <v/>
      </c>
      <c r="L1312" s="710" t="n"/>
      <c r="M1312" s="392" t="n"/>
    </row>
    <row r="1313" ht="17.25" customHeight="1" s="436">
      <c r="A1313" s="89" t="n">
        <v>43719</v>
      </c>
      <c r="B1313" s="31" t="inlineStr">
        <is>
          <t>6776</t>
        </is>
      </c>
      <c r="C1313" s="35" t="n"/>
      <c r="D1313" s="36" t="n">
        <v>56</v>
      </c>
      <c r="E1313" s="36" t="n"/>
      <c r="F1313" s="37" t="n"/>
      <c r="G1313" s="37" t="n">
        <v>20</v>
      </c>
      <c r="H1313" s="33">
        <f>H1312-G1313</f>
        <v/>
      </c>
      <c r="I1313" s="36" t="n"/>
      <c r="J1313" s="711" t="n"/>
      <c r="K1313" s="722">
        <f>G1313*D1313</f>
        <v/>
      </c>
      <c r="L1313" s="710" t="n"/>
      <c r="M1313" s="392" t="n"/>
    </row>
    <row r="1314" ht="17.25" customHeight="1" s="436">
      <c r="A1314" s="89" t="n">
        <v>43719</v>
      </c>
      <c r="B1314" s="31" t="inlineStr">
        <is>
          <t>6777</t>
        </is>
      </c>
      <c r="C1314" s="35" t="n"/>
      <c r="D1314" s="36" t="n">
        <v>52</v>
      </c>
      <c r="E1314" s="36" t="n"/>
      <c r="F1314" s="37" t="n"/>
      <c r="G1314" s="37" t="n">
        <v>15</v>
      </c>
      <c r="H1314" s="33">
        <f>H1313-G1314</f>
        <v/>
      </c>
      <c r="I1314" s="36" t="n"/>
      <c r="J1314" s="711" t="n"/>
      <c r="K1314" s="722">
        <f>G1314*D1314</f>
        <v/>
      </c>
      <c r="L1314" s="710" t="n"/>
      <c r="M1314" s="392" t="n"/>
    </row>
    <row r="1315" ht="17.25" customHeight="1" s="436">
      <c r="A1315" s="89" t="n">
        <v>43719</v>
      </c>
      <c r="B1315" s="31" t="inlineStr">
        <is>
          <t>6779</t>
        </is>
      </c>
      <c r="C1315" s="35" t="n"/>
      <c r="D1315" s="36" t="n">
        <v>56.67</v>
      </c>
      <c r="E1315" s="36" t="n"/>
      <c r="F1315" s="37" t="n"/>
      <c r="G1315" s="37" t="n">
        <v>45</v>
      </c>
      <c r="H1315" s="33">
        <f>H1314-G1315</f>
        <v/>
      </c>
      <c r="I1315" s="36" t="n"/>
      <c r="J1315" s="711" t="n"/>
      <c r="K1315" s="722">
        <f>G1315*D1315</f>
        <v/>
      </c>
      <c r="L1315" s="710" t="n"/>
      <c r="M1315" s="392" t="n"/>
    </row>
    <row r="1316" ht="17.25" customHeight="1" s="436">
      <c r="A1316" s="89" t="n">
        <v>43719</v>
      </c>
      <c r="B1316" s="31" t="inlineStr">
        <is>
          <t>6780</t>
        </is>
      </c>
      <c r="C1316" s="35" t="n"/>
      <c r="D1316" s="36" t="n">
        <v>60</v>
      </c>
      <c r="E1316" s="36" t="n"/>
      <c r="F1316" s="37" t="n"/>
      <c r="G1316" s="37" t="n">
        <v>20</v>
      </c>
      <c r="H1316" s="33">
        <f>H1315-G1316</f>
        <v/>
      </c>
      <c r="I1316" s="36" t="n"/>
      <c r="J1316" s="711" t="n"/>
      <c r="K1316" s="722">
        <f>G1316*D1316</f>
        <v/>
      </c>
      <c r="L1316" s="710" t="n"/>
      <c r="M1316" s="392" t="n"/>
    </row>
    <row r="1317" ht="17.25" customHeight="1" s="436">
      <c r="A1317" s="89" t="n">
        <v>43719</v>
      </c>
      <c r="B1317" s="31" t="inlineStr">
        <is>
          <t>6785</t>
        </is>
      </c>
      <c r="C1317" s="35" t="n"/>
      <c r="D1317" s="36" t="n">
        <v>56</v>
      </c>
      <c r="E1317" s="36" t="n"/>
      <c r="F1317" s="37" t="n"/>
      <c r="G1317" s="37" t="n">
        <v>20</v>
      </c>
      <c r="H1317" s="33">
        <f>H1316-G1317</f>
        <v/>
      </c>
      <c r="I1317" s="36" t="n"/>
      <c r="J1317" s="711" t="n"/>
      <c r="K1317" s="722">
        <f>G1317*D1317</f>
        <v/>
      </c>
      <c r="L1317" s="710" t="n"/>
      <c r="M1317" s="392" t="n"/>
    </row>
    <row r="1318" ht="17.25" customHeight="1" s="436">
      <c r="A1318" s="89" t="n">
        <v>43720</v>
      </c>
      <c r="B1318" s="31" t="inlineStr">
        <is>
          <t>6786</t>
        </is>
      </c>
      <c r="C1318" s="35" t="n"/>
      <c r="D1318" s="36" t="n">
        <v>50</v>
      </c>
      <c r="E1318" s="36" t="n"/>
      <c r="F1318" s="37" t="n"/>
      <c r="G1318" s="37" t="n">
        <v>20</v>
      </c>
      <c r="H1318" s="33">
        <f>H1317-G1318</f>
        <v/>
      </c>
      <c r="I1318" s="36" t="n"/>
      <c r="J1318" s="711" t="n"/>
      <c r="K1318" s="722">
        <f>G1318*D1318</f>
        <v/>
      </c>
      <c r="L1318" s="710" t="n"/>
      <c r="M1318" s="392" t="n"/>
    </row>
    <row r="1319" ht="17.25" customHeight="1" s="436">
      <c r="A1319" s="89" t="n">
        <v>43723</v>
      </c>
      <c r="B1319" s="31" t="inlineStr">
        <is>
          <t>6787</t>
        </is>
      </c>
      <c r="C1319" s="35" t="n"/>
      <c r="D1319" s="36" t="n">
        <v>50</v>
      </c>
      <c r="E1319" s="36" t="n"/>
      <c r="F1319" s="37" t="n"/>
      <c r="G1319" s="37" t="n">
        <v>50</v>
      </c>
      <c r="H1319" s="33">
        <f>H1318-G1319</f>
        <v/>
      </c>
      <c r="I1319" s="36" t="n"/>
      <c r="J1319" s="711" t="n"/>
      <c r="K1319" s="722">
        <f>G1319*D1319</f>
        <v/>
      </c>
      <c r="L1319" s="710" t="n"/>
      <c r="M1319" s="392" t="n"/>
    </row>
    <row r="1320" ht="17.25" customHeight="1" s="436">
      <c r="A1320" s="89" t="n">
        <v>43724</v>
      </c>
      <c r="B1320" s="31" t="inlineStr">
        <is>
          <t>6788</t>
        </is>
      </c>
      <c r="C1320" s="35" t="n"/>
      <c r="D1320" s="36" t="n">
        <v>52</v>
      </c>
      <c r="E1320" s="36" t="n"/>
      <c r="F1320" s="37" t="n"/>
      <c r="G1320" s="37" t="n">
        <v>15</v>
      </c>
      <c r="H1320" s="33">
        <f>H1319-G1320</f>
        <v/>
      </c>
      <c r="I1320" s="36" t="n"/>
      <c r="J1320" s="711" t="n"/>
      <c r="K1320" s="722">
        <f>G1320*D1320</f>
        <v/>
      </c>
      <c r="L1320" s="710" t="n"/>
      <c r="M1320" s="392" t="n"/>
    </row>
    <row r="1321" ht="17.25" customHeight="1" s="436">
      <c r="A1321" s="89" t="n">
        <v>43724</v>
      </c>
      <c r="B1321" s="31" t="inlineStr">
        <is>
          <t>6791</t>
        </is>
      </c>
      <c r="C1321" s="35" t="n"/>
      <c r="D1321" s="36" t="n">
        <v>52.5</v>
      </c>
      <c r="E1321" s="36" t="n"/>
      <c r="F1321" s="37" t="n"/>
      <c r="G1321" s="37" t="n">
        <v>40</v>
      </c>
      <c r="H1321" s="33">
        <f>H1320-G1321</f>
        <v/>
      </c>
      <c r="I1321" s="36" t="n"/>
      <c r="J1321" s="711" t="n"/>
      <c r="K1321" s="722">
        <f>G1321*D1321</f>
        <v/>
      </c>
      <c r="L1321" s="710" t="n"/>
      <c r="M1321" s="392" t="n"/>
    </row>
    <row r="1322" ht="17.25" customHeight="1" s="436">
      <c r="A1322" s="89" t="n">
        <v>43724</v>
      </c>
      <c r="B1322" s="31" t="inlineStr">
        <is>
          <t>6792</t>
        </is>
      </c>
      <c r="C1322" s="35" t="n"/>
      <c r="D1322" s="36" t="n">
        <v>56</v>
      </c>
      <c r="E1322" s="36" t="n"/>
      <c r="F1322" s="37" t="n"/>
      <c r="G1322" s="37" t="n">
        <v>20</v>
      </c>
      <c r="H1322" s="33">
        <f>H1321-G1322</f>
        <v/>
      </c>
      <c r="I1322" s="36" t="n"/>
      <c r="J1322" s="711" t="n"/>
      <c r="K1322" s="722">
        <f>G1322*D1322</f>
        <v/>
      </c>
      <c r="L1322" s="710" t="n"/>
      <c r="M1322" s="392" t="n"/>
    </row>
    <row r="1323" ht="17.25" customHeight="1" s="436">
      <c r="A1323" s="89" t="n">
        <v>43724</v>
      </c>
      <c r="B1323" s="31" t="inlineStr">
        <is>
          <t>6793</t>
        </is>
      </c>
      <c r="C1323" s="35" t="n"/>
      <c r="D1323" s="36" t="n">
        <v>56</v>
      </c>
      <c r="E1323" s="36" t="n"/>
      <c r="F1323" s="37" t="n"/>
      <c r="G1323" s="37" t="n">
        <v>30</v>
      </c>
      <c r="H1323" s="33">
        <f>H1322-G1323</f>
        <v/>
      </c>
      <c r="I1323" s="36" t="n"/>
      <c r="J1323" s="711" t="n"/>
      <c r="K1323" s="722">
        <f>G1323*D1323</f>
        <v/>
      </c>
      <c r="L1323" s="710" t="n"/>
      <c r="M1323" s="392" t="n"/>
    </row>
    <row r="1324" ht="17.25" customHeight="1" s="436">
      <c r="A1324" s="89" t="n">
        <v>43724</v>
      </c>
      <c r="B1324" s="31" t="inlineStr">
        <is>
          <t>6794</t>
        </is>
      </c>
      <c r="C1324" s="35" t="n"/>
      <c r="D1324" s="36" t="n">
        <v>56</v>
      </c>
      <c r="E1324" s="36" t="n"/>
      <c r="F1324" s="37" t="n"/>
      <c r="G1324" s="37" t="n">
        <v>30</v>
      </c>
      <c r="H1324" s="33">
        <f>H1323-G1324</f>
        <v/>
      </c>
      <c r="I1324" s="36" t="n"/>
      <c r="J1324" s="711" t="n"/>
      <c r="K1324" s="722">
        <f>G1324*D1324</f>
        <v/>
      </c>
      <c r="L1324" s="710" t="n"/>
      <c r="M1324" s="392" t="n"/>
    </row>
    <row r="1325" ht="17.25" customHeight="1" s="436">
      <c r="A1325" s="89" t="n">
        <v>43726</v>
      </c>
      <c r="B1325" s="31" t="inlineStr">
        <is>
          <t>6795</t>
        </is>
      </c>
      <c r="C1325" s="35" t="n"/>
      <c r="D1325" s="36" t="n">
        <v>60</v>
      </c>
      <c r="E1325" s="36" t="n"/>
      <c r="F1325" s="37" t="n"/>
      <c r="G1325" s="37" t="n">
        <v>2</v>
      </c>
      <c r="H1325" s="33">
        <f>H1324-G1325</f>
        <v/>
      </c>
      <c r="I1325" s="36" t="n"/>
      <c r="J1325" s="711" t="n"/>
      <c r="K1325" s="722">
        <f>G1325*D1325</f>
        <v/>
      </c>
      <c r="L1325" s="710" t="n"/>
      <c r="M1325" s="392" t="n"/>
    </row>
    <row r="1326" ht="17.25" customHeight="1" s="436">
      <c r="A1326" s="89" t="n">
        <v>43727</v>
      </c>
      <c r="B1326" s="31" t="inlineStr">
        <is>
          <t>6797</t>
        </is>
      </c>
      <c r="C1326" s="35" t="n"/>
      <c r="D1326" s="36" t="n">
        <v>53</v>
      </c>
      <c r="E1326" s="36" t="n"/>
      <c r="F1326" s="37" t="n"/>
      <c r="G1326" s="37" t="n">
        <v>20</v>
      </c>
      <c r="H1326" s="33">
        <f>H1325-G1326</f>
        <v/>
      </c>
      <c r="I1326" s="36" t="n"/>
      <c r="J1326" s="711" t="n"/>
      <c r="K1326" s="722">
        <f>G1326*D1326</f>
        <v/>
      </c>
      <c r="L1326" s="710" t="n"/>
      <c r="M1326" s="392" t="n"/>
    </row>
    <row r="1327" ht="17.25" customHeight="1" s="436">
      <c r="A1327" s="89" t="n">
        <v>43731</v>
      </c>
      <c r="B1327" s="31" t="inlineStr">
        <is>
          <t>6798</t>
        </is>
      </c>
      <c r="C1327" s="35" t="n"/>
      <c r="D1327" s="36" t="n">
        <v>56</v>
      </c>
      <c r="E1327" s="36" t="n"/>
      <c r="F1327" s="37" t="n"/>
      <c r="G1327" s="37" t="n">
        <v>10</v>
      </c>
      <c r="H1327" s="33">
        <f>H1326-G1327</f>
        <v/>
      </c>
      <c r="I1327" s="36" t="n"/>
      <c r="J1327" s="711" t="n"/>
      <c r="K1327" s="722">
        <f>G1327*D1327</f>
        <v/>
      </c>
      <c r="L1327" s="710" t="n"/>
      <c r="M1327" s="392" t="n"/>
    </row>
    <row r="1328" ht="17.25" customHeight="1" s="436">
      <c r="A1328" s="89" t="n">
        <v>43731</v>
      </c>
      <c r="B1328" s="31" t="inlineStr">
        <is>
          <t>6800</t>
        </is>
      </c>
      <c r="C1328" s="35" t="n"/>
      <c r="D1328" s="36" t="n">
        <v>56</v>
      </c>
      <c r="E1328" s="36" t="n"/>
      <c r="F1328" s="37" t="n"/>
      <c r="G1328" s="37" t="n">
        <v>60</v>
      </c>
      <c r="H1328" s="33">
        <f>H1327-G1328</f>
        <v/>
      </c>
      <c r="I1328" s="36" t="n"/>
      <c r="J1328" s="711" t="n"/>
      <c r="K1328" s="722">
        <f>G1328*D1328</f>
        <v/>
      </c>
      <c r="L1328" s="710" t="n"/>
      <c r="M1328" s="392" t="n"/>
    </row>
    <row r="1329" ht="17.25" customHeight="1" s="436">
      <c r="A1329" s="89" t="n">
        <v>43731</v>
      </c>
      <c r="B1329" s="31" t="inlineStr">
        <is>
          <t>6804</t>
        </is>
      </c>
      <c r="C1329" s="35" t="n"/>
      <c r="D1329" s="36" t="n">
        <v>56</v>
      </c>
      <c r="E1329" s="36" t="n"/>
      <c r="F1329" s="37" t="n"/>
      <c r="G1329" s="37" t="n">
        <v>30</v>
      </c>
      <c r="H1329" s="33">
        <f>H1328-G1329</f>
        <v/>
      </c>
      <c r="I1329" s="36" t="n"/>
      <c r="J1329" s="711" t="n"/>
      <c r="K1329" s="722">
        <f>G1329*D1329</f>
        <v/>
      </c>
      <c r="L1329" s="710" t="n"/>
      <c r="M1329" s="392" t="n"/>
    </row>
    <row r="1330" ht="17.25" customHeight="1" s="436">
      <c r="A1330" s="89" t="n">
        <v>43733</v>
      </c>
      <c r="B1330" s="31" t="inlineStr">
        <is>
          <t>6806</t>
        </is>
      </c>
      <c r="C1330" s="35" t="n"/>
      <c r="D1330" s="36" t="n">
        <v>52</v>
      </c>
      <c r="E1330" s="36" t="n"/>
      <c r="F1330" s="37" t="n"/>
      <c r="G1330" s="37" t="n">
        <v>15</v>
      </c>
      <c r="H1330" s="33">
        <f>H1329-G1330</f>
        <v/>
      </c>
      <c r="I1330" s="36" t="n"/>
      <c r="J1330" s="711" t="n"/>
      <c r="K1330" s="722">
        <f>G1330*D1330</f>
        <v/>
      </c>
      <c r="L1330" s="710" t="n"/>
      <c r="M1330" s="392" t="n"/>
    </row>
    <row r="1331" ht="17.25" customHeight="1" s="436">
      <c r="A1331" s="89" t="n">
        <v>43733</v>
      </c>
      <c r="B1331" s="31" t="inlineStr">
        <is>
          <t>6807</t>
        </is>
      </c>
      <c r="C1331" s="35" t="n"/>
      <c r="D1331" s="36" t="n">
        <v>50</v>
      </c>
      <c r="E1331" s="36" t="n"/>
      <c r="F1331" s="37" t="n"/>
      <c r="G1331" s="37" t="n">
        <v>15</v>
      </c>
      <c r="H1331" s="33">
        <f>H1330-G1331</f>
        <v/>
      </c>
      <c r="I1331" s="36" t="n"/>
      <c r="J1331" s="711" t="n"/>
      <c r="K1331" s="722">
        <f>G1331*D1331</f>
        <v/>
      </c>
      <c r="L1331" s="710" t="n"/>
      <c r="M1331" s="392" t="n"/>
    </row>
    <row r="1332" ht="17.25" customHeight="1" s="436">
      <c r="A1332" s="89" t="n">
        <v>43733</v>
      </c>
      <c r="B1332" s="31" t="inlineStr">
        <is>
          <t>6811</t>
        </is>
      </c>
      <c r="C1332" s="35" t="n"/>
      <c r="D1332" s="36" t="n">
        <v>56</v>
      </c>
      <c r="E1332" s="36" t="n"/>
      <c r="F1332" s="37" t="n"/>
      <c r="G1332" s="37" t="n">
        <v>40</v>
      </c>
      <c r="H1332" s="33">
        <f>H1331-G1332</f>
        <v/>
      </c>
      <c r="I1332" s="36" t="n"/>
      <c r="J1332" s="711" t="n"/>
      <c r="K1332" s="722">
        <f>G1332*D1332</f>
        <v/>
      </c>
      <c r="L1332" s="710" t="n"/>
      <c r="M1332" s="392" t="n"/>
    </row>
    <row r="1333" ht="17.25" customHeight="1" s="436">
      <c r="A1333" s="89" t="n">
        <v>43733</v>
      </c>
      <c r="B1333" s="31" t="inlineStr">
        <is>
          <t>6812</t>
        </is>
      </c>
      <c r="C1333" s="31" t="n"/>
      <c r="D1333" s="36" t="n">
        <v>56</v>
      </c>
      <c r="E1333" s="31" t="n"/>
      <c r="F1333" s="31" t="n"/>
      <c r="G1333" s="231" t="n">
        <v>20</v>
      </c>
      <c r="H1333" s="33">
        <f>H1332-G1333</f>
        <v/>
      </c>
      <c r="I1333" s="36" t="n"/>
      <c r="J1333" s="711" t="n"/>
      <c r="K1333" s="722">
        <f>G1333*D1333</f>
        <v/>
      </c>
      <c r="L1333" s="710" t="n"/>
      <c r="M1333" s="392" t="n"/>
    </row>
    <row r="1334" ht="17.25" customHeight="1" s="436">
      <c r="A1334" s="89" t="n">
        <v>43733</v>
      </c>
      <c r="B1334" s="31" t="inlineStr">
        <is>
          <t>6813</t>
        </is>
      </c>
      <c r="C1334" s="31" t="n"/>
      <c r="D1334" s="36" t="n">
        <v>51</v>
      </c>
      <c r="E1334" s="31" t="n"/>
      <c r="F1334" s="31" t="n"/>
      <c r="G1334" s="231" t="n">
        <v>30</v>
      </c>
      <c r="H1334" s="33">
        <f>H1333-G1334</f>
        <v/>
      </c>
      <c r="I1334" s="36" t="n"/>
      <c r="J1334" s="711" t="n"/>
      <c r="K1334" s="722">
        <f>G1334*D1334</f>
        <v/>
      </c>
      <c r="L1334" s="710" t="n"/>
      <c r="M1334" s="392" t="n"/>
    </row>
    <row r="1335" ht="17.25" customHeight="1" s="436">
      <c r="A1335" s="89" t="n">
        <v>43734</v>
      </c>
      <c r="B1335" s="31" t="inlineStr">
        <is>
          <t>6814</t>
        </is>
      </c>
      <c r="C1335" s="35" t="n"/>
      <c r="D1335" s="36" t="n">
        <v>50</v>
      </c>
      <c r="E1335" s="36" t="n"/>
      <c r="F1335" s="37" t="n"/>
      <c r="G1335" s="37" t="n">
        <v>50</v>
      </c>
      <c r="H1335" s="33">
        <f>H1334-G1335</f>
        <v/>
      </c>
      <c r="I1335" s="36" t="n"/>
      <c r="J1335" s="711" t="n"/>
      <c r="K1335" s="722">
        <f>G1335*D1335</f>
        <v/>
      </c>
      <c r="L1335" s="710" t="n"/>
      <c r="M1335" s="392" t="n"/>
    </row>
    <row r="1336" ht="17.25" customHeight="1" s="436">
      <c r="A1336" s="89" t="n">
        <v>43734</v>
      </c>
      <c r="B1336" s="31" t="inlineStr">
        <is>
          <t>6815</t>
        </is>
      </c>
      <c r="C1336" s="35" t="n"/>
      <c r="D1336" s="36" t="n">
        <v>50</v>
      </c>
      <c r="E1336" s="36" t="n"/>
      <c r="F1336" s="37" t="n"/>
      <c r="G1336" s="37" t="n">
        <v>50</v>
      </c>
      <c r="H1336" s="33">
        <f>H1335-G1336</f>
        <v/>
      </c>
      <c r="I1336" s="36" t="n"/>
      <c r="J1336" s="711" t="n"/>
      <c r="K1336" s="722">
        <f>G1336*D1336</f>
        <v/>
      </c>
      <c r="L1336" s="710" t="n"/>
      <c r="M1336" s="392" t="n"/>
    </row>
    <row r="1337" ht="17.25" customHeight="1" s="436">
      <c r="A1337" s="89" t="n">
        <v>43738</v>
      </c>
      <c r="B1337" s="31" t="inlineStr">
        <is>
          <t>6816</t>
        </is>
      </c>
      <c r="C1337" s="35" t="n"/>
      <c r="D1337" s="36" t="n">
        <v>52.5</v>
      </c>
      <c r="E1337" s="36" t="n"/>
      <c r="F1337" s="37" t="n"/>
      <c r="G1337" s="37" t="n">
        <v>40</v>
      </c>
      <c r="H1337" s="33">
        <f>H1336-G1337</f>
        <v/>
      </c>
      <c r="I1337" s="36" t="n"/>
      <c r="J1337" s="711" t="n"/>
      <c r="K1337" s="722">
        <f>G1337*D1337</f>
        <v/>
      </c>
      <c r="L1337" s="710" t="n"/>
      <c r="M1337" s="392" t="n"/>
    </row>
    <row r="1338" ht="17.25" customHeight="1" s="436">
      <c r="A1338" s="89" t="n">
        <v>43738</v>
      </c>
      <c r="B1338" s="31" t="inlineStr">
        <is>
          <t>6817</t>
        </is>
      </c>
      <c r="C1338" s="35" t="n"/>
      <c r="D1338" s="36" t="n">
        <v>57</v>
      </c>
      <c r="E1338" s="36" t="n"/>
      <c r="F1338" s="37" t="n"/>
      <c r="G1338" s="37" t="n">
        <v>45</v>
      </c>
      <c r="H1338" s="33">
        <f>H1337-G1338</f>
        <v/>
      </c>
      <c r="I1338" s="36" t="n"/>
      <c r="J1338" s="711" t="n"/>
      <c r="K1338" s="722">
        <f>G1338*D1338</f>
        <v/>
      </c>
      <c r="L1338" s="710" t="n"/>
      <c r="M1338" s="392" t="n"/>
    </row>
    <row r="1339" ht="17.25" customHeight="1" s="436">
      <c r="A1339" s="89" t="n">
        <v>43738</v>
      </c>
      <c r="B1339" s="31" t="inlineStr">
        <is>
          <t>6819</t>
        </is>
      </c>
      <c r="C1339" s="35" t="n"/>
      <c r="D1339" s="36" t="n">
        <v>56</v>
      </c>
      <c r="E1339" s="36" t="n"/>
      <c r="F1339" s="37" t="n"/>
      <c r="G1339" s="37" t="n">
        <v>20</v>
      </c>
      <c r="H1339" s="33">
        <f>H1338-G1339</f>
        <v/>
      </c>
      <c r="I1339" s="36" t="n"/>
      <c r="J1339" s="711" t="n"/>
      <c r="K1339" s="722">
        <f>G1339*D1339</f>
        <v/>
      </c>
      <c r="L1339" s="710" t="n"/>
      <c r="M1339" s="392" t="n"/>
    </row>
    <row r="1340" ht="17.25" customHeight="1" s="436">
      <c r="A1340" s="89" t="n">
        <v>43738</v>
      </c>
      <c r="B1340" s="31" t="inlineStr">
        <is>
          <t>6820</t>
        </is>
      </c>
      <c r="C1340" s="35" t="n"/>
      <c r="D1340" s="36" t="n">
        <v>59</v>
      </c>
      <c r="E1340" s="36" t="n"/>
      <c r="F1340" s="37" t="n"/>
      <c r="G1340" s="37" t="n">
        <v>120</v>
      </c>
      <c r="H1340" s="33">
        <f>H1339-G1340</f>
        <v/>
      </c>
      <c r="I1340" s="36" t="n"/>
      <c r="J1340" s="711" t="n"/>
      <c r="K1340" s="722">
        <f>G1340*D1340</f>
        <v/>
      </c>
      <c r="L1340" s="710" t="n"/>
      <c r="M1340" s="392" t="n"/>
    </row>
    <row r="1341" ht="17.25" customHeight="1" s="436">
      <c r="A1341" s="89" t="n">
        <v>43738</v>
      </c>
      <c r="B1341" s="31" t="inlineStr">
        <is>
          <t>6821</t>
        </is>
      </c>
      <c r="C1341" s="35" t="n"/>
      <c r="D1341" s="36" t="n">
        <v>56</v>
      </c>
      <c r="E1341" s="36" t="n"/>
      <c r="F1341" s="37" t="n"/>
      <c r="G1341" s="37" t="n">
        <v>30</v>
      </c>
      <c r="H1341" s="33">
        <f>H1340-G1341</f>
        <v/>
      </c>
      <c r="I1341" s="36" t="n"/>
      <c r="J1341" s="711" t="n"/>
      <c r="K1341" s="722">
        <f>G1341*D1341</f>
        <v/>
      </c>
      <c r="L1341" s="710" t="n"/>
      <c r="M1341" s="392" t="n"/>
    </row>
    <row r="1342" ht="17.25" customHeight="1" s="436">
      <c r="A1342" s="89" t="n">
        <v>43738</v>
      </c>
      <c r="B1342" s="31" t="inlineStr">
        <is>
          <t>6822</t>
        </is>
      </c>
      <c r="C1342" s="35" t="n"/>
      <c r="D1342" s="36" t="n">
        <v>60</v>
      </c>
      <c r="E1342" s="36" t="n"/>
      <c r="F1342" s="37" t="n"/>
      <c r="G1342" s="37" t="n">
        <v>20</v>
      </c>
      <c r="H1342" s="33">
        <f>H1341-G1342</f>
        <v/>
      </c>
      <c r="I1342" s="36" t="n"/>
      <c r="J1342" s="711" t="n"/>
      <c r="K1342" s="722">
        <f>G1342*D1342</f>
        <v/>
      </c>
      <c r="L1342" s="710" t="n"/>
      <c r="M1342" s="392" t="n"/>
    </row>
    <row r="1343" ht="17.25" customHeight="1" s="436">
      <c r="A1343" s="89" t="n"/>
      <c r="B1343" s="31" t="n"/>
      <c r="C1343" s="35" t="n"/>
      <c r="D1343" s="36" t="n"/>
      <c r="E1343" s="36" t="n"/>
      <c r="F1343" s="37" t="n"/>
      <c r="G1343" s="37" t="n"/>
      <c r="H1343" s="33">
        <f>H1342-G1343</f>
        <v/>
      </c>
      <c r="I1343" s="36" t="n"/>
      <c r="J1343" s="711" t="n"/>
      <c r="K1343" s="722">
        <f>G1343*D1343</f>
        <v/>
      </c>
      <c r="L1343" s="710" t="n"/>
      <c r="M1343" s="392" t="n"/>
    </row>
    <row r="1344" ht="17.25" customHeight="1" s="436">
      <c r="A1344" s="232" t="n"/>
      <c r="B1344" s="233" t="n"/>
      <c r="C1344" s="234" t="n"/>
      <c r="D1344" s="235" t="n"/>
      <c r="E1344" s="235" t="n"/>
      <c r="F1344" s="236" t="n"/>
      <c r="G1344" s="236" t="n"/>
      <c r="H1344" s="237">
        <f>H1343-G1344</f>
        <v/>
      </c>
      <c r="I1344" s="235" t="n"/>
      <c r="J1344" s="729" t="n"/>
      <c r="K1344" s="730">
        <f>G1344*D1344</f>
        <v/>
      </c>
      <c r="L1344" s="731" t="n"/>
      <c r="M1344" s="241" t="n"/>
    </row>
    <row r="1345" ht="17.25" customHeight="1" s="436">
      <c r="A1345" s="242" t="n"/>
      <c r="B1345" s="243" t="n"/>
      <c r="C1345" s="243" t="n"/>
      <c r="D1345" s="244" t="n"/>
      <c r="E1345" s="244" t="n"/>
      <c r="F1345" s="245" t="n"/>
      <c r="G1345" s="245" t="n"/>
      <c r="H1345" s="245" t="n"/>
      <c r="I1345" s="244" t="n"/>
      <c r="J1345" s="732" t="n"/>
      <c r="K1345" s="733" t="n"/>
      <c r="L1345" s="732" t="n"/>
    </row>
    <row r="1346" ht="17.25" customHeight="1" s="436">
      <c r="A1346" s="242" t="n"/>
      <c r="B1346" s="243" t="n"/>
      <c r="C1346" s="243" t="n"/>
      <c r="D1346" s="244" t="n"/>
      <c r="E1346" s="244" t="n"/>
      <c r="F1346" s="245" t="n"/>
      <c r="G1346" s="245" t="n"/>
      <c r="H1346" s="245" t="n"/>
      <c r="I1346" s="244" t="n"/>
      <c r="J1346" s="732" t="n"/>
      <c r="K1346" s="733" t="n"/>
      <c r="L1346" s="732" t="n"/>
    </row>
    <row r="1347" ht="17.25" customHeight="1" s="436">
      <c r="A1347" s="242" t="n"/>
      <c r="B1347" s="243" t="n"/>
      <c r="C1347" s="243" t="n"/>
      <c r="D1347" s="244" t="n"/>
      <c r="E1347" s="244" t="n"/>
      <c r="F1347" s="245" t="n"/>
      <c r="G1347" s="245" t="n"/>
      <c r="H1347" s="245" t="n"/>
      <c r="I1347" s="244" t="n"/>
      <c r="J1347" s="732" t="n"/>
      <c r="K1347" s="733" t="n"/>
      <c r="L1347" s="732" t="n"/>
    </row>
    <row r="1348" ht="17.25" customHeight="1" s="436">
      <c r="A1348" s="242" t="n"/>
      <c r="B1348" s="243" t="n"/>
      <c r="C1348" s="243" t="n"/>
      <c r="D1348" s="244" t="n"/>
      <c r="E1348" s="244" t="n"/>
      <c r="F1348" s="245" t="n"/>
      <c r="G1348" s="245" t="n"/>
      <c r="H1348" s="245" t="n"/>
      <c r="I1348" s="244" t="n"/>
      <c r="J1348" s="732" t="n"/>
      <c r="K1348" s="733" t="n"/>
      <c r="L1348" s="732" t="n"/>
    </row>
    <row r="1349" ht="27" customHeight="1" s="436" thickBot="1">
      <c r="A1349" s="734" t="inlineStr">
        <is>
          <t xml:space="preserve"> FARINHA DE TRIGO TIPO: 1 - 25 KG</t>
        </is>
      </c>
      <c r="B1349" s="706" t="n"/>
      <c r="C1349" s="706" t="n"/>
      <c r="D1349" s="706" t="n"/>
      <c r="E1349" s="706" t="n"/>
      <c r="F1349" s="706" t="n"/>
      <c r="G1349" s="706" t="n"/>
      <c r="H1349" s="706" t="n"/>
      <c r="I1349" s="706" t="n"/>
      <c r="J1349" s="706" t="n"/>
      <c r="K1349" s="706" t="n"/>
      <c r="L1349" s="706" t="n"/>
      <c r="M1349" s="707" t="n"/>
    </row>
    <row r="1350">
      <c r="A1350" s="643" t="inlineStr">
        <is>
          <t>DATA</t>
        </is>
      </c>
      <c r="B1350" s="633" t="inlineStr">
        <is>
          <t>N.F.</t>
        </is>
      </c>
      <c r="C1350" s="633" t="inlineStr">
        <is>
          <t>TIPO</t>
        </is>
      </c>
      <c r="D1350" s="633" t="inlineStr">
        <is>
          <t>PREÇO UNITÁRIO</t>
        </is>
      </c>
      <c r="E1350" s="701" t="n"/>
      <c r="F1350" s="633" t="inlineStr">
        <is>
          <t>QUANTIDADE / KG</t>
        </is>
      </c>
      <c r="H1350" s="701" t="n"/>
      <c r="I1350" s="632" t="inlineStr">
        <is>
          <t>PREÇO</t>
        </is>
      </c>
      <c r="J1350" s="632" t="inlineStr">
        <is>
          <t>VALORES</t>
        </is>
      </c>
      <c r="L1350" s="701" t="n"/>
      <c r="M1350" s="649" t="n"/>
    </row>
    <row r="1351" ht="15.75" customHeight="1" s="436" thickBot="1">
      <c r="A1351" s="703" t="n"/>
      <c r="B1351" s="704" t="n"/>
      <c r="C1351" s="704" t="n"/>
      <c r="D1351" s="703" t="n"/>
      <c r="E1351" s="701" t="n"/>
      <c r="F1351" s="705" t="n"/>
      <c r="G1351" s="706" t="n"/>
      <c r="H1351" s="707" t="n"/>
      <c r="I1351" s="704" t="n"/>
      <c r="J1351" s="703" t="n"/>
      <c r="L1351" s="701" t="n"/>
      <c r="M1351" s="704" t="n"/>
    </row>
    <row r="1352" ht="15.75" customHeight="1" s="436" thickBot="1">
      <c r="A1352" s="703" t="n"/>
      <c r="B1352" s="704" t="n"/>
      <c r="C1352" s="704" t="n"/>
      <c r="D1352" s="705" t="n"/>
      <c r="E1352" s="707" t="n"/>
      <c r="F1352" s="3" t="inlineStr">
        <is>
          <t>ENTRADA</t>
        </is>
      </c>
      <c r="G1352" s="3" t="inlineStr">
        <is>
          <t>SAÍDA</t>
        </is>
      </c>
      <c r="H1352" s="640" t="n"/>
      <c r="I1352" s="633" t="inlineStr">
        <is>
          <t>MÉDIO</t>
        </is>
      </c>
      <c r="J1352" s="652" t="inlineStr">
        <is>
          <t>SALDO EM 30/11/2017</t>
        </is>
      </c>
      <c r="K1352" s="706" t="n"/>
      <c r="L1352" s="17" t="n"/>
      <c r="M1352" s="704" t="n"/>
    </row>
    <row r="1353" ht="18" customHeight="1" s="436" thickBot="1">
      <c r="A1353" s="705" t="n"/>
      <c r="B1353" s="695" t="n"/>
      <c r="C1353" s="695" t="n"/>
      <c r="D1353" s="3" t="inlineStr">
        <is>
          <t>C/ICMS</t>
        </is>
      </c>
      <c r="E1353" s="3" t="inlineStr">
        <is>
          <t>S/ICMS</t>
        </is>
      </c>
      <c r="F1353" s="695" t="n"/>
      <c r="G1353" s="695" t="n"/>
      <c r="H1353" s="84" t="inlineStr">
        <is>
          <t>Saldo em 30/09/2019</t>
        </is>
      </c>
      <c r="I1353" s="695" t="n"/>
      <c r="J1353" s="645" t="inlineStr">
        <is>
          <t>ENTRADA</t>
        </is>
      </c>
      <c r="K1353" s="633" t="inlineStr">
        <is>
          <t>SAÍDA / CMV</t>
        </is>
      </c>
      <c r="L1353" s="643" t="inlineStr">
        <is>
          <t>SALDO</t>
        </is>
      </c>
      <c r="M1353" s="392" t="n"/>
    </row>
    <row r="1354" ht="17.25" customHeight="1" s="436">
      <c r="A1354" s="30" t="n"/>
      <c r="B1354" s="31" t="n"/>
      <c r="C1354" s="35" t="n"/>
      <c r="D1354" s="36" t="n"/>
      <c r="E1354" s="36" t="n"/>
      <c r="F1354" s="37" t="n"/>
      <c r="G1354" s="37" t="n">
        <v>0</v>
      </c>
      <c r="H1354" s="98" t="n">
        <v>2935</v>
      </c>
      <c r="I1354" s="36" t="n"/>
      <c r="J1354" s="711">
        <f>F1354*I1354</f>
        <v/>
      </c>
      <c r="K1354" s="721" t="n">
        <v>0</v>
      </c>
      <c r="L1354" s="710">
        <f>J1354-K1354</f>
        <v/>
      </c>
      <c r="M1354" s="392" t="n"/>
    </row>
    <row r="1355" ht="17.25" customHeight="1" s="436">
      <c r="A1355" s="89" t="n">
        <v>43740</v>
      </c>
      <c r="B1355" s="89" t="inlineStr">
        <is>
          <t>6825</t>
        </is>
      </c>
      <c r="C1355" s="89" t="n"/>
      <c r="D1355" s="36" t="n">
        <v>50</v>
      </c>
      <c r="E1355" s="89" t="n"/>
      <c r="F1355" s="89" t="n"/>
      <c r="G1355" s="37" t="n">
        <v>20</v>
      </c>
      <c r="H1355" s="33">
        <f>H1354-G1355</f>
        <v/>
      </c>
      <c r="I1355" s="32" t="n"/>
      <c r="J1355" s="711" t="n"/>
      <c r="K1355" s="722" t="n"/>
      <c r="L1355" s="710" t="n"/>
      <c r="M1355" s="392" t="n"/>
    </row>
    <row r="1356" ht="17.25" customHeight="1" s="436">
      <c r="A1356" s="89" t="n">
        <v>43740</v>
      </c>
      <c r="B1356" s="31" t="n">
        <v>6826</v>
      </c>
      <c r="C1356" s="89" t="n"/>
      <c r="D1356" s="36" t="n">
        <v>58</v>
      </c>
      <c r="E1356" s="89" t="n"/>
      <c r="F1356" s="89" t="n"/>
      <c r="G1356" s="33" t="n">
        <v>100</v>
      </c>
      <c r="H1356" s="33">
        <f>H1355-G1356</f>
        <v/>
      </c>
      <c r="I1356" s="32" t="n"/>
      <c r="J1356" s="711" t="n"/>
      <c r="K1356" s="722" t="n"/>
      <c r="L1356" s="710" t="n"/>
      <c r="M1356" s="392" t="n"/>
    </row>
    <row r="1357" ht="17.25" customHeight="1" s="436">
      <c r="A1357" s="89" t="n">
        <v>43740</v>
      </c>
      <c r="B1357" s="31" t="inlineStr">
        <is>
          <t>6827</t>
        </is>
      </c>
      <c r="C1357" s="35" t="n"/>
      <c r="D1357" s="36" t="n">
        <v>52</v>
      </c>
      <c r="E1357" s="36" t="n"/>
      <c r="F1357" s="37" t="n"/>
      <c r="G1357" s="37" t="n">
        <v>15</v>
      </c>
      <c r="H1357" s="33">
        <f>H1356-G1357</f>
        <v/>
      </c>
      <c r="I1357" s="36" t="n"/>
      <c r="J1357" s="711" t="n"/>
      <c r="K1357" s="722">
        <f>G1357*D1357</f>
        <v/>
      </c>
      <c r="L1357" s="710" t="n"/>
      <c r="M1357" s="392" t="n"/>
    </row>
    <row r="1358" ht="17.25" customHeight="1" s="436">
      <c r="A1358" s="102" t="n">
        <v>43740</v>
      </c>
      <c r="B1358" s="93" t="inlineStr">
        <is>
          <t>2536</t>
        </is>
      </c>
      <c r="C1358" s="96" t="n"/>
      <c r="D1358" s="97" t="n">
        <v>37</v>
      </c>
      <c r="E1358" s="97" t="n"/>
      <c r="F1358" s="98" t="n">
        <v>200</v>
      </c>
      <c r="G1358" s="98" t="n"/>
      <c r="H1358" s="95" t="n">
        <v>3000</v>
      </c>
      <c r="I1358" s="36" t="n"/>
      <c r="J1358" s="711" t="n"/>
      <c r="K1358" s="722" t="n"/>
      <c r="L1358" s="710" t="n"/>
      <c r="M1358" s="392" t="n"/>
    </row>
    <row r="1359" ht="17.25" customHeight="1" s="436">
      <c r="A1359" s="89" t="n">
        <v>43740</v>
      </c>
      <c r="B1359" s="31" t="inlineStr">
        <is>
          <t>6828</t>
        </is>
      </c>
      <c r="C1359" s="35" t="n"/>
      <c r="D1359" s="36" t="n">
        <v>49</v>
      </c>
      <c r="E1359" s="36" t="n"/>
      <c r="F1359" s="37" t="n"/>
      <c r="G1359" s="101" t="n">
        <v>50</v>
      </c>
      <c r="H1359" s="33">
        <f>H1358-G1359</f>
        <v/>
      </c>
      <c r="I1359" s="36" t="n"/>
      <c r="J1359" s="711" t="n"/>
      <c r="K1359" s="722">
        <f>G1359*D1359</f>
        <v/>
      </c>
      <c r="L1359" s="710" t="n"/>
      <c r="M1359" s="392" t="n"/>
    </row>
    <row r="1360" ht="17.25" customHeight="1" s="436">
      <c r="A1360" s="102" t="n">
        <v>43745</v>
      </c>
      <c r="B1360" s="93" t="inlineStr">
        <is>
          <t>126211</t>
        </is>
      </c>
      <c r="C1360" s="96" t="n"/>
      <c r="D1360" s="97" t="n">
        <v>41.17</v>
      </c>
      <c r="E1360" s="97" t="n"/>
      <c r="F1360" s="98" t="n">
        <v>480</v>
      </c>
      <c r="G1360" s="98" t="n"/>
      <c r="H1360" s="95" t="n">
        <v>3430</v>
      </c>
      <c r="I1360" s="36" t="n"/>
      <c r="J1360" s="711" t="n"/>
      <c r="K1360" s="722">
        <f>G1360*D1360</f>
        <v/>
      </c>
      <c r="L1360" s="710" t="n"/>
      <c r="M1360" s="392" t="n"/>
    </row>
    <row r="1361">
      <c r="A1361" s="89" t="n">
        <v>43745</v>
      </c>
      <c r="B1361" s="31" t="inlineStr">
        <is>
          <t>6838</t>
        </is>
      </c>
      <c r="C1361" s="35" t="n"/>
      <c r="D1361" s="36" t="n">
        <v>55.12</v>
      </c>
      <c r="E1361" s="36" t="n"/>
      <c r="F1361" s="37" t="n"/>
      <c r="G1361" s="37" t="n">
        <v>45</v>
      </c>
      <c r="H1361" s="33">
        <f>H1360-G1361</f>
        <v/>
      </c>
      <c r="I1361" s="36" t="n"/>
      <c r="J1361" s="711" t="n"/>
      <c r="K1361" s="709">
        <f>G1361*D1361</f>
        <v/>
      </c>
      <c r="L1361" s="710" t="n"/>
      <c r="M1361" s="392" t="n"/>
    </row>
    <row r="1362" ht="17.25" customHeight="1" s="436">
      <c r="A1362" s="89" t="n">
        <v>43748</v>
      </c>
      <c r="B1362" s="31" t="inlineStr">
        <is>
          <t>6840</t>
        </is>
      </c>
      <c r="C1362" s="35" t="n"/>
      <c r="D1362" s="36" t="n">
        <v>56</v>
      </c>
      <c r="E1362" s="36" t="n"/>
      <c r="F1362" s="37" t="n"/>
      <c r="G1362" s="37" t="n">
        <v>30</v>
      </c>
      <c r="H1362" s="33">
        <f>H1361-G1362</f>
        <v/>
      </c>
      <c r="I1362" s="36" t="n"/>
      <c r="J1362" s="711" t="n"/>
      <c r="K1362" s="722">
        <f>G1362*D1362</f>
        <v/>
      </c>
      <c r="L1362" s="710" t="n"/>
      <c r="M1362" s="392" t="n"/>
    </row>
    <row r="1363" ht="17.25" customHeight="1" s="436">
      <c r="A1363" s="89" t="n">
        <v>43748</v>
      </c>
      <c r="B1363" s="31" t="inlineStr">
        <is>
          <t>6843</t>
        </is>
      </c>
      <c r="C1363" s="35" t="n"/>
      <c r="D1363" s="36" t="n">
        <v>56.86</v>
      </c>
      <c r="E1363" s="36" t="n"/>
      <c r="F1363" s="37" t="n"/>
      <c r="G1363" s="37" t="n">
        <v>35</v>
      </c>
      <c r="H1363" s="33">
        <f>H1362-G1363</f>
        <v/>
      </c>
      <c r="I1363" s="36" t="n"/>
      <c r="J1363" s="711" t="n"/>
      <c r="K1363" s="722">
        <f>G1363*D1363</f>
        <v/>
      </c>
      <c r="L1363" s="710" t="n"/>
      <c r="M1363" s="392" t="n"/>
    </row>
    <row r="1364" ht="17.25" customHeight="1" s="436">
      <c r="A1364" s="89" t="n">
        <v>43748</v>
      </c>
      <c r="B1364" s="31" t="inlineStr">
        <is>
          <t>6846</t>
        </is>
      </c>
      <c r="C1364" s="35" t="n"/>
      <c r="D1364" s="36" t="n">
        <v>51</v>
      </c>
      <c r="E1364" s="36" t="n"/>
      <c r="F1364" s="37" t="n"/>
      <c r="G1364" s="37" t="n">
        <v>30</v>
      </c>
      <c r="H1364" s="33">
        <f>H1363-G1364</f>
        <v/>
      </c>
      <c r="I1364" s="36" t="n"/>
      <c r="J1364" s="711" t="n"/>
      <c r="K1364" s="722">
        <f>G1364*D1364</f>
        <v/>
      </c>
      <c r="L1364" s="710" t="n"/>
      <c r="M1364" s="392" t="n"/>
    </row>
    <row r="1365" ht="17.25" customHeight="1" s="436">
      <c r="A1365" s="89" t="n">
        <v>43752</v>
      </c>
      <c r="B1365" s="31" t="inlineStr">
        <is>
          <t>6847</t>
        </is>
      </c>
      <c r="C1365" s="35" t="n"/>
      <c r="D1365" s="36" t="n">
        <v>55</v>
      </c>
      <c r="E1365" s="36" t="n"/>
      <c r="F1365" s="37" t="n"/>
      <c r="G1365" s="37" t="n">
        <v>60</v>
      </c>
      <c r="H1365" s="33">
        <f>H1364-G1365</f>
        <v/>
      </c>
      <c r="I1365" s="36" t="n"/>
      <c r="J1365" s="711" t="n"/>
      <c r="K1365" s="722">
        <f>G1365*D1365</f>
        <v/>
      </c>
      <c r="L1365" s="710" t="n"/>
      <c r="M1365" s="392" t="n"/>
    </row>
    <row r="1366" ht="17.25" customHeight="1" s="436">
      <c r="A1366" s="89" t="n">
        <v>43752</v>
      </c>
      <c r="B1366" s="31" t="inlineStr">
        <is>
          <t>6852</t>
        </is>
      </c>
      <c r="C1366" s="35" t="n"/>
      <c r="D1366" s="36" t="n">
        <v>56</v>
      </c>
      <c r="E1366" s="36" t="n"/>
      <c r="F1366" s="37" t="n"/>
      <c r="G1366" s="37" t="n">
        <v>30</v>
      </c>
      <c r="H1366" s="33">
        <f>H1365-G1366</f>
        <v/>
      </c>
      <c r="I1366" s="36" t="n"/>
      <c r="J1366" s="711" t="n"/>
      <c r="K1366" s="722">
        <f>G1366*D1366</f>
        <v/>
      </c>
      <c r="L1366" s="710" t="n"/>
      <c r="M1366" s="392" t="n"/>
    </row>
    <row r="1367" ht="17.25" customHeight="1" s="436">
      <c r="A1367" s="89" t="n">
        <v>43754</v>
      </c>
      <c r="B1367" s="31" t="inlineStr">
        <is>
          <t>6857</t>
        </is>
      </c>
      <c r="C1367" s="35" t="n"/>
      <c r="D1367" s="36" t="n">
        <v>56</v>
      </c>
      <c r="E1367" s="36" t="n"/>
      <c r="F1367" s="37" t="n"/>
      <c r="G1367" s="37" t="n">
        <v>30</v>
      </c>
      <c r="H1367" s="33">
        <f>H1366-G1367</f>
        <v/>
      </c>
      <c r="I1367" s="36" t="n"/>
      <c r="J1367" s="711" t="n"/>
      <c r="K1367" s="722">
        <f>G1367*D1367</f>
        <v/>
      </c>
      <c r="L1367" s="710" t="n"/>
      <c r="M1367" s="392" t="n"/>
    </row>
    <row r="1368" ht="17.25" customHeight="1" s="436">
      <c r="A1368" s="89" t="n">
        <v>43759</v>
      </c>
      <c r="B1368" s="31" t="inlineStr">
        <is>
          <t>6860</t>
        </is>
      </c>
      <c r="C1368" s="35" t="n"/>
      <c r="D1368" s="36" t="n">
        <v>53</v>
      </c>
      <c r="E1368" s="36" t="n"/>
      <c r="F1368" s="37" t="n"/>
      <c r="G1368" s="37" t="n">
        <v>30</v>
      </c>
      <c r="H1368" s="33">
        <f>H1367-G1368</f>
        <v/>
      </c>
      <c r="I1368" s="36" t="n"/>
      <c r="J1368" s="711" t="n"/>
      <c r="K1368" s="722">
        <f>G1368*D1368</f>
        <v/>
      </c>
      <c r="L1368" s="710" t="n"/>
      <c r="M1368" s="392" t="n"/>
    </row>
    <row r="1369" ht="17.25" customHeight="1" s="436">
      <c r="A1369" s="89" t="n">
        <v>43759</v>
      </c>
      <c r="B1369" s="31" t="inlineStr">
        <is>
          <t>6861</t>
        </is>
      </c>
      <c r="C1369" s="35" t="n"/>
      <c r="D1369" s="36" t="n">
        <v>56</v>
      </c>
      <c r="E1369" s="36" t="n"/>
      <c r="F1369" s="37" t="n"/>
      <c r="G1369" s="37" t="n">
        <v>25</v>
      </c>
      <c r="H1369" s="33">
        <f>H1368-G1369</f>
        <v/>
      </c>
      <c r="I1369" s="36" t="n"/>
      <c r="J1369" s="711" t="n"/>
      <c r="K1369" s="722">
        <f>G1369*D1369</f>
        <v/>
      </c>
      <c r="L1369" s="710" t="n"/>
      <c r="M1369" s="392" t="n"/>
    </row>
    <row r="1370" ht="17.25" customHeight="1" s="436">
      <c r="A1370" s="89" t="n">
        <v>43759</v>
      </c>
      <c r="B1370" s="31" t="inlineStr">
        <is>
          <t>6862</t>
        </is>
      </c>
      <c r="C1370" s="35" t="n"/>
      <c r="D1370" s="36" t="n">
        <v>56</v>
      </c>
      <c r="E1370" s="36" t="n"/>
      <c r="F1370" s="37" t="n"/>
      <c r="G1370" s="37" t="n">
        <v>20</v>
      </c>
      <c r="H1370" s="33">
        <f>H1369-G1370</f>
        <v/>
      </c>
      <c r="I1370" s="36" t="n"/>
      <c r="J1370" s="711" t="n"/>
      <c r="K1370" s="722">
        <f>G1370*D1370</f>
        <v/>
      </c>
      <c r="L1370" s="710" t="n"/>
      <c r="M1370" s="392" t="n"/>
    </row>
    <row r="1371" ht="17.25" customHeight="1" s="436">
      <c r="A1371" s="89" t="n">
        <v>43759</v>
      </c>
      <c r="B1371" s="31" t="inlineStr">
        <is>
          <t>6863</t>
        </is>
      </c>
      <c r="C1371" s="35" t="n"/>
      <c r="D1371" s="36" t="n">
        <v>54.6</v>
      </c>
      <c r="E1371" s="36" t="n"/>
      <c r="F1371" s="37" t="n"/>
      <c r="G1371" s="37" t="n">
        <v>50</v>
      </c>
      <c r="H1371" s="33">
        <f>H1370-G1371</f>
        <v/>
      </c>
      <c r="I1371" s="36" t="n"/>
      <c r="J1371" s="711" t="n"/>
      <c r="K1371" s="722">
        <f>G1371*D1371</f>
        <v/>
      </c>
      <c r="L1371" s="710" t="n"/>
      <c r="M1371" s="392" t="n"/>
    </row>
    <row r="1372" ht="17.25" customHeight="1" s="436">
      <c r="A1372" s="89" t="n">
        <v>43759</v>
      </c>
      <c r="B1372" s="31" t="inlineStr">
        <is>
          <t>6865</t>
        </is>
      </c>
      <c r="C1372" s="35" t="n"/>
      <c r="D1372" s="36" t="n">
        <v>56</v>
      </c>
      <c r="E1372" s="36" t="n"/>
      <c r="F1372" s="37" t="n"/>
      <c r="G1372" s="37" t="n">
        <v>30</v>
      </c>
      <c r="H1372" s="33">
        <f>H1371-G1372</f>
        <v/>
      </c>
      <c r="I1372" s="36" t="n"/>
      <c r="J1372" s="711" t="n"/>
      <c r="K1372" s="722">
        <f>G1372*D1372</f>
        <v/>
      </c>
      <c r="L1372" s="710" t="n"/>
      <c r="M1372" s="392" t="n"/>
    </row>
    <row r="1373" ht="17.25" customHeight="1" s="436">
      <c r="A1373" s="89" t="n">
        <v>43761</v>
      </c>
      <c r="B1373" s="31" t="inlineStr">
        <is>
          <t>6866</t>
        </is>
      </c>
      <c r="C1373" s="35" t="n"/>
      <c r="D1373" s="36" t="n">
        <v>51</v>
      </c>
      <c r="E1373" s="36" t="n"/>
      <c r="F1373" s="37" t="n"/>
      <c r="G1373" s="37" t="n">
        <v>20</v>
      </c>
      <c r="H1373" s="33">
        <f>H1372-G1373</f>
        <v/>
      </c>
      <c r="I1373" s="36" t="n"/>
      <c r="J1373" s="711" t="n"/>
      <c r="K1373" s="722">
        <f>G1373*D1373</f>
        <v/>
      </c>
      <c r="L1373" s="710" t="n"/>
      <c r="M1373" s="392" t="n"/>
    </row>
    <row r="1374" ht="17.25" customHeight="1" s="436">
      <c r="A1374" s="89" t="n">
        <v>43761</v>
      </c>
      <c r="B1374" s="31" t="inlineStr">
        <is>
          <t>6868</t>
        </is>
      </c>
      <c r="C1374" s="35" t="n"/>
      <c r="D1374" s="36" t="n">
        <v>56.86</v>
      </c>
      <c r="E1374" s="36" t="n"/>
      <c r="F1374" s="37" t="n"/>
      <c r="G1374" s="37" t="n">
        <v>35</v>
      </c>
      <c r="H1374" s="33">
        <f>H1373-G1374</f>
        <v/>
      </c>
      <c r="I1374" s="36" t="n"/>
      <c r="J1374" s="711" t="n"/>
      <c r="K1374" s="722">
        <f>G1374*D1374</f>
        <v/>
      </c>
      <c r="L1374" s="710" t="n"/>
      <c r="M1374" s="392" t="n"/>
    </row>
    <row r="1375" ht="17.25" customHeight="1" s="436">
      <c r="A1375" s="89" t="n">
        <v>43761</v>
      </c>
      <c r="B1375" s="31" t="inlineStr">
        <is>
          <t>6869</t>
        </is>
      </c>
      <c r="C1375" s="35" t="n"/>
      <c r="D1375" s="36" t="n">
        <v>56</v>
      </c>
      <c r="E1375" s="36" t="n"/>
      <c r="F1375" s="37" t="n"/>
      <c r="G1375" s="37" t="n">
        <v>10</v>
      </c>
      <c r="H1375" s="33">
        <f>H1374-G1375</f>
        <v/>
      </c>
      <c r="I1375" s="36" t="n"/>
      <c r="J1375" s="711" t="n"/>
      <c r="K1375" s="722">
        <f>G1375*D1375</f>
        <v/>
      </c>
      <c r="L1375" s="710" t="n"/>
      <c r="M1375" s="392" t="n"/>
    </row>
    <row r="1376" ht="17.25" customHeight="1" s="436">
      <c r="A1376" s="89" t="n">
        <v>43761</v>
      </c>
      <c r="B1376" s="31" t="inlineStr">
        <is>
          <t>6872</t>
        </is>
      </c>
      <c r="C1376" s="35" t="n"/>
      <c r="D1376" s="36" t="n">
        <v>56</v>
      </c>
      <c r="E1376" s="36" t="n"/>
      <c r="F1376" s="37" t="n"/>
      <c r="G1376" s="37" t="n">
        <v>60</v>
      </c>
      <c r="H1376" s="33">
        <f>H1375-G1376</f>
        <v/>
      </c>
      <c r="I1376" s="36" t="n"/>
      <c r="J1376" s="711" t="n"/>
      <c r="K1376" s="722">
        <f>G1376*D1376</f>
        <v/>
      </c>
      <c r="L1376" s="710" t="n"/>
      <c r="M1376" s="392" t="n"/>
    </row>
    <row r="1377" ht="17.25" customHeight="1" s="436">
      <c r="A1377" s="102" t="n">
        <v>43761</v>
      </c>
      <c r="B1377" s="93" t="inlineStr">
        <is>
          <t>2548</t>
        </is>
      </c>
      <c r="C1377" s="96" t="n"/>
      <c r="D1377" s="97" t="n">
        <v>44</v>
      </c>
      <c r="E1377" s="97" t="n"/>
      <c r="F1377" s="98" t="n">
        <v>200</v>
      </c>
      <c r="G1377" s="98" t="n"/>
      <c r="H1377" s="95" t="n">
        <v>3090</v>
      </c>
      <c r="I1377" s="36" t="n"/>
      <c r="J1377" s="711" t="n"/>
      <c r="K1377" s="722" t="n"/>
      <c r="L1377" s="710" t="n"/>
      <c r="M1377" s="392" t="n"/>
    </row>
    <row r="1378" ht="17.25" customHeight="1" s="436">
      <c r="A1378" s="89" t="n">
        <v>43766</v>
      </c>
      <c r="B1378" s="31" t="inlineStr">
        <is>
          <t>6873</t>
        </is>
      </c>
      <c r="C1378" s="35" t="n"/>
      <c r="D1378" s="36" t="n">
        <v>56</v>
      </c>
      <c r="E1378" s="36" t="n"/>
      <c r="F1378" s="37" t="n"/>
      <c r="G1378" s="37" t="n">
        <v>10</v>
      </c>
      <c r="H1378" s="33">
        <f>H1377-G1378</f>
        <v/>
      </c>
      <c r="I1378" s="36" t="n"/>
      <c r="J1378" s="711" t="n"/>
      <c r="K1378" s="722">
        <f>G1378*D1378</f>
        <v/>
      </c>
      <c r="L1378" s="710" t="n"/>
      <c r="M1378" s="392" t="n"/>
    </row>
    <row r="1379" ht="17.25" customHeight="1" s="436">
      <c r="A1379" s="89" t="n">
        <v>43766</v>
      </c>
      <c r="B1379" s="31" t="inlineStr">
        <is>
          <t>6875</t>
        </is>
      </c>
      <c r="C1379" s="35" t="n"/>
      <c r="D1379" s="36" t="n">
        <v>50</v>
      </c>
      <c r="E1379" s="36" t="n"/>
      <c r="F1379" s="37" t="n"/>
      <c r="G1379" s="37" t="n">
        <v>20</v>
      </c>
      <c r="H1379" s="33">
        <f>H1378-G1379</f>
        <v/>
      </c>
      <c r="I1379" s="36" t="n"/>
      <c r="J1379" s="711" t="n"/>
      <c r="K1379" s="722">
        <f>G1379*D1379</f>
        <v/>
      </c>
      <c r="L1379" s="710" t="n"/>
      <c r="M1379" s="392" t="n"/>
    </row>
    <row r="1380" ht="17.25" customHeight="1" s="436">
      <c r="A1380" s="89" t="n">
        <v>43766</v>
      </c>
      <c r="B1380" s="31" t="inlineStr">
        <is>
          <t>6876</t>
        </is>
      </c>
      <c r="C1380" s="35" t="n"/>
      <c r="D1380" s="36" t="n">
        <v>52</v>
      </c>
      <c r="E1380" s="36" t="n"/>
      <c r="F1380" s="37" t="n"/>
      <c r="G1380" s="37" t="n">
        <v>150</v>
      </c>
      <c r="H1380" s="33">
        <f>H1379-G1380</f>
        <v/>
      </c>
      <c r="I1380" s="36" t="n"/>
      <c r="J1380" s="711" t="n"/>
      <c r="K1380" s="722">
        <f>G1380*D1380</f>
        <v/>
      </c>
      <c r="L1380" s="710" t="n"/>
      <c r="M1380" s="392" t="n"/>
    </row>
    <row r="1381" ht="17.25" customHeight="1" s="436">
      <c r="A1381" s="89" t="n">
        <v>43766</v>
      </c>
      <c r="B1381" s="31" t="inlineStr">
        <is>
          <t>6877</t>
        </is>
      </c>
      <c r="C1381" s="35" t="n"/>
      <c r="D1381" s="36" t="n">
        <v>56</v>
      </c>
      <c r="E1381" s="36" t="n"/>
      <c r="F1381" s="37" t="n"/>
      <c r="G1381" s="37" t="n">
        <v>10</v>
      </c>
      <c r="H1381" s="33">
        <f>H1380-G1381</f>
        <v/>
      </c>
      <c r="I1381" s="36" t="n"/>
      <c r="J1381" s="711" t="n"/>
      <c r="K1381" s="722">
        <f>G1381*D1381</f>
        <v/>
      </c>
      <c r="L1381" s="710" t="n"/>
      <c r="M1381" s="392" t="n"/>
    </row>
    <row r="1382" ht="17.25" customHeight="1" s="436">
      <c r="A1382" s="89" t="n">
        <v>43766</v>
      </c>
      <c r="B1382" s="31" t="inlineStr">
        <is>
          <t>6879</t>
        </is>
      </c>
      <c r="C1382" s="35" t="n"/>
      <c r="D1382" s="36" t="n">
        <v>56</v>
      </c>
      <c r="E1382" s="36" t="n"/>
      <c r="F1382" s="37" t="n"/>
      <c r="G1382" s="37" t="n">
        <v>20</v>
      </c>
      <c r="H1382" s="33">
        <f>H1381-G1382</f>
        <v/>
      </c>
      <c r="I1382" s="36" t="n"/>
      <c r="J1382" s="711" t="n"/>
      <c r="K1382" s="722">
        <f>G1382*D1382</f>
        <v/>
      </c>
      <c r="L1382" s="710" t="n"/>
      <c r="M1382" s="392" t="n"/>
    </row>
    <row r="1383" ht="17.25" customHeight="1" s="436">
      <c r="A1383" s="89" t="n">
        <v>43766</v>
      </c>
      <c r="B1383" s="31" t="inlineStr">
        <is>
          <t>6880</t>
        </is>
      </c>
      <c r="C1383" s="35" t="n"/>
      <c r="D1383" s="36" t="n">
        <v>52</v>
      </c>
      <c r="E1383" s="36" t="n"/>
      <c r="F1383" s="37" t="n"/>
      <c r="G1383" s="37" t="n">
        <v>20</v>
      </c>
      <c r="H1383" s="33">
        <f>H1382-G1383</f>
        <v/>
      </c>
      <c r="I1383" s="36" t="n"/>
      <c r="J1383" s="711" t="n"/>
      <c r="K1383" s="722">
        <f>G1383*D1383</f>
        <v/>
      </c>
      <c r="L1383" s="710" t="n"/>
      <c r="M1383" s="392" t="n"/>
    </row>
    <row r="1384" ht="17.25" customHeight="1" s="436">
      <c r="A1384" s="102" t="n">
        <v>43767</v>
      </c>
      <c r="B1384" s="93" t="inlineStr">
        <is>
          <t>127533</t>
        </is>
      </c>
      <c r="C1384" s="96" t="n"/>
      <c r="D1384" s="97" t="n">
        <v>42.9</v>
      </c>
      <c r="E1384" s="97" t="n"/>
      <c r="F1384" s="98" t="n">
        <v>100</v>
      </c>
      <c r="G1384" s="98" t="n"/>
      <c r="H1384" s="95" t="n">
        <v>2960</v>
      </c>
      <c r="I1384" s="36" t="n"/>
      <c r="J1384" s="711" t="n"/>
      <c r="K1384" s="722" t="n"/>
      <c r="L1384" s="710" t="n"/>
      <c r="M1384" s="392" t="n"/>
    </row>
    <row r="1385" ht="17.25" customHeight="1" s="436">
      <c r="A1385" s="102" t="n">
        <v>43767</v>
      </c>
      <c r="B1385" s="93" t="inlineStr">
        <is>
          <t>127533</t>
        </is>
      </c>
      <c r="C1385" s="96" t="n"/>
      <c r="D1385" s="97" t="n">
        <v>41.17</v>
      </c>
      <c r="E1385" s="97" t="n"/>
      <c r="F1385" s="98" t="n">
        <v>630</v>
      </c>
      <c r="G1385" s="98" t="n"/>
      <c r="H1385" s="95" t="n">
        <v>3590</v>
      </c>
      <c r="I1385" s="36" t="n"/>
      <c r="J1385" s="711" t="n"/>
      <c r="K1385" s="722" t="n"/>
      <c r="L1385" s="710" t="n"/>
      <c r="M1385" s="392" t="n"/>
    </row>
    <row r="1386" ht="17.25" customHeight="1" s="436">
      <c r="A1386" s="89" t="n">
        <v>43768</v>
      </c>
      <c r="B1386" s="31" t="inlineStr">
        <is>
          <t>6881</t>
        </is>
      </c>
      <c r="C1386" s="35" t="n"/>
      <c r="D1386" s="36" t="n">
        <v>56</v>
      </c>
      <c r="E1386" s="36" t="n"/>
      <c r="F1386" s="37" t="n"/>
      <c r="G1386" s="37" t="n">
        <v>40</v>
      </c>
      <c r="H1386" s="33">
        <f>H1385-G1386</f>
        <v/>
      </c>
      <c r="I1386" s="36" t="n"/>
      <c r="J1386" s="711" t="n"/>
      <c r="K1386" s="722">
        <f>G1386*D1386</f>
        <v/>
      </c>
      <c r="L1386" s="710" t="n"/>
      <c r="M1386" s="392" t="n"/>
    </row>
    <row r="1387" ht="17.25" customHeight="1" s="436">
      <c r="A1387" s="89" t="n">
        <v>43768</v>
      </c>
      <c r="B1387" s="31" t="inlineStr">
        <is>
          <t>6882</t>
        </is>
      </c>
      <c r="C1387" s="35" t="n"/>
      <c r="D1387" s="36" t="n">
        <v>50</v>
      </c>
      <c r="E1387" s="36" t="n"/>
      <c r="F1387" s="37" t="n"/>
      <c r="G1387" s="37" t="n">
        <v>10</v>
      </c>
      <c r="H1387" s="33">
        <f>H1386-G1387</f>
        <v/>
      </c>
      <c r="I1387" s="36" t="n"/>
      <c r="J1387" s="711" t="n"/>
      <c r="K1387" s="722">
        <f>G1387*D1387</f>
        <v/>
      </c>
      <c r="L1387" s="710" t="n"/>
      <c r="M1387" s="392" t="n"/>
    </row>
    <row r="1388" ht="17.25" customHeight="1" s="436">
      <c r="A1388" s="89" t="n">
        <v>43768</v>
      </c>
      <c r="B1388" s="31" t="inlineStr">
        <is>
          <t>6884</t>
        </is>
      </c>
      <c r="C1388" s="35" t="n"/>
      <c r="D1388" s="36" t="n">
        <v>50</v>
      </c>
      <c r="E1388" s="36" t="n"/>
      <c r="F1388" s="37" t="n"/>
      <c r="G1388" s="37" t="n">
        <v>10</v>
      </c>
      <c r="H1388" s="33">
        <f>H1387-G1388</f>
        <v/>
      </c>
      <c r="I1388" s="36" t="n"/>
      <c r="J1388" s="711" t="n"/>
      <c r="K1388" s="722">
        <f>G1388*D1388</f>
        <v/>
      </c>
      <c r="L1388" s="710" t="n"/>
      <c r="M1388" s="392" t="n"/>
    </row>
    <row r="1389" ht="17.25" customHeight="1" s="436">
      <c r="A1389" s="89" t="n">
        <v>43768</v>
      </c>
      <c r="B1389" s="31" t="inlineStr">
        <is>
          <t>6885</t>
        </is>
      </c>
      <c r="C1389" s="31" t="n"/>
      <c r="D1389" s="36" t="n">
        <v>56</v>
      </c>
      <c r="E1389" s="31" t="n"/>
      <c r="F1389" s="31" t="n"/>
      <c r="G1389" s="231" t="inlineStr">
        <is>
          <t>30</t>
        </is>
      </c>
      <c r="H1389" s="33">
        <f>H1388-G1389</f>
        <v/>
      </c>
      <c r="I1389" s="36" t="n"/>
      <c r="J1389" s="711" t="n"/>
      <c r="K1389" s="722">
        <f>G1389*D1389</f>
        <v/>
      </c>
      <c r="L1389" s="710" t="n"/>
      <c r="M1389" s="392" t="n"/>
    </row>
    <row r="1390" ht="17.25" customHeight="1" s="436">
      <c r="A1390" s="89" t="n">
        <v>43768</v>
      </c>
      <c r="B1390" s="31" t="inlineStr">
        <is>
          <t>6887</t>
        </is>
      </c>
      <c r="C1390" s="31" t="n"/>
      <c r="D1390" s="36" t="n">
        <v>56</v>
      </c>
      <c r="E1390" s="31" t="n"/>
      <c r="F1390" s="31" t="n"/>
      <c r="G1390" s="231" t="inlineStr">
        <is>
          <t>20</t>
        </is>
      </c>
      <c r="H1390" s="33">
        <f>H1389-G1390</f>
        <v/>
      </c>
      <c r="I1390" s="36" t="n"/>
      <c r="J1390" s="711" t="n"/>
      <c r="K1390" s="722">
        <f>G1390*D1390</f>
        <v/>
      </c>
      <c r="L1390" s="710" t="n"/>
      <c r="M1390" s="392" t="n"/>
    </row>
    <row r="1391" ht="17.25" customHeight="1" s="436">
      <c r="A1391" s="89" t="n">
        <v>43768</v>
      </c>
      <c r="B1391" s="31" t="inlineStr">
        <is>
          <t>6888</t>
        </is>
      </c>
      <c r="C1391" s="35" t="n"/>
      <c r="D1391" s="36" t="n">
        <v>56</v>
      </c>
      <c r="E1391" s="36" t="n"/>
      <c r="F1391" s="37" t="n"/>
      <c r="G1391" s="37" t="n">
        <v>10</v>
      </c>
      <c r="H1391" s="33">
        <f>H1390-G1391</f>
        <v/>
      </c>
      <c r="I1391" s="36" t="n"/>
      <c r="J1391" s="711" t="n"/>
      <c r="K1391" s="722">
        <f>G1391*D1391</f>
        <v/>
      </c>
      <c r="L1391" s="710" t="n"/>
      <c r="M1391" s="392" t="n"/>
    </row>
    <row r="1392" ht="17.25" customHeight="1" s="436">
      <c r="A1392" s="89" t="n">
        <v>43768</v>
      </c>
      <c r="B1392" s="31" t="inlineStr">
        <is>
          <t>6889</t>
        </is>
      </c>
      <c r="C1392" s="35" t="n"/>
      <c r="D1392" s="36" t="n">
        <v>56</v>
      </c>
      <c r="E1392" s="36" t="n"/>
      <c r="F1392" s="37" t="n"/>
      <c r="G1392" s="37" t="n">
        <v>30</v>
      </c>
      <c r="H1392" s="33">
        <f>H1391-G1392</f>
        <v/>
      </c>
      <c r="I1392" s="36" t="n"/>
      <c r="J1392" s="711" t="n"/>
      <c r="K1392" s="722">
        <f>G1392*D1392</f>
        <v/>
      </c>
      <c r="L1392" s="710" t="n"/>
      <c r="M1392" s="392" t="n"/>
    </row>
    <row r="1393" ht="17.25" customHeight="1" s="436">
      <c r="A1393" s="89" t="n"/>
      <c r="B1393" s="31" t="n"/>
      <c r="C1393" s="35" t="n"/>
      <c r="D1393" s="36" t="n"/>
      <c r="E1393" s="36" t="n"/>
      <c r="F1393" s="37" t="n"/>
      <c r="G1393" s="37" t="n"/>
      <c r="H1393" s="33">
        <f>H1392-G1393</f>
        <v/>
      </c>
      <c r="I1393" s="36" t="n"/>
      <c r="J1393" s="711" t="n"/>
      <c r="K1393" s="722">
        <f>G1393*D1393</f>
        <v/>
      </c>
      <c r="L1393" s="710" t="n"/>
      <c r="M1393" s="392" t="n"/>
    </row>
    <row r="1394" ht="17.25" customHeight="1" s="436">
      <c r="A1394" s="89" t="n"/>
      <c r="B1394" s="31" t="n"/>
      <c r="C1394" s="35" t="n"/>
      <c r="D1394" s="36" t="n"/>
      <c r="E1394" s="36" t="n"/>
      <c r="F1394" s="37" t="n"/>
      <c r="G1394" s="37" t="n"/>
      <c r="H1394" s="33">
        <f>H1393-G1394</f>
        <v/>
      </c>
      <c r="I1394" s="36" t="n"/>
      <c r="J1394" s="711" t="n"/>
      <c r="K1394" s="722">
        <f>G1394*D1394</f>
        <v/>
      </c>
      <c r="L1394" s="710" t="n"/>
      <c r="M1394" s="392" t="n"/>
    </row>
    <row r="1395" ht="17.25" customHeight="1" s="436">
      <c r="A1395" s="89" t="n"/>
      <c r="B1395" s="31" t="n"/>
      <c r="C1395" s="35" t="n"/>
      <c r="D1395" s="36" t="n"/>
      <c r="E1395" s="36" t="n"/>
      <c r="F1395" s="37" t="n"/>
      <c r="G1395" s="37" t="n"/>
      <c r="H1395" s="33">
        <f>H1394-G1395</f>
        <v/>
      </c>
      <c r="I1395" s="36" t="n"/>
      <c r="J1395" s="711" t="n"/>
      <c r="K1395" s="722">
        <f>G1395*D1395</f>
        <v/>
      </c>
      <c r="L1395" s="710" t="n"/>
      <c r="M1395" s="392" t="n"/>
    </row>
    <row r="1396" ht="18" customHeight="1" s="436" thickBot="1">
      <c r="A1396" s="232" t="n"/>
      <c r="B1396" s="233" t="n"/>
      <c r="C1396" s="234" t="n"/>
      <c r="D1396" s="235" t="n"/>
      <c r="E1396" s="235" t="n"/>
      <c r="F1396" s="236" t="n"/>
      <c r="G1396" s="236" t="n"/>
      <c r="H1396" s="237">
        <f>H1395-G1396</f>
        <v/>
      </c>
      <c r="I1396" s="235" t="n"/>
      <c r="J1396" s="729" t="n"/>
      <c r="K1396" s="730">
        <f>G1396*D1396</f>
        <v/>
      </c>
      <c r="L1396" s="731" t="n"/>
      <c r="M1396" s="241" t="n"/>
    </row>
    <row r="1397" ht="32.25" customHeight="1" s="436" thickBot="1">
      <c r="A1397" s="735" t="inlineStr">
        <is>
          <t>Novembro</t>
        </is>
      </c>
      <c r="B1397" s="697" t="n"/>
      <c r="C1397" s="697" t="n"/>
      <c r="D1397" s="697" t="n"/>
      <c r="E1397" s="697" t="n"/>
      <c r="F1397" s="697" t="n"/>
      <c r="G1397" s="697" t="n"/>
      <c r="H1397" s="697" t="n"/>
      <c r="I1397" s="697" t="n"/>
      <c r="J1397" s="697" t="n"/>
      <c r="K1397" s="697" t="n"/>
      <c r="L1397" s="697" t="n"/>
      <c r="M1397" s="698" t="n"/>
    </row>
    <row r="1398" ht="27" customHeight="1" s="436" thickBot="1">
      <c r="A1398" s="734" t="inlineStr">
        <is>
          <t xml:space="preserve"> FARINHA DE TRIGO TIPO: 1 - 25 KG</t>
        </is>
      </c>
      <c r="B1398" s="706" t="n"/>
      <c r="C1398" s="706" t="n"/>
      <c r="D1398" s="706" t="n"/>
      <c r="E1398" s="706" t="n"/>
      <c r="F1398" s="706" t="n"/>
      <c r="G1398" s="706" t="n"/>
      <c r="H1398" s="706" t="n"/>
      <c r="I1398" s="706" t="n"/>
      <c r="J1398" s="706" t="n"/>
      <c r="K1398" s="706" t="n"/>
      <c r="L1398" s="706" t="n"/>
      <c r="M1398" s="707" t="n"/>
    </row>
    <row r="1399">
      <c r="A1399" s="643" t="inlineStr">
        <is>
          <t>DATA</t>
        </is>
      </c>
      <c r="B1399" s="633" t="inlineStr">
        <is>
          <t>N.F.</t>
        </is>
      </c>
      <c r="C1399" s="633" t="inlineStr">
        <is>
          <t>TIPO</t>
        </is>
      </c>
      <c r="D1399" s="633" t="inlineStr">
        <is>
          <t>PREÇO UNITÁRIO</t>
        </is>
      </c>
      <c r="E1399" s="701" t="n"/>
      <c r="F1399" s="633" t="inlineStr">
        <is>
          <t>QUANTIDADE / KG</t>
        </is>
      </c>
      <c r="H1399" s="701" t="n"/>
      <c r="I1399" s="632" t="inlineStr">
        <is>
          <t>PREÇO</t>
        </is>
      </c>
      <c r="J1399" s="632" t="inlineStr">
        <is>
          <t>VALORES</t>
        </is>
      </c>
      <c r="L1399" s="701" t="n"/>
      <c r="M1399" s="649" t="n"/>
    </row>
    <row r="1400" ht="15.75" customHeight="1" s="436" thickBot="1">
      <c r="A1400" s="703" t="n"/>
      <c r="B1400" s="704" t="n"/>
      <c r="C1400" s="704" t="n"/>
      <c r="D1400" s="703" t="n"/>
      <c r="E1400" s="701" t="n"/>
      <c r="F1400" s="705" t="n"/>
      <c r="G1400" s="706" t="n"/>
      <c r="H1400" s="707" t="n"/>
      <c r="I1400" s="704" t="n"/>
      <c r="J1400" s="703" t="n"/>
      <c r="L1400" s="701" t="n"/>
      <c r="M1400" s="704" t="n"/>
    </row>
    <row r="1401" ht="15.75" customHeight="1" s="436" thickBot="1">
      <c r="A1401" s="703" t="n"/>
      <c r="B1401" s="704" t="n"/>
      <c r="C1401" s="704" t="n"/>
      <c r="D1401" s="705" t="n"/>
      <c r="E1401" s="707" t="n"/>
      <c r="F1401" s="3" t="inlineStr">
        <is>
          <t>ENTRADA</t>
        </is>
      </c>
      <c r="G1401" s="3" t="inlineStr">
        <is>
          <t>SAÍDA</t>
        </is>
      </c>
      <c r="H1401" s="640" t="n"/>
      <c r="I1401" s="633" t="inlineStr">
        <is>
          <t>MÉDIO</t>
        </is>
      </c>
      <c r="J1401" s="652" t="inlineStr">
        <is>
          <t>SALDO EM 30/11/2017</t>
        </is>
      </c>
      <c r="K1401" s="706" t="n"/>
      <c r="L1401" s="17" t="n"/>
      <c r="M1401" s="704" t="n"/>
    </row>
    <row r="1402" ht="18" customHeight="1" s="436" thickBot="1">
      <c r="A1402" s="705" t="n"/>
      <c r="B1402" s="695" t="n"/>
      <c r="C1402" s="695" t="n"/>
      <c r="D1402" s="3" t="inlineStr">
        <is>
          <t>C/ICMS</t>
        </is>
      </c>
      <c r="E1402" s="3" t="inlineStr">
        <is>
          <t>S/ICMS</t>
        </is>
      </c>
      <c r="F1402" s="695" t="n"/>
      <c r="G1402" s="695" t="n"/>
      <c r="H1402" s="84" t="inlineStr">
        <is>
          <t>Saldo em 31/10/2019</t>
        </is>
      </c>
      <c r="I1402" s="695" t="n"/>
      <c r="J1402" s="645" t="inlineStr">
        <is>
          <t>ENTRADA</t>
        </is>
      </c>
      <c r="K1402" s="633" t="inlineStr">
        <is>
          <t>SAÍDA / CMV</t>
        </is>
      </c>
      <c r="L1402" s="643" t="inlineStr">
        <is>
          <t>SALDO</t>
        </is>
      </c>
      <c r="M1402" s="392" t="n"/>
    </row>
    <row r="1403" ht="17.25" customHeight="1" s="436">
      <c r="A1403" s="30" t="n">
        <v>43769</v>
      </c>
      <c r="B1403" s="31" t="n"/>
      <c r="C1403" s="35" t="n"/>
      <c r="D1403" s="36" t="n"/>
      <c r="E1403" s="36" t="n"/>
      <c r="F1403" s="37" t="n"/>
      <c r="G1403" s="37" t="n"/>
      <c r="H1403" s="98" t="n">
        <v>3440</v>
      </c>
      <c r="I1403" s="36" t="n"/>
      <c r="J1403" s="711">
        <f>F1403*I1403</f>
        <v/>
      </c>
      <c r="K1403" s="721" t="n">
        <v>0</v>
      </c>
      <c r="L1403" s="710">
        <f>J1403-K1403</f>
        <v/>
      </c>
      <c r="M1403" s="392" t="n"/>
    </row>
    <row r="1404" ht="17.25" customHeight="1" s="436">
      <c r="A1404" s="30" t="n">
        <v>43772</v>
      </c>
      <c r="B1404" s="31" t="inlineStr">
        <is>
          <t>6892</t>
        </is>
      </c>
      <c r="C1404" s="35" t="n"/>
      <c r="D1404" s="36" t="n">
        <v>50</v>
      </c>
      <c r="E1404" s="36" t="n"/>
      <c r="F1404" s="37" t="n"/>
      <c r="G1404" s="37" t="n">
        <v>80</v>
      </c>
      <c r="H1404" s="98">
        <f>H1403-G1404</f>
        <v/>
      </c>
      <c r="I1404" s="36" t="n"/>
      <c r="J1404" s="711">
        <f>F1404*I1404</f>
        <v/>
      </c>
      <c r="K1404" s="721" t="n">
        <v>1</v>
      </c>
      <c r="L1404" s="710">
        <f>J1404-K1404</f>
        <v/>
      </c>
      <c r="M1404" s="392" t="n"/>
    </row>
    <row r="1405" ht="17.25" customHeight="1" s="436">
      <c r="A1405" s="30" t="n">
        <v>43773</v>
      </c>
      <c r="B1405" s="31" t="inlineStr">
        <is>
          <t>6894</t>
        </is>
      </c>
      <c r="C1405" s="35" t="n"/>
      <c r="D1405" s="36" t="n">
        <v>53</v>
      </c>
      <c r="E1405" s="36" t="n"/>
      <c r="F1405" s="37" t="n"/>
      <c r="G1405" s="37" t="n">
        <v>30</v>
      </c>
      <c r="H1405" s="98">
        <f>H1404-G1405</f>
        <v/>
      </c>
      <c r="I1405" s="36" t="n"/>
      <c r="J1405" s="711">
        <f>F1405*I1405</f>
        <v/>
      </c>
      <c r="K1405" s="721" t="n">
        <v>2</v>
      </c>
      <c r="L1405" s="710">
        <f>J1405-K1405</f>
        <v/>
      </c>
      <c r="M1405" s="392" t="n"/>
    </row>
    <row r="1406" ht="17.25" customHeight="1" s="436">
      <c r="A1406" s="30" t="n">
        <v>43773</v>
      </c>
      <c r="B1406" s="31" t="inlineStr">
        <is>
          <t>6896</t>
        </is>
      </c>
      <c r="C1406" s="35" t="n"/>
      <c r="D1406" s="36" t="n">
        <v>52</v>
      </c>
      <c r="E1406" s="36" t="n"/>
      <c r="F1406" s="37" t="n"/>
      <c r="G1406" s="37" t="n">
        <v>150</v>
      </c>
      <c r="H1406" s="98">
        <f>H1405-G1406</f>
        <v/>
      </c>
      <c r="I1406" s="36" t="n"/>
      <c r="J1406" s="711">
        <f>F1406*I1406</f>
        <v/>
      </c>
      <c r="K1406" s="721" t="n">
        <v>3</v>
      </c>
      <c r="L1406" s="710">
        <f>J1406-K1406</f>
        <v/>
      </c>
      <c r="M1406" s="392" t="n"/>
    </row>
    <row r="1407" ht="17.25" customHeight="1" s="436">
      <c r="A1407" s="30" t="n">
        <v>43773</v>
      </c>
      <c r="B1407" s="31" t="inlineStr">
        <is>
          <t>6897</t>
        </is>
      </c>
      <c r="C1407" s="35" t="n"/>
      <c r="D1407" s="36" t="n">
        <v>56</v>
      </c>
      <c r="E1407" s="36" t="n"/>
      <c r="F1407" s="37" t="n"/>
      <c r="G1407" s="37" t="n">
        <v>30</v>
      </c>
      <c r="H1407" s="98">
        <f>H1406-G1407</f>
        <v/>
      </c>
      <c r="I1407" s="36" t="n"/>
      <c r="J1407" s="711">
        <f>F1407*I1407</f>
        <v/>
      </c>
      <c r="K1407" s="721" t="n">
        <v>4</v>
      </c>
      <c r="L1407" s="710">
        <f>J1407-K1407</f>
        <v/>
      </c>
      <c r="M1407" s="392" t="n"/>
    </row>
    <row r="1408" ht="17.25" customHeight="1" s="436">
      <c r="A1408" s="30" t="n">
        <v>43776</v>
      </c>
      <c r="B1408" s="31" t="inlineStr">
        <is>
          <t>6899</t>
        </is>
      </c>
      <c r="C1408" s="35" t="n"/>
      <c r="D1408" s="36" t="n">
        <v>52.5</v>
      </c>
      <c r="E1408" s="36" t="n"/>
      <c r="F1408" s="37" t="n"/>
      <c r="G1408" s="37" t="n">
        <v>40</v>
      </c>
      <c r="H1408" s="98">
        <f>H1407-G1408</f>
        <v/>
      </c>
      <c r="I1408" s="36" t="n"/>
      <c r="J1408" s="711">
        <f>F1408*I1408</f>
        <v/>
      </c>
      <c r="K1408" s="721" t="n">
        <v>5</v>
      </c>
      <c r="L1408" s="710">
        <f>J1408-K1408</f>
        <v/>
      </c>
      <c r="M1408" s="392" t="n"/>
    </row>
    <row r="1409" ht="17.25" customHeight="1" s="436">
      <c r="A1409" s="30" t="n">
        <v>43776</v>
      </c>
      <c r="B1409" s="31" t="inlineStr">
        <is>
          <t>6900</t>
        </is>
      </c>
      <c r="C1409" s="35" t="n"/>
      <c r="D1409" s="36" t="n">
        <v>58</v>
      </c>
      <c r="E1409" s="36" t="n"/>
      <c r="F1409" s="37" t="n"/>
      <c r="G1409" s="37" t="n">
        <v>120</v>
      </c>
      <c r="H1409" s="98">
        <f>H1408-G1409</f>
        <v/>
      </c>
      <c r="I1409" s="36" t="n"/>
      <c r="J1409" s="711">
        <f>F1409*I1409</f>
        <v/>
      </c>
      <c r="K1409" s="721" t="n">
        <v>6</v>
      </c>
      <c r="L1409" s="710">
        <f>J1409-K1409</f>
        <v/>
      </c>
      <c r="M1409" s="392" t="n"/>
    </row>
    <row r="1410" ht="17.25" customHeight="1" s="436">
      <c r="A1410" s="30" t="n">
        <v>43776</v>
      </c>
      <c r="B1410" s="31" t="inlineStr">
        <is>
          <t>6902</t>
        </is>
      </c>
      <c r="C1410" s="35" t="n"/>
      <c r="D1410" s="36" t="n">
        <v>53</v>
      </c>
      <c r="E1410" s="36" t="n"/>
      <c r="F1410" s="37" t="n"/>
      <c r="G1410" s="37" t="n">
        <v>20</v>
      </c>
      <c r="H1410" s="98">
        <f>H1409-G1410</f>
        <v/>
      </c>
      <c r="I1410" s="36" t="n"/>
      <c r="J1410" s="711">
        <f>F1410*I1410</f>
        <v/>
      </c>
      <c r="K1410" s="721" t="n">
        <v>7</v>
      </c>
      <c r="L1410" s="710">
        <f>J1410-K1410</f>
        <v/>
      </c>
      <c r="M1410" s="392" t="n"/>
    </row>
    <row r="1411" ht="17.25" customHeight="1" s="436">
      <c r="A1411" s="30" t="n">
        <v>43776</v>
      </c>
      <c r="B1411" s="31" t="inlineStr">
        <is>
          <t>6903</t>
        </is>
      </c>
      <c r="C1411" s="35" t="n"/>
      <c r="D1411" s="36" t="n">
        <v>53.25</v>
      </c>
      <c r="E1411" s="36" t="n"/>
      <c r="F1411" s="37" t="n"/>
      <c r="G1411" s="37" t="n">
        <v>20</v>
      </c>
      <c r="H1411" s="98">
        <f>H1410-G1411</f>
        <v/>
      </c>
      <c r="I1411" s="36" t="n"/>
      <c r="J1411" s="711">
        <f>F1411*I1411</f>
        <v/>
      </c>
      <c r="K1411" s="721" t="n">
        <v>8</v>
      </c>
      <c r="L1411" s="710">
        <f>J1411-K1411</f>
        <v/>
      </c>
      <c r="M1411" s="392" t="n"/>
    </row>
    <row r="1412" ht="17.25" customHeight="1" s="436">
      <c r="A1412" s="30" t="n">
        <v>43776</v>
      </c>
      <c r="B1412" s="31" t="inlineStr">
        <is>
          <t>6904</t>
        </is>
      </c>
      <c r="C1412" s="35" t="n"/>
      <c r="D1412" s="36" t="n">
        <v>56</v>
      </c>
      <c r="E1412" s="36" t="n"/>
      <c r="F1412" s="37" t="n"/>
      <c r="G1412" s="37" t="n">
        <v>20</v>
      </c>
      <c r="H1412" s="98">
        <f>H1411-G1412</f>
        <v/>
      </c>
      <c r="I1412" s="36" t="n"/>
      <c r="J1412" s="711">
        <f>F1412*I1412</f>
        <v/>
      </c>
      <c r="K1412" s="721" t="n">
        <v>9</v>
      </c>
      <c r="L1412" s="710">
        <f>J1412-K1412</f>
        <v/>
      </c>
      <c r="M1412" s="392" t="n"/>
    </row>
    <row r="1413" ht="17.25" customHeight="1" s="436">
      <c r="A1413" s="30" t="n">
        <v>43776</v>
      </c>
      <c r="B1413" s="31" t="inlineStr">
        <is>
          <t>6907</t>
        </is>
      </c>
      <c r="C1413" s="35" t="n"/>
      <c r="D1413" s="36" t="n">
        <v>56</v>
      </c>
      <c r="E1413" s="36" t="n"/>
      <c r="F1413" s="37" t="n"/>
      <c r="G1413" s="37" t="n">
        <v>20</v>
      </c>
      <c r="H1413" s="98">
        <f>H1412-G1413</f>
        <v/>
      </c>
      <c r="I1413" s="36" t="n"/>
      <c r="J1413" s="711">
        <f>F1413*I1413</f>
        <v/>
      </c>
      <c r="K1413" s="721" t="n">
        <v>10</v>
      </c>
      <c r="L1413" s="710">
        <f>J1413-K1413</f>
        <v/>
      </c>
      <c r="M1413" s="392" t="n"/>
    </row>
    <row r="1414" ht="17.25" customHeight="1" s="436">
      <c r="A1414" s="30" t="n">
        <v>43776</v>
      </c>
      <c r="B1414" s="31" t="inlineStr">
        <is>
          <t>6908</t>
        </is>
      </c>
      <c r="C1414" s="35" t="n"/>
      <c r="D1414" s="36" t="n">
        <v>56</v>
      </c>
      <c r="E1414" s="36" t="n"/>
      <c r="F1414" s="37" t="n"/>
      <c r="G1414" s="37" t="n">
        <v>50</v>
      </c>
      <c r="H1414" s="98">
        <f>H1413-G1414</f>
        <v/>
      </c>
      <c r="I1414" s="36" t="n"/>
      <c r="J1414" s="711">
        <f>F1414*I1414</f>
        <v/>
      </c>
      <c r="K1414" s="721" t="n">
        <v>11</v>
      </c>
      <c r="L1414" s="710">
        <f>J1414-K1414</f>
        <v/>
      </c>
      <c r="M1414" s="392" t="n"/>
    </row>
    <row r="1415" ht="17.25" customHeight="1" s="436">
      <c r="A1415" s="30" t="n">
        <v>43780</v>
      </c>
      <c r="B1415" s="31" t="inlineStr">
        <is>
          <t>6910</t>
        </is>
      </c>
      <c r="C1415" s="35" t="n"/>
      <c r="D1415" s="36" t="n">
        <v>52</v>
      </c>
      <c r="E1415" s="36" t="n"/>
      <c r="F1415" s="37" t="n"/>
      <c r="G1415" s="37" t="n">
        <v>150</v>
      </c>
      <c r="H1415" s="98">
        <f>H1414-G1415</f>
        <v/>
      </c>
      <c r="I1415" s="36" t="n"/>
      <c r="J1415" s="711">
        <f>F1415*I1415</f>
        <v/>
      </c>
      <c r="K1415" s="721" t="n">
        <v>12</v>
      </c>
      <c r="L1415" s="710">
        <f>J1415-K1415</f>
        <v/>
      </c>
      <c r="M1415" s="392" t="n"/>
    </row>
    <row r="1416" ht="17.25" customHeight="1" s="436">
      <c r="A1416" s="30" t="n">
        <v>43780</v>
      </c>
      <c r="B1416" s="31" t="inlineStr">
        <is>
          <t>6911</t>
        </is>
      </c>
      <c r="C1416" s="35" t="n"/>
      <c r="D1416" s="36" t="n">
        <v>57</v>
      </c>
      <c r="E1416" s="36" t="n"/>
      <c r="F1416" s="37" t="n"/>
      <c r="G1416" s="37" t="n">
        <v>45</v>
      </c>
      <c r="H1416" s="98">
        <f>H1415-G1416</f>
        <v/>
      </c>
      <c r="I1416" s="36" t="n"/>
      <c r="J1416" s="711">
        <f>F1416*I1416</f>
        <v/>
      </c>
      <c r="K1416" s="721" t="n">
        <v>13</v>
      </c>
      <c r="L1416" s="710">
        <f>J1416-K1416</f>
        <v/>
      </c>
      <c r="M1416" s="392" t="n"/>
    </row>
    <row r="1417" ht="17.25" customHeight="1" s="436">
      <c r="A1417" s="30" t="n">
        <v>43780</v>
      </c>
      <c r="B1417" s="31" t="inlineStr">
        <is>
          <t>6912</t>
        </is>
      </c>
      <c r="C1417" s="35" t="n"/>
      <c r="D1417" s="36" t="n">
        <v>56</v>
      </c>
      <c r="E1417" s="36" t="n"/>
      <c r="F1417" s="37" t="n"/>
      <c r="G1417" s="37" t="n">
        <v>30</v>
      </c>
      <c r="H1417" s="98">
        <f>H1416-G1417</f>
        <v/>
      </c>
      <c r="I1417" s="36" t="n"/>
      <c r="J1417" s="711">
        <f>F1417*I1417</f>
        <v/>
      </c>
      <c r="K1417" s="721" t="n">
        <v>14</v>
      </c>
      <c r="L1417" s="710">
        <f>J1417-K1417</f>
        <v/>
      </c>
      <c r="M1417" s="392" t="n"/>
    </row>
    <row r="1418" ht="17.25" customHeight="1" s="436">
      <c r="A1418" s="92" t="n">
        <v>43781</v>
      </c>
      <c r="B1418" s="93" t="inlineStr">
        <is>
          <t>128637</t>
        </is>
      </c>
      <c r="C1418" s="96" t="n"/>
      <c r="D1418" s="97" t="n">
        <v>41.17</v>
      </c>
      <c r="E1418" s="97" t="n"/>
      <c r="F1418" s="98" t="n">
        <v>630</v>
      </c>
      <c r="G1418" s="98" t="n"/>
      <c r="H1418" s="98" t="n">
        <v>3265</v>
      </c>
      <c r="I1418" s="36" t="n"/>
      <c r="J1418" s="711" t="n"/>
      <c r="K1418" s="721" t="n"/>
      <c r="L1418" s="710" t="n"/>
      <c r="M1418" s="392" t="n"/>
    </row>
    <row r="1419" ht="17.25" customHeight="1" s="436">
      <c r="A1419" s="92" t="n">
        <v>43781</v>
      </c>
      <c r="B1419" s="93" t="inlineStr">
        <is>
          <t>128637</t>
        </is>
      </c>
      <c r="C1419" s="96" t="n"/>
      <c r="D1419" s="97" t="n">
        <v>42.9</v>
      </c>
      <c r="E1419" s="97" t="n"/>
      <c r="F1419" s="98" t="n">
        <v>100</v>
      </c>
      <c r="G1419" s="98" t="n"/>
      <c r="H1419" s="98" t="n">
        <v>3365</v>
      </c>
      <c r="I1419" s="36" t="n"/>
      <c r="J1419" s="711" t="n"/>
      <c r="K1419" s="721" t="n"/>
      <c r="L1419" s="710" t="n"/>
      <c r="M1419" s="392" t="n"/>
    </row>
    <row r="1420" ht="17.25" customHeight="1" s="436">
      <c r="A1420" s="30" t="n">
        <v>43781</v>
      </c>
      <c r="B1420" s="31" t="inlineStr">
        <is>
          <t>6916</t>
        </is>
      </c>
      <c r="C1420" s="35" t="n"/>
      <c r="D1420" s="36" t="n">
        <v>50</v>
      </c>
      <c r="E1420" s="36" t="n"/>
      <c r="F1420" s="37" t="n"/>
      <c r="G1420" s="37" t="n">
        <v>50</v>
      </c>
      <c r="H1420" s="98">
        <f>H1419-G1420</f>
        <v/>
      </c>
      <c r="I1420" s="36" t="n"/>
      <c r="J1420" s="711">
        <f>F1420*I1420</f>
        <v/>
      </c>
      <c r="K1420" s="721" t="n">
        <v>15</v>
      </c>
      <c r="L1420" s="710">
        <f>J1420-K1420</f>
        <v/>
      </c>
      <c r="M1420" s="392" t="n"/>
    </row>
    <row r="1421" ht="17.25" customHeight="1" s="436">
      <c r="A1421" s="92" t="n">
        <v>43782</v>
      </c>
      <c r="B1421" s="93" t="inlineStr">
        <is>
          <t>2570</t>
        </is>
      </c>
      <c r="C1421" s="96" t="n"/>
      <c r="D1421" s="97" t="n">
        <v>39</v>
      </c>
      <c r="E1421" s="97" t="n"/>
      <c r="F1421" s="98" t="n">
        <v>200</v>
      </c>
      <c r="G1421" s="98" t="n"/>
      <c r="H1421" s="98" t="n">
        <v>3515</v>
      </c>
      <c r="I1421" s="36" t="n"/>
      <c r="J1421" s="711" t="n"/>
      <c r="K1421" s="721" t="n"/>
      <c r="L1421" s="710" t="n"/>
      <c r="M1421" s="392" t="n"/>
    </row>
    <row r="1422" ht="17.25" customHeight="1" s="436">
      <c r="A1422" s="30" t="n">
        <v>43782</v>
      </c>
      <c r="B1422" s="31" t="inlineStr">
        <is>
          <t>6917</t>
        </is>
      </c>
      <c r="C1422" s="35" t="n"/>
      <c r="D1422" s="36" t="n">
        <v>56</v>
      </c>
      <c r="E1422" s="36" t="n"/>
      <c r="F1422" s="37" t="n"/>
      <c r="G1422" s="37" t="n">
        <v>60</v>
      </c>
      <c r="H1422" s="98">
        <f>H1421-G1422</f>
        <v/>
      </c>
      <c r="I1422" s="36" t="n"/>
      <c r="J1422" s="711">
        <f>F1422*I1422</f>
        <v/>
      </c>
      <c r="K1422" s="721" t="n">
        <v>16</v>
      </c>
      <c r="L1422" s="710">
        <f>J1422-K1422</f>
        <v/>
      </c>
      <c r="M1422" s="392" t="n"/>
    </row>
    <row r="1423" ht="17.25" customHeight="1" s="436">
      <c r="A1423" s="30" t="n">
        <v>43782</v>
      </c>
      <c r="B1423" s="31" t="inlineStr">
        <is>
          <t>6918</t>
        </is>
      </c>
      <c r="C1423" s="35" t="n"/>
      <c r="D1423" s="36" t="n">
        <v>50</v>
      </c>
      <c r="E1423" s="36" t="n"/>
      <c r="F1423" s="37" t="n"/>
      <c r="G1423" s="37" t="n">
        <v>15</v>
      </c>
      <c r="H1423" s="98">
        <f>H1422-G1423</f>
        <v/>
      </c>
      <c r="I1423" s="36" t="n"/>
      <c r="J1423" s="711">
        <f>F1423*I1423</f>
        <v/>
      </c>
      <c r="K1423" s="721" t="n">
        <v>17</v>
      </c>
      <c r="L1423" s="710">
        <f>J1423-K1423</f>
        <v/>
      </c>
      <c r="M1423" s="392" t="n"/>
    </row>
    <row r="1424" ht="17.25" customHeight="1" s="436">
      <c r="A1424" s="30" t="n">
        <v>43782</v>
      </c>
      <c r="B1424" s="31" t="inlineStr">
        <is>
          <t>6921</t>
        </is>
      </c>
      <c r="C1424" s="35" t="n"/>
      <c r="D1424" s="36" t="n">
        <v>56</v>
      </c>
      <c r="E1424" s="36" t="n"/>
      <c r="F1424" s="37" t="n"/>
      <c r="G1424" s="37" t="n">
        <v>30</v>
      </c>
      <c r="H1424" s="98">
        <f>H1423-G1424</f>
        <v/>
      </c>
      <c r="I1424" s="36" t="n"/>
      <c r="J1424" s="711">
        <f>F1424*I1424</f>
        <v/>
      </c>
      <c r="K1424" s="721" t="n">
        <v>18</v>
      </c>
      <c r="L1424" s="710">
        <f>J1424-K1424</f>
        <v/>
      </c>
      <c r="M1424" s="392" t="n"/>
    </row>
    <row r="1425" ht="17.25" customHeight="1" s="436">
      <c r="A1425" s="30" t="n">
        <v>43782</v>
      </c>
      <c r="B1425" s="31" t="inlineStr">
        <is>
          <t>6922</t>
        </is>
      </c>
      <c r="C1425" s="35" t="n"/>
      <c r="D1425" s="36" t="n">
        <v>51</v>
      </c>
      <c r="E1425" s="36" t="n"/>
      <c r="F1425" s="37" t="n"/>
      <c r="G1425" s="37" t="n">
        <v>20</v>
      </c>
      <c r="H1425" s="98">
        <f>H1424-G1425</f>
        <v/>
      </c>
      <c r="I1425" s="36" t="n"/>
      <c r="J1425" s="711">
        <f>F1425*I1425</f>
        <v/>
      </c>
      <c r="K1425" s="721" t="n">
        <v>19</v>
      </c>
      <c r="L1425" s="710">
        <f>J1425-K1425</f>
        <v/>
      </c>
      <c r="M1425" s="392" t="n"/>
    </row>
    <row r="1426" ht="17.25" customHeight="1" s="436">
      <c r="A1426" s="30" t="n">
        <v>43782</v>
      </c>
      <c r="B1426" s="31" t="inlineStr">
        <is>
          <t>6924</t>
        </is>
      </c>
      <c r="C1426" s="35" t="n"/>
      <c r="D1426" s="36" t="n">
        <v>56</v>
      </c>
      <c r="E1426" s="36" t="n"/>
      <c r="F1426" s="37" t="n"/>
      <c r="G1426" s="37" t="n">
        <v>20</v>
      </c>
      <c r="H1426" s="98">
        <f>H1425-G1426</f>
        <v/>
      </c>
      <c r="I1426" s="36" t="n"/>
      <c r="J1426" s="711">
        <f>F1426*I1426</f>
        <v/>
      </c>
      <c r="K1426" s="721" t="n">
        <v>20</v>
      </c>
      <c r="L1426" s="710">
        <f>J1426-K1426</f>
        <v/>
      </c>
      <c r="M1426" s="392" t="n"/>
    </row>
    <row r="1427" ht="17.25" customHeight="1" s="436">
      <c r="A1427" s="30" t="n">
        <v>43786</v>
      </c>
      <c r="B1427" s="31" t="inlineStr">
        <is>
          <t>6925</t>
        </is>
      </c>
      <c r="C1427" s="35" t="n"/>
      <c r="D1427" s="36" t="n">
        <v>50</v>
      </c>
      <c r="E1427" s="36" t="n"/>
      <c r="F1427" s="37" t="n"/>
      <c r="G1427" s="37" t="n">
        <v>100</v>
      </c>
      <c r="H1427" s="98">
        <f>H1426-G1427</f>
        <v/>
      </c>
      <c r="I1427" s="36" t="n"/>
      <c r="J1427" s="711">
        <f>F1427*I1427</f>
        <v/>
      </c>
      <c r="K1427" s="721" t="n">
        <v>21</v>
      </c>
      <c r="L1427" s="710">
        <f>J1427-K1427</f>
        <v/>
      </c>
      <c r="M1427" s="392" t="n"/>
    </row>
    <row r="1428" ht="17.25" customHeight="1" s="436">
      <c r="A1428" s="30" t="n">
        <v>43786</v>
      </c>
      <c r="B1428" s="31" t="inlineStr">
        <is>
          <t>6926</t>
        </is>
      </c>
      <c r="C1428" s="35" t="n"/>
      <c r="D1428" s="36" t="n">
        <v>55</v>
      </c>
      <c r="E1428" s="36" t="n"/>
      <c r="F1428" s="37" t="n"/>
      <c r="G1428" s="37" t="n">
        <v>50</v>
      </c>
      <c r="H1428" s="98">
        <f>H1427-G1428</f>
        <v/>
      </c>
      <c r="I1428" s="36" t="n"/>
      <c r="J1428" s="711">
        <f>F1428*I1428</f>
        <v/>
      </c>
      <c r="K1428" s="721" t="n">
        <v>22</v>
      </c>
      <c r="L1428" s="710">
        <f>J1428-K1428</f>
        <v/>
      </c>
      <c r="M1428" s="392" t="n"/>
    </row>
    <row r="1429" ht="17.25" customHeight="1" s="436">
      <c r="A1429" s="30" t="n">
        <v>43787</v>
      </c>
      <c r="B1429" s="31" t="inlineStr">
        <is>
          <t>6929</t>
        </is>
      </c>
      <c r="C1429" s="35" t="n"/>
      <c r="D1429" s="36" t="n">
        <v>51</v>
      </c>
      <c r="E1429" s="36" t="n"/>
      <c r="F1429" s="37" t="n"/>
      <c r="G1429" s="37" t="n">
        <v>30</v>
      </c>
      <c r="H1429" s="98">
        <f>H1428-G1429</f>
        <v/>
      </c>
      <c r="I1429" s="36" t="n"/>
      <c r="J1429" s="711">
        <f>F1429*I1429</f>
        <v/>
      </c>
      <c r="K1429" s="721" t="n">
        <v>23</v>
      </c>
      <c r="L1429" s="710">
        <f>J1429-K1429</f>
        <v/>
      </c>
      <c r="M1429" s="392" t="n"/>
    </row>
    <row r="1430" ht="17.25" customHeight="1" s="436">
      <c r="A1430" s="30" t="n">
        <v>43787</v>
      </c>
      <c r="B1430" s="31" t="inlineStr">
        <is>
          <t>6931</t>
        </is>
      </c>
      <c r="C1430" s="35" t="n"/>
      <c r="D1430" s="36" t="n">
        <v>56</v>
      </c>
      <c r="E1430" s="36" t="n"/>
      <c r="F1430" s="37" t="n"/>
      <c r="G1430" s="37" t="n">
        <v>30</v>
      </c>
      <c r="H1430" s="98">
        <f>H1429-G1430</f>
        <v/>
      </c>
      <c r="I1430" s="36" t="n"/>
      <c r="J1430" s="711">
        <f>F1430*I1430</f>
        <v/>
      </c>
      <c r="K1430" s="721" t="n">
        <v>24</v>
      </c>
      <c r="L1430" s="710">
        <f>J1430-K1430</f>
        <v/>
      </c>
      <c r="M1430" s="392" t="n"/>
    </row>
    <row r="1431" ht="17.25" customHeight="1" s="436">
      <c r="A1431" s="30" t="n">
        <v>43787</v>
      </c>
      <c r="B1431" s="31" t="inlineStr">
        <is>
          <t>6932</t>
        </is>
      </c>
      <c r="C1431" s="35" t="n"/>
      <c r="D1431" s="36" t="n">
        <v>57</v>
      </c>
      <c r="E1431" s="36" t="n"/>
      <c r="F1431" s="37" t="n"/>
      <c r="G1431" s="37" t="n">
        <v>10</v>
      </c>
      <c r="H1431" s="98">
        <f>H1430-G1431</f>
        <v/>
      </c>
      <c r="I1431" s="36" t="n"/>
      <c r="J1431" s="711">
        <f>F1431*I1431</f>
        <v/>
      </c>
      <c r="K1431" s="721" t="n">
        <v>25</v>
      </c>
      <c r="L1431" s="710">
        <f>J1431-K1431</f>
        <v/>
      </c>
      <c r="M1431" s="392" t="n"/>
    </row>
    <row r="1432" ht="17.25" customHeight="1" s="436">
      <c r="A1432" s="30" t="n">
        <v>43789</v>
      </c>
      <c r="B1432" s="31" t="inlineStr">
        <is>
          <t>6933</t>
        </is>
      </c>
      <c r="C1432" s="35" t="n"/>
      <c r="D1432" s="36" t="n">
        <v>57</v>
      </c>
      <c r="E1432" s="36" t="n"/>
      <c r="F1432" s="37" t="n"/>
      <c r="G1432" s="37" t="n">
        <v>45</v>
      </c>
      <c r="H1432" s="98">
        <f>H1431-G1432</f>
        <v/>
      </c>
      <c r="I1432" s="36" t="n"/>
      <c r="J1432" s="711">
        <f>F1432*I1432</f>
        <v/>
      </c>
      <c r="K1432" s="721" t="n">
        <v>26</v>
      </c>
      <c r="L1432" s="710">
        <f>J1432-K1432</f>
        <v/>
      </c>
      <c r="M1432" s="392" t="n"/>
    </row>
    <row r="1433" ht="17.25" customHeight="1" s="436">
      <c r="A1433" s="30" t="n">
        <v>43789</v>
      </c>
      <c r="B1433" s="31" t="inlineStr">
        <is>
          <t>6934</t>
        </is>
      </c>
      <c r="C1433" s="35" t="n"/>
      <c r="D1433" s="36" t="n">
        <v>53</v>
      </c>
      <c r="E1433" s="36" t="n"/>
      <c r="F1433" s="37" t="n"/>
      <c r="G1433" s="37" t="n">
        <v>10</v>
      </c>
      <c r="H1433" s="98">
        <f>H1432-G1433</f>
        <v/>
      </c>
      <c r="I1433" s="36" t="n"/>
      <c r="J1433" s="711">
        <f>F1433*I1433</f>
        <v/>
      </c>
      <c r="K1433" s="721" t="n">
        <v>27</v>
      </c>
      <c r="L1433" s="710">
        <f>J1433-K1433</f>
        <v/>
      </c>
      <c r="M1433" s="392" t="n"/>
    </row>
    <row r="1434" ht="17.25" customHeight="1" s="436">
      <c r="A1434" s="30" t="n">
        <v>43789</v>
      </c>
      <c r="B1434" s="31" t="inlineStr">
        <is>
          <t>6935</t>
        </is>
      </c>
      <c r="C1434" s="35" t="n"/>
      <c r="D1434" s="36" t="n">
        <v>53</v>
      </c>
      <c r="E1434" s="36" t="n"/>
      <c r="F1434" s="37" t="n"/>
      <c r="G1434" s="37" t="n">
        <v>10</v>
      </c>
      <c r="H1434" s="98">
        <f>H1433-G1434</f>
        <v/>
      </c>
      <c r="I1434" s="36" t="n"/>
      <c r="J1434" s="711">
        <f>F1434*I1434</f>
        <v/>
      </c>
      <c r="K1434" s="721" t="n">
        <v>28</v>
      </c>
      <c r="L1434" s="710">
        <f>J1434-K1434</f>
        <v/>
      </c>
      <c r="M1434" s="392" t="n"/>
    </row>
    <row r="1435" ht="17.25" customHeight="1" s="436">
      <c r="A1435" s="30" t="n">
        <v>43789</v>
      </c>
      <c r="B1435" s="31" t="inlineStr">
        <is>
          <t>6936</t>
        </is>
      </c>
      <c r="C1435" s="35" t="n"/>
      <c r="D1435" s="36" t="n">
        <v>56</v>
      </c>
      <c r="E1435" s="36" t="n"/>
      <c r="F1435" s="37" t="n"/>
      <c r="G1435" s="37" t="n">
        <v>20</v>
      </c>
      <c r="H1435" s="98">
        <f>H1434-G1435</f>
        <v/>
      </c>
      <c r="I1435" s="36" t="n"/>
      <c r="J1435" s="711">
        <f>F1435*I1435</f>
        <v/>
      </c>
      <c r="K1435" s="721" t="n">
        <v>29</v>
      </c>
      <c r="L1435" s="710">
        <f>J1435-K1435</f>
        <v/>
      </c>
      <c r="M1435" s="392" t="n"/>
    </row>
    <row r="1436" ht="17.25" customHeight="1" s="436">
      <c r="A1436" s="30" t="n">
        <v>43789</v>
      </c>
      <c r="B1436" s="31" t="inlineStr">
        <is>
          <t>6937</t>
        </is>
      </c>
      <c r="C1436" s="35" t="n"/>
      <c r="D1436" s="36" t="n">
        <v>56</v>
      </c>
      <c r="E1436" s="36" t="n"/>
      <c r="F1436" s="37" t="n"/>
      <c r="G1436" s="37" t="n">
        <v>40</v>
      </c>
      <c r="H1436" s="98">
        <f>H1435-G1436</f>
        <v/>
      </c>
      <c r="I1436" s="36" t="n"/>
      <c r="J1436" s="711">
        <f>F1436*I1436</f>
        <v/>
      </c>
      <c r="K1436" s="721" t="n">
        <v>30</v>
      </c>
      <c r="L1436" s="710">
        <f>J1436-K1436</f>
        <v/>
      </c>
      <c r="M1436" s="392" t="n"/>
    </row>
    <row r="1437" ht="17.25" customHeight="1" s="436">
      <c r="A1437" s="30" t="n">
        <v>43790</v>
      </c>
      <c r="B1437" s="31" t="inlineStr">
        <is>
          <t>6941</t>
        </is>
      </c>
      <c r="C1437" s="35" t="n"/>
      <c r="D1437" s="36" t="n">
        <v>56</v>
      </c>
      <c r="E1437" s="36" t="n"/>
      <c r="F1437" s="37" t="n"/>
      <c r="G1437" s="37" t="n">
        <v>50</v>
      </c>
      <c r="H1437" s="98">
        <f>H1436-G1437</f>
        <v/>
      </c>
      <c r="I1437" s="36" t="n"/>
      <c r="J1437" s="711">
        <f>F1437*I1437</f>
        <v/>
      </c>
      <c r="K1437" s="721" t="n">
        <v>31</v>
      </c>
      <c r="L1437" s="710">
        <f>J1437-K1437</f>
        <v/>
      </c>
      <c r="M1437" s="392" t="n"/>
    </row>
    <row r="1438" ht="17.25" customHeight="1" s="436">
      <c r="A1438" s="30" t="n">
        <v>43795</v>
      </c>
      <c r="B1438" s="31" t="inlineStr">
        <is>
          <t>6943</t>
        </is>
      </c>
      <c r="C1438" s="35" t="n"/>
      <c r="D1438" s="36" t="n">
        <v>56</v>
      </c>
      <c r="E1438" s="36" t="n"/>
      <c r="F1438" s="37" t="n"/>
      <c r="G1438" s="37" t="n">
        <v>15</v>
      </c>
      <c r="H1438" s="98">
        <f>H1437-G1438</f>
        <v/>
      </c>
      <c r="I1438" s="36" t="n"/>
      <c r="J1438" s="711">
        <f>F1438*I1438</f>
        <v/>
      </c>
      <c r="K1438" s="721" t="n">
        <v>32</v>
      </c>
      <c r="L1438" s="710">
        <f>J1438-K1438</f>
        <v/>
      </c>
      <c r="M1438" s="392" t="n"/>
    </row>
    <row r="1439" ht="17.25" customHeight="1" s="436">
      <c r="A1439" s="30" t="n">
        <v>43795</v>
      </c>
      <c r="B1439" s="31" t="inlineStr">
        <is>
          <t>6944</t>
        </is>
      </c>
      <c r="C1439" s="35" t="n"/>
      <c r="D1439" s="36" t="n">
        <v>56</v>
      </c>
      <c r="E1439" s="36" t="n"/>
      <c r="F1439" s="37" t="n"/>
      <c r="G1439" s="37" t="n">
        <v>30</v>
      </c>
      <c r="H1439" s="98">
        <f>H1438-G1439</f>
        <v/>
      </c>
      <c r="I1439" s="36" t="n"/>
      <c r="J1439" s="711">
        <f>F1439*I1439</f>
        <v/>
      </c>
      <c r="K1439" s="721" t="n">
        <v>33</v>
      </c>
      <c r="L1439" s="710">
        <f>J1439-K1439</f>
        <v/>
      </c>
      <c r="M1439" s="392" t="n"/>
    </row>
    <row r="1440" ht="17.25" customHeight="1" s="436">
      <c r="A1440" s="30" t="n">
        <v>43795</v>
      </c>
      <c r="B1440" s="31" t="inlineStr">
        <is>
          <t>6945</t>
        </is>
      </c>
      <c r="C1440" s="35" t="n"/>
      <c r="D1440" s="36" t="n">
        <v>51</v>
      </c>
      <c r="E1440" s="36" t="n"/>
      <c r="F1440" s="37" t="n"/>
      <c r="G1440" s="37" t="n">
        <v>100</v>
      </c>
      <c r="H1440" s="98">
        <f>H1439-G1440</f>
        <v/>
      </c>
      <c r="I1440" s="36" t="n"/>
      <c r="J1440" s="711">
        <f>F1440*I1440</f>
        <v/>
      </c>
      <c r="K1440" s="721" t="n">
        <v>34</v>
      </c>
      <c r="L1440" s="710">
        <f>J1440-K1440</f>
        <v/>
      </c>
      <c r="M1440" s="392" t="n"/>
    </row>
    <row r="1441" ht="17.25" customHeight="1" s="436">
      <c r="A1441" s="30" t="n">
        <v>43795</v>
      </c>
      <c r="B1441" s="31" t="inlineStr">
        <is>
          <t>6946</t>
        </is>
      </c>
      <c r="C1441" s="35" t="n"/>
      <c r="D1441" s="36" t="n">
        <v>52.5</v>
      </c>
      <c r="E1441" s="36" t="n"/>
      <c r="F1441" s="37" t="n"/>
      <c r="G1441" s="37" t="n">
        <v>40</v>
      </c>
      <c r="H1441" s="98">
        <f>H1440-G1441</f>
        <v/>
      </c>
      <c r="I1441" s="36" t="n"/>
      <c r="J1441" s="711">
        <f>F1441*I1441</f>
        <v/>
      </c>
      <c r="K1441" s="721" t="n">
        <v>35</v>
      </c>
      <c r="L1441" s="710">
        <f>J1441-K1441</f>
        <v/>
      </c>
      <c r="M1441" s="392" t="n"/>
    </row>
    <row r="1442" ht="17.25" customHeight="1" s="436">
      <c r="A1442" s="30" t="n">
        <v>43795</v>
      </c>
      <c r="B1442" s="31" t="inlineStr">
        <is>
          <t>6948</t>
        </is>
      </c>
      <c r="C1442" s="35" t="n"/>
      <c r="D1442" s="36" t="n">
        <v>50</v>
      </c>
      <c r="E1442" s="36" t="n"/>
      <c r="F1442" s="37" t="n"/>
      <c r="G1442" s="37" t="n">
        <v>20</v>
      </c>
      <c r="H1442" s="98">
        <f>H1441-G1442</f>
        <v/>
      </c>
      <c r="I1442" s="36" t="n"/>
      <c r="J1442" s="711">
        <f>F1442*I1442</f>
        <v/>
      </c>
      <c r="K1442" s="721" t="n">
        <v>36</v>
      </c>
      <c r="L1442" s="710">
        <f>J1442-K1442</f>
        <v/>
      </c>
      <c r="M1442" s="392" t="n"/>
    </row>
    <row r="1443" ht="17.25" customHeight="1" s="436">
      <c r="A1443" s="30" t="n">
        <v>43797</v>
      </c>
      <c r="B1443" s="31" t="inlineStr">
        <is>
          <t>6949</t>
        </is>
      </c>
      <c r="C1443" s="35" t="n"/>
      <c r="D1443" s="36" t="n">
        <v>56</v>
      </c>
      <c r="E1443" s="36" t="n"/>
      <c r="F1443" s="37" t="n"/>
      <c r="G1443" s="37" t="n">
        <v>20</v>
      </c>
      <c r="H1443" s="98">
        <f>H1442-G1443</f>
        <v/>
      </c>
      <c r="I1443" s="36" t="n"/>
      <c r="J1443" s="711">
        <f>F1443*I1443</f>
        <v/>
      </c>
      <c r="K1443" s="721" t="n">
        <v>37</v>
      </c>
      <c r="L1443" s="710">
        <f>J1443-K1443</f>
        <v/>
      </c>
      <c r="M1443" s="392" t="n"/>
    </row>
    <row r="1444" ht="17.25" customHeight="1" s="436">
      <c r="A1444" s="30" t="n">
        <v>43797</v>
      </c>
      <c r="B1444" s="31" t="inlineStr">
        <is>
          <t>6950</t>
        </is>
      </c>
      <c r="C1444" s="35" t="n"/>
      <c r="D1444" s="36" t="n">
        <v>56</v>
      </c>
      <c r="E1444" s="36" t="n"/>
      <c r="F1444" s="37" t="n"/>
      <c r="G1444" s="37" t="n">
        <v>30</v>
      </c>
      <c r="H1444" s="98">
        <f>H1443-G1444</f>
        <v/>
      </c>
      <c r="I1444" s="36" t="n"/>
      <c r="J1444" s="711">
        <f>F1444*I1444</f>
        <v/>
      </c>
      <c r="K1444" s="721" t="n">
        <v>38</v>
      </c>
      <c r="L1444" s="710">
        <f>J1444-K1444</f>
        <v/>
      </c>
      <c r="M1444" s="392" t="n"/>
    </row>
    <row r="1445" ht="17.25" customHeight="1" s="436">
      <c r="A1445" s="30" t="n">
        <v>43797</v>
      </c>
      <c r="B1445" s="31" t="inlineStr">
        <is>
          <t>6954</t>
        </is>
      </c>
      <c r="C1445" s="35" t="n"/>
      <c r="D1445" s="36" t="n">
        <v>56</v>
      </c>
      <c r="E1445" s="36" t="n"/>
      <c r="F1445" s="37" t="n"/>
      <c r="G1445" s="37" t="n">
        <v>30</v>
      </c>
      <c r="H1445" s="98">
        <f>H1444-G1445</f>
        <v/>
      </c>
      <c r="I1445" s="36" t="n"/>
      <c r="J1445" s="711">
        <f>F1445*I1445</f>
        <v/>
      </c>
      <c r="K1445" s="721" t="n">
        <v>39</v>
      </c>
      <c r="L1445" s="710">
        <f>J1445-K1445</f>
        <v/>
      </c>
      <c r="M1445" s="392" t="n"/>
    </row>
    <row r="1446" ht="17.25" customHeight="1" s="436">
      <c r="A1446" s="30" t="n"/>
      <c r="B1446" s="31" t="n"/>
      <c r="C1446" s="35" t="n"/>
      <c r="D1446" s="36" t="n"/>
      <c r="E1446" s="36" t="n"/>
      <c r="F1446" s="37" t="n"/>
      <c r="G1446" s="37" t="n"/>
      <c r="H1446" s="98">
        <f>H1445-G1446</f>
        <v/>
      </c>
      <c r="I1446" s="36" t="n"/>
      <c r="J1446" s="711">
        <f>F1446*I1446</f>
        <v/>
      </c>
      <c r="K1446" s="721" t="n">
        <v>40</v>
      </c>
      <c r="L1446" s="710">
        <f>J1446-K1446</f>
        <v/>
      </c>
      <c r="M1446" s="392" t="n"/>
    </row>
    <row r="1447" ht="17.25" customHeight="1" s="436">
      <c r="A1447" s="30" t="n"/>
      <c r="B1447" s="31" t="n"/>
      <c r="C1447" s="35" t="n"/>
      <c r="D1447" s="36" t="n"/>
      <c r="E1447" s="36" t="n"/>
      <c r="F1447" s="37" t="n"/>
      <c r="G1447" s="37" t="n"/>
      <c r="H1447" s="98">
        <f>H1446-G1447</f>
        <v/>
      </c>
      <c r="I1447" s="36" t="n"/>
      <c r="J1447" s="711">
        <f>F1447*I1447</f>
        <v/>
      </c>
      <c r="K1447" s="721" t="n">
        <v>41</v>
      </c>
      <c r="L1447" s="710">
        <f>J1447-K1447</f>
        <v/>
      </c>
      <c r="M1447" s="392" t="n"/>
    </row>
    <row r="1448" ht="17.25" customHeight="1" s="436">
      <c r="A1448" s="30" t="n"/>
      <c r="B1448" s="31" t="n"/>
      <c r="C1448" s="35" t="n"/>
      <c r="D1448" s="36" t="n"/>
      <c r="E1448" s="36" t="n"/>
      <c r="F1448" s="37" t="n"/>
      <c r="G1448" s="37" t="n"/>
      <c r="H1448" s="98">
        <f>H1447-G1448</f>
        <v/>
      </c>
      <c r="I1448" s="36" t="n"/>
      <c r="J1448" s="711">
        <f>F1448*I1448</f>
        <v/>
      </c>
      <c r="K1448" s="721" t="n">
        <v>42</v>
      </c>
      <c r="L1448" s="710">
        <f>J1448-K1448</f>
        <v/>
      </c>
      <c r="M1448" s="392" t="n"/>
    </row>
    <row r="1449"/>
    <row r="1450" ht="15.75" customHeight="1" s="436" thickBot="1"/>
    <row r="1451" ht="32.25" customHeight="1" s="436" thickBot="1">
      <c r="A1451" s="735" t="inlineStr">
        <is>
          <t>Dezembro</t>
        </is>
      </c>
      <c r="B1451" s="697" t="n"/>
      <c r="C1451" s="697" t="n"/>
      <c r="D1451" s="697" t="n"/>
      <c r="E1451" s="697" t="n"/>
      <c r="F1451" s="697" t="n"/>
      <c r="G1451" s="697" t="n"/>
      <c r="H1451" s="697" t="n"/>
      <c r="I1451" s="697" t="n"/>
      <c r="J1451" s="697" t="n"/>
      <c r="K1451" s="697" t="n"/>
      <c r="L1451" s="697" t="n"/>
      <c r="M1451" s="698" t="n"/>
    </row>
    <row r="1452" ht="27" customHeight="1" s="436" thickBot="1">
      <c r="A1452" s="734" t="inlineStr">
        <is>
          <t xml:space="preserve"> FARINHA DE TRIGO TIPO: 1 - 25 KG</t>
        </is>
      </c>
      <c r="B1452" s="706" t="n"/>
      <c r="C1452" s="706" t="n"/>
      <c r="D1452" s="706" t="n"/>
      <c r="E1452" s="706" t="n"/>
      <c r="F1452" s="706" t="n"/>
      <c r="G1452" s="706" t="n"/>
      <c r="H1452" s="706" t="n"/>
      <c r="I1452" s="706" t="n"/>
      <c r="J1452" s="706" t="n"/>
      <c r="K1452" s="706" t="n"/>
      <c r="L1452" s="706" t="n"/>
      <c r="M1452" s="707" t="n"/>
    </row>
    <row r="1453">
      <c r="A1453" s="643" t="inlineStr">
        <is>
          <t>DATA</t>
        </is>
      </c>
      <c r="B1453" s="633" t="inlineStr">
        <is>
          <t>N.F.</t>
        </is>
      </c>
      <c r="C1453" s="633" t="inlineStr">
        <is>
          <t>TIPO</t>
        </is>
      </c>
      <c r="D1453" s="633" t="inlineStr">
        <is>
          <t>PREÇO UNITÁRIO</t>
        </is>
      </c>
      <c r="E1453" s="701" t="n"/>
      <c r="F1453" s="633" t="inlineStr">
        <is>
          <t>QUANTIDADE / KG</t>
        </is>
      </c>
      <c r="H1453" s="701" t="n"/>
      <c r="I1453" s="632" t="inlineStr">
        <is>
          <t>PREÇO</t>
        </is>
      </c>
      <c r="J1453" s="632" t="inlineStr">
        <is>
          <t>VALORES</t>
        </is>
      </c>
      <c r="L1453" s="701" t="n"/>
      <c r="M1453" s="649" t="n"/>
    </row>
    <row r="1454" ht="15.75" customHeight="1" s="436" thickBot="1">
      <c r="A1454" s="703" t="n"/>
      <c r="B1454" s="704" t="n"/>
      <c r="C1454" s="704" t="n"/>
      <c r="D1454" s="703" t="n"/>
      <c r="E1454" s="701" t="n"/>
      <c r="F1454" s="705" t="n"/>
      <c r="G1454" s="706" t="n"/>
      <c r="H1454" s="707" t="n"/>
      <c r="I1454" s="704" t="n"/>
      <c r="J1454" s="703" t="n"/>
      <c r="L1454" s="701" t="n"/>
      <c r="M1454" s="704" t="n"/>
    </row>
    <row r="1455" ht="15.75" customHeight="1" s="436" thickBot="1">
      <c r="A1455" s="703" t="n"/>
      <c r="B1455" s="704" t="n"/>
      <c r="C1455" s="704" t="n"/>
      <c r="D1455" s="705" t="n"/>
      <c r="E1455" s="707" t="n"/>
      <c r="F1455" s="3" t="inlineStr">
        <is>
          <t>ENTRADA</t>
        </is>
      </c>
      <c r="G1455" s="3" t="inlineStr">
        <is>
          <t>SAÍDA</t>
        </is>
      </c>
      <c r="H1455" s="640" t="n"/>
      <c r="I1455" s="633" t="inlineStr">
        <is>
          <t>MÉDIO</t>
        </is>
      </c>
      <c r="J1455" s="652" t="inlineStr">
        <is>
          <t>SALDO EM 30/11/2017</t>
        </is>
      </c>
      <c r="K1455" s="706" t="n"/>
      <c r="L1455" s="17" t="n"/>
      <c r="M1455" s="704" t="n"/>
    </row>
    <row r="1456" ht="18" customHeight="1" s="436" thickBot="1">
      <c r="A1456" s="705" t="n"/>
      <c r="B1456" s="695" t="n"/>
      <c r="C1456" s="695" t="n"/>
      <c r="D1456" s="3" t="inlineStr">
        <is>
          <t>C/ICMS</t>
        </is>
      </c>
      <c r="E1456" s="3" t="inlineStr">
        <is>
          <t>S/ICMS</t>
        </is>
      </c>
      <c r="F1456" s="695" t="n"/>
      <c r="G1456" s="695" t="n"/>
      <c r="H1456" s="84" t="inlineStr">
        <is>
          <t>Saldo em 30/11/2019</t>
        </is>
      </c>
      <c r="I1456" s="695" t="n"/>
      <c r="J1456" s="645" t="inlineStr">
        <is>
          <t>ENTRADA</t>
        </is>
      </c>
      <c r="K1456" s="633" t="inlineStr">
        <is>
          <t>SAÍDA / CMV</t>
        </is>
      </c>
      <c r="L1456" s="643" t="inlineStr">
        <is>
          <t>SALDO</t>
        </is>
      </c>
      <c r="M1456" s="392" t="n"/>
    </row>
    <row r="1457" ht="17.25" customHeight="1" s="436">
      <c r="A1457" s="30" t="n">
        <v>43799</v>
      </c>
      <c r="B1457" s="31" t="n"/>
      <c r="C1457" s="35" t="n"/>
      <c r="D1457" s="36" t="n"/>
      <c r="E1457" s="36" t="n"/>
      <c r="F1457" s="37" t="n"/>
      <c r="G1457" s="37" t="n"/>
      <c r="H1457" s="98" t="n">
        <v>2690</v>
      </c>
      <c r="I1457" s="36" t="n"/>
      <c r="J1457" s="711">
        <f>F1457*I1457</f>
        <v/>
      </c>
      <c r="K1457" s="721" t="n">
        <v>0</v>
      </c>
      <c r="L1457" s="710">
        <f>J1457-K1457</f>
        <v/>
      </c>
      <c r="M1457" s="392" t="n"/>
    </row>
    <row r="1458" ht="17.25" customHeight="1" s="436">
      <c r="A1458" s="30" t="n">
        <v>43802</v>
      </c>
      <c r="B1458" s="31" t="inlineStr">
        <is>
          <t>6956</t>
        </is>
      </c>
      <c r="C1458" s="35" t="n"/>
      <c r="D1458" s="36" t="n">
        <v>56.8</v>
      </c>
      <c r="E1458" s="36" t="n"/>
      <c r="F1458" s="37" t="n"/>
      <c r="G1458" s="37" t="n">
        <v>45</v>
      </c>
      <c r="H1458" s="98">
        <f>H1457-G1458</f>
        <v/>
      </c>
      <c r="I1458" s="36" t="n"/>
      <c r="J1458" s="711">
        <f>F1458*I1458</f>
        <v/>
      </c>
      <c r="K1458" s="721" t="n"/>
      <c r="L1458" s="710" t="n"/>
      <c r="M1458" s="392" t="n"/>
    </row>
    <row r="1459" ht="17.25" customHeight="1" s="436">
      <c r="A1459" s="30" t="n">
        <v>43802</v>
      </c>
      <c r="B1459" s="31" t="inlineStr">
        <is>
          <t>6962</t>
        </is>
      </c>
      <c r="C1459" s="35" t="n"/>
      <c r="D1459" s="36" t="n">
        <v>58</v>
      </c>
      <c r="E1459" s="36" t="n"/>
      <c r="F1459" s="37" t="n"/>
      <c r="G1459" s="37" t="n">
        <v>20</v>
      </c>
      <c r="H1459" s="98">
        <f>H1458-G1459</f>
        <v/>
      </c>
      <c r="I1459" s="36" t="n"/>
      <c r="J1459" s="711">
        <f>F1459*I1459</f>
        <v/>
      </c>
      <c r="K1459" s="721" t="n"/>
      <c r="L1459" s="710" t="n"/>
      <c r="M1459" s="392" t="n"/>
    </row>
    <row r="1460" ht="17.25" customHeight="1" s="436">
      <c r="A1460" s="30" t="n">
        <v>43804</v>
      </c>
      <c r="B1460" s="31" t="inlineStr">
        <is>
          <t>6963</t>
        </is>
      </c>
      <c r="C1460" s="35" t="n"/>
      <c r="D1460" s="36" t="n">
        <v>56</v>
      </c>
      <c r="E1460" s="36" t="n"/>
      <c r="F1460" s="37" t="n"/>
      <c r="G1460" s="37" t="n">
        <v>25</v>
      </c>
      <c r="H1460" s="98">
        <f>H1459-G1460</f>
        <v/>
      </c>
      <c r="I1460" s="36" t="n"/>
      <c r="J1460" s="711">
        <f>F1460*I1460</f>
        <v/>
      </c>
      <c r="K1460" s="721" t="n"/>
      <c r="L1460" s="710" t="n"/>
      <c r="M1460" s="392" t="n"/>
    </row>
    <row r="1461" ht="17.25" customHeight="1" s="436">
      <c r="A1461" s="30" t="n">
        <v>43804</v>
      </c>
      <c r="B1461" s="31" t="inlineStr">
        <is>
          <t>6964</t>
        </is>
      </c>
      <c r="C1461" s="35" t="n"/>
      <c r="D1461" s="36" t="n">
        <v>50</v>
      </c>
      <c r="E1461" s="36" t="n"/>
      <c r="F1461" s="37" t="n"/>
      <c r="G1461" s="37" t="n">
        <v>30</v>
      </c>
      <c r="H1461" s="98">
        <f>H1460-G1461</f>
        <v/>
      </c>
      <c r="I1461" s="36" t="n"/>
      <c r="J1461" s="711">
        <f>F1461*I1461</f>
        <v/>
      </c>
      <c r="K1461" s="721" t="n"/>
      <c r="L1461" s="710" t="n"/>
      <c r="M1461" s="392" t="n"/>
    </row>
    <row r="1462" ht="17.25" customHeight="1" s="436">
      <c r="A1462" s="30" t="n">
        <v>43804</v>
      </c>
      <c r="B1462" s="31" t="inlineStr">
        <is>
          <t>6965</t>
        </is>
      </c>
      <c r="C1462" s="35" t="n"/>
      <c r="D1462" s="36" t="n">
        <v>58</v>
      </c>
      <c r="E1462" s="36" t="n"/>
      <c r="F1462" s="37" t="n"/>
      <c r="G1462" s="37" t="n">
        <v>30</v>
      </c>
      <c r="H1462" s="98">
        <f>H1461-G1462</f>
        <v/>
      </c>
      <c r="I1462" s="36" t="n"/>
      <c r="J1462" s="711">
        <f>F1462*I1462</f>
        <v/>
      </c>
      <c r="K1462" s="721" t="n"/>
      <c r="L1462" s="710" t="n"/>
      <c r="M1462" s="392" t="n"/>
    </row>
    <row r="1463" ht="17.25" customHeight="1" s="436">
      <c r="A1463" s="30" t="n">
        <v>43804</v>
      </c>
      <c r="B1463" s="31" t="inlineStr">
        <is>
          <t>6966</t>
        </is>
      </c>
      <c r="C1463" s="35" t="n"/>
      <c r="D1463" s="36" t="n">
        <v>52.4</v>
      </c>
      <c r="E1463" s="36" t="n"/>
      <c r="F1463" s="37" t="n"/>
      <c r="G1463" s="37" t="n">
        <v>50</v>
      </c>
      <c r="H1463" s="98">
        <f>H1462-G1463</f>
        <v/>
      </c>
      <c r="I1463" s="36" t="n"/>
      <c r="J1463" s="711">
        <f>F1463*I1463</f>
        <v/>
      </c>
      <c r="K1463" s="721" t="n"/>
      <c r="L1463" s="710" t="n"/>
      <c r="M1463" s="392" t="n"/>
    </row>
    <row r="1464" ht="17.25" customHeight="1" s="436">
      <c r="A1464" s="30" t="n">
        <v>43804</v>
      </c>
      <c r="B1464" s="31" t="inlineStr">
        <is>
          <t>6969</t>
        </is>
      </c>
      <c r="C1464" s="35" t="n"/>
      <c r="D1464" s="36" t="n">
        <v>56</v>
      </c>
      <c r="E1464" s="36" t="n"/>
      <c r="F1464" s="37" t="n"/>
      <c r="G1464" s="37" t="n">
        <v>30</v>
      </c>
      <c r="H1464" s="98">
        <f>H1463-G1464</f>
        <v/>
      </c>
      <c r="I1464" s="36" t="n"/>
      <c r="J1464" s="711">
        <f>F1464*I1464</f>
        <v/>
      </c>
      <c r="K1464" s="721" t="n"/>
      <c r="L1464" s="710" t="n"/>
      <c r="M1464" s="392" t="n"/>
    </row>
    <row r="1465" ht="17.25" customHeight="1" s="436">
      <c r="A1465" s="92" t="n">
        <v>43808</v>
      </c>
      <c r="B1465" s="93" t="inlineStr">
        <is>
          <t>2579</t>
        </is>
      </c>
      <c r="C1465" s="96" t="n"/>
      <c r="D1465" s="97" t="n">
        <v>38</v>
      </c>
      <c r="E1465" s="97" t="n"/>
      <c r="F1465" s="98" t="n">
        <v>200</v>
      </c>
      <c r="G1465" s="98" t="n"/>
      <c r="H1465" s="98" t="n">
        <v>2660</v>
      </c>
      <c r="I1465" s="36" t="n"/>
      <c r="J1465" s="711" t="n"/>
      <c r="K1465" s="721" t="n"/>
      <c r="L1465" s="710" t="n"/>
      <c r="M1465" s="392" t="n"/>
    </row>
    <row r="1466" ht="17.25" customHeight="1" s="436">
      <c r="A1466" s="92" t="n">
        <v>43809</v>
      </c>
      <c r="B1466" s="93" t="inlineStr">
        <is>
          <t>130909</t>
        </is>
      </c>
      <c r="C1466" s="96" t="n"/>
      <c r="D1466" s="97" t="n">
        <v>42.9</v>
      </c>
      <c r="E1466" s="97" t="n"/>
      <c r="F1466" s="98" t="n">
        <v>100</v>
      </c>
      <c r="G1466" s="98" t="n"/>
      <c r="H1466" s="98" t="n">
        <v>2760</v>
      </c>
      <c r="I1466" s="36" t="n"/>
      <c r="J1466" s="711" t="n"/>
      <c r="K1466" s="721" t="n"/>
      <c r="L1466" s="710" t="n"/>
      <c r="M1466" s="392" t="n"/>
    </row>
    <row r="1467" ht="17.25" customHeight="1" s="436">
      <c r="A1467" s="92" t="n">
        <v>43809</v>
      </c>
      <c r="B1467" s="93" t="inlineStr">
        <is>
          <t>130909</t>
        </is>
      </c>
      <c r="C1467" s="96" t="n"/>
      <c r="D1467" s="97" t="n">
        <v>41.17</v>
      </c>
      <c r="E1467" s="97" t="n"/>
      <c r="F1467" s="98" t="n">
        <v>100</v>
      </c>
      <c r="G1467" s="98" t="n"/>
      <c r="H1467" s="98" t="n">
        <v>2860</v>
      </c>
      <c r="I1467" s="36" t="n"/>
      <c r="J1467" s="711" t="n"/>
      <c r="K1467" s="721" t="n"/>
      <c r="L1467" s="710" t="n"/>
      <c r="M1467" s="392" t="n"/>
    </row>
    <row r="1468" ht="17.25" customHeight="1" s="436">
      <c r="A1468" s="30" t="n">
        <v>43809</v>
      </c>
      <c r="B1468" s="31" t="inlineStr">
        <is>
          <t>6972</t>
        </is>
      </c>
      <c r="C1468" s="35" t="n"/>
      <c r="D1468" s="36" t="n">
        <v>50</v>
      </c>
      <c r="E1468" s="36" t="n"/>
      <c r="F1468" s="37" t="n"/>
      <c r="G1468" s="37" t="n">
        <v>20</v>
      </c>
      <c r="H1468" s="98">
        <f>H1467-G1468</f>
        <v/>
      </c>
      <c r="I1468" s="36" t="n"/>
      <c r="J1468" s="711">
        <f>F1468*I1468</f>
        <v/>
      </c>
      <c r="K1468" s="721" t="n"/>
      <c r="L1468" s="710" t="n"/>
      <c r="M1468" s="392" t="n"/>
    </row>
    <row r="1469" ht="17.25" customHeight="1" s="436">
      <c r="A1469" s="30" t="n">
        <v>43809</v>
      </c>
      <c r="B1469" s="31" t="inlineStr">
        <is>
          <t>6973</t>
        </is>
      </c>
      <c r="C1469" s="35" t="n"/>
      <c r="D1469" s="36" t="n">
        <v>58</v>
      </c>
      <c r="E1469" s="36" t="n"/>
      <c r="F1469" s="37" t="n"/>
      <c r="G1469" s="37" t="n">
        <v>20</v>
      </c>
      <c r="H1469" s="98">
        <f>H1468-G1469</f>
        <v/>
      </c>
      <c r="I1469" s="36" t="n"/>
      <c r="J1469" s="711">
        <f>F1469*I1469</f>
        <v/>
      </c>
      <c r="K1469" s="721" t="n"/>
      <c r="L1469" s="710" t="n"/>
      <c r="M1469" s="392" t="n"/>
    </row>
    <row r="1470" ht="17.25" customHeight="1" s="436">
      <c r="A1470" s="30" t="n">
        <v>43809</v>
      </c>
      <c r="B1470" s="31" t="inlineStr">
        <is>
          <t>6976</t>
        </is>
      </c>
      <c r="C1470" s="35" t="n"/>
      <c r="D1470" s="36" t="n">
        <v>56</v>
      </c>
      <c r="E1470" s="36" t="n"/>
      <c r="F1470" s="37" t="n"/>
      <c r="G1470" s="37" t="n">
        <v>60</v>
      </c>
      <c r="H1470" s="98">
        <f>H1469-G1470</f>
        <v/>
      </c>
      <c r="I1470" s="36" t="n"/>
      <c r="J1470" s="711">
        <f>F1470*I1470</f>
        <v/>
      </c>
      <c r="K1470" s="721" t="n"/>
      <c r="L1470" s="710" t="n"/>
      <c r="M1470" s="392" t="n"/>
    </row>
    <row r="1471" ht="17.25" customHeight="1" s="436">
      <c r="A1471" s="30" t="n">
        <v>43809</v>
      </c>
      <c r="B1471" s="31" t="inlineStr">
        <is>
          <t>6977</t>
        </is>
      </c>
      <c r="C1471" s="35" t="n"/>
      <c r="D1471" s="36" t="n">
        <v>56</v>
      </c>
      <c r="E1471" s="36" t="n"/>
      <c r="F1471" s="37" t="n"/>
      <c r="G1471" s="37" t="n">
        <v>15</v>
      </c>
      <c r="H1471" s="98">
        <f>H1470-G1471</f>
        <v/>
      </c>
      <c r="I1471" s="36" t="n"/>
      <c r="J1471" s="711">
        <f>F1471*I1471</f>
        <v/>
      </c>
      <c r="K1471" s="721" t="n"/>
      <c r="L1471" s="710" t="n"/>
      <c r="M1471" s="392" t="n"/>
    </row>
    <row r="1472" ht="17.25" customHeight="1" s="436">
      <c r="A1472" s="30" t="n">
        <v>43810</v>
      </c>
      <c r="B1472" s="31" t="inlineStr">
        <is>
          <t>6978</t>
        </is>
      </c>
      <c r="C1472" s="35" t="n"/>
      <c r="D1472" s="36" t="n">
        <v>56</v>
      </c>
      <c r="E1472" s="36" t="n"/>
      <c r="F1472" s="37" t="n"/>
      <c r="G1472" s="37" t="n">
        <v>20</v>
      </c>
      <c r="H1472" s="98">
        <f>H1471-G1472</f>
        <v/>
      </c>
      <c r="I1472" s="36" t="n"/>
      <c r="J1472" s="711">
        <f>F1472*I1472</f>
        <v/>
      </c>
      <c r="K1472" s="721" t="n"/>
      <c r="L1472" s="710" t="n"/>
      <c r="M1472" s="392" t="n"/>
    </row>
    <row r="1473" ht="17.25" customHeight="1" s="436">
      <c r="A1473" s="30" t="n">
        <v>43810</v>
      </c>
      <c r="B1473" s="31" t="inlineStr">
        <is>
          <t>6980</t>
        </is>
      </c>
      <c r="C1473" s="35" t="n"/>
      <c r="D1473" s="36" t="n">
        <v>57</v>
      </c>
      <c r="E1473" s="36" t="n"/>
      <c r="F1473" s="37" t="n"/>
      <c r="G1473" s="37" t="n">
        <v>30</v>
      </c>
      <c r="H1473" s="98">
        <f>H1472-G1473</f>
        <v/>
      </c>
      <c r="I1473" s="36" t="n"/>
      <c r="J1473" s="711">
        <f>F1473*I1473</f>
        <v/>
      </c>
      <c r="K1473" s="721" t="n"/>
      <c r="L1473" s="710" t="n"/>
      <c r="M1473" s="392" t="n"/>
    </row>
    <row r="1474" ht="17.25" customHeight="1" s="436">
      <c r="A1474" s="30" t="n">
        <v>43810</v>
      </c>
      <c r="B1474" s="31" t="inlineStr">
        <is>
          <t>6981</t>
        </is>
      </c>
      <c r="C1474" s="35" t="n"/>
      <c r="D1474" s="36" t="n">
        <v>57</v>
      </c>
      <c r="E1474" s="36" t="n"/>
      <c r="F1474" s="37" t="n"/>
      <c r="G1474" s="37" t="n">
        <v>20</v>
      </c>
      <c r="H1474" s="98">
        <f>H1473-G1474</f>
        <v/>
      </c>
      <c r="I1474" s="36" t="n"/>
      <c r="J1474" s="711">
        <f>F1474*I1474</f>
        <v/>
      </c>
      <c r="K1474" s="721" t="n"/>
      <c r="L1474" s="710" t="n"/>
      <c r="M1474" s="392" t="n"/>
    </row>
    <row r="1475" ht="17.25" customHeight="1" s="436">
      <c r="A1475" s="30" t="n">
        <v>43810</v>
      </c>
      <c r="B1475" s="31" t="inlineStr">
        <is>
          <t>6982</t>
        </is>
      </c>
      <c r="C1475" s="35" t="n"/>
      <c r="D1475" s="36" t="n">
        <v>50</v>
      </c>
      <c r="E1475" s="36" t="n"/>
      <c r="F1475" s="37" t="n"/>
      <c r="G1475" s="37" t="n">
        <v>40</v>
      </c>
      <c r="H1475" s="98">
        <f>H1474-G1475</f>
        <v/>
      </c>
      <c r="I1475" s="36" t="n"/>
      <c r="J1475" s="711">
        <f>F1475*I1475</f>
        <v/>
      </c>
      <c r="K1475" s="721" t="n"/>
      <c r="L1475" s="710" t="n"/>
      <c r="M1475" s="392" t="n"/>
    </row>
    <row r="1476" ht="17.25" customHeight="1" s="436">
      <c r="A1476" s="30" t="n">
        <v>43810</v>
      </c>
      <c r="B1476" s="31" t="inlineStr">
        <is>
          <t>6983</t>
        </is>
      </c>
      <c r="C1476" s="35" t="n"/>
      <c r="D1476" s="36" t="n">
        <v>56</v>
      </c>
      <c r="E1476" s="36" t="n"/>
      <c r="F1476" s="37" t="n"/>
      <c r="G1476" s="37" t="n">
        <v>30</v>
      </c>
      <c r="H1476" s="98">
        <f>H1475-G1476</f>
        <v/>
      </c>
      <c r="I1476" s="36" t="n"/>
      <c r="J1476" s="711">
        <f>F1476*I1476</f>
        <v/>
      </c>
      <c r="K1476" s="721" t="n"/>
      <c r="L1476" s="710" t="n"/>
      <c r="M1476" s="392" t="n"/>
    </row>
    <row r="1477" ht="17.25" customHeight="1" s="436">
      <c r="A1477" s="30" t="n">
        <v>43812</v>
      </c>
      <c r="B1477" s="31" t="inlineStr">
        <is>
          <t>6986</t>
        </is>
      </c>
      <c r="C1477" s="35" t="n"/>
      <c r="D1477" s="36" t="n">
        <v>56</v>
      </c>
      <c r="E1477" s="36" t="n"/>
      <c r="F1477" s="37" t="n"/>
      <c r="G1477" s="37" t="n">
        <v>20</v>
      </c>
      <c r="H1477" s="98">
        <f>H1476-G1477</f>
        <v/>
      </c>
      <c r="I1477" s="36" t="n"/>
      <c r="J1477" s="711">
        <f>F1477*I1477</f>
        <v/>
      </c>
      <c r="K1477" s="721" t="n"/>
      <c r="L1477" s="710" t="n"/>
      <c r="M1477" s="392" t="n"/>
    </row>
    <row r="1478" ht="17.25" customHeight="1" s="436">
      <c r="A1478" s="30" t="n">
        <v>43815</v>
      </c>
      <c r="B1478" s="31" t="inlineStr">
        <is>
          <t>6991</t>
        </is>
      </c>
      <c r="C1478" s="35" t="n"/>
      <c r="D1478" s="36" t="n">
        <v>54</v>
      </c>
      <c r="E1478" s="36" t="n"/>
      <c r="F1478" s="37" t="n"/>
      <c r="G1478" s="37" t="n">
        <v>10</v>
      </c>
      <c r="H1478" s="98">
        <f>H1477-G1478</f>
        <v/>
      </c>
      <c r="I1478" s="36" t="n"/>
      <c r="J1478" s="711">
        <f>F1478*I1478</f>
        <v/>
      </c>
      <c r="K1478" s="721" t="n"/>
      <c r="L1478" s="710" t="n"/>
      <c r="M1478" s="392" t="n"/>
    </row>
    <row r="1479" ht="17.25" customHeight="1" s="436">
      <c r="A1479" s="30" t="n">
        <v>43815</v>
      </c>
      <c r="B1479" s="31" t="inlineStr">
        <is>
          <t>6992</t>
        </is>
      </c>
      <c r="C1479" s="35" t="n"/>
      <c r="D1479" s="36" t="n">
        <v>53.13</v>
      </c>
      <c r="E1479" s="36" t="n"/>
      <c r="F1479" s="37" t="n"/>
      <c r="G1479" s="37" t="n">
        <v>40</v>
      </c>
      <c r="H1479" s="98">
        <f>H1478-G1479</f>
        <v/>
      </c>
      <c r="I1479" s="36" t="n"/>
      <c r="J1479" s="711">
        <f>F1479*I1479</f>
        <v/>
      </c>
      <c r="K1479" s="721" t="n"/>
      <c r="L1479" s="710" t="n"/>
      <c r="M1479" s="392" t="n"/>
    </row>
    <row r="1480" ht="17.25" customHeight="1" s="436">
      <c r="A1480" s="30" t="n">
        <v>43815</v>
      </c>
      <c r="B1480" s="31" t="inlineStr">
        <is>
          <t>6994</t>
        </is>
      </c>
      <c r="C1480" s="35" t="n"/>
      <c r="D1480" s="36" t="n">
        <v>56</v>
      </c>
      <c r="E1480" s="36" t="n"/>
      <c r="F1480" s="37" t="n"/>
      <c r="G1480" s="37" t="n">
        <v>60</v>
      </c>
      <c r="H1480" s="98">
        <f>H1479-G1480</f>
        <v/>
      </c>
      <c r="I1480" s="36" t="n"/>
      <c r="J1480" s="711">
        <f>F1480*I1480</f>
        <v/>
      </c>
      <c r="K1480" s="721" t="n"/>
      <c r="L1480" s="710" t="n"/>
      <c r="M1480" s="392" t="n"/>
    </row>
    <row r="1481" ht="17.25" customHeight="1" s="436">
      <c r="A1481" s="30" t="n">
        <v>43815</v>
      </c>
      <c r="B1481" s="31" t="inlineStr">
        <is>
          <t>6995</t>
        </is>
      </c>
      <c r="C1481" s="35" t="n"/>
      <c r="D1481" s="36" t="n">
        <v>56</v>
      </c>
      <c r="E1481" s="36" t="n"/>
      <c r="F1481" s="37" t="n"/>
      <c r="G1481" s="37" t="n">
        <v>50</v>
      </c>
      <c r="H1481" s="98">
        <f>H1480-G1481</f>
        <v/>
      </c>
      <c r="I1481" s="36" t="n"/>
      <c r="J1481" s="711">
        <f>F1481*I1481</f>
        <v/>
      </c>
      <c r="K1481" s="721" t="n"/>
      <c r="L1481" s="710" t="n"/>
      <c r="M1481" s="392" t="n"/>
    </row>
    <row r="1482" ht="17.25" customHeight="1" s="436">
      <c r="A1482" s="30" t="n">
        <v>43817</v>
      </c>
      <c r="B1482" s="31" t="inlineStr">
        <is>
          <t>6998</t>
        </is>
      </c>
      <c r="C1482" s="35" t="n"/>
      <c r="D1482" s="36" t="n">
        <v>53</v>
      </c>
      <c r="E1482" s="36" t="n"/>
      <c r="F1482" s="37" t="n"/>
      <c r="G1482" s="37" t="n">
        <v>30</v>
      </c>
      <c r="H1482" s="98">
        <f>H1481-G1482</f>
        <v/>
      </c>
      <c r="I1482" s="36" t="n"/>
      <c r="J1482" s="711">
        <f>F1482*I1482</f>
        <v/>
      </c>
      <c r="K1482" s="721" t="n"/>
      <c r="L1482" s="710" t="n"/>
      <c r="M1482" s="392" t="n"/>
    </row>
    <row r="1483" ht="17.25" customHeight="1" s="436">
      <c r="A1483" s="30" t="n">
        <v>43817</v>
      </c>
      <c r="B1483" s="31" t="inlineStr">
        <is>
          <t>7000</t>
        </is>
      </c>
      <c r="C1483" s="35" t="n"/>
      <c r="D1483" s="36" t="n">
        <v>54</v>
      </c>
      <c r="E1483" s="36" t="n"/>
      <c r="F1483" s="37" t="n"/>
      <c r="G1483" s="37" t="n">
        <v>50</v>
      </c>
      <c r="H1483" s="98">
        <f>H1482-G1483</f>
        <v/>
      </c>
      <c r="I1483" s="36" t="n"/>
      <c r="J1483" s="711">
        <f>F1483*I1483</f>
        <v/>
      </c>
      <c r="K1483" s="721" t="n"/>
      <c r="L1483" s="710" t="n"/>
      <c r="M1483" s="392" t="n"/>
    </row>
    <row r="1484" ht="17.25" customHeight="1" s="436">
      <c r="A1484" s="30" t="n">
        <v>43817</v>
      </c>
      <c r="B1484" s="31" t="inlineStr">
        <is>
          <t>7002</t>
        </is>
      </c>
      <c r="C1484" s="35" t="n"/>
      <c r="D1484" s="36" t="n">
        <v>56</v>
      </c>
      <c r="E1484" s="36" t="n"/>
      <c r="F1484" s="37" t="n"/>
      <c r="G1484" s="37" t="n">
        <v>30</v>
      </c>
      <c r="H1484" s="98">
        <f>H1483-G1484</f>
        <v/>
      </c>
      <c r="I1484" s="36" t="n"/>
      <c r="J1484" s="711">
        <f>F1484*I1484</f>
        <v/>
      </c>
      <c r="K1484" s="721" t="n"/>
      <c r="L1484" s="710" t="n"/>
      <c r="M1484" s="392" t="n"/>
    </row>
    <row r="1485" ht="17.25" customHeight="1" s="436">
      <c r="A1485" s="30" t="n">
        <v>43817</v>
      </c>
      <c r="B1485" s="31" t="inlineStr">
        <is>
          <t>7003</t>
        </is>
      </c>
      <c r="C1485" s="35" t="n"/>
      <c r="D1485" s="36" t="n">
        <v>49</v>
      </c>
      <c r="E1485" s="36" t="n"/>
      <c r="F1485" s="37" t="n"/>
      <c r="G1485" s="37" t="n">
        <v>30</v>
      </c>
      <c r="H1485" s="98">
        <f>H1484-G1485</f>
        <v/>
      </c>
      <c r="I1485" s="36" t="n"/>
      <c r="J1485" s="711">
        <f>F1485*I1485</f>
        <v/>
      </c>
      <c r="K1485" s="721" t="n"/>
      <c r="L1485" s="710" t="n"/>
      <c r="M1485" s="392" t="n"/>
    </row>
    <row r="1486" ht="17.25" customHeight="1" s="436">
      <c r="A1486" s="92" t="n">
        <v>43818</v>
      </c>
      <c r="B1486" s="93" t="inlineStr">
        <is>
          <t>2585</t>
        </is>
      </c>
      <c r="C1486" s="96" t="n"/>
      <c r="D1486" s="97" t="n">
        <v>44</v>
      </c>
      <c r="E1486" s="97" t="n"/>
      <c r="F1486" s="98" t="n">
        <v>254</v>
      </c>
      <c r="G1486" s="98" t="n"/>
      <c r="H1486" s="98" t="n">
        <v>2539</v>
      </c>
      <c r="I1486" s="36" t="n"/>
      <c r="J1486" s="711">
        <f>F1486*I1486</f>
        <v/>
      </c>
      <c r="K1486" s="721" t="n"/>
      <c r="L1486" s="710" t="n"/>
      <c r="M1486" s="392" t="n"/>
    </row>
    <row r="1487" ht="17.25" customHeight="1" s="436">
      <c r="A1487" s="30" t="n"/>
      <c r="B1487" s="31" t="n"/>
      <c r="C1487" s="35" t="n"/>
      <c r="D1487" s="36" t="n"/>
      <c r="E1487" s="36" t="n"/>
      <c r="F1487" s="37" t="n"/>
      <c r="G1487" s="37" t="n"/>
      <c r="H1487" s="98">
        <f>H1486-G1487</f>
        <v/>
      </c>
      <c r="I1487" s="36" t="n"/>
      <c r="J1487" s="711">
        <f>F1487*I1487</f>
        <v/>
      </c>
      <c r="K1487" s="721" t="n"/>
      <c r="L1487" s="710" t="n"/>
      <c r="M1487" s="392" t="n"/>
    </row>
    <row r="1488" ht="18" customHeight="1" s="436" thickBot="1">
      <c r="A1488" s="30" t="n"/>
      <c r="B1488" s="31" t="n"/>
      <c r="C1488" s="35" t="n"/>
      <c r="D1488" s="36" t="n"/>
      <c r="E1488" s="36" t="n"/>
      <c r="F1488" s="37" t="n"/>
      <c r="G1488" s="37" t="n"/>
      <c r="H1488" s="98">
        <f>H1487-G1488</f>
        <v/>
      </c>
      <c r="I1488" s="36" t="n"/>
      <c r="J1488" s="711">
        <f>F1488*I1488</f>
        <v/>
      </c>
      <c r="K1488" s="721" t="n"/>
      <c r="L1488" s="710" t="n"/>
      <c r="M1488" s="392" t="n"/>
    </row>
    <row r="1489" ht="32.25" customHeight="1" s="436" thickBot="1">
      <c r="A1489" s="735" t="inlineStr">
        <is>
          <t>Janeiro</t>
        </is>
      </c>
      <c r="B1489" s="697" t="n"/>
      <c r="C1489" s="697" t="n"/>
      <c r="D1489" s="697" t="n"/>
      <c r="E1489" s="697" t="n"/>
      <c r="F1489" s="697" t="n"/>
      <c r="G1489" s="697" t="n"/>
      <c r="H1489" s="697" t="n"/>
      <c r="I1489" s="697" t="n"/>
      <c r="J1489" s="697" t="n"/>
      <c r="K1489" s="697" t="n"/>
      <c r="L1489" s="697" t="n"/>
      <c r="M1489" s="698" t="n"/>
    </row>
    <row r="1490" ht="27" customHeight="1" s="436" thickBot="1">
      <c r="A1490" s="734" t="inlineStr">
        <is>
          <t xml:space="preserve"> FARINHA DE TRIGO TIPO: 1 - 25 KG</t>
        </is>
      </c>
      <c r="B1490" s="706" t="n"/>
      <c r="C1490" s="706" t="n"/>
      <c r="D1490" s="706" t="n"/>
      <c r="E1490" s="706" t="n"/>
      <c r="F1490" s="706" t="n"/>
      <c r="G1490" s="706" t="n"/>
      <c r="H1490" s="706" t="n"/>
      <c r="I1490" s="706" t="n"/>
      <c r="J1490" s="706" t="n"/>
      <c r="K1490" s="706" t="n"/>
      <c r="L1490" s="706" t="n"/>
      <c r="M1490" s="707" t="n"/>
    </row>
    <row r="1491">
      <c r="A1491" s="643" t="inlineStr">
        <is>
          <t>DATA</t>
        </is>
      </c>
      <c r="B1491" s="633" t="inlineStr">
        <is>
          <t>N.F.</t>
        </is>
      </c>
      <c r="C1491" s="633" t="inlineStr">
        <is>
          <t>TIPO</t>
        </is>
      </c>
      <c r="D1491" s="633" t="inlineStr">
        <is>
          <t>PREÇO UNITÁRIO</t>
        </is>
      </c>
      <c r="E1491" s="701" t="n"/>
      <c r="F1491" s="633" t="inlineStr">
        <is>
          <t>QUANTIDADE / KG</t>
        </is>
      </c>
      <c r="H1491" s="701" t="n"/>
      <c r="I1491" s="632" t="inlineStr">
        <is>
          <t>PREÇO</t>
        </is>
      </c>
      <c r="J1491" s="632" t="inlineStr">
        <is>
          <t>VALORES</t>
        </is>
      </c>
      <c r="L1491" s="701" t="n"/>
      <c r="M1491" s="649" t="n"/>
    </row>
    <row r="1492" ht="15.75" customHeight="1" s="436" thickBot="1">
      <c r="A1492" s="703" t="n"/>
      <c r="B1492" s="704" t="n"/>
      <c r="C1492" s="704" t="n"/>
      <c r="D1492" s="703" t="n"/>
      <c r="E1492" s="701" t="n"/>
      <c r="F1492" s="705" t="n"/>
      <c r="G1492" s="706" t="n"/>
      <c r="H1492" s="707" t="n"/>
      <c r="I1492" s="704" t="n"/>
      <c r="J1492" s="703" t="n"/>
      <c r="L1492" s="701" t="n"/>
      <c r="M1492" s="704" t="n"/>
    </row>
    <row r="1493" ht="15.75" customHeight="1" s="436" thickBot="1">
      <c r="A1493" s="703" t="n"/>
      <c r="B1493" s="704" t="n"/>
      <c r="C1493" s="704" t="n"/>
      <c r="D1493" s="705" t="n"/>
      <c r="E1493" s="707" t="n"/>
      <c r="F1493" s="3" t="inlineStr">
        <is>
          <t>ENTRADA</t>
        </is>
      </c>
      <c r="G1493" s="3" t="inlineStr">
        <is>
          <t>SAÍDA</t>
        </is>
      </c>
      <c r="H1493" s="640" t="n"/>
      <c r="I1493" s="633" t="inlineStr">
        <is>
          <t>MÉDIO</t>
        </is>
      </c>
      <c r="J1493" s="652" t="inlineStr">
        <is>
          <t>SALDO EM 30/11/2017</t>
        </is>
      </c>
      <c r="K1493" s="706" t="n"/>
      <c r="L1493" s="17" t="n"/>
      <c r="M1493" s="704" t="n"/>
    </row>
    <row r="1494" ht="18" customHeight="1" s="436" thickBot="1">
      <c r="A1494" s="705" t="n"/>
      <c r="B1494" s="695" t="n"/>
      <c r="C1494" s="695" t="n"/>
      <c r="D1494" s="3" t="inlineStr">
        <is>
          <t>C/ICMS</t>
        </is>
      </c>
      <c r="E1494" s="3" t="inlineStr">
        <is>
          <t>S/ICMS</t>
        </is>
      </c>
      <c r="F1494" s="695" t="n"/>
      <c r="G1494" s="695" t="n"/>
      <c r="H1494" s="84" t="inlineStr">
        <is>
          <t>Saldo em31/12/2019</t>
        </is>
      </c>
      <c r="I1494" s="695" t="n"/>
      <c r="J1494" s="645" t="inlineStr">
        <is>
          <t>ENTRADA</t>
        </is>
      </c>
      <c r="K1494" s="633" t="inlineStr">
        <is>
          <t>SAÍDA / CMV</t>
        </is>
      </c>
      <c r="L1494" s="643" t="inlineStr">
        <is>
          <t>SALDO</t>
        </is>
      </c>
      <c r="M1494" s="392" t="n"/>
    </row>
    <row r="1495" ht="17.25" customHeight="1" s="436">
      <c r="A1495" s="30" t="n">
        <v>43830</v>
      </c>
      <c r="B1495" s="31" t="n"/>
      <c r="C1495" s="35" t="n"/>
      <c r="D1495" s="36" t="n"/>
      <c r="E1495" s="36" t="n"/>
      <c r="F1495" s="37" t="n"/>
      <c r="G1495" s="37" t="n"/>
      <c r="H1495" s="98" t="n">
        <v>2539</v>
      </c>
      <c r="I1495" s="36" t="n"/>
      <c r="J1495" s="711">
        <f>F1495*I1495</f>
        <v/>
      </c>
      <c r="K1495" s="721" t="n">
        <v>0</v>
      </c>
      <c r="L1495" s="710">
        <f>J1495-K1495</f>
        <v/>
      </c>
      <c r="M1495" s="392" t="n"/>
    </row>
    <row r="1496" ht="17.25" customHeight="1" s="436">
      <c r="A1496" s="30" t="n">
        <v>43831</v>
      </c>
      <c r="B1496" s="31" t="inlineStr">
        <is>
          <t>7004</t>
        </is>
      </c>
      <c r="C1496" s="35" t="n"/>
      <c r="D1496" s="36" t="n">
        <v>52</v>
      </c>
      <c r="E1496" s="36" t="n"/>
      <c r="F1496" s="37" t="n"/>
      <c r="G1496" s="37" t="n">
        <v>20</v>
      </c>
      <c r="H1496" s="98">
        <f>H1495-G1496</f>
        <v/>
      </c>
      <c r="I1496" s="36" t="n"/>
      <c r="J1496" s="711" t="n"/>
      <c r="K1496" s="721" t="n"/>
      <c r="L1496" s="710" t="n"/>
      <c r="M1496" s="392" t="n"/>
    </row>
    <row r="1497" ht="17.25" customHeight="1" s="436">
      <c r="A1497" s="30" t="n">
        <v>43831</v>
      </c>
      <c r="B1497" s="31" t="inlineStr">
        <is>
          <t>7006</t>
        </is>
      </c>
      <c r="C1497" s="35" t="n"/>
      <c r="D1497" s="36" t="n">
        <v>56.67</v>
      </c>
      <c r="E1497" s="36" t="n"/>
      <c r="F1497" s="37" t="n"/>
      <c r="G1497" s="37" t="n">
        <v>60</v>
      </c>
      <c r="H1497" s="98">
        <f>H1496-G1497</f>
        <v/>
      </c>
      <c r="I1497" s="36" t="n"/>
      <c r="J1497" s="711" t="n"/>
      <c r="K1497" s="721" t="n"/>
      <c r="L1497" s="710" t="n"/>
      <c r="M1497" s="392" t="n"/>
    </row>
    <row r="1498" ht="17.25" customHeight="1" s="436">
      <c r="A1498" s="30" t="n">
        <v>43831</v>
      </c>
      <c r="B1498" s="31" t="inlineStr">
        <is>
          <t>7007</t>
        </is>
      </c>
      <c r="C1498" s="35" t="n"/>
      <c r="D1498" s="36" t="n">
        <v>58</v>
      </c>
      <c r="E1498" s="36" t="n"/>
      <c r="F1498" s="37" t="n"/>
      <c r="G1498" s="37" t="n">
        <v>20</v>
      </c>
      <c r="H1498" s="98">
        <f>H1497-G1498</f>
        <v/>
      </c>
      <c r="I1498" s="36" t="n"/>
      <c r="J1498" s="711" t="n"/>
      <c r="K1498" s="721" t="n"/>
      <c r="L1498" s="710" t="n"/>
      <c r="M1498" s="392" t="n"/>
    </row>
    <row r="1499" ht="17.25" customHeight="1" s="436">
      <c r="A1499" s="30" t="n">
        <v>43831</v>
      </c>
      <c r="B1499" s="31" t="inlineStr">
        <is>
          <t>7008</t>
        </is>
      </c>
      <c r="C1499" s="35" t="n"/>
      <c r="D1499" s="36" t="n">
        <v>56</v>
      </c>
      <c r="E1499" s="36" t="n"/>
      <c r="F1499" s="37" t="n"/>
      <c r="G1499" s="37" t="n">
        <v>40</v>
      </c>
      <c r="H1499" s="98">
        <f>H1498-G1499</f>
        <v/>
      </c>
      <c r="I1499" s="36" t="n"/>
      <c r="J1499" s="711" t="n"/>
      <c r="K1499" s="721" t="n"/>
      <c r="L1499" s="710" t="n"/>
      <c r="M1499" s="392" t="n"/>
    </row>
    <row r="1500" ht="17.25" customHeight="1" s="436">
      <c r="A1500" s="30" t="n">
        <v>43831</v>
      </c>
      <c r="B1500" s="31" t="inlineStr">
        <is>
          <t>7009</t>
        </is>
      </c>
      <c r="C1500" s="35" t="n"/>
      <c r="D1500" s="36" t="n">
        <v>56</v>
      </c>
      <c r="E1500" s="36" t="n"/>
      <c r="F1500" s="37" t="n"/>
      <c r="G1500" s="37" t="n">
        <v>20</v>
      </c>
      <c r="H1500" s="98">
        <f>H1499-G1500</f>
        <v/>
      </c>
      <c r="I1500" s="36" t="n"/>
      <c r="J1500" s="711" t="n"/>
      <c r="K1500" s="721" t="n"/>
      <c r="L1500" s="710" t="n"/>
      <c r="M1500" s="392" t="n"/>
    </row>
    <row r="1501" ht="17.25" customHeight="1" s="436">
      <c r="A1501" s="30" t="n">
        <v>43831</v>
      </c>
      <c r="B1501" s="31" t="inlineStr">
        <is>
          <t>7011</t>
        </is>
      </c>
      <c r="C1501" s="35" t="n"/>
      <c r="D1501" s="36" t="n">
        <v>50</v>
      </c>
      <c r="E1501" s="36" t="n"/>
      <c r="F1501" s="37" t="n"/>
      <c r="G1501" s="37" t="n">
        <v>10</v>
      </c>
      <c r="H1501" s="98">
        <f>H1500-G1501</f>
        <v/>
      </c>
      <c r="I1501" s="36" t="n"/>
      <c r="J1501" s="711" t="n"/>
      <c r="K1501" s="721" t="n"/>
      <c r="L1501" s="710" t="n"/>
      <c r="M1501" s="392" t="n"/>
    </row>
    <row r="1502" ht="17.25" customHeight="1" s="436">
      <c r="A1502" s="30" t="n">
        <v>43831</v>
      </c>
      <c r="B1502" s="31" t="inlineStr">
        <is>
          <t>7012</t>
        </is>
      </c>
      <c r="C1502" s="35" t="n"/>
      <c r="D1502" s="36" t="n">
        <v>58</v>
      </c>
      <c r="E1502" s="36" t="n"/>
      <c r="F1502" s="37" t="n"/>
      <c r="G1502" s="37" t="n">
        <v>15</v>
      </c>
      <c r="H1502" s="98">
        <f>H1501-G1502</f>
        <v/>
      </c>
      <c r="I1502" s="36" t="n"/>
      <c r="J1502" s="711" t="n"/>
      <c r="K1502" s="721" t="n"/>
      <c r="L1502" s="710" t="n"/>
      <c r="M1502" s="392" t="n"/>
    </row>
    <row r="1503" ht="17.25" customHeight="1" s="436">
      <c r="A1503" s="30" t="n">
        <v>43831</v>
      </c>
      <c r="B1503" s="31" t="inlineStr">
        <is>
          <t>7013</t>
        </is>
      </c>
      <c r="C1503" s="35" t="n"/>
      <c r="D1503" s="36" t="n">
        <v>51.5</v>
      </c>
      <c r="E1503" s="36" t="n"/>
      <c r="F1503" s="37" t="n"/>
      <c r="G1503" s="37" t="n">
        <v>100</v>
      </c>
      <c r="H1503" s="98">
        <f>H1502-G1503</f>
        <v/>
      </c>
      <c r="I1503" s="36" t="n"/>
      <c r="J1503" s="711" t="n"/>
      <c r="K1503" s="721" t="n"/>
      <c r="L1503" s="710" t="n"/>
      <c r="M1503" s="392" t="n"/>
    </row>
    <row r="1504" ht="17.25" customHeight="1" s="436">
      <c r="A1504" s="30" t="n">
        <v>43831</v>
      </c>
      <c r="B1504" s="31" t="inlineStr">
        <is>
          <t>7014</t>
        </is>
      </c>
      <c r="C1504" s="35" t="n"/>
      <c r="D1504" s="36" t="n">
        <v>51.67</v>
      </c>
      <c r="E1504" s="36" t="n"/>
      <c r="F1504" s="37" t="n"/>
      <c r="G1504" s="37" t="n">
        <v>150</v>
      </c>
      <c r="H1504" s="98">
        <f>H1503-G1504</f>
        <v/>
      </c>
      <c r="I1504" s="36" t="n"/>
      <c r="J1504" s="711" t="n"/>
      <c r="K1504" s="721" t="n"/>
      <c r="L1504" s="710" t="n"/>
      <c r="M1504" s="392" t="n"/>
    </row>
    <row r="1505" ht="17.25" customHeight="1" s="436">
      <c r="A1505" s="30" t="n">
        <v>43831</v>
      </c>
      <c r="B1505" s="31" t="inlineStr">
        <is>
          <t>7015</t>
        </is>
      </c>
      <c r="C1505" s="35" t="n"/>
      <c r="D1505" s="36" t="n">
        <v>56</v>
      </c>
      <c r="E1505" s="36" t="n"/>
      <c r="F1505" s="37" t="n"/>
      <c r="G1505" s="37" t="n">
        <v>40</v>
      </c>
      <c r="H1505" s="98">
        <f>H1504-G1505</f>
        <v/>
      </c>
      <c r="I1505" s="36" t="n"/>
      <c r="J1505" s="711" t="n"/>
      <c r="K1505" s="721" t="n"/>
      <c r="L1505" s="710" t="n"/>
      <c r="M1505" s="392" t="n"/>
    </row>
    <row r="1506" ht="17.25" customHeight="1" s="436">
      <c r="A1506" s="30" t="n">
        <v>43832</v>
      </c>
      <c r="B1506" s="31" t="inlineStr">
        <is>
          <t>7016</t>
        </is>
      </c>
      <c r="C1506" s="35" t="n"/>
      <c r="D1506" s="36" t="n">
        <v>51.67</v>
      </c>
      <c r="E1506" s="36" t="n"/>
      <c r="F1506" s="37" t="n"/>
      <c r="G1506" s="37" t="n">
        <v>150</v>
      </c>
      <c r="H1506" s="98">
        <f>H1503-G1506</f>
        <v/>
      </c>
      <c r="I1506" s="36" t="n"/>
      <c r="J1506" s="711">
        <f>F1506*I1506</f>
        <v/>
      </c>
      <c r="K1506" s="721" t="n"/>
      <c r="L1506" s="710" t="n"/>
      <c r="M1506" s="392" t="n"/>
    </row>
    <row r="1507" ht="17.25" customHeight="1" s="436">
      <c r="A1507" s="30" t="n">
        <v>43832</v>
      </c>
      <c r="B1507" s="31" t="inlineStr">
        <is>
          <t>7017</t>
        </is>
      </c>
      <c r="C1507" s="35" t="n"/>
      <c r="D1507" s="36" t="n">
        <v>52.5</v>
      </c>
      <c r="E1507" s="36" t="n"/>
      <c r="F1507" s="37" t="n"/>
      <c r="G1507" s="37" t="n">
        <v>40</v>
      </c>
      <c r="H1507" s="98">
        <f>H1506-G1507</f>
        <v/>
      </c>
      <c r="I1507" s="36" t="n"/>
      <c r="J1507" s="711">
        <f>F1507*I1507</f>
        <v/>
      </c>
      <c r="K1507" s="721" t="n"/>
      <c r="L1507" s="710" t="n"/>
      <c r="M1507" s="392" t="n"/>
    </row>
    <row r="1508" ht="17.25" customHeight="1" s="436">
      <c r="A1508" s="30" t="n">
        <v>43832</v>
      </c>
      <c r="B1508" s="31" t="inlineStr">
        <is>
          <t>7018</t>
        </is>
      </c>
      <c r="C1508" s="35" t="n"/>
      <c r="D1508" s="36" t="n">
        <v>49</v>
      </c>
      <c r="E1508" s="36" t="n"/>
      <c r="F1508" s="37" t="n"/>
      <c r="G1508" s="37" t="n">
        <v>30</v>
      </c>
      <c r="H1508" s="98">
        <f>H1507-G1508</f>
        <v/>
      </c>
      <c r="I1508" s="36" t="n"/>
      <c r="J1508" s="711">
        <f>F1508*I1508</f>
        <v/>
      </c>
      <c r="K1508" s="721" t="n"/>
      <c r="L1508" s="710" t="n"/>
      <c r="M1508" s="392" t="n"/>
    </row>
    <row r="1509" ht="17.25" customHeight="1" s="436">
      <c r="A1509" s="30" t="n">
        <v>43832</v>
      </c>
      <c r="B1509" s="31" t="inlineStr">
        <is>
          <t>7019</t>
        </is>
      </c>
      <c r="C1509" s="35" t="n"/>
      <c r="D1509" s="36" t="n">
        <v>56</v>
      </c>
      <c r="E1509" s="36" t="n"/>
      <c r="F1509" s="37" t="n"/>
      <c r="G1509" s="37" t="n">
        <v>60</v>
      </c>
      <c r="H1509" s="98">
        <f>H1508-G1509</f>
        <v/>
      </c>
      <c r="I1509" s="36" t="n"/>
      <c r="J1509" s="711">
        <f>F1509*I1509</f>
        <v/>
      </c>
      <c r="K1509" s="721" t="n"/>
      <c r="L1509" s="710" t="n"/>
      <c r="M1509" s="392" t="n"/>
    </row>
    <row r="1510" ht="17.25" customHeight="1" s="436">
      <c r="A1510" s="30" t="n">
        <v>43832</v>
      </c>
      <c r="B1510" s="31" t="inlineStr">
        <is>
          <t>7020</t>
        </is>
      </c>
      <c r="C1510" s="35" t="n"/>
      <c r="D1510" s="36" t="n">
        <v>58</v>
      </c>
      <c r="E1510" s="36" t="n"/>
      <c r="F1510" s="37" t="n"/>
      <c r="G1510" s="37" t="n">
        <v>20</v>
      </c>
      <c r="H1510" s="98">
        <f>H1509-G1510</f>
        <v/>
      </c>
      <c r="I1510" s="36" t="n"/>
      <c r="J1510" s="711">
        <f>F1510*I1510</f>
        <v/>
      </c>
      <c r="K1510" s="721" t="n"/>
      <c r="L1510" s="710" t="n"/>
      <c r="M1510" s="392" t="n"/>
    </row>
    <row r="1511" ht="17.25" customHeight="1" s="436">
      <c r="A1511" s="273" t="n">
        <v>43833</v>
      </c>
      <c r="B1511" s="274" t="inlineStr">
        <is>
          <t>132788</t>
        </is>
      </c>
      <c r="C1511" s="275" t="n"/>
      <c r="D1511" s="276" t="n">
        <v>41.17</v>
      </c>
      <c r="E1511" s="276" t="n"/>
      <c r="F1511" s="277" t="n">
        <v>600</v>
      </c>
      <c r="G1511" s="277" t="n"/>
      <c r="H1511" s="277" t="n">
        <v>2554</v>
      </c>
      <c r="I1511" s="36" t="n"/>
      <c r="J1511" s="711" t="n"/>
      <c r="K1511" s="721" t="n"/>
      <c r="L1511" s="710" t="n"/>
      <c r="M1511" s="392" t="n"/>
    </row>
    <row r="1512" ht="17.25" customHeight="1" s="436">
      <c r="A1512" s="30" t="n">
        <v>43836</v>
      </c>
      <c r="B1512" s="31" t="inlineStr">
        <is>
          <t>7023</t>
        </is>
      </c>
      <c r="C1512" s="35" t="n"/>
      <c r="D1512" s="36" t="n">
        <v>55</v>
      </c>
      <c r="E1512" s="36" t="n"/>
      <c r="F1512" s="37" t="n"/>
      <c r="G1512" s="37" t="n">
        <v>30</v>
      </c>
      <c r="H1512" s="98">
        <f>H1511-G1512</f>
        <v/>
      </c>
      <c r="I1512" s="36" t="n"/>
      <c r="J1512" s="711">
        <f>F1512*I1512</f>
        <v/>
      </c>
      <c r="K1512" s="721" t="n"/>
      <c r="L1512" s="710" t="n"/>
      <c r="M1512" s="392" t="n"/>
    </row>
    <row r="1513" ht="17.25" customHeight="1" s="436">
      <c r="A1513" s="30" t="n">
        <v>43836</v>
      </c>
      <c r="B1513" s="31" t="inlineStr">
        <is>
          <t>7024</t>
        </is>
      </c>
      <c r="C1513" s="35" t="n"/>
      <c r="D1513" s="36" t="n">
        <v>52.5</v>
      </c>
      <c r="E1513" s="36" t="n"/>
      <c r="F1513" s="37" t="n"/>
      <c r="G1513" s="37" t="n">
        <v>40</v>
      </c>
      <c r="H1513" s="98">
        <f>H1512-G1513</f>
        <v/>
      </c>
      <c r="I1513" s="36" t="n"/>
      <c r="J1513" s="711">
        <f>F1513*I1513</f>
        <v/>
      </c>
      <c r="K1513" s="721" t="n"/>
      <c r="L1513" s="710" t="n"/>
      <c r="M1513" s="392" t="n"/>
    </row>
    <row r="1514" ht="17.25" customHeight="1" s="436">
      <c r="A1514" s="30" t="n">
        <v>43836</v>
      </c>
      <c r="B1514" s="31" t="inlineStr">
        <is>
          <t>7025</t>
        </is>
      </c>
      <c r="C1514" s="35" t="n"/>
      <c r="D1514" s="36" t="n">
        <v>56.5</v>
      </c>
      <c r="E1514" s="36" t="n"/>
      <c r="F1514" s="37" t="n"/>
      <c r="G1514" s="37" t="n">
        <v>40</v>
      </c>
      <c r="H1514" s="98">
        <f>H1513-G1514</f>
        <v/>
      </c>
      <c r="I1514" s="36" t="n"/>
      <c r="J1514" s="711">
        <f>F1514*I1514</f>
        <v/>
      </c>
      <c r="K1514" s="721" t="n"/>
      <c r="L1514" s="710" t="n"/>
      <c r="M1514" s="392" t="n"/>
    </row>
    <row r="1515" ht="17.25" customHeight="1" s="436">
      <c r="A1515" s="30" t="n">
        <v>43836</v>
      </c>
      <c r="B1515" s="31" t="inlineStr">
        <is>
          <t>7026</t>
        </is>
      </c>
      <c r="C1515" s="35" t="n"/>
      <c r="D1515" s="36" t="n">
        <v>56</v>
      </c>
      <c r="E1515" s="36" t="n"/>
      <c r="F1515" s="37" t="n"/>
      <c r="G1515" s="37" t="n">
        <v>30</v>
      </c>
      <c r="H1515" s="98">
        <f>H1514-G1515</f>
        <v/>
      </c>
      <c r="I1515" s="36" t="n"/>
      <c r="J1515" s="711">
        <f>F1515*I1515</f>
        <v/>
      </c>
      <c r="K1515" s="721" t="n"/>
      <c r="L1515" s="710" t="n"/>
      <c r="M1515" s="392" t="n"/>
    </row>
    <row r="1516" ht="17.25" customHeight="1" s="436">
      <c r="A1516" s="30" t="n">
        <v>43836</v>
      </c>
      <c r="B1516" s="31" t="inlineStr">
        <is>
          <t>7027</t>
        </is>
      </c>
      <c r="C1516" s="35" t="n"/>
      <c r="D1516" s="36" t="n">
        <v>56</v>
      </c>
      <c r="E1516" s="36" t="n"/>
      <c r="F1516" s="37" t="n"/>
      <c r="G1516" s="37" t="n">
        <v>50</v>
      </c>
      <c r="H1516" s="98">
        <f>H1515-G1516</f>
        <v/>
      </c>
      <c r="I1516" s="36" t="n"/>
      <c r="J1516" s="711">
        <f>F1516*I1516</f>
        <v/>
      </c>
      <c r="K1516" s="721" t="n"/>
      <c r="L1516" s="710" t="n"/>
      <c r="M1516" s="392" t="n"/>
    </row>
    <row r="1517" ht="17.25" customHeight="1" s="436">
      <c r="A1517" s="30" t="n">
        <v>43838</v>
      </c>
      <c r="B1517" s="31" t="inlineStr">
        <is>
          <t>7031</t>
        </is>
      </c>
      <c r="C1517" s="35" t="n"/>
      <c r="D1517" s="36" t="n">
        <v>56</v>
      </c>
      <c r="E1517" s="36" t="n"/>
      <c r="F1517" s="37" t="n"/>
      <c r="G1517" s="37" t="n">
        <v>20</v>
      </c>
      <c r="H1517" s="98">
        <f>H1516-G1517</f>
        <v/>
      </c>
      <c r="I1517" s="36" t="n"/>
      <c r="J1517" s="711">
        <f>F1517*I1517</f>
        <v/>
      </c>
      <c r="K1517" s="721" t="n"/>
      <c r="L1517" s="710" t="n"/>
      <c r="M1517" s="392" t="n"/>
    </row>
    <row r="1518" ht="17.25" customHeight="1" s="436">
      <c r="A1518" s="30" t="n">
        <v>43838</v>
      </c>
      <c r="B1518" s="31" t="inlineStr">
        <is>
          <t>7033</t>
        </is>
      </c>
      <c r="C1518" s="35" t="n"/>
      <c r="D1518" s="36" t="n">
        <v>56</v>
      </c>
      <c r="E1518" s="36" t="n"/>
      <c r="F1518" s="37" t="n"/>
      <c r="G1518" s="37" t="n">
        <v>20</v>
      </c>
      <c r="H1518" s="98">
        <f>H1517-G1518</f>
        <v/>
      </c>
      <c r="I1518" s="36" t="n"/>
      <c r="J1518" s="711">
        <f>F1518*I1518</f>
        <v/>
      </c>
      <c r="K1518" s="721" t="n"/>
      <c r="L1518" s="710" t="n"/>
      <c r="M1518" s="392" t="n"/>
    </row>
    <row r="1519" ht="17.25" customHeight="1" s="436">
      <c r="A1519" s="30" t="n">
        <v>43844</v>
      </c>
      <c r="B1519" s="31" t="inlineStr">
        <is>
          <t>7038</t>
        </is>
      </c>
      <c r="C1519" s="35" t="n"/>
      <c r="D1519" s="36" t="n">
        <v>50</v>
      </c>
      <c r="E1519" s="36" t="n"/>
      <c r="F1519" s="37" t="n"/>
      <c r="G1519" s="37" t="n">
        <v>10</v>
      </c>
      <c r="H1519" s="98">
        <f>H1518-G1519</f>
        <v/>
      </c>
      <c r="I1519" s="36" t="n"/>
      <c r="J1519" s="711">
        <f>F1519*I1519</f>
        <v/>
      </c>
      <c r="K1519" s="721" t="n"/>
      <c r="L1519" s="710" t="n"/>
      <c r="M1519" s="392" t="n"/>
    </row>
    <row r="1520" ht="17.25" customHeight="1" s="436">
      <c r="A1520" s="30" t="n">
        <v>43844</v>
      </c>
      <c r="B1520" s="31" t="inlineStr">
        <is>
          <t>7039</t>
        </is>
      </c>
      <c r="C1520" s="35" t="n"/>
      <c r="D1520" s="36" t="n">
        <v>50</v>
      </c>
      <c r="E1520" s="36" t="n"/>
      <c r="F1520" s="37" t="n"/>
      <c r="G1520" s="37" t="n">
        <v>15</v>
      </c>
      <c r="H1520" s="98">
        <f>H1519-G1520</f>
        <v/>
      </c>
      <c r="I1520" s="36" t="n"/>
      <c r="J1520" s="711">
        <f>F1520*I1520</f>
        <v/>
      </c>
      <c r="K1520" s="721" t="n"/>
      <c r="L1520" s="710" t="n"/>
      <c r="M1520" s="392" t="n"/>
    </row>
    <row r="1521" ht="17.25" customHeight="1" s="436">
      <c r="A1521" s="30" t="n">
        <v>43844</v>
      </c>
      <c r="B1521" s="31" t="inlineStr">
        <is>
          <t>7041</t>
        </is>
      </c>
      <c r="C1521" s="35" t="n"/>
      <c r="D1521" s="36" t="n">
        <v>57</v>
      </c>
      <c r="E1521" s="36" t="n"/>
      <c r="F1521" s="37" t="n"/>
      <c r="G1521" s="37" t="n">
        <v>30</v>
      </c>
      <c r="H1521" s="98">
        <f>H1520-G1521</f>
        <v/>
      </c>
      <c r="I1521" s="36" t="n"/>
      <c r="J1521" s="711">
        <f>F1521*I1521</f>
        <v/>
      </c>
      <c r="K1521" s="721" t="n"/>
      <c r="L1521" s="710" t="n"/>
      <c r="M1521" s="392" t="n"/>
    </row>
    <row r="1522" ht="17.25" customHeight="1" s="436">
      <c r="A1522" s="30" t="n">
        <v>43844</v>
      </c>
      <c r="B1522" s="31" t="inlineStr">
        <is>
          <t>7042</t>
        </is>
      </c>
      <c r="C1522" s="35" t="n"/>
      <c r="D1522" s="36" t="n">
        <v>53</v>
      </c>
      <c r="E1522" s="36" t="n"/>
      <c r="F1522" s="37" t="n"/>
      <c r="G1522" s="37" t="n">
        <v>20</v>
      </c>
      <c r="H1522" s="98">
        <f>H1521-G1522</f>
        <v/>
      </c>
      <c r="I1522" s="36" t="n"/>
      <c r="J1522" s="711">
        <f>F1522*I1522</f>
        <v/>
      </c>
      <c r="K1522" s="721" t="n"/>
      <c r="L1522" s="710" t="n"/>
      <c r="M1522" s="392" t="n"/>
    </row>
    <row r="1523" ht="17.25" customHeight="1" s="436">
      <c r="A1523" s="30" t="n">
        <v>43844</v>
      </c>
      <c r="B1523" s="31" t="inlineStr">
        <is>
          <t>7044</t>
        </is>
      </c>
      <c r="C1523" s="35" t="n"/>
      <c r="D1523" s="36" t="n">
        <v>56</v>
      </c>
      <c r="E1523" s="36" t="n"/>
      <c r="F1523" s="37" t="n"/>
      <c r="G1523" s="37" t="n">
        <v>20</v>
      </c>
      <c r="H1523" s="98">
        <f>H1522-G1523</f>
        <v/>
      </c>
      <c r="I1523" s="36" t="n"/>
      <c r="J1523" s="711">
        <f>F1523*I1523</f>
        <v/>
      </c>
      <c r="K1523" s="721" t="n"/>
      <c r="L1523" s="710" t="n"/>
      <c r="M1523" s="392" t="n"/>
    </row>
    <row r="1524" ht="17.25" customHeight="1" s="436">
      <c r="A1524" s="30" t="n">
        <v>43845</v>
      </c>
      <c r="B1524" s="31" t="inlineStr">
        <is>
          <t>7045</t>
        </is>
      </c>
      <c r="C1524" s="35" t="n"/>
      <c r="D1524" s="36" t="n">
        <v>56</v>
      </c>
      <c r="E1524" s="36" t="n"/>
      <c r="F1524" s="37" t="n"/>
      <c r="G1524" s="37" t="n">
        <v>15</v>
      </c>
      <c r="H1524" s="98">
        <f>H1523-G1524</f>
        <v/>
      </c>
      <c r="I1524" s="36" t="n"/>
      <c r="J1524" s="711">
        <f>F1524*I1524</f>
        <v/>
      </c>
      <c r="K1524" s="721" t="n"/>
      <c r="L1524" s="710" t="n"/>
      <c r="M1524" s="392" t="n"/>
    </row>
    <row r="1525" ht="17.25" customHeight="1" s="436">
      <c r="A1525" s="30" t="n">
        <v>43846</v>
      </c>
      <c r="B1525" s="31" t="inlineStr">
        <is>
          <t>7047</t>
        </is>
      </c>
      <c r="C1525" s="35" t="n"/>
      <c r="D1525" s="36" t="n">
        <v>56</v>
      </c>
      <c r="E1525" s="36" t="n"/>
      <c r="F1525" s="37" t="n"/>
      <c r="G1525" s="37" t="n">
        <v>50</v>
      </c>
      <c r="H1525" s="98">
        <f>H1524-G1525</f>
        <v/>
      </c>
      <c r="I1525" s="36" t="n"/>
      <c r="J1525" s="711">
        <f>F1525*I1525</f>
        <v/>
      </c>
      <c r="K1525" s="721" t="n"/>
      <c r="L1525" s="710" t="n"/>
      <c r="M1525" s="392" t="n"/>
    </row>
    <row r="1526" ht="17.25" customHeight="1" s="436">
      <c r="A1526" s="30" t="n">
        <v>43846</v>
      </c>
      <c r="B1526" s="31" t="inlineStr">
        <is>
          <t>7048</t>
        </is>
      </c>
      <c r="C1526" s="35" t="n"/>
      <c r="D1526" s="36" t="n">
        <v>50</v>
      </c>
      <c r="E1526" s="36" t="n"/>
      <c r="F1526" s="37" t="n"/>
      <c r="G1526" s="37" t="n">
        <v>50</v>
      </c>
      <c r="H1526" s="98">
        <f>H1525-G1526</f>
        <v/>
      </c>
      <c r="I1526" s="36" t="n"/>
      <c r="J1526" s="711">
        <f>F1526*I1526</f>
        <v/>
      </c>
      <c r="K1526" s="721" t="n"/>
      <c r="L1526" s="710" t="n"/>
      <c r="M1526" s="392" t="n"/>
    </row>
    <row r="1527" ht="17.25" customHeight="1" s="436">
      <c r="A1527" s="30" t="n">
        <v>43850</v>
      </c>
      <c r="B1527" s="31" t="inlineStr">
        <is>
          <t>7049</t>
        </is>
      </c>
      <c r="C1527" s="35" t="n"/>
      <c r="D1527" s="36" t="n">
        <v>53</v>
      </c>
      <c r="E1527" s="36" t="n"/>
      <c r="F1527" s="37" t="n"/>
      <c r="G1527" s="37" t="n">
        <v>50</v>
      </c>
      <c r="H1527" s="98">
        <f>H1526-G1527</f>
        <v/>
      </c>
      <c r="I1527" s="36" t="n"/>
      <c r="J1527" s="711">
        <f>F1527*I1527</f>
        <v/>
      </c>
      <c r="K1527" s="721" t="n"/>
      <c r="L1527" s="710" t="n"/>
      <c r="M1527" s="392" t="n"/>
    </row>
    <row r="1528" ht="17.25" customHeight="1" s="436">
      <c r="A1528" s="30" t="n">
        <v>43851</v>
      </c>
      <c r="B1528" s="31" t="inlineStr">
        <is>
          <t>7050</t>
        </is>
      </c>
      <c r="C1528" s="35" t="n"/>
      <c r="D1528" s="36" t="n">
        <v>50</v>
      </c>
      <c r="E1528" s="36" t="n"/>
      <c r="F1528" s="37" t="n"/>
      <c r="G1528" s="37" t="n">
        <v>30</v>
      </c>
      <c r="H1528" s="98">
        <f>H1527-G1528</f>
        <v/>
      </c>
      <c r="I1528" s="36" t="n"/>
      <c r="J1528" s="711">
        <f>F1528*I1528</f>
        <v/>
      </c>
      <c r="K1528" s="721" t="n"/>
      <c r="L1528" s="710" t="n"/>
      <c r="M1528" s="392" t="n"/>
    </row>
    <row r="1529" ht="17.25" customHeight="1" s="436">
      <c r="A1529" s="30" t="n">
        <v>43851</v>
      </c>
      <c r="B1529" s="31" t="inlineStr">
        <is>
          <t>7051</t>
        </is>
      </c>
      <c r="C1529" s="35" t="n"/>
      <c r="D1529" s="36" t="n">
        <v>53</v>
      </c>
      <c r="E1529" s="36" t="n"/>
      <c r="F1529" s="37" t="n"/>
      <c r="G1529" s="37" t="n">
        <v>10</v>
      </c>
      <c r="H1529" s="98">
        <f>H1528-G1529</f>
        <v/>
      </c>
      <c r="I1529" s="36" t="n"/>
      <c r="J1529" s="711">
        <f>F1529*I1529</f>
        <v/>
      </c>
      <c r="K1529" s="721" t="n"/>
      <c r="L1529" s="710" t="n"/>
      <c r="M1529" s="392" t="n"/>
    </row>
    <row r="1530" ht="17.25" customHeight="1" s="436">
      <c r="A1530" s="30" t="n">
        <v>43851</v>
      </c>
      <c r="B1530" s="31" t="inlineStr">
        <is>
          <t>7054</t>
        </is>
      </c>
      <c r="C1530" s="35" t="n"/>
      <c r="D1530" s="36" t="n">
        <v>56</v>
      </c>
      <c r="E1530" s="36" t="n"/>
      <c r="F1530" s="37" t="n"/>
      <c r="G1530" s="37" t="n">
        <v>20</v>
      </c>
      <c r="H1530" s="98">
        <f>H1529-G1530</f>
        <v/>
      </c>
      <c r="I1530" s="36" t="n"/>
      <c r="J1530" s="711">
        <f>F1530*I1530</f>
        <v/>
      </c>
      <c r="K1530" s="721" t="n"/>
      <c r="L1530" s="710" t="n"/>
      <c r="M1530" s="392" t="n"/>
    </row>
    <row r="1531" ht="17.25" customHeight="1" s="436">
      <c r="A1531" s="30" t="n">
        <v>43851</v>
      </c>
      <c r="B1531" s="31" t="inlineStr">
        <is>
          <t>7057</t>
        </is>
      </c>
      <c r="C1531" s="35" t="n"/>
      <c r="D1531" s="36" t="n">
        <v>56</v>
      </c>
      <c r="E1531" s="36" t="n"/>
      <c r="F1531" s="37" t="n"/>
      <c r="G1531" s="37" t="n">
        <v>40</v>
      </c>
      <c r="H1531" s="98">
        <f>H1530-G1531</f>
        <v/>
      </c>
      <c r="I1531" s="36" t="n"/>
      <c r="J1531" s="711">
        <f>F1531*I1531</f>
        <v/>
      </c>
      <c r="K1531" s="721" t="n"/>
      <c r="L1531" s="710" t="n"/>
      <c r="M1531" s="392" t="n"/>
    </row>
    <row r="1532" ht="17.25" customHeight="1" s="436">
      <c r="A1532" s="273" t="n">
        <v>43852</v>
      </c>
      <c r="B1532" s="274" t="inlineStr">
        <is>
          <t>2606</t>
        </is>
      </c>
      <c r="C1532" s="275" t="n"/>
      <c r="D1532" s="276" t="n">
        <v>36.8</v>
      </c>
      <c r="E1532" s="276" t="n"/>
      <c r="F1532" s="277" t="n">
        <v>280</v>
      </c>
      <c r="G1532" s="277" t="n"/>
      <c r="H1532" s="277" t="n">
        <v>2244</v>
      </c>
      <c r="I1532" s="36" t="n"/>
      <c r="J1532" s="711" t="n"/>
      <c r="K1532" s="721" t="n"/>
      <c r="L1532" s="710" t="n"/>
      <c r="M1532" s="392" t="n"/>
    </row>
    <row r="1533" ht="17.25" customHeight="1" s="436">
      <c r="A1533" s="273" t="n">
        <v>43854</v>
      </c>
      <c r="B1533" s="274" t="inlineStr">
        <is>
          <t>134444</t>
        </is>
      </c>
      <c r="C1533" s="275" t="n"/>
      <c r="D1533" s="276" t="n">
        <v>42.95</v>
      </c>
      <c r="E1533" s="276" t="n"/>
      <c r="F1533" s="277" t="n">
        <v>860</v>
      </c>
      <c r="G1533" s="277" t="n"/>
      <c r="H1533" s="277" t="n">
        <v>3104</v>
      </c>
      <c r="I1533" s="36" t="n"/>
      <c r="J1533" s="711" t="n"/>
      <c r="K1533" s="721" t="n"/>
      <c r="L1533" s="710" t="n"/>
      <c r="M1533" s="392" t="n"/>
    </row>
    <row r="1534" ht="17.25" customHeight="1" s="436">
      <c r="A1534" s="273" t="n">
        <v>43854</v>
      </c>
      <c r="B1534" s="274" t="inlineStr">
        <is>
          <t>134444</t>
        </is>
      </c>
      <c r="C1534" s="275" t="n"/>
      <c r="D1534" s="276" t="n">
        <v>44</v>
      </c>
      <c r="E1534" s="276" t="n"/>
      <c r="F1534" s="277" t="n">
        <v>120</v>
      </c>
      <c r="G1534" s="277" t="n"/>
      <c r="H1534" s="277" t="n">
        <v>3224</v>
      </c>
      <c r="I1534" s="36" t="n"/>
      <c r="J1534" s="711" t="n"/>
      <c r="K1534" s="721" t="n"/>
      <c r="L1534" s="710" t="n"/>
      <c r="M1534" s="392" t="n"/>
    </row>
    <row r="1535" ht="17.25" customHeight="1" s="436">
      <c r="A1535" s="30" t="n">
        <v>43856</v>
      </c>
      <c r="B1535" s="31" t="inlineStr">
        <is>
          <t>7058</t>
        </is>
      </c>
      <c r="C1535" s="35" t="n"/>
      <c r="D1535" s="36" t="n">
        <v>50</v>
      </c>
      <c r="E1535" s="36" t="n"/>
      <c r="F1535" s="37" t="n"/>
      <c r="G1535" s="37" t="n">
        <v>100</v>
      </c>
      <c r="H1535" s="98">
        <f>H1534-G1535</f>
        <v/>
      </c>
      <c r="I1535" s="36" t="n"/>
      <c r="J1535" s="711">
        <f>F1535*I1535</f>
        <v/>
      </c>
      <c r="K1535" s="721" t="n"/>
      <c r="L1535" s="710" t="n"/>
      <c r="M1535" s="392" t="n"/>
    </row>
    <row r="1536" ht="17.25" customHeight="1" s="436">
      <c r="A1536" s="30" t="n">
        <v>43857</v>
      </c>
      <c r="B1536" s="31" t="inlineStr">
        <is>
          <t>7059</t>
        </is>
      </c>
      <c r="C1536" s="35" t="n"/>
      <c r="D1536" s="36" t="n">
        <v>56</v>
      </c>
      <c r="E1536" s="36" t="n"/>
      <c r="F1536" s="37" t="n"/>
      <c r="G1536" s="37" t="n">
        <v>25</v>
      </c>
      <c r="H1536" s="98">
        <f>H1535-G1536</f>
        <v/>
      </c>
      <c r="I1536" s="36" t="n"/>
      <c r="J1536" s="711">
        <f>F1536*I1536</f>
        <v/>
      </c>
      <c r="K1536" s="721" t="n"/>
      <c r="L1536" s="710" t="n"/>
      <c r="M1536" s="392" t="n"/>
    </row>
    <row r="1537" ht="17.25" customHeight="1" s="436">
      <c r="A1537" s="30" t="n">
        <v>43857</v>
      </c>
      <c r="B1537" s="31" t="inlineStr">
        <is>
          <t>7060</t>
        </is>
      </c>
      <c r="C1537" s="35" t="n"/>
      <c r="D1537" s="36" t="n">
        <v>50</v>
      </c>
      <c r="E1537" s="36" t="n"/>
      <c r="F1537" s="37" t="n"/>
      <c r="G1537" s="37" t="n">
        <v>20</v>
      </c>
      <c r="H1537" s="98">
        <f>H1536-G1537</f>
        <v/>
      </c>
      <c r="I1537" s="36" t="n"/>
      <c r="J1537" s="711">
        <f>F1537*I1537</f>
        <v/>
      </c>
      <c r="K1537" s="721" t="n"/>
      <c r="L1537" s="710" t="n"/>
      <c r="M1537" s="392" t="n"/>
    </row>
    <row r="1538" ht="17.25" customHeight="1" s="436">
      <c r="A1538" s="30" t="n">
        <v>43857</v>
      </c>
      <c r="B1538" s="31" t="inlineStr">
        <is>
          <t>7063</t>
        </is>
      </c>
      <c r="C1538" s="35" t="n"/>
      <c r="D1538" s="36" t="n">
        <v>56.67</v>
      </c>
      <c r="E1538" s="36" t="n"/>
      <c r="F1538" s="37" t="n"/>
      <c r="G1538" s="37" t="n">
        <v>45</v>
      </c>
      <c r="H1538" s="98">
        <f>H1537-G1538</f>
        <v/>
      </c>
      <c r="I1538" s="36" t="n"/>
      <c r="J1538" s="711">
        <f>F1538*I1538</f>
        <v/>
      </c>
      <c r="K1538" s="721" t="n"/>
      <c r="L1538" s="710" t="n"/>
      <c r="M1538" s="392" t="n"/>
    </row>
    <row r="1539" ht="17.25" customHeight="1" s="436">
      <c r="A1539" s="30" t="n">
        <v>43857</v>
      </c>
      <c r="B1539" s="31" t="inlineStr">
        <is>
          <t>7066</t>
        </is>
      </c>
      <c r="C1539" s="35" t="n"/>
      <c r="D1539" s="36" t="n">
        <v>56</v>
      </c>
      <c r="E1539" s="36" t="n"/>
      <c r="F1539" s="37" t="n"/>
      <c r="G1539" s="37" t="n">
        <v>20</v>
      </c>
      <c r="H1539" s="98">
        <f>H1538-G1539</f>
        <v/>
      </c>
      <c r="I1539" s="36" t="n"/>
      <c r="J1539" s="711">
        <f>F1539*I1539</f>
        <v/>
      </c>
      <c r="K1539" s="721" t="n"/>
      <c r="L1539" s="710" t="n"/>
      <c r="M1539" s="392" t="n"/>
    </row>
    <row r="1540" ht="17.25" customHeight="1" s="436">
      <c r="A1540" s="30" t="n">
        <v>43857</v>
      </c>
      <c r="B1540" s="31" t="inlineStr">
        <is>
          <t>7067</t>
        </is>
      </c>
      <c r="C1540" s="35" t="n"/>
      <c r="D1540" s="36" t="n">
        <v>56</v>
      </c>
      <c r="E1540" s="36" t="n"/>
      <c r="F1540" s="37" t="n"/>
      <c r="G1540" s="37" t="n">
        <v>10</v>
      </c>
      <c r="H1540" s="98">
        <f>H1539-G1540</f>
        <v/>
      </c>
      <c r="I1540" s="36" t="n"/>
      <c r="J1540" s="711">
        <f>F1540*I1540</f>
        <v/>
      </c>
      <c r="K1540" s="721" t="n"/>
      <c r="L1540" s="710" t="n"/>
      <c r="M1540" s="392" t="n"/>
    </row>
    <row r="1541" ht="17.25" customHeight="1" s="436">
      <c r="A1541" s="30" t="n">
        <v>43857</v>
      </c>
      <c r="B1541" s="31" t="inlineStr">
        <is>
          <t>7068</t>
        </is>
      </c>
      <c r="C1541" s="35" t="n"/>
      <c r="D1541" s="36" t="n">
        <v>58</v>
      </c>
      <c r="E1541" s="36" t="n"/>
      <c r="F1541" s="37" t="n"/>
      <c r="G1541" s="37" t="n">
        <v>20</v>
      </c>
      <c r="H1541" s="98">
        <f>H1540-G1541</f>
        <v/>
      </c>
      <c r="I1541" s="36" t="n"/>
      <c r="J1541" s="711">
        <f>F1541*I1541</f>
        <v/>
      </c>
      <c r="K1541" s="721" t="n"/>
      <c r="L1541" s="710" t="n"/>
      <c r="M1541" s="392" t="n"/>
    </row>
    <row r="1542" ht="17.25" customHeight="1" s="436">
      <c r="A1542" s="30" t="n">
        <v>43859</v>
      </c>
      <c r="B1542" s="31" t="inlineStr">
        <is>
          <t>7069</t>
        </is>
      </c>
      <c r="C1542" s="35" t="n"/>
      <c r="D1542" s="36" t="n">
        <v>56</v>
      </c>
      <c r="E1542" s="36" t="n"/>
      <c r="F1542" s="37" t="n"/>
      <c r="G1542" s="37" t="n">
        <v>50</v>
      </c>
      <c r="H1542" s="98">
        <f>H1541-G1542</f>
        <v/>
      </c>
      <c r="I1542" s="36" t="n"/>
      <c r="J1542" s="711">
        <f>F1542*I1542</f>
        <v/>
      </c>
      <c r="K1542" s="721" t="n"/>
      <c r="L1542" s="710" t="n"/>
      <c r="M1542" s="392" t="n"/>
    </row>
    <row r="1543" ht="17.25" customHeight="1" s="436">
      <c r="A1543" s="30" t="n">
        <v>43859</v>
      </c>
      <c r="B1543" s="31" t="inlineStr">
        <is>
          <t>7070</t>
        </is>
      </c>
      <c r="C1543" s="35" t="n"/>
      <c r="D1543" s="36" t="n">
        <v>53.67</v>
      </c>
      <c r="E1543" s="36" t="n"/>
      <c r="F1543" s="37" t="n"/>
      <c r="G1543" s="37" t="n">
        <v>150</v>
      </c>
      <c r="H1543" s="98">
        <f>H1542-G1543</f>
        <v/>
      </c>
      <c r="I1543" s="36" t="n"/>
      <c r="J1543" s="711">
        <f>F1543*I1543</f>
        <v/>
      </c>
      <c r="K1543" s="721" t="n"/>
      <c r="L1543" s="710" t="n"/>
      <c r="M1543" s="392" t="n"/>
    </row>
    <row r="1544" ht="17.25" customHeight="1" s="436">
      <c r="A1544" s="30" t="n">
        <v>43859</v>
      </c>
      <c r="B1544" s="31" t="inlineStr">
        <is>
          <t>7071</t>
        </is>
      </c>
      <c r="C1544" s="35" t="n"/>
      <c r="D1544" s="36" t="n">
        <v>58</v>
      </c>
      <c r="E1544" s="36" t="n"/>
      <c r="F1544" s="37" t="n"/>
      <c r="G1544" s="37" t="n">
        <v>40</v>
      </c>
      <c r="H1544" s="98">
        <f>H1543-G1544</f>
        <v/>
      </c>
      <c r="I1544" s="36" t="n"/>
      <c r="J1544" s="711">
        <f>F1544*I1544</f>
        <v/>
      </c>
      <c r="K1544" s="721" t="n"/>
      <c r="L1544" s="710" t="n"/>
      <c r="M1544" s="392" t="n"/>
    </row>
    <row r="1545" ht="17.25" customHeight="1" s="436">
      <c r="A1545" s="30" t="n">
        <v>43859</v>
      </c>
      <c r="B1545" s="31" t="inlineStr">
        <is>
          <t>7073</t>
        </is>
      </c>
      <c r="C1545" s="35" t="n"/>
      <c r="D1545" s="36" t="n">
        <v>55.5</v>
      </c>
      <c r="E1545" s="36" t="n"/>
      <c r="F1545" s="37" t="n"/>
      <c r="G1545" s="37" t="n">
        <v>10</v>
      </c>
      <c r="H1545" s="98">
        <f>H1544-G1545</f>
        <v/>
      </c>
      <c r="I1545" s="36" t="n"/>
      <c r="J1545" s="711">
        <f>F1545*I1545</f>
        <v/>
      </c>
      <c r="K1545" s="721" t="n"/>
      <c r="L1545" s="710" t="n"/>
      <c r="M1545" s="392" t="n"/>
    </row>
    <row r="1546" ht="17.25" customHeight="1" s="436">
      <c r="A1546" s="30" t="n">
        <v>43859</v>
      </c>
      <c r="B1546" s="31" t="inlineStr">
        <is>
          <t>7074</t>
        </is>
      </c>
      <c r="C1546" s="35" t="n"/>
      <c r="D1546" s="36" t="n">
        <v>50</v>
      </c>
      <c r="E1546" s="36" t="n"/>
      <c r="F1546" s="37" t="n"/>
      <c r="G1546" s="37" t="n">
        <v>50</v>
      </c>
      <c r="H1546" s="98">
        <f>H1545-G1546</f>
        <v/>
      </c>
      <c r="I1546" s="36" t="n"/>
      <c r="J1546" s="711">
        <f>F1546*I1546</f>
        <v/>
      </c>
      <c r="K1546" s="721" t="n"/>
      <c r="L1546" s="710" t="n"/>
      <c r="M1546" s="392" t="n"/>
    </row>
    <row r="1547" ht="17.25" customHeight="1" s="436">
      <c r="A1547" s="273" t="n">
        <v>43860</v>
      </c>
      <c r="B1547" s="274" t="inlineStr">
        <is>
          <t>134919</t>
        </is>
      </c>
      <c r="C1547" s="275" t="n"/>
      <c r="D1547" s="276" t="n">
        <v>42.95</v>
      </c>
      <c r="E1547" s="276" t="n"/>
      <c r="F1547" s="277" t="n">
        <v>900</v>
      </c>
      <c r="G1547" s="277" t="n"/>
      <c r="H1547" s="277" t="n">
        <v>3584</v>
      </c>
      <c r="I1547" s="36" t="n"/>
      <c r="J1547" s="711">
        <f>F1547*I1547</f>
        <v/>
      </c>
      <c r="K1547" s="721" t="n"/>
      <c r="L1547" s="710" t="n"/>
      <c r="M1547" s="392" t="n"/>
    </row>
    <row r="1548" ht="17.25" customHeight="1" s="436">
      <c r="A1548" s="30" t="n"/>
      <c r="B1548" s="31" t="n"/>
      <c r="C1548" s="35" t="n"/>
      <c r="D1548" s="36" t="n"/>
      <c r="E1548" s="36" t="n"/>
      <c r="F1548" s="37" t="n"/>
      <c r="G1548" s="37" t="n"/>
      <c r="H1548" s="98">
        <f>H1547-G1548</f>
        <v/>
      </c>
      <c r="I1548" s="36" t="n"/>
      <c r="J1548" s="711">
        <f>F1548*I1548</f>
        <v/>
      </c>
      <c r="K1548" s="721" t="n"/>
      <c r="L1548" s="710" t="n"/>
      <c r="M1548" s="392" t="n"/>
    </row>
    <row r="1549" ht="18" customHeight="1" s="436" thickBot="1">
      <c r="A1549" s="30" t="n"/>
      <c r="B1549" s="31" t="n"/>
      <c r="C1549" s="35" t="n"/>
      <c r="D1549" s="36" t="n"/>
      <c r="E1549" s="36" t="n"/>
      <c r="F1549" s="37" t="n"/>
      <c r="G1549" s="37" t="n"/>
      <c r="H1549" s="98">
        <f>H1548-G1549</f>
        <v/>
      </c>
      <c r="I1549" s="36" t="n"/>
      <c r="J1549" s="711">
        <f>F1549*I1549</f>
        <v/>
      </c>
      <c r="K1549" s="721" t="n"/>
      <c r="L1549" s="710" t="n"/>
      <c r="M1549" s="392" t="n"/>
    </row>
    <row r="1550" ht="32.25" customHeight="1" s="436" thickBot="1">
      <c r="A1550" s="735" t="inlineStr">
        <is>
          <t>Fevereiro</t>
        </is>
      </c>
      <c r="B1550" s="697" t="n"/>
      <c r="C1550" s="697" t="n"/>
      <c r="D1550" s="697" t="n"/>
      <c r="E1550" s="697" t="n"/>
      <c r="F1550" s="697" t="n"/>
      <c r="G1550" s="697" t="n"/>
      <c r="H1550" s="697" t="n"/>
      <c r="I1550" s="697" t="n"/>
      <c r="J1550" s="697" t="n"/>
      <c r="K1550" s="697" t="n"/>
      <c r="L1550" s="697" t="n"/>
      <c r="M1550" s="698" t="n"/>
    </row>
    <row r="1551" ht="27" customHeight="1" s="436" thickBot="1">
      <c r="A1551" s="734" t="inlineStr">
        <is>
          <t xml:space="preserve"> FARINHA DE TRIGO TIPO: 1 - 25 KG</t>
        </is>
      </c>
      <c r="B1551" s="706" t="n"/>
      <c r="C1551" s="706" t="n"/>
      <c r="D1551" s="706" t="n"/>
      <c r="E1551" s="706" t="n"/>
      <c r="F1551" s="706" t="n"/>
      <c r="G1551" s="706" t="n"/>
      <c r="H1551" s="706" t="n"/>
      <c r="I1551" s="706" t="n"/>
      <c r="J1551" s="706" t="n"/>
      <c r="K1551" s="706" t="n"/>
      <c r="L1551" s="706" t="n"/>
      <c r="M1551" s="707" t="n"/>
    </row>
    <row r="1552">
      <c r="A1552" s="643" t="inlineStr">
        <is>
          <t>DATA</t>
        </is>
      </c>
      <c r="B1552" s="633" t="inlineStr">
        <is>
          <t>N.F.</t>
        </is>
      </c>
      <c r="C1552" s="633" t="inlineStr">
        <is>
          <t>TIPO</t>
        </is>
      </c>
      <c r="D1552" s="633" t="inlineStr">
        <is>
          <t>PREÇO UNITÁRIO</t>
        </is>
      </c>
      <c r="E1552" s="701" t="n"/>
      <c r="F1552" s="633" t="inlineStr">
        <is>
          <t>QUANTIDADE / KG</t>
        </is>
      </c>
      <c r="H1552" s="701" t="n"/>
      <c r="I1552" s="632" t="inlineStr">
        <is>
          <t>PREÇO</t>
        </is>
      </c>
      <c r="J1552" s="632" t="inlineStr">
        <is>
          <t>VALORES</t>
        </is>
      </c>
      <c r="L1552" s="701" t="n"/>
      <c r="M1552" s="649" t="n"/>
    </row>
    <row r="1553" ht="15.75" customHeight="1" s="436" thickBot="1">
      <c r="A1553" s="703" t="n"/>
      <c r="B1553" s="704" t="n"/>
      <c r="C1553" s="704" t="n"/>
      <c r="D1553" s="703" t="n"/>
      <c r="E1553" s="701" t="n"/>
      <c r="F1553" s="705" t="n"/>
      <c r="G1553" s="706" t="n"/>
      <c r="H1553" s="707" t="n"/>
      <c r="I1553" s="704" t="n"/>
      <c r="J1553" s="703" t="n"/>
      <c r="L1553" s="701" t="n"/>
      <c r="M1553" s="704" t="n"/>
    </row>
    <row r="1554" ht="15.75" customHeight="1" s="436" thickBot="1">
      <c r="A1554" s="703" t="n"/>
      <c r="B1554" s="704" t="n"/>
      <c r="C1554" s="704" t="n"/>
      <c r="D1554" s="705" t="n"/>
      <c r="E1554" s="707" t="n"/>
      <c r="F1554" s="3" t="inlineStr">
        <is>
          <t>ENTRADA</t>
        </is>
      </c>
      <c r="G1554" s="3" t="inlineStr">
        <is>
          <t>SAÍDA</t>
        </is>
      </c>
      <c r="H1554" s="640" t="n"/>
      <c r="I1554" s="633" t="inlineStr">
        <is>
          <t>MÉDIO</t>
        </is>
      </c>
      <c r="J1554" s="652" t="inlineStr">
        <is>
          <t>SALDO EM 30/11/2017</t>
        </is>
      </c>
      <c r="K1554" s="706" t="n"/>
      <c r="L1554" s="17" t="n"/>
      <c r="M1554" s="704" t="n"/>
    </row>
    <row r="1555" ht="18" customHeight="1" s="436" thickBot="1">
      <c r="A1555" s="705" t="n"/>
      <c r="B1555" s="695" t="n"/>
      <c r="C1555" s="695" t="n"/>
      <c r="D1555" s="3" t="inlineStr">
        <is>
          <t>C/ICMS</t>
        </is>
      </c>
      <c r="E1555" s="3" t="inlineStr">
        <is>
          <t>S/ICMS</t>
        </is>
      </c>
      <c r="F1555" s="695" t="n"/>
      <c r="G1555" s="695" t="n"/>
      <c r="H1555" s="84" t="inlineStr">
        <is>
          <t>Saldo em31/12/2019</t>
        </is>
      </c>
      <c r="I1555" s="695" t="n"/>
      <c r="J1555" s="645" t="inlineStr">
        <is>
          <t>ENTRADA</t>
        </is>
      </c>
      <c r="K1555" s="633" t="inlineStr">
        <is>
          <t>SAÍDA / CMV</t>
        </is>
      </c>
      <c r="L1555" s="643" t="inlineStr">
        <is>
          <t>SALDO</t>
        </is>
      </c>
      <c r="M1555" s="392" t="n"/>
    </row>
    <row r="1556" ht="17.25" customHeight="1" s="436">
      <c r="A1556" s="30" t="n">
        <v>43861</v>
      </c>
      <c r="B1556" s="31" t="n"/>
      <c r="C1556" s="35" t="n"/>
      <c r="D1556" s="36" t="n"/>
      <c r="E1556" s="36" t="n"/>
      <c r="F1556" s="37" t="n"/>
      <c r="G1556" s="37" t="n"/>
      <c r="H1556" s="98" t="n">
        <v>3584</v>
      </c>
      <c r="I1556" s="36" t="n"/>
      <c r="J1556" s="711">
        <f>F1556*I1556</f>
        <v/>
      </c>
      <c r="K1556" s="721" t="n">
        <v>0</v>
      </c>
      <c r="L1556" s="710">
        <f>J1556-K1556</f>
        <v/>
      </c>
      <c r="M1556" s="392" t="n"/>
    </row>
    <row r="1557" ht="17.25" customHeight="1" s="436">
      <c r="A1557" s="30" t="n">
        <v>43865</v>
      </c>
      <c r="B1557" s="31" t="inlineStr">
        <is>
          <t>7077</t>
        </is>
      </c>
      <c r="C1557" s="35" t="n"/>
      <c r="D1557" s="36" t="n">
        <v>56</v>
      </c>
      <c r="E1557" s="36" t="n"/>
      <c r="F1557" s="37" t="n"/>
      <c r="G1557" s="37" t="n">
        <v>60</v>
      </c>
      <c r="H1557" s="98">
        <f>H1556-G1557</f>
        <v/>
      </c>
      <c r="I1557" s="36" t="n"/>
      <c r="J1557" s="711" t="n"/>
      <c r="K1557" s="721" t="n"/>
      <c r="L1557" s="710" t="n"/>
      <c r="M1557" s="392" t="n"/>
    </row>
    <row r="1558" ht="17.25" customHeight="1" s="436">
      <c r="A1558" s="30" t="n">
        <v>43865</v>
      </c>
      <c r="B1558" s="31" t="inlineStr">
        <is>
          <t>7078</t>
        </is>
      </c>
      <c r="C1558" s="35" t="n"/>
      <c r="D1558" s="36" t="n">
        <v>56</v>
      </c>
      <c r="E1558" s="36" t="n"/>
      <c r="F1558" s="37" t="n"/>
      <c r="G1558" s="37" t="n">
        <v>20</v>
      </c>
      <c r="H1558" s="98">
        <f>H1557-G1558</f>
        <v/>
      </c>
      <c r="I1558" s="36" t="n"/>
      <c r="J1558" s="711" t="n"/>
      <c r="K1558" s="721" t="n"/>
      <c r="L1558" s="710" t="n"/>
      <c r="M1558" s="392" t="n"/>
    </row>
    <row r="1559" ht="17.25" customHeight="1" s="436">
      <c r="A1559" s="30" t="n">
        <v>43865</v>
      </c>
      <c r="B1559" s="31" t="inlineStr">
        <is>
          <t>7079</t>
        </is>
      </c>
      <c r="C1559" s="35" t="n"/>
      <c r="D1559" s="36" t="n">
        <v>54</v>
      </c>
      <c r="E1559" s="36" t="n"/>
      <c r="F1559" s="37" t="n"/>
      <c r="G1559" s="37" t="n">
        <v>40</v>
      </c>
      <c r="H1559" s="98">
        <f>H1558-G1559</f>
        <v/>
      </c>
      <c r="I1559" s="36" t="n"/>
      <c r="J1559" s="711" t="n"/>
      <c r="K1559" s="721" t="n"/>
      <c r="L1559" s="710" t="n"/>
      <c r="M1559" s="392" t="n"/>
    </row>
    <row r="1560" ht="17.25" customHeight="1" s="436">
      <c r="A1560" s="30" t="inlineStr">
        <is>
          <t>04/02/20220</t>
        </is>
      </c>
      <c r="B1560" s="31" t="inlineStr">
        <is>
          <t>7081</t>
        </is>
      </c>
      <c r="C1560" s="35" t="n"/>
      <c r="D1560" s="36" t="n">
        <v>56</v>
      </c>
      <c r="E1560" s="36" t="n"/>
      <c r="F1560" s="37" t="n"/>
      <c r="G1560" s="37" t="n">
        <v>30</v>
      </c>
      <c r="H1560" s="98">
        <f>H1559-G1560</f>
        <v/>
      </c>
      <c r="I1560" s="36" t="n"/>
      <c r="J1560" s="711" t="n"/>
      <c r="K1560" s="721" t="n"/>
      <c r="L1560" s="710" t="n"/>
      <c r="M1560" s="392" t="n"/>
    </row>
    <row r="1561" ht="17.25" customHeight="1" s="436">
      <c r="A1561" s="30" t="n">
        <v>43865</v>
      </c>
      <c r="B1561" s="31" t="inlineStr">
        <is>
          <t>7086</t>
        </is>
      </c>
      <c r="C1561" s="35" t="n"/>
      <c r="D1561" s="36" t="n">
        <v>58</v>
      </c>
      <c r="E1561" s="36" t="n"/>
      <c r="F1561" s="37" t="n"/>
      <c r="G1561" s="37" t="n">
        <v>15</v>
      </c>
      <c r="H1561" s="98">
        <f>H1560-G1561</f>
        <v/>
      </c>
      <c r="I1561" s="36" t="n"/>
      <c r="J1561" s="711" t="n"/>
      <c r="K1561" s="721" t="n"/>
      <c r="L1561" s="710" t="n"/>
      <c r="M1561" s="392" t="n"/>
    </row>
    <row r="1562" ht="17.25" customHeight="1" s="436">
      <c r="A1562" s="30" t="n">
        <v>43867</v>
      </c>
      <c r="B1562" s="31" t="inlineStr">
        <is>
          <t>7088</t>
        </is>
      </c>
      <c r="C1562" s="35" t="n"/>
      <c r="D1562" s="36" t="n">
        <v>52</v>
      </c>
      <c r="E1562" s="36" t="n"/>
      <c r="F1562" s="37" t="n"/>
      <c r="G1562" s="37" t="n">
        <v>100</v>
      </c>
      <c r="H1562" s="98">
        <f>H1561-G1562</f>
        <v/>
      </c>
      <c r="I1562" s="36" t="n"/>
      <c r="J1562" s="711" t="n"/>
      <c r="K1562" s="721" t="n"/>
      <c r="L1562" s="710" t="n"/>
      <c r="M1562" s="392" t="n"/>
    </row>
    <row r="1563" ht="17.25" customHeight="1" s="436">
      <c r="A1563" s="30" t="n">
        <v>43867</v>
      </c>
      <c r="B1563" s="31" t="inlineStr">
        <is>
          <t>7089</t>
        </is>
      </c>
      <c r="C1563" s="35" t="n"/>
      <c r="D1563" s="36" t="n">
        <v>56.8</v>
      </c>
      <c r="E1563" s="36" t="n"/>
      <c r="F1563" s="37" t="n"/>
      <c r="G1563" s="37" t="n">
        <v>50</v>
      </c>
      <c r="H1563" s="98">
        <f>H1562-G1563</f>
        <v/>
      </c>
      <c r="I1563" s="36" t="n"/>
      <c r="J1563" s="711" t="n"/>
      <c r="K1563" s="721" t="n"/>
      <c r="L1563" s="710" t="n"/>
      <c r="M1563" s="392" t="n"/>
    </row>
    <row r="1564" ht="17.25" customHeight="1" s="436">
      <c r="A1564" s="30" t="n">
        <v>43867</v>
      </c>
      <c r="B1564" s="31" t="inlineStr">
        <is>
          <t>7090</t>
        </is>
      </c>
      <c r="C1564" s="35" t="n"/>
      <c r="D1564" s="36" t="n">
        <v>56</v>
      </c>
      <c r="E1564" s="36" t="n"/>
      <c r="F1564" s="37" t="n"/>
      <c r="G1564" s="37" t="n">
        <v>30</v>
      </c>
      <c r="H1564" s="98">
        <f>H1563-G1564</f>
        <v/>
      </c>
      <c r="I1564" s="36" t="n"/>
      <c r="J1564" s="711" t="n"/>
      <c r="K1564" s="721" t="n"/>
      <c r="L1564" s="710" t="n"/>
      <c r="M1564" s="392" t="n"/>
    </row>
    <row r="1565" ht="17.25" customHeight="1" s="436">
      <c r="A1565" s="30" t="n">
        <v>43867</v>
      </c>
      <c r="B1565" s="31" t="inlineStr">
        <is>
          <t>7091</t>
        </is>
      </c>
      <c r="C1565" s="35" t="n"/>
      <c r="D1565" s="36" t="n">
        <v>56</v>
      </c>
      <c r="E1565" s="36" t="n"/>
      <c r="F1565" s="37" t="n"/>
      <c r="G1565" s="37" t="n">
        <v>20</v>
      </c>
      <c r="H1565" s="98">
        <f>H1564-G1565</f>
        <v/>
      </c>
      <c r="I1565" s="36" t="n"/>
      <c r="J1565" s="711" t="n"/>
      <c r="K1565" s="721" t="n"/>
      <c r="L1565" s="710" t="n"/>
      <c r="M1565" s="392" t="n"/>
    </row>
    <row r="1566" ht="17.25" customHeight="1" s="436">
      <c r="A1566" s="30" t="n">
        <v>43867</v>
      </c>
      <c r="B1566" s="31" t="inlineStr">
        <is>
          <t>7092</t>
        </is>
      </c>
      <c r="C1566" s="35" t="n"/>
      <c r="D1566" s="36" t="n">
        <v>53</v>
      </c>
      <c r="E1566" s="36" t="n"/>
      <c r="F1566" s="37" t="n"/>
      <c r="G1566" s="37" t="n">
        <v>100</v>
      </c>
      <c r="H1566" s="98">
        <f>H1565-G1566</f>
        <v/>
      </c>
      <c r="I1566" s="36" t="n"/>
      <c r="J1566" s="711" t="n"/>
      <c r="K1566" s="721" t="n"/>
      <c r="L1566" s="710" t="n"/>
      <c r="M1566" s="392" t="n"/>
    </row>
    <row r="1567" ht="17.25" customHeight="1" s="436">
      <c r="A1567" s="30" t="n">
        <v>43867</v>
      </c>
      <c r="B1567" s="31" t="inlineStr">
        <is>
          <t>7093</t>
        </is>
      </c>
      <c r="C1567" s="35" t="n"/>
      <c r="D1567" s="36" t="n">
        <v>55</v>
      </c>
      <c r="E1567" s="36" t="n"/>
      <c r="F1567" s="37" t="n"/>
      <c r="G1567" s="37" t="n">
        <v>50</v>
      </c>
      <c r="H1567" s="98">
        <f>H1566-G1567</f>
        <v/>
      </c>
      <c r="I1567" s="36" t="n"/>
      <c r="J1567" s="711" t="n"/>
      <c r="K1567" s="721" t="n"/>
      <c r="L1567" s="710" t="n"/>
      <c r="M1567" s="392" t="n"/>
    </row>
    <row r="1568" ht="17.25" customHeight="1" s="436">
      <c r="A1568" s="30" t="n">
        <v>43873</v>
      </c>
      <c r="B1568" s="31" t="inlineStr">
        <is>
          <t>7094</t>
        </is>
      </c>
      <c r="C1568" s="35" t="n"/>
      <c r="D1568" s="36" t="n">
        <v>52</v>
      </c>
      <c r="E1568" s="36" t="n"/>
      <c r="F1568" s="37" t="n"/>
      <c r="G1568" s="37" t="n">
        <v>10</v>
      </c>
      <c r="H1568" s="98">
        <f>H1567-G1568</f>
        <v/>
      </c>
      <c r="I1568" s="36" t="n"/>
      <c r="J1568" s="711" t="n"/>
      <c r="K1568" s="721" t="n"/>
      <c r="L1568" s="710" t="n"/>
      <c r="M1568" s="392" t="n"/>
    </row>
    <row r="1569" ht="17.25" customHeight="1" s="436">
      <c r="A1569" s="30" t="n">
        <v>43873</v>
      </c>
      <c r="B1569" s="31" t="inlineStr">
        <is>
          <t>7095</t>
        </is>
      </c>
      <c r="C1569" s="35" t="n"/>
      <c r="D1569" s="36" t="n">
        <v>50</v>
      </c>
      <c r="E1569" s="36" t="n"/>
      <c r="F1569" s="37" t="n"/>
      <c r="G1569" s="37" t="n">
        <v>50</v>
      </c>
      <c r="H1569" s="98">
        <f>H1568-G1569</f>
        <v/>
      </c>
      <c r="I1569" s="36" t="n"/>
      <c r="J1569" s="711" t="n"/>
      <c r="K1569" s="721" t="n"/>
      <c r="L1569" s="710" t="n"/>
      <c r="M1569" s="392" t="n"/>
    </row>
    <row r="1570" ht="17.25" customHeight="1" s="436">
      <c r="A1570" s="30" t="n">
        <v>43873</v>
      </c>
      <c r="B1570" s="31" t="inlineStr">
        <is>
          <t>7096</t>
        </is>
      </c>
      <c r="C1570" s="35" t="n"/>
      <c r="D1570" s="36" t="n">
        <v>56</v>
      </c>
      <c r="E1570" s="36" t="n"/>
      <c r="F1570" s="37" t="n"/>
      <c r="G1570" s="37" t="n">
        <v>30</v>
      </c>
      <c r="H1570" s="98">
        <f>H1569-G1570</f>
        <v/>
      </c>
      <c r="I1570" s="36" t="n"/>
      <c r="J1570" s="711" t="n"/>
      <c r="K1570" s="721" t="n"/>
      <c r="L1570" s="710" t="n"/>
      <c r="M1570" s="392" t="n"/>
    </row>
    <row r="1571" ht="17.25" customHeight="1" s="436">
      <c r="A1571" s="30" t="n">
        <v>43873</v>
      </c>
      <c r="B1571" s="31" t="inlineStr">
        <is>
          <t>7097</t>
        </is>
      </c>
      <c r="C1571" s="35" t="n"/>
      <c r="D1571" s="36" t="n">
        <v>57</v>
      </c>
      <c r="E1571" s="36" t="n"/>
      <c r="F1571" s="37" t="n"/>
      <c r="G1571" s="37" t="n">
        <v>45</v>
      </c>
      <c r="H1571" s="98">
        <f>H1570-G1571</f>
        <v/>
      </c>
      <c r="I1571" s="36" t="n"/>
      <c r="J1571" s="711" t="n"/>
      <c r="K1571" s="721" t="n"/>
      <c r="L1571" s="710" t="n"/>
      <c r="M1571" s="392" t="n"/>
    </row>
    <row r="1572" ht="17.25" customHeight="1" s="436">
      <c r="A1572" s="30" t="n">
        <v>43873</v>
      </c>
      <c r="B1572" s="31" t="inlineStr">
        <is>
          <t>7098</t>
        </is>
      </c>
      <c r="C1572" s="35" t="n"/>
      <c r="D1572" s="36" t="n">
        <v>55</v>
      </c>
      <c r="E1572" s="36" t="n"/>
      <c r="F1572" s="37" t="n"/>
      <c r="G1572" s="37" t="n">
        <v>10</v>
      </c>
      <c r="H1572" s="98">
        <f>H1571-G1572</f>
        <v/>
      </c>
      <c r="I1572" s="36" t="n"/>
      <c r="J1572" s="711" t="n"/>
      <c r="K1572" s="721" t="n"/>
      <c r="L1572" s="710" t="n"/>
      <c r="M1572" s="392" t="n"/>
    </row>
    <row r="1573" ht="17.25" customHeight="1" s="436">
      <c r="A1573" s="30" t="n">
        <v>43873</v>
      </c>
      <c r="B1573" s="31" t="inlineStr">
        <is>
          <t>7001</t>
        </is>
      </c>
      <c r="C1573" s="35" t="n"/>
      <c r="D1573" s="36" t="n">
        <v>53.67</v>
      </c>
      <c r="E1573" s="36" t="n"/>
      <c r="F1573" s="37" t="n"/>
      <c r="G1573" s="37" t="n">
        <v>150</v>
      </c>
      <c r="H1573" s="98">
        <f>H1572-G1573</f>
        <v/>
      </c>
      <c r="I1573" s="36" t="n"/>
      <c r="J1573" s="711" t="n"/>
      <c r="K1573" s="721" t="n"/>
      <c r="L1573" s="710" t="n"/>
      <c r="M1573" s="392" t="n"/>
    </row>
    <row r="1574" ht="17.25" customHeight="1" s="436">
      <c r="A1574" s="30" t="n">
        <v>43878</v>
      </c>
      <c r="B1574" s="31" t="inlineStr">
        <is>
          <t>7102</t>
        </is>
      </c>
      <c r="C1574" s="35" t="n"/>
      <c r="D1574" s="36" t="n">
        <v>53</v>
      </c>
      <c r="E1574" s="36" t="n"/>
      <c r="F1574" s="37" t="n"/>
      <c r="G1574" s="37" t="n">
        <v>50</v>
      </c>
      <c r="H1574" s="98">
        <f>H1573-G1574</f>
        <v/>
      </c>
      <c r="I1574" s="36" t="n"/>
      <c r="J1574" s="711" t="n"/>
      <c r="K1574" s="721" t="n"/>
      <c r="L1574" s="710" t="n"/>
      <c r="M1574" s="392" t="n"/>
    </row>
    <row r="1575" ht="17.25" customHeight="1" s="436">
      <c r="A1575" s="30" t="n">
        <v>43878</v>
      </c>
      <c r="B1575" s="31" t="inlineStr">
        <is>
          <t>7103</t>
        </is>
      </c>
      <c r="C1575" s="35" t="n"/>
      <c r="D1575" s="36" t="n">
        <v>59</v>
      </c>
      <c r="E1575" s="36" t="n"/>
      <c r="F1575" s="37" t="n"/>
      <c r="G1575" s="37" t="n">
        <v>40</v>
      </c>
      <c r="H1575" s="98">
        <f>H1574-G1575</f>
        <v/>
      </c>
      <c r="I1575" s="36" t="n"/>
      <c r="J1575" s="711" t="n"/>
      <c r="K1575" s="721" t="n"/>
      <c r="L1575" s="710" t="n"/>
      <c r="M1575" s="392" t="n"/>
    </row>
    <row r="1576" ht="17.25" customHeight="1" s="436">
      <c r="A1576" s="30" t="n">
        <v>43878</v>
      </c>
      <c r="B1576" s="31" t="inlineStr">
        <is>
          <t>7104</t>
        </is>
      </c>
      <c r="C1576" s="35" t="n"/>
      <c r="D1576" s="36" t="n">
        <v>52</v>
      </c>
      <c r="E1576" s="36" t="n"/>
      <c r="F1576" s="37" t="n"/>
      <c r="G1576" s="37" t="n">
        <v>60</v>
      </c>
      <c r="H1576" s="98">
        <f>H1575-G1576</f>
        <v/>
      </c>
      <c r="I1576" s="36" t="n"/>
      <c r="J1576" s="711" t="n"/>
      <c r="K1576" s="721" t="n"/>
      <c r="L1576" s="710" t="n"/>
      <c r="M1576" s="392" t="n"/>
    </row>
    <row r="1577" ht="17.25" customHeight="1" s="436">
      <c r="A1577" s="273" t="n">
        <v>43878</v>
      </c>
      <c r="B1577" s="274" t="inlineStr">
        <is>
          <t>2622</t>
        </is>
      </c>
      <c r="C1577" s="275" t="n"/>
      <c r="D1577" s="276" t="n">
        <v>38</v>
      </c>
      <c r="E1577" s="276" t="n"/>
      <c r="F1577" s="277" t="n">
        <v>120</v>
      </c>
      <c r="G1577" s="277" t="n"/>
      <c r="H1577" s="277" t="n">
        <v>2744</v>
      </c>
      <c r="I1577" s="36" t="n"/>
      <c r="J1577" s="711" t="n"/>
      <c r="K1577" s="721" t="n"/>
      <c r="L1577" s="710" t="n"/>
      <c r="M1577" s="392" t="n"/>
    </row>
    <row r="1578" ht="17.25" customHeight="1" s="436">
      <c r="A1578" s="30" t="n">
        <v>43879</v>
      </c>
      <c r="B1578" s="31" t="inlineStr">
        <is>
          <t>7105</t>
        </is>
      </c>
      <c r="C1578" s="35" t="n"/>
      <c r="D1578" s="36" t="n">
        <v>50</v>
      </c>
      <c r="E1578" s="36" t="n"/>
      <c r="F1578" s="37" t="n"/>
      <c r="G1578" s="37" t="n">
        <v>20</v>
      </c>
      <c r="H1578" s="98">
        <f>H1577-G1578</f>
        <v/>
      </c>
      <c r="I1578" s="36" t="n"/>
      <c r="J1578" s="711" t="n"/>
      <c r="K1578" s="721" t="n"/>
      <c r="L1578" s="710" t="n"/>
      <c r="M1578" s="392" t="n"/>
    </row>
    <row r="1579" ht="17.25" customHeight="1" s="436">
      <c r="A1579" s="30" t="n">
        <v>43879</v>
      </c>
      <c r="B1579" s="31" t="inlineStr">
        <is>
          <t>7106</t>
        </is>
      </c>
      <c r="C1579" s="35" t="n"/>
      <c r="D1579" s="36" t="n">
        <v>56</v>
      </c>
      <c r="E1579" s="36" t="n"/>
      <c r="F1579" s="37" t="n"/>
      <c r="G1579" s="37" t="n">
        <v>30</v>
      </c>
      <c r="H1579" s="98">
        <f>H1578-G1579</f>
        <v/>
      </c>
      <c r="I1579" s="36" t="n"/>
      <c r="J1579" s="711" t="n"/>
      <c r="K1579" s="721" t="n"/>
      <c r="L1579" s="710" t="n"/>
      <c r="M1579" s="392" t="n"/>
    </row>
    <row r="1580" ht="17.25" customHeight="1" s="436">
      <c r="A1580" s="30" t="n">
        <v>43879</v>
      </c>
      <c r="B1580" s="31" t="inlineStr">
        <is>
          <t>7109</t>
        </is>
      </c>
      <c r="C1580" s="35" t="n"/>
      <c r="D1580" s="36" t="n">
        <v>54.5</v>
      </c>
      <c r="E1580" s="36" t="n"/>
      <c r="F1580" s="37" t="n"/>
      <c r="G1580" s="37" t="n">
        <v>40</v>
      </c>
      <c r="H1580" s="98">
        <f>H1579-G1580</f>
        <v/>
      </c>
      <c r="I1580" s="36" t="n"/>
      <c r="J1580" s="711" t="n"/>
      <c r="K1580" s="721" t="n"/>
      <c r="L1580" s="710" t="n"/>
      <c r="M1580" s="392" t="n"/>
    </row>
    <row r="1581" ht="17.25" customHeight="1" s="436">
      <c r="A1581" s="30" t="n">
        <v>43879</v>
      </c>
      <c r="B1581" s="31" t="inlineStr">
        <is>
          <t>7110</t>
        </is>
      </c>
      <c r="C1581" s="35" t="n"/>
      <c r="D1581" s="36" t="n">
        <v>59</v>
      </c>
      <c r="E1581" s="36" t="n"/>
      <c r="F1581" s="37" t="n"/>
      <c r="G1581" s="37" t="n">
        <v>20</v>
      </c>
      <c r="H1581" s="98">
        <f>H1580-G1581</f>
        <v/>
      </c>
      <c r="I1581" s="36" t="n"/>
      <c r="J1581" s="711" t="n"/>
      <c r="K1581" s="721" t="n"/>
      <c r="L1581" s="710" t="n"/>
      <c r="M1581" s="392" t="n"/>
    </row>
    <row r="1582" ht="17.25" customHeight="1" s="436">
      <c r="A1582" s="30" t="n">
        <v>43879</v>
      </c>
      <c r="B1582" s="31" t="inlineStr">
        <is>
          <t>7111</t>
        </is>
      </c>
      <c r="C1582" s="35" t="n"/>
      <c r="D1582" s="36" t="n">
        <v>56</v>
      </c>
      <c r="E1582" s="36" t="n"/>
      <c r="F1582" s="37" t="n"/>
      <c r="G1582" s="37" t="n">
        <v>20</v>
      </c>
      <c r="H1582" s="98">
        <f>H1581-G1582</f>
        <v/>
      </c>
      <c r="I1582" s="36" t="n"/>
      <c r="J1582" s="711" t="n"/>
      <c r="K1582" s="721" t="n"/>
      <c r="L1582" s="710" t="n"/>
      <c r="M1582" s="392" t="n"/>
    </row>
    <row r="1583" ht="17.25" customHeight="1" s="436">
      <c r="A1583" s="30" t="n">
        <v>43880</v>
      </c>
      <c r="B1583" s="31" t="inlineStr">
        <is>
          <t>7112</t>
        </is>
      </c>
      <c r="C1583" s="35" t="n"/>
      <c r="D1583" s="36" t="n">
        <v>50</v>
      </c>
      <c r="E1583" s="36" t="n"/>
      <c r="F1583" s="37" t="n"/>
      <c r="G1583" s="37" t="n">
        <v>20</v>
      </c>
      <c r="H1583" s="98">
        <f>H1582-G1583</f>
        <v/>
      </c>
      <c r="I1583" s="36" t="n"/>
      <c r="J1583" s="711" t="n"/>
      <c r="K1583" s="721" t="n"/>
      <c r="L1583" s="710" t="n"/>
      <c r="M1583" s="392" t="n"/>
    </row>
    <row r="1584" ht="17.25" customHeight="1" s="436">
      <c r="A1584" s="30" t="n">
        <v>43880</v>
      </c>
      <c r="B1584" s="31" t="inlineStr">
        <is>
          <t>7114</t>
        </is>
      </c>
      <c r="C1584" s="35" t="n"/>
      <c r="D1584" s="36" t="n">
        <v>56</v>
      </c>
      <c r="E1584" s="36" t="n"/>
      <c r="F1584" s="37" t="n"/>
      <c r="G1584" s="37" t="n">
        <v>20</v>
      </c>
      <c r="H1584" s="98">
        <f>H1583-G1584</f>
        <v/>
      </c>
      <c r="I1584" s="36" t="n"/>
      <c r="J1584" s="711" t="n"/>
      <c r="K1584" s="721" t="n"/>
      <c r="L1584" s="710" t="n"/>
      <c r="M1584" s="392" t="n"/>
    </row>
    <row r="1585" ht="17.25" customHeight="1" s="436">
      <c r="A1585" s="30" t="n">
        <v>43880</v>
      </c>
      <c r="B1585" s="31" t="inlineStr">
        <is>
          <t>7116</t>
        </is>
      </c>
      <c r="C1585" s="35" t="n"/>
      <c r="D1585" s="36" t="n">
        <v>58</v>
      </c>
      <c r="E1585" s="36" t="n"/>
      <c r="F1585" s="37" t="n"/>
      <c r="G1585" s="37" t="n">
        <v>25</v>
      </c>
      <c r="H1585" s="98">
        <f>H1584-G1585</f>
        <v/>
      </c>
      <c r="I1585" s="36" t="n"/>
      <c r="J1585" s="711" t="n"/>
      <c r="K1585" s="721" t="n"/>
      <c r="L1585" s="710" t="n"/>
      <c r="M1585" s="392" t="n"/>
    </row>
    <row r="1586" ht="17.25" customHeight="1" s="436">
      <c r="A1586" s="30" t="n">
        <v>43880</v>
      </c>
      <c r="B1586" s="31" t="inlineStr">
        <is>
          <t>7117</t>
        </is>
      </c>
      <c r="C1586" s="35" t="n"/>
      <c r="D1586" s="36" t="n">
        <v>57</v>
      </c>
      <c r="E1586" s="36" t="n"/>
      <c r="F1586" s="37" t="n"/>
      <c r="G1586" s="37" t="n">
        <v>45</v>
      </c>
      <c r="H1586" s="98">
        <f>H1585-G1586</f>
        <v/>
      </c>
      <c r="I1586" s="36" t="n"/>
      <c r="J1586" s="711" t="n"/>
      <c r="K1586" s="721" t="n"/>
      <c r="L1586" s="710" t="n"/>
      <c r="M1586" s="392" t="n"/>
    </row>
    <row r="1587" ht="17.25" customHeight="1" s="436">
      <c r="A1587" s="30" t="inlineStr">
        <is>
          <t>19/002/2020</t>
        </is>
      </c>
      <c r="B1587" s="31" t="inlineStr">
        <is>
          <t>7119</t>
        </is>
      </c>
      <c r="C1587" s="35" t="n"/>
      <c r="D1587" s="36" t="n">
        <v>58</v>
      </c>
      <c r="E1587" s="36" t="n"/>
      <c r="F1587" s="37" t="n"/>
      <c r="G1587" s="37" t="n">
        <v>20</v>
      </c>
      <c r="H1587" s="98">
        <f>H1586-G1587</f>
        <v/>
      </c>
      <c r="I1587" s="36" t="n"/>
      <c r="J1587" s="711" t="n"/>
      <c r="K1587" s="721" t="n"/>
      <c r="L1587" s="710" t="n"/>
      <c r="M1587" s="392" t="n"/>
    </row>
    <row r="1588" ht="17.25" customHeight="1" s="436">
      <c r="A1588" s="30" t="n">
        <v>43880</v>
      </c>
      <c r="B1588" s="31" t="inlineStr">
        <is>
          <t>7120</t>
        </is>
      </c>
      <c r="C1588" s="35" t="n"/>
      <c r="D1588" s="36" t="n">
        <v>53</v>
      </c>
      <c r="E1588" s="36" t="n"/>
      <c r="F1588" s="37" t="n"/>
      <c r="G1588" s="37" t="n">
        <v>20</v>
      </c>
      <c r="H1588" s="98">
        <f>H1587-G1588</f>
        <v/>
      </c>
      <c r="I1588" s="36" t="n"/>
      <c r="J1588" s="711" t="n"/>
      <c r="K1588" s="721" t="n"/>
      <c r="L1588" s="710" t="n"/>
      <c r="M1588" s="392" t="n"/>
    </row>
    <row r="1589" ht="17.25" customHeight="1" s="436">
      <c r="A1589" s="30" t="n">
        <v>43880</v>
      </c>
      <c r="B1589" s="31" t="inlineStr">
        <is>
          <t>7121</t>
        </is>
      </c>
      <c r="C1589" s="35" t="n"/>
      <c r="D1589" s="36" t="n">
        <v>56</v>
      </c>
      <c r="E1589" s="36" t="n"/>
      <c r="F1589" s="37" t="n"/>
      <c r="G1589" s="37" t="n">
        <v>50</v>
      </c>
      <c r="H1589" s="98">
        <f>H1588-G1589</f>
        <v/>
      </c>
      <c r="I1589" s="36" t="n"/>
      <c r="J1589" s="711" t="n"/>
      <c r="K1589" s="721" t="n"/>
      <c r="L1589" s="710" t="n"/>
      <c r="M1589" s="392" t="n"/>
    </row>
    <row r="1590" ht="17.25" customHeight="1" s="436">
      <c r="A1590" s="273" t="n">
        <v>43886</v>
      </c>
      <c r="B1590" s="274" t="inlineStr">
        <is>
          <t>137076</t>
        </is>
      </c>
      <c r="C1590" s="275" t="n"/>
      <c r="D1590" s="276" t="n">
        <v>45</v>
      </c>
      <c r="E1590" s="276" t="n"/>
      <c r="F1590" s="277" t="n">
        <v>600</v>
      </c>
      <c r="G1590" s="277" t="n"/>
      <c r="H1590" s="277" t="n">
        <v>3014</v>
      </c>
      <c r="I1590" s="36" t="n"/>
      <c r="J1590" s="711" t="n"/>
      <c r="K1590" s="721" t="n"/>
      <c r="L1590" s="710" t="n"/>
      <c r="M1590" s="392" t="n"/>
    </row>
    <row r="1591" ht="17.25" customHeight="1" s="436">
      <c r="A1591" s="273" t="n">
        <v>43886</v>
      </c>
      <c r="B1591" s="274" t="inlineStr">
        <is>
          <t>137076</t>
        </is>
      </c>
      <c r="C1591" s="275" t="n"/>
      <c r="D1591" s="276" t="n">
        <v>46</v>
      </c>
      <c r="E1591" s="276" t="n"/>
      <c r="F1591" s="277" t="n">
        <v>200</v>
      </c>
      <c r="G1591" s="277" t="n"/>
      <c r="H1591" s="277" t="n">
        <v>3214</v>
      </c>
      <c r="I1591" s="36" t="n"/>
      <c r="J1591" s="711" t="n"/>
      <c r="K1591" s="721" t="n"/>
      <c r="L1591" s="710" t="n"/>
      <c r="M1591" s="392" t="n"/>
    </row>
    <row r="1592" ht="17.25" customHeight="1" s="436">
      <c r="A1592" s="30" t="n">
        <v>43886</v>
      </c>
      <c r="B1592" s="31" t="inlineStr">
        <is>
          <t>7123</t>
        </is>
      </c>
      <c r="C1592" s="35" t="n"/>
      <c r="D1592" s="36" t="n">
        <v>58</v>
      </c>
      <c r="E1592" s="36" t="n"/>
      <c r="F1592" s="37" t="n"/>
      <c r="G1592" s="37" t="n">
        <v>60</v>
      </c>
      <c r="H1592" s="98">
        <f>H1591-G1592</f>
        <v/>
      </c>
      <c r="I1592" s="36" t="n"/>
      <c r="J1592" s="711" t="n"/>
      <c r="K1592" s="721" t="n"/>
      <c r="L1592" s="710" t="n"/>
      <c r="M1592" s="392" t="n"/>
    </row>
    <row r="1593" ht="17.25" customHeight="1" s="436">
      <c r="A1593" s="30" t="n">
        <v>43886</v>
      </c>
      <c r="B1593" s="31" t="inlineStr">
        <is>
          <t>7124</t>
        </is>
      </c>
      <c r="C1593" s="35" t="n"/>
      <c r="D1593" s="36" t="n">
        <v>56</v>
      </c>
      <c r="E1593" s="36" t="n"/>
      <c r="F1593" s="37" t="n"/>
      <c r="G1593" s="37" t="n">
        <v>40</v>
      </c>
      <c r="H1593" s="98">
        <f>H1592-G1593</f>
        <v/>
      </c>
      <c r="I1593" s="36" t="n"/>
      <c r="J1593" s="711" t="n"/>
      <c r="K1593" s="721" t="n"/>
      <c r="L1593" s="710" t="n"/>
      <c r="M1593" s="392" t="n"/>
    </row>
    <row r="1594" ht="17.25" customHeight="1" s="436">
      <c r="A1594" s="30" t="n">
        <v>43886</v>
      </c>
      <c r="B1594" s="31" t="inlineStr">
        <is>
          <t>7125</t>
        </is>
      </c>
      <c r="C1594" s="35" t="n"/>
      <c r="D1594" s="36" t="n">
        <v>58</v>
      </c>
      <c r="E1594" s="36" t="n"/>
      <c r="F1594" s="37" t="n"/>
      <c r="G1594" s="37" t="n">
        <v>20</v>
      </c>
      <c r="H1594" s="98">
        <f>H1593-G1594</f>
        <v/>
      </c>
      <c r="I1594" s="36" t="n"/>
      <c r="J1594" s="711" t="n"/>
      <c r="K1594" s="721" t="n"/>
      <c r="L1594" s="710" t="n"/>
      <c r="M1594" s="392" t="n"/>
    </row>
    <row r="1595" ht="17.25" customHeight="1" s="436">
      <c r="A1595" s="30" t="n">
        <v>43886</v>
      </c>
      <c r="B1595" s="31" t="inlineStr">
        <is>
          <t>7126</t>
        </is>
      </c>
      <c r="C1595" s="35" t="n"/>
      <c r="D1595" s="36" t="n">
        <v>58</v>
      </c>
      <c r="E1595" s="36" t="n"/>
      <c r="F1595" s="37" t="n"/>
      <c r="G1595" s="37" t="n">
        <v>25</v>
      </c>
      <c r="H1595" s="98">
        <f>H1594-G1595</f>
        <v/>
      </c>
      <c r="I1595" s="36" t="n"/>
      <c r="J1595" s="711" t="n"/>
      <c r="K1595" s="721" t="n"/>
      <c r="L1595" s="710" t="n"/>
      <c r="M1595" s="392" t="n"/>
    </row>
    <row r="1596" ht="17.25" customHeight="1" s="436">
      <c r="A1596" s="30" t="n">
        <v>43886</v>
      </c>
      <c r="B1596" s="31" t="inlineStr">
        <is>
          <t>7128</t>
        </is>
      </c>
      <c r="C1596" s="35" t="n"/>
      <c r="D1596" s="36" t="n">
        <v>55.5</v>
      </c>
      <c r="E1596" s="36" t="n"/>
      <c r="F1596" s="37" t="n"/>
      <c r="G1596" s="37" t="n">
        <v>30</v>
      </c>
      <c r="H1596" s="98">
        <f>H1595-G1596</f>
        <v/>
      </c>
      <c r="I1596" s="36" t="n"/>
      <c r="J1596" s="711" t="n"/>
      <c r="K1596" s="721" t="n"/>
      <c r="L1596" s="710" t="n"/>
      <c r="M1596" s="392" t="n"/>
    </row>
    <row r="1597" ht="17.25" customHeight="1" s="436">
      <c r="A1597" s="30" t="n">
        <v>43890</v>
      </c>
      <c r="B1597" s="31" t="inlineStr">
        <is>
          <t>7130</t>
        </is>
      </c>
      <c r="C1597" s="35" t="n"/>
      <c r="D1597" s="36" t="n">
        <v>50</v>
      </c>
      <c r="E1597" s="36" t="n"/>
      <c r="F1597" s="37" t="n"/>
      <c r="G1597" s="37" t="n">
        <v>150</v>
      </c>
      <c r="H1597" s="98">
        <f>H1596-G1597</f>
        <v/>
      </c>
      <c r="I1597" s="36" t="n"/>
      <c r="J1597" s="711" t="n"/>
      <c r="K1597" s="721" t="n"/>
      <c r="L1597" s="710" t="n"/>
      <c r="M1597" s="392" t="n"/>
    </row>
    <row r="1598" ht="17.25" customHeight="1" s="436">
      <c r="A1598" s="30" t="n"/>
      <c r="B1598" s="31" t="n"/>
      <c r="C1598" s="35" t="n"/>
      <c r="D1598" s="36" t="n"/>
      <c r="E1598" s="36" t="n"/>
      <c r="F1598" s="37" t="n"/>
      <c r="G1598" s="37" t="n"/>
      <c r="H1598" s="98">
        <f>H1597-G1598</f>
        <v/>
      </c>
      <c r="I1598" s="36" t="n"/>
      <c r="J1598" s="711" t="n"/>
      <c r="K1598" s="721" t="n"/>
      <c r="L1598" s="710" t="n"/>
      <c r="M1598" s="392" t="n"/>
    </row>
    <row r="1599" ht="17.25" customHeight="1" s="436">
      <c r="A1599" s="30" t="n"/>
      <c r="B1599" s="31" t="n"/>
      <c r="C1599" s="35" t="n"/>
      <c r="D1599" s="36" t="n"/>
      <c r="E1599" s="36" t="n"/>
      <c r="F1599" s="37" t="n"/>
      <c r="G1599" s="37" t="n"/>
      <c r="H1599" s="98">
        <f>H1598-G1599</f>
        <v/>
      </c>
      <c r="I1599" s="36" t="n"/>
      <c r="J1599" s="711" t="n"/>
      <c r="K1599" s="721" t="n"/>
      <c r="L1599" s="710" t="n"/>
      <c r="M1599" s="392" t="n"/>
    </row>
    <row r="1600" ht="15.75" customHeight="1" s="436" thickBot="1"/>
    <row r="1601" ht="32.25" customHeight="1" s="436" thickBot="1">
      <c r="A1601" s="735" t="inlineStr">
        <is>
          <t>Março</t>
        </is>
      </c>
      <c r="B1601" s="697" t="n"/>
      <c r="C1601" s="697" t="n"/>
      <c r="D1601" s="697" t="n"/>
      <c r="E1601" s="697" t="n"/>
      <c r="F1601" s="697" t="n"/>
      <c r="G1601" s="697" t="n"/>
      <c r="H1601" s="697" t="n"/>
      <c r="I1601" s="697" t="n"/>
      <c r="J1601" s="697" t="n"/>
      <c r="K1601" s="697" t="n"/>
      <c r="L1601" s="697" t="n"/>
      <c r="M1601" s="698" t="n"/>
    </row>
    <row r="1602" ht="27" customHeight="1" s="436" thickBot="1">
      <c r="A1602" s="734" t="inlineStr">
        <is>
          <t xml:space="preserve"> FARINHA DE TRIGO TIPO: 1 - 25 KG</t>
        </is>
      </c>
      <c r="B1602" s="706" t="n"/>
      <c r="C1602" s="706" t="n"/>
      <c r="D1602" s="706" t="n"/>
      <c r="E1602" s="706" t="n"/>
      <c r="F1602" s="706" t="n"/>
      <c r="G1602" s="706" t="n"/>
      <c r="H1602" s="706" t="n"/>
      <c r="I1602" s="706" t="n"/>
      <c r="J1602" s="706" t="n"/>
      <c r="K1602" s="706" t="n"/>
      <c r="L1602" s="706" t="n"/>
      <c r="M1602" s="707" t="n"/>
    </row>
    <row r="1603">
      <c r="A1603" s="643" t="inlineStr">
        <is>
          <t>DATA</t>
        </is>
      </c>
      <c r="B1603" s="633" t="inlineStr">
        <is>
          <t>N.F.</t>
        </is>
      </c>
      <c r="C1603" s="633" t="inlineStr">
        <is>
          <t>TIPO</t>
        </is>
      </c>
      <c r="D1603" s="633" t="inlineStr">
        <is>
          <t>PREÇO UNITÁRIO</t>
        </is>
      </c>
      <c r="E1603" s="701" t="n"/>
      <c r="F1603" s="633" t="inlineStr">
        <is>
          <t>QUANTIDADE / KG</t>
        </is>
      </c>
      <c r="H1603" s="701" t="n"/>
      <c r="I1603" s="632" t="inlineStr">
        <is>
          <t>PREÇO</t>
        </is>
      </c>
      <c r="J1603" s="632" t="inlineStr">
        <is>
          <t>VALORES</t>
        </is>
      </c>
      <c r="L1603" s="701" t="n"/>
      <c r="M1603" s="649" t="n"/>
    </row>
    <row r="1604" ht="15.75" customHeight="1" s="436" thickBot="1">
      <c r="A1604" s="703" t="n"/>
      <c r="B1604" s="704" t="n"/>
      <c r="C1604" s="704" t="n"/>
      <c r="D1604" s="703" t="n"/>
      <c r="E1604" s="701" t="n"/>
      <c r="F1604" s="705" t="n"/>
      <c r="G1604" s="706" t="n"/>
      <c r="H1604" s="707" t="n"/>
      <c r="I1604" s="704" t="n"/>
      <c r="J1604" s="703" t="n"/>
      <c r="L1604" s="701" t="n"/>
      <c r="M1604" s="704" t="n"/>
    </row>
    <row r="1605" ht="15.75" customHeight="1" s="436" thickBot="1">
      <c r="A1605" s="703" t="n"/>
      <c r="B1605" s="704" t="n"/>
      <c r="C1605" s="704" t="n"/>
      <c r="D1605" s="705" t="n"/>
      <c r="E1605" s="707" t="n"/>
      <c r="F1605" s="3" t="inlineStr">
        <is>
          <t>ENTRADA</t>
        </is>
      </c>
      <c r="G1605" s="3" t="inlineStr">
        <is>
          <t>SAÍDA</t>
        </is>
      </c>
      <c r="H1605" s="640" t="n"/>
      <c r="I1605" s="633" t="inlineStr">
        <is>
          <t>MÉDIO</t>
        </is>
      </c>
      <c r="J1605" s="652" t="inlineStr">
        <is>
          <t>SALDO EM 30/11/2017</t>
        </is>
      </c>
      <c r="K1605" s="706" t="n"/>
      <c r="L1605" s="17" t="n"/>
      <c r="M1605" s="704" t="n"/>
    </row>
    <row r="1606" ht="18" customHeight="1" s="436" thickBot="1">
      <c r="A1606" s="705" t="n"/>
      <c r="B1606" s="695" t="n"/>
      <c r="C1606" s="695" t="n"/>
      <c r="D1606" s="3" t="inlineStr">
        <is>
          <t>C/ICMS</t>
        </is>
      </c>
      <c r="E1606" s="3" t="inlineStr">
        <is>
          <t>S/ICMS</t>
        </is>
      </c>
      <c r="F1606" s="695" t="n"/>
      <c r="G1606" s="695" t="n"/>
      <c r="H1606" s="84" t="inlineStr">
        <is>
          <t>Saldo em 29/02/2020</t>
        </is>
      </c>
      <c r="I1606" s="695" t="n"/>
      <c r="J1606" s="645" t="inlineStr">
        <is>
          <t>ENTRADA</t>
        </is>
      </c>
      <c r="K1606" s="633" t="inlineStr">
        <is>
          <t>SAÍDA / CMV</t>
        </is>
      </c>
      <c r="L1606" s="643" t="inlineStr">
        <is>
          <t>SALDO</t>
        </is>
      </c>
      <c r="M1606" s="392" t="n"/>
    </row>
    <row r="1607" ht="17.25" customHeight="1" s="436">
      <c r="A1607" s="30" t="n">
        <v>43890</v>
      </c>
      <c r="B1607" s="31" t="n"/>
      <c r="C1607" s="35" t="n"/>
      <c r="D1607" s="36" t="n"/>
      <c r="E1607" s="36" t="n"/>
      <c r="F1607" s="37" t="n"/>
      <c r="G1607" s="37" t="n"/>
      <c r="H1607" s="98" t="n">
        <v>2889</v>
      </c>
      <c r="I1607" s="36" t="n"/>
      <c r="J1607" s="711">
        <f>F1607*I1607</f>
        <v/>
      </c>
      <c r="K1607" s="721" t="n">
        <v>0</v>
      </c>
      <c r="L1607" s="710">
        <f>J1607-K1607</f>
        <v/>
      </c>
      <c r="M1607" s="392" t="n"/>
    </row>
    <row r="1608" ht="17.25" customHeight="1" s="436">
      <c r="A1608" s="30" t="n">
        <v>43893</v>
      </c>
      <c r="B1608" s="31" t="inlineStr">
        <is>
          <t>7131</t>
        </is>
      </c>
      <c r="C1608" s="35" t="n"/>
      <c r="D1608" s="36" t="n">
        <v>56</v>
      </c>
      <c r="E1608" s="36" t="n"/>
      <c r="F1608" s="37" t="n"/>
      <c r="G1608" s="37" t="n">
        <v>40</v>
      </c>
      <c r="H1608" s="98">
        <f>H1607-G1608</f>
        <v/>
      </c>
      <c r="I1608" s="36" t="n"/>
      <c r="J1608" s="711" t="n"/>
      <c r="K1608" s="721" t="n"/>
      <c r="L1608" s="710" t="n"/>
      <c r="M1608" s="392" t="n"/>
    </row>
    <row r="1609" ht="17.25" customHeight="1" s="436">
      <c r="A1609" s="30" t="n">
        <v>43893</v>
      </c>
      <c r="B1609" s="31" t="inlineStr">
        <is>
          <t>7133</t>
        </is>
      </c>
      <c r="C1609" s="35" t="n"/>
      <c r="D1609" s="36" t="n">
        <v>59.25</v>
      </c>
      <c r="E1609" s="36" t="n"/>
      <c r="F1609" s="37" t="n"/>
      <c r="G1609" s="37" t="n">
        <v>51</v>
      </c>
      <c r="H1609" s="98">
        <f>H1608-G1609</f>
        <v/>
      </c>
      <c r="I1609" s="36" t="n"/>
      <c r="J1609" s="711" t="n"/>
      <c r="K1609" s="721" t="n"/>
      <c r="L1609" s="710" t="n"/>
      <c r="M1609" s="392" t="n"/>
    </row>
    <row r="1610" ht="17.25" customHeight="1" s="436">
      <c r="A1610" s="30" t="n">
        <v>43893</v>
      </c>
      <c r="B1610" s="31" t="inlineStr">
        <is>
          <t>7135</t>
        </is>
      </c>
      <c r="C1610" s="35" t="n"/>
      <c r="D1610" s="36" t="n">
        <v>54</v>
      </c>
      <c r="E1610" s="36" t="n"/>
      <c r="F1610" s="37" t="n"/>
      <c r="G1610" s="37" t="n">
        <v>55</v>
      </c>
      <c r="H1610" s="98">
        <f>H1609-G1610</f>
        <v/>
      </c>
      <c r="I1610" s="36" t="n"/>
      <c r="J1610" s="711" t="n"/>
      <c r="K1610" s="721" t="n"/>
      <c r="L1610" s="710" t="n"/>
      <c r="M1610" s="392" t="n"/>
    </row>
    <row r="1611" ht="17.25" customHeight="1" s="436">
      <c r="A1611" s="30" t="n">
        <v>43893</v>
      </c>
      <c r="B1611" s="31" t="inlineStr">
        <is>
          <t>7136</t>
        </is>
      </c>
      <c r="C1611" s="35" t="n"/>
      <c r="D1611" s="36" t="n">
        <v>58</v>
      </c>
      <c r="E1611" s="36" t="n"/>
      <c r="F1611" s="37" t="n"/>
      <c r="G1611" s="37" t="n">
        <v>50</v>
      </c>
      <c r="H1611" s="98">
        <f>H1610-G1611</f>
        <v/>
      </c>
      <c r="I1611" s="36" t="n"/>
      <c r="J1611" s="711" t="n"/>
      <c r="K1611" s="721" t="n"/>
      <c r="L1611" s="710" t="n"/>
      <c r="M1611" s="392" t="n"/>
    </row>
    <row r="1612" ht="17.25" customHeight="1" s="436">
      <c r="A1612" s="30" t="n">
        <v>43893</v>
      </c>
      <c r="B1612" s="31" t="inlineStr">
        <is>
          <t>7139</t>
        </is>
      </c>
      <c r="C1612" s="35" t="n"/>
      <c r="D1612" s="36" t="n">
        <v>58.34</v>
      </c>
      <c r="E1612" s="36" t="n"/>
      <c r="F1612" s="37" t="n"/>
      <c r="G1612" s="37" t="n">
        <v>30</v>
      </c>
      <c r="H1612" s="98">
        <f>H1611-G1612</f>
        <v/>
      </c>
      <c r="I1612" s="36" t="n"/>
      <c r="J1612" s="711" t="n"/>
      <c r="K1612" s="721" t="n"/>
      <c r="L1612" s="710" t="n"/>
      <c r="M1612" s="392" t="n"/>
    </row>
    <row r="1613" ht="17.25" customHeight="1" s="436">
      <c r="A1613" s="30" t="n">
        <v>43893</v>
      </c>
      <c r="B1613" s="31" t="inlineStr">
        <is>
          <t>7140</t>
        </is>
      </c>
      <c r="C1613" s="35" t="n"/>
      <c r="D1613" s="36" t="n">
        <v>55</v>
      </c>
      <c r="E1613" s="36" t="n"/>
      <c r="F1613" s="37" t="n"/>
      <c r="G1613" s="37" t="n">
        <v>15</v>
      </c>
      <c r="H1613" s="98">
        <f>H1612-G1613</f>
        <v/>
      </c>
      <c r="I1613" s="36" t="n"/>
      <c r="J1613" s="711" t="n"/>
      <c r="K1613" s="721" t="n"/>
      <c r="L1613" s="710" t="n"/>
      <c r="M1613" s="392" t="n"/>
    </row>
    <row r="1614" ht="17.25" customHeight="1" s="436">
      <c r="A1614" s="30" t="n">
        <v>43893</v>
      </c>
      <c r="B1614" s="31" t="inlineStr">
        <is>
          <t>7142</t>
        </is>
      </c>
      <c r="C1614" s="35" t="n"/>
      <c r="D1614" s="36" t="n">
        <v>52</v>
      </c>
      <c r="E1614" s="36" t="n"/>
      <c r="F1614" s="37" t="n"/>
      <c r="G1614" s="37" t="n">
        <v>10</v>
      </c>
      <c r="H1614" s="98">
        <f>H1613-G1614</f>
        <v/>
      </c>
      <c r="I1614" s="36" t="n"/>
      <c r="J1614" s="711" t="n"/>
      <c r="K1614" s="721" t="n"/>
      <c r="L1614" s="710" t="n"/>
      <c r="M1614" s="392" t="n"/>
    </row>
    <row r="1615" ht="17.25" customHeight="1" s="436">
      <c r="A1615" s="30" t="n">
        <v>43895</v>
      </c>
      <c r="B1615" s="31" t="inlineStr">
        <is>
          <t>7143</t>
        </is>
      </c>
      <c r="C1615" s="35" t="n"/>
      <c r="D1615" s="36" t="n">
        <v>60.4</v>
      </c>
      <c r="E1615" s="36" t="n"/>
      <c r="F1615" s="37" t="n"/>
      <c r="G1615" s="37" t="n">
        <v>50</v>
      </c>
      <c r="H1615" s="98">
        <f>H1614-G1615</f>
        <v/>
      </c>
      <c r="I1615" s="36" t="n"/>
      <c r="J1615" s="711" t="n"/>
      <c r="K1615" s="721" t="n"/>
      <c r="L1615" s="710" t="n"/>
      <c r="M1615" s="392" t="n"/>
    </row>
    <row r="1616" ht="17.25" customHeight="1" s="436">
      <c r="A1616" s="30" t="n">
        <v>43895</v>
      </c>
      <c r="B1616" s="31" t="inlineStr">
        <is>
          <t>7144</t>
        </is>
      </c>
      <c r="C1616" s="35" t="n"/>
      <c r="D1616" s="36" t="n">
        <v>58</v>
      </c>
      <c r="E1616" s="36" t="n"/>
      <c r="F1616" s="37" t="n"/>
      <c r="G1616" s="37" t="n">
        <v>30</v>
      </c>
      <c r="H1616" s="98">
        <f>H1615-G1616</f>
        <v/>
      </c>
      <c r="I1616" s="36" t="n"/>
      <c r="J1616" s="711" t="n"/>
      <c r="K1616" s="721" t="n"/>
      <c r="L1616" s="710" t="n"/>
      <c r="M1616" s="392" t="n"/>
    </row>
    <row r="1617" ht="17.25" customHeight="1" s="436">
      <c r="A1617" s="30" t="n">
        <v>43895</v>
      </c>
      <c r="B1617" s="31" t="inlineStr">
        <is>
          <t>7149</t>
        </is>
      </c>
      <c r="C1617" s="35" t="n"/>
      <c r="D1617" s="36" t="n">
        <v>58</v>
      </c>
      <c r="E1617" s="36" t="n"/>
      <c r="F1617" s="37" t="n"/>
      <c r="G1617" s="37" t="n">
        <v>30</v>
      </c>
      <c r="H1617" s="98">
        <f>H1616-G1617</f>
        <v/>
      </c>
      <c r="I1617" s="36" t="n"/>
      <c r="J1617" s="711" t="n"/>
      <c r="K1617" s="721" t="n"/>
      <c r="L1617" s="710" t="n"/>
      <c r="M1617" s="392" t="n"/>
    </row>
    <row r="1618" ht="17.25" customHeight="1" s="436">
      <c r="A1618" s="30" t="n">
        <v>43895</v>
      </c>
      <c r="B1618" s="31" t="inlineStr">
        <is>
          <t>7150</t>
        </is>
      </c>
      <c r="C1618" s="35" t="n"/>
      <c r="D1618" s="36" t="n">
        <v>54</v>
      </c>
      <c r="E1618" s="36" t="n"/>
      <c r="F1618" s="37" t="n"/>
      <c r="G1618" s="37" t="n">
        <v>30</v>
      </c>
      <c r="H1618" s="98">
        <f>H1617-G1618</f>
        <v/>
      </c>
      <c r="I1618" s="36" t="n"/>
      <c r="J1618" s="711" t="n"/>
      <c r="K1618" s="721" t="n"/>
      <c r="L1618" s="710" t="n"/>
      <c r="M1618" s="392" t="n"/>
    </row>
    <row r="1619" ht="17.25" customHeight="1" s="436">
      <c r="A1619" s="30" t="n">
        <v>43900</v>
      </c>
      <c r="B1619" s="31" t="inlineStr">
        <is>
          <t>7153</t>
        </is>
      </c>
      <c r="C1619" s="35" t="n"/>
      <c r="D1619" s="36" t="n">
        <v>50</v>
      </c>
      <c r="E1619" s="36" t="n"/>
      <c r="F1619" s="37" t="n"/>
      <c r="G1619" s="37" t="n">
        <v>20</v>
      </c>
      <c r="H1619" s="98">
        <f>H1618-G1619</f>
        <v/>
      </c>
      <c r="I1619" s="36" t="n"/>
      <c r="J1619" s="711" t="n"/>
      <c r="K1619" s="721" t="n"/>
      <c r="L1619" s="710" t="n"/>
      <c r="M1619" s="392" t="n"/>
    </row>
    <row r="1620" ht="17.25" customHeight="1" s="436">
      <c r="A1620" s="30" t="n">
        <v>43900</v>
      </c>
      <c r="B1620" s="31" t="inlineStr">
        <is>
          <t>7154</t>
        </is>
      </c>
      <c r="C1620" s="35" t="n"/>
      <c r="D1620" s="36" t="n">
        <v>56</v>
      </c>
      <c r="E1620" s="36" t="n"/>
      <c r="F1620" s="37" t="n"/>
      <c r="G1620" s="37" t="n">
        <v>40</v>
      </c>
      <c r="H1620" s="98">
        <f>H1619-G1620</f>
        <v/>
      </c>
      <c r="I1620" s="36" t="n"/>
      <c r="J1620" s="711" t="n"/>
      <c r="K1620" s="721" t="n"/>
      <c r="L1620" s="710" t="n"/>
      <c r="M1620" s="392" t="n"/>
    </row>
    <row r="1621" ht="17.25" customHeight="1" s="436">
      <c r="A1621" s="30" t="n">
        <v>43900</v>
      </c>
      <c r="B1621" s="31" t="inlineStr">
        <is>
          <t>7155</t>
        </is>
      </c>
      <c r="C1621" s="35" t="n"/>
      <c r="D1621" s="36" t="n">
        <v>56</v>
      </c>
      <c r="E1621" s="36" t="n"/>
      <c r="F1621" s="37" t="n"/>
      <c r="G1621" s="37" t="n">
        <v>50</v>
      </c>
      <c r="H1621" s="98">
        <f>H1620-G1621</f>
        <v/>
      </c>
      <c r="I1621" s="36" t="n"/>
      <c r="J1621" s="711" t="n"/>
      <c r="K1621" s="721" t="n"/>
      <c r="L1621" s="710" t="n"/>
      <c r="M1621" s="392" t="n"/>
    </row>
    <row r="1622" ht="17.25" customHeight="1" s="436">
      <c r="A1622" s="30" t="n">
        <v>43900</v>
      </c>
      <c r="B1622" s="31" t="inlineStr">
        <is>
          <t>7157</t>
        </is>
      </c>
      <c r="C1622" s="35" t="n"/>
      <c r="D1622" s="36" t="n">
        <v>53</v>
      </c>
      <c r="E1622" s="36" t="n"/>
      <c r="F1622" s="37" t="n"/>
      <c r="G1622" s="37" t="n">
        <v>20</v>
      </c>
      <c r="H1622" s="98">
        <f>H1621-G1622</f>
        <v/>
      </c>
      <c r="I1622" s="36" t="n"/>
      <c r="J1622" s="711" t="n"/>
      <c r="K1622" s="721" t="n"/>
      <c r="L1622" s="710" t="n"/>
      <c r="M1622" s="392" t="n"/>
    </row>
    <row r="1623" ht="17.25" customHeight="1" s="436">
      <c r="A1623" s="273" t="n">
        <v>43902</v>
      </c>
      <c r="B1623" s="274" t="inlineStr">
        <is>
          <t>138080</t>
        </is>
      </c>
      <c r="C1623" s="275" t="n"/>
      <c r="D1623" s="276" t="n">
        <v>45.5</v>
      </c>
      <c r="E1623" s="276" t="n"/>
      <c r="F1623" s="277" t="n">
        <v>100</v>
      </c>
      <c r="G1623" s="277" t="n"/>
      <c r="H1623" s="277" t="n">
        <v>2468</v>
      </c>
      <c r="I1623" s="36" t="n"/>
      <c r="J1623" s="711" t="n"/>
      <c r="K1623" s="721" t="n"/>
      <c r="L1623" s="710" t="n"/>
      <c r="M1623" s="392" t="n"/>
    </row>
    <row r="1624" ht="17.25" customHeight="1" s="436">
      <c r="A1624" s="273" t="n">
        <v>43902</v>
      </c>
      <c r="B1624" s="274" t="inlineStr">
        <is>
          <t>138080</t>
        </is>
      </c>
      <c r="C1624" s="275" t="n"/>
      <c r="D1624" s="276" t="n">
        <v>44.5</v>
      </c>
      <c r="E1624" s="276" t="n"/>
      <c r="F1624" s="277" t="n">
        <v>830</v>
      </c>
      <c r="G1624" s="277" t="n"/>
      <c r="H1624" s="277" t="n">
        <v>3298</v>
      </c>
      <c r="I1624" s="36" t="n"/>
      <c r="J1624" s="711" t="n"/>
      <c r="K1624" s="721" t="n"/>
      <c r="L1624" s="710" t="n"/>
      <c r="M1624" s="392" t="n"/>
    </row>
    <row r="1625" ht="17.25" customHeight="1" s="436">
      <c r="A1625" s="273" t="n">
        <v>43906</v>
      </c>
      <c r="B1625" s="274" t="inlineStr">
        <is>
          <t>2633</t>
        </is>
      </c>
      <c r="C1625" s="275" t="n"/>
      <c r="D1625" s="276" t="n">
        <v>42</v>
      </c>
      <c r="E1625" s="276" t="n"/>
      <c r="F1625" s="277" t="n">
        <v>300</v>
      </c>
      <c r="G1625" s="277" t="n"/>
      <c r="H1625" s="277" t="n">
        <v>3598</v>
      </c>
      <c r="I1625" s="36" t="n"/>
      <c r="J1625" s="711" t="n"/>
      <c r="K1625" s="721" t="n"/>
      <c r="L1625" s="710" t="n"/>
      <c r="M1625" s="392" t="n"/>
    </row>
    <row r="1626" ht="17.25" customHeight="1" s="436">
      <c r="A1626" s="30" t="n">
        <v>43907</v>
      </c>
      <c r="B1626" s="31" t="inlineStr">
        <is>
          <t>7159</t>
        </is>
      </c>
      <c r="C1626" s="35" t="n"/>
      <c r="D1626" s="36" t="n">
        <v>50</v>
      </c>
      <c r="E1626" s="36" t="n"/>
      <c r="F1626" s="37" t="n"/>
      <c r="G1626" s="37" t="n">
        <v>20</v>
      </c>
      <c r="H1626" s="98">
        <f>H1625-G1626</f>
        <v/>
      </c>
      <c r="I1626" s="36" t="n"/>
      <c r="J1626" s="711" t="n"/>
      <c r="K1626" s="721" t="n"/>
      <c r="L1626" s="710" t="n"/>
      <c r="M1626" s="392" t="n"/>
    </row>
    <row r="1627" ht="17.25" customHeight="1" s="436">
      <c r="A1627" s="30" t="n">
        <v>43907</v>
      </c>
      <c r="B1627" s="31" t="inlineStr">
        <is>
          <t>7160</t>
        </is>
      </c>
      <c r="C1627" s="35" t="n"/>
      <c r="D1627" s="36" t="n">
        <v>58</v>
      </c>
      <c r="E1627" s="36" t="n"/>
      <c r="F1627" s="37" t="n"/>
      <c r="G1627" s="37" t="n">
        <v>50</v>
      </c>
      <c r="H1627" s="98">
        <f>H1626-G1627</f>
        <v/>
      </c>
      <c r="I1627" s="36" t="n"/>
      <c r="J1627" s="711" t="n"/>
      <c r="K1627" s="721" t="n"/>
      <c r="L1627" s="710" t="n"/>
      <c r="M1627" s="392" t="n"/>
    </row>
    <row r="1628" ht="17.25" customHeight="1" s="436">
      <c r="A1628" s="30" t="n">
        <v>43907</v>
      </c>
      <c r="B1628" s="31" t="inlineStr">
        <is>
          <t>7162</t>
        </is>
      </c>
      <c r="C1628" s="35" t="n"/>
      <c r="D1628" s="36" t="n">
        <v>58</v>
      </c>
      <c r="E1628" s="36" t="n"/>
      <c r="F1628" s="37" t="n"/>
      <c r="G1628" s="37" t="n">
        <v>60</v>
      </c>
      <c r="H1628" s="98">
        <f>H1627-G1628</f>
        <v/>
      </c>
      <c r="I1628" s="36" t="n"/>
      <c r="J1628" s="711" t="n"/>
      <c r="K1628" s="721" t="n"/>
      <c r="L1628" s="710" t="n"/>
      <c r="M1628" s="392" t="n"/>
    </row>
    <row r="1629" ht="17.25" customHeight="1" s="436">
      <c r="A1629" s="30" t="n">
        <v>43907</v>
      </c>
      <c r="B1629" s="31" t="inlineStr">
        <is>
          <t>7165</t>
        </is>
      </c>
      <c r="C1629" s="35" t="n"/>
      <c r="D1629" s="36" t="n">
        <v>54</v>
      </c>
      <c r="E1629" s="36" t="n"/>
      <c r="F1629" s="37" t="n"/>
      <c r="G1629" s="37" t="n">
        <v>20</v>
      </c>
      <c r="H1629" s="98">
        <f>H1628-G1629</f>
        <v/>
      </c>
      <c r="I1629" s="36" t="n"/>
      <c r="J1629" s="711" t="n"/>
      <c r="K1629" s="721" t="n"/>
      <c r="L1629" s="710" t="n"/>
      <c r="M1629" s="392" t="n"/>
    </row>
    <row r="1630" ht="17.25" customHeight="1" s="436">
      <c r="A1630" s="30" t="n">
        <v>43907</v>
      </c>
      <c r="B1630" s="31" t="inlineStr">
        <is>
          <t>7166</t>
        </is>
      </c>
      <c r="C1630" s="35" t="n"/>
      <c r="D1630" s="36" t="n">
        <v>55</v>
      </c>
      <c r="E1630" s="36" t="n"/>
      <c r="F1630" s="37" t="n"/>
      <c r="G1630" s="37" t="n">
        <v>30</v>
      </c>
      <c r="H1630" s="98">
        <f>H1629-G1630</f>
        <v/>
      </c>
      <c r="I1630" s="36" t="n"/>
      <c r="J1630" s="711" t="n"/>
      <c r="K1630" s="721" t="n"/>
      <c r="L1630" s="710" t="n"/>
      <c r="M1630" s="392" t="n"/>
    </row>
    <row r="1631" ht="17.25" customHeight="1" s="436">
      <c r="A1631" s="30" t="n">
        <v>43907</v>
      </c>
      <c r="B1631" s="31" t="inlineStr">
        <is>
          <t>7167</t>
        </is>
      </c>
      <c r="C1631" s="35" t="n"/>
      <c r="D1631" s="36" t="n">
        <v>59</v>
      </c>
      <c r="E1631" s="36" t="n"/>
      <c r="F1631" s="37" t="n"/>
      <c r="G1631" s="37" t="n">
        <v>50</v>
      </c>
      <c r="H1631" s="98">
        <f>H1630-G1631</f>
        <v/>
      </c>
      <c r="I1631" s="36" t="n"/>
      <c r="J1631" s="711" t="n"/>
      <c r="K1631" s="721" t="n"/>
      <c r="L1631" s="710" t="n"/>
      <c r="M1631" s="392" t="n"/>
    </row>
    <row r="1632" ht="17.25" customHeight="1" s="436">
      <c r="A1632" s="30" t="n">
        <v>43907</v>
      </c>
      <c r="B1632" s="31" t="inlineStr">
        <is>
          <t>7168</t>
        </is>
      </c>
      <c r="C1632" s="35" t="n"/>
      <c r="D1632" s="36" t="n">
        <v>58</v>
      </c>
      <c r="E1632" s="36" t="n"/>
      <c r="F1632" s="37" t="n"/>
      <c r="G1632" s="37" t="n">
        <v>20</v>
      </c>
      <c r="H1632" s="98">
        <f>H1631-G1632</f>
        <v/>
      </c>
      <c r="I1632" s="36" t="n"/>
      <c r="J1632" s="711" t="n"/>
      <c r="K1632" s="721" t="n"/>
      <c r="L1632" s="710" t="n"/>
      <c r="M1632" s="392" t="n"/>
    </row>
    <row r="1633" ht="17.25" customHeight="1" s="436">
      <c r="A1633" s="30" t="n">
        <v>43909</v>
      </c>
      <c r="B1633" s="31" t="inlineStr">
        <is>
          <t>7169</t>
        </is>
      </c>
      <c r="C1633" s="35" t="n"/>
      <c r="D1633" s="36" t="n">
        <v>50</v>
      </c>
      <c r="E1633" s="36" t="n"/>
      <c r="F1633" s="37" t="n"/>
      <c r="G1633" s="37" t="n">
        <v>50</v>
      </c>
      <c r="H1633" s="98">
        <f>H1632-G1633</f>
        <v/>
      </c>
      <c r="I1633" s="36" t="n"/>
      <c r="J1633" s="711" t="n"/>
      <c r="K1633" s="721" t="n"/>
      <c r="L1633" s="710" t="n"/>
      <c r="M1633" s="392" t="n"/>
    </row>
    <row r="1634" ht="17.25" customHeight="1" s="436">
      <c r="A1634" s="30" t="n">
        <v>43909</v>
      </c>
      <c r="B1634" s="31" t="inlineStr">
        <is>
          <t>7170</t>
        </is>
      </c>
      <c r="C1634" s="35" t="n"/>
      <c r="D1634" s="36" t="n">
        <v>54</v>
      </c>
      <c r="E1634" s="36" t="n"/>
      <c r="F1634" s="37" t="n"/>
      <c r="G1634" s="37" t="n">
        <v>20</v>
      </c>
      <c r="H1634" s="98">
        <f>H1633-G1634</f>
        <v/>
      </c>
      <c r="I1634" s="36" t="n"/>
      <c r="J1634" s="711" t="n"/>
      <c r="K1634" s="721" t="n"/>
      <c r="L1634" s="710" t="n"/>
      <c r="M1634" s="392" t="n"/>
    </row>
    <row r="1635" ht="17.25" customHeight="1" s="436">
      <c r="A1635" s="30" t="n">
        <v>43913</v>
      </c>
      <c r="B1635" s="31" t="inlineStr">
        <is>
          <t>7171</t>
        </is>
      </c>
      <c r="C1635" s="35" t="n"/>
      <c r="D1635" s="36" t="n">
        <v>58</v>
      </c>
      <c r="E1635" s="36" t="n"/>
      <c r="F1635" s="37" t="n"/>
      <c r="G1635" s="37" t="n">
        <v>50</v>
      </c>
      <c r="H1635" s="98">
        <f>H1634-G1635</f>
        <v/>
      </c>
      <c r="I1635" s="36" t="n"/>
      <c r="J1635" s="711" t="n"/>
      <c r="K1635" s="721" t="n"/>
      <c r="L1635" s="710" t="n"/>
      <c r="M1635" s="392" t="n"/>
    </row>
    <row r="1636" ht="17.25" customHeight="1" s="436">
      <c r="A1636" s="30" t="n">
        <v>43913</v>
      </c>
      <c r="B1636" s="31" t="inlineStr">
        <is>
          <t>7172</t>
        </is>
      </c>
      <c r="C1636" s="35" t="n"/>
      <c r="D1636" s="36" t="n">
        <v>55</v>
      </c>
      <c r="E1636" s="36" t="n"/>
      <c r="F1636" s="37" t="n"/>
      <c r="G1636" s="37" t="n">
        <v>30</v>
      </c>
      <c r="H1636" s="98">
        <f>H1635-G1636</f>
        <v/>
      </c>
      <c r="I1636" s="36" t="n"/>
      <c r="J1636" s="711" t="n"/>
      <c r="K1636" s="721" t="n"/>
      <c r="L1636" s="710" t="n"/>
      <c r="M1636" s="392" t="n"/>
    </row>
    <row r="1637" ht="17.25" customHeight="1" s="436">
      <c r="A1637" s="30" t="n">
        <v>43913</v>
      </c>
      <c r="B1637" s="31" t="inlineStr">
        <is>
          <t>7175</t>
        </is>
      </c>
      <c r="C1637" s="35" t="n"/>
      <c r="D1637" s="36" t="n">
        <v>59</v>
      </c>
      <c r="E1637" s="36" t="n"/>
      <c r="F1637" s="37" t="n"/>
      <c r="G1637" s="37" t="n">
        <v>40</v>
      </c>
      <c r="H1637" s="98">
        <f>H1636-G1637</f>
        <v/>
      </c>
      <c r="I1637" s="36" t="n"/>
      <c r="J1637" s="711" t="n"/>
      <c r="K1637" s="721" t="n"/>
      <c r="L1637" s="710" t="n"/>
      <c r="M1637" s="392" t="n"/>
    </row>
    <row r="1638" ht="17.25" customHeight="1" s="436">
      <c r="A1638" s="30" t="n">
        <v>43913</v>
      </c>
      <c r="B1638" s="31" t="inlineStr">
        <is>
          <t>7179</t>
        </is>
      </c>
      <c r="C1638" s="35" t="n"/>
      <c r="D1638" s="36" t="n">
        <v>57.67</v>
      </c>
      <c r="E1638" s="36" t="n"/>
      <c r="F1638" s="37" t="n"/>
      <c r="G1638" s="37" t="n">
        <v>15</v>
      </c>
      <c r="H1638" s="98">
        <f>H1637-G1638</f>
        <v/>
      </c>
      <c r="I1638" s="36" t="n"/>
      <c r="J1638" s="711" t="n"/>
      <c r="K1638" s="721" t="n"/>
      <c r="L1638" s="710" t="n"/>
      <c r="M1638" s="392" t="n"/>
    </row>
    <row r="1639" ht="17.25" customHeight="1" s="436">
      <c r="A1639" s="30" t="n">
        <v>43916</v>
      </c>
      <c r="B1639" s="31" t="inlineStr">
        <is>
          <t>7181</t>
        </is>
      </c>
      <c r="C1639" s="35" t="n"/>
      <c r="D1639" s="36" t="n">
        <v>58</v>
      </c>
      <c r="E1639" s="36" t="n"/>
      <c r="F1639" s="37" t="n"/>
      <c r="G1639" s="37" t="n">
        <v>15</v>
      </c>
      <c r="H1639" s="98">
        <f>H1638-G1639</f>
        <v/>
      </c>
      <c r="I1639" s="36" t="n"/>
      <c r="J1639" s="711" t="n"/>
      <c r="K1639" s="721" t="n"/>
      <c r="L1639" s="710" t="n"/>
      <c r="M1639" s="392" t="n"/>
    </row>
    <row r="1640" ht="17.25" customHeight="1" s="436">
      <c r="A1640" s="30" t="n">
        <v>43916</v>
      </c>
      <c r="B1640" s="31" t="inlineStr">
        <is>
          <t>7182</t>
        </is>
      </c>
      <c r="C1640" s="35" t="n"/>
      <c r="D1640" s="36" t="n">
        <v>58</v>
      </c>
      <c r="E1640" s="36" t="n"/>
      <c r="F1640" s="37" t="n"/>
      <c r="G1640" s="37" t="n">
        <v>30</v>
      </c>
      <c r="H1640" s="98">
        <f>H1639-G1640</f>
        <v/>
      </c>
      <c r="I1640" s="36" t="n"/>
      <c r="J1640" s="711" t="n"/>
      <c r="K1640" s="721" t="n"/>
      <c r="L1640" s="710" t="n"/>
      <c r="M1640" s="392" t="n"/>
    </row>
    <row r="1641" ht="17.25" customHeight="1" s="436">
      <c r="A1641" s="30" t="n">
        <v>43916</v>
      </c>
      <c r="B1641" s="31" t="inlineStr">
        <is>
          <t>7183</t>
        </is>
      </c>
      <c r="C1641" s="35" t="n"/>
      <c r="D1641" s="36" t="n">
        <v>62</v>
      </c>
      <c r="E1641" s="36" t="n"/>
      <c r="F1641" s="37" t="n"/>
      <c r="G1641" s="37" t="n">
        <v>20</v>
      </c>
      <c r="H1641" s="98">
        <f>H1640-G1641</f>
        <v/>
      </c>
      <c r="I1641" s="36" t="n"/>
      <c r="J1641" s="711" t="n"/>
      <c r="K1641" s="721" t="n"/>
      <c r="L1641" s="710" t="n"/>
      <c r="M1641" s="392" t="n"/>
    </row>
    <row r="1642" ht="17.25" customHeight="1" s="436">
      <c r="A1642" s="30" t="n">
        <v>43916</v>
      </c>
      <c r="B1642" s="31" t="inlineStr">
        <is>
          <t>7184</t>
        </is>
      </c>
      <c r="C1642" s="35" t="n"/>
      <c r="D1642" s="36" t="n">
        <v>58</v>
      </c>
      <c r="E1642" s="36" t="n"/>
      <c r="F1642" s="37" t="n"/>
      <c r="G1642" s="37" t="n">
        <v>20</v>
      </c>
      <c r="H1642" s="98">
        <f>H1641-G1642</f>
        <v/>
      </c>
      <c r="I1642" s="36" t="n"/>
      <c r="J1642" s="711" t="n"/>
      <c r="K1642" s="721" t="n"/>
      <c r="L1642" s="710" t="n"/>
      <c r="M1642" s="392" t="n"/>
    </row>
    <row r="1643" ht="17.25" customHeight="1" s="436">
      <c r="A1643" s="30" t="n">
        <v>43916</v>
      </c>
      <c r="B1643" s="31" t="inlineStr">
        <is>
          <t>7185</t>
        </is>
      </c>
      <c r="C1643" s="35" t="n"/>
      <c r="D1643" s="36" t="n">
        <v>58</v>
      </c>
      <c r="E1643" s="36" t="n"/>
      <c r="F1643" s="37" t="n"/>
      <c r="G1643" s="37" t="n">
        <v>20</v>
      </c>
      <c r="H1643" s="98">
        <f>H1642-G1643</f>
        <v/>
      </c>
      <c r="I1643" s="36" t="n"/>
      <c r="J1643" s="711" t="n"/>
      <c r="K1643" s="721" t="n"/>
      <c r="L1643" s="710" t="n"/>
      <c r="M1643" s="392" t="n"/>
    </row>
    <row r="1644" ht="17.25" customHeight="1" s="436">
      <c r="A1644" s="30" t="n">
        <v>43916</v>
      </c>
      <c r="B1644" s="31" t="inlineStr">
        <is>
          <t>7186</t>
        </is>
      </c>
      <c r="C1644" s="35" t="n"/>
      <c r="D1644" s="36" t="n">
        <v>50</v>
      </c>
      <c r="E1644" s="36" t="n"/>
      <c r="F1644" s="37" t="n"/>
      <c r="G1644" s="37" t="n">
        <v>20</v>
      </c>
      <c r="H1644" s="98">
        <f>H1643-G1644</f>
        <v/>
      </c>
      <c r="I1644" s="36" t="n"/>
      <c r="J1644" s="711" t="n"/>
      <c r="K1644" s="721" t="n"/>
      <c r="L1644" s="710" t="n"/>
      <c r="M1644" s="392" t="n"/>
    </row>
    <row r="1645" ht="17.25" customHeight="1" s="436">
      <c r="A1645" s="30" t="n">
        <v>43916</v>
      </c>
      <c r="B1645" s="31" t="inlineStr">
        <is>
          <t>7187</t>
        </is>
      </c>
      <c r="C1645" s="35" t="n"/>
      <c r="D1645" s="36" t="n">
        <v>54</v>
      </c>
      <c r="E1645" s="36" t="n"/>
      <c r="F1645" s="37" t="n"/>
      <c r="G1645" s="37" t="n">
        <v>30</v>
      </c>
      <c r="H1645" s="98">
        <f>H1644-G1645</f>
        <v/>
      </c>
      <c r="I1645" s="36" t="n"/>
      <c r="J1645" s="711" t="n"/>
      <c r="K1645" s="721" t="n"/>
      <c r="L1645" s="710" t="n"/>
      <c r="M1645" s="392" t="n"/>
    </row>
    <row r="1646" ht="17.25" customHeight="1" s="436">
      <c r="A1646" s="30" t="n">
        <v>43916</v>
      </c>
      <c r="B1646" s="31" t="inlineStr">
        <is>
          <t>7189</t>
        </is>
      </c>
      <c r="C1646" s="35" t="n"/>
      <c r="D1646" s="36" t="n">
        <v>57.8</v>
      </c>
      <c r="E1646" s="36" t="n"/>
      <c r="F1646" s="37" t="n"/>
      <c r="G1646" s="37" t="n">
        <v>10</v>
      </c>
      <c r="H1646" s="98">
        <f>H1645-G1646</f>
        <v/>
      </c>
      <c r="I1646" s="36" t="n"/>
      <c r="J1646" s="711" t="n"/>
      <c r="K1646" s="721" t="n"/>
      <c r="L1646" s="710" t="n"/>
      <c r="M1646" s="392" t="n"/>
    </row>
    <row r="1647" ht="17.25" customHeight="1" s="436">
      <c r="A1647" s="273" t="n">
        <v>43921</v>
      </c>
      <c r="B1647" s="274" t="inlineStr">
        <is>
          <t>139104</t>
        </is>
      </c>
      <c r="C1647" s="275" t="n"/>
      <c r="D1647" s="276" t="n">
        <v>45.5</v>
      </c>
      <c r="E1647" s="276" t="n"/>
      <c r="F1647" s="277" t="n">
        <v>280</v>
      </c>
      <c r="G1647" s="277" t="n"/>
      <c r="H1647" s="277" t="n">
        <v>3258</v>
      </c>
      <c r="I1647" s="36" t="n"/>
      <c r="J1647" s="711" t="n"/>
      <c r="K1647" s="721" t="n"/>
      <c r="L1647" s="710" t="n"/>
      <c r="M1647" s="392" t="n"/>
    </row>
    <row r="1648" ht="17.25" customHeight="1" s="436">
      <c r="A1648" s="273" t="n">
        <v>43921</v>
      </c>
      <c r="B1648" s="274" t="inlineStr">
        <is>
          <t>139106</t>
        </is>
      </c>
      <c r="C1648" s="275" t="n"/>
      <c r="D1648" s="276" t="n">
        <v>45.5</v>
      </c>
      <c r="E1648" s="276" t="n"/>
      <c r="F1648" s="277" t="n">
        <v>120</v>
      </c>
      <c r="G1648" s="277" t="n"/>
      <c r="H1648" s="277" t="n">
        <v>3378</v>
      </c>
      <c r="I1648" s="36" t="n"/>
      <c r="J1648" s="711" t="n"/>
      <c r="K1648" s="721" t="n"/>
      <c r="L1648" s="710" t="n"/>
      <c r="M1648" s="392" t="n"/>
    </row>
    <row r="1649" ht="17.25" customHeight="1" s="436">
      <c r="A1649" s="30" t="n"/>
      <c r="B1649" s="31" t="n"/>
      <c r="C1649" s="35" t="n"/>
      <c r="D1649" s="36" t="n"/>
      <c r="E1649" s="36" t="n"/>
      <c r="F1649" s="37" t="n"/>
      <c r="G1649" s="37" t="n"/>
      <c r="H1649" s="98">
        <f>H1648-G1649</f>
        <v/>
      </c>
      <c r="I1649" s="36" t="n"/>
      <c r="J1649" s="711" t="n"/>
      <c r="K1649" s="721" t="n"/>
      <c r="L1649" s="710" t="n"/>
      <c r="M1649" s="392" t="n"/>
    </row>
    <row r="1650" ht="17.25" customHeight="1" s="436">
      <c r="A1650" s="30" t="n"/>
      <c r="B1650" s="31" t="n"/>
      <c r="C1650" s="35" t="n"/>
      <c r="D1650" s="36" t="n"/>
      <c r="E1650" s="36" t="n"/>
      <c r="F1650" s="37" t="n"/>
      <c r="G1650" s="37" t="n"/>
      <c r="H1650" s="98">
        <f>H1649-G1650</f>
        <v/>
      </c>
      <c r="I1650" s="36" t="n"/>
      <c r="J1650" s="711" t="n"/>
      <c r="K1650" s="721" t="n"/>
      <c r="L1650" s="710" t="n"/>
      <c r="M1650" s="392" t="n"/>
    </row>
    <row r="1651" ht="17.25" customHeight="1" s="436">
      <c r="A1651" s="30" t="n"/>
      <c r="B1651" s="31" t="n"/>
      <c r="C1651" s="35" t="n"/>
      <c r="D1651" s="36" t="n"/>
      <c r="E1651" s="36" t="n"/>
      <c r="F1651" s="37" t="n"/>
      <c r="G1651" s="37" t="n"/>
      <c r="H1651" s="98">
        <f>H1650-G1651</f>
        <v/>
      </c>
      <c r="I1651" s="36" t="n"/>
      <c r="J1651" s="711" t="n"/>
      <c r="K1651" s="721" t="n"/>
      <c r="L1651" s="710" t="n"/>
      <c r="M1651" s="392" t="n"/>
    </row>
    <row r="1652" ht="15.75" customHeight="1" s="436" thickBot="1"/>
    <row r="1653" ht="32.25" customHeight="1" s="436" thickBot="1">
      <c r="A1653" s="735" t="inlineStr">
        <is>
          <t>Abril</t>
        </is>
      </c>
      <c r="B1653" s="697" t="n"/>
      <c r="C1653" s="697" t="n"/>
      <c r="D1653" s="697" t="n"/>
      <c r="E1653" s="697" t="n"/>
      <c r="F1653" s="697" t="n"/>
      <c r="G1653" s="697" t="n"/>
      <c r="H1653" s="697" t="n"/>
      <c r="I1653" s="697" t="n"/>
      <c r="J1653" s="697" t="n"/>
      <c r="K1653" s="697" t="n"/>
      <c r="L1653" s="697" t="n"/>
      <c r="M1653" s="698" t="n"/>
    </row>
    <row r="1654" ht="27" customHeight="1" s="436" thickBot="1">
      <c r="A1654" s="734" t="inlineStr">
        <is>
          <t xml:space="preserve"> FARINHA DE TRIGO TIPO: 1 - 25 KG</t>
        </is>
      </c>
      <c r="B1654" s="706" t="n"/>
      <c r="C1654" s="706" t="n"/>
      <c r="D1654" s="706" t="n"/>
      <c r="E1654" s="706" t="n"/>
      <c r="F1654" s="706" t="n"/>
      <c r="G1654" s="706" t="n"/>
      <c r="H1654" s="706" t="n"/>
      <c r="I1654" s="706" t="n"/>
      <c r="J1654" s="706" t="n"/>
      <c r="K1654" s="706" t="n"/>
      <c r="L1654" s="706" t="n"/>
      <c r="M1654" s="707" t="n"/>
    </row>
    <row r="1655">
      <c r="A1655" s="643" t="inlineStr">
        <is>
          <t>DATA</t>
        </is>
      </c>
      <c r="B1655" s="633" t="inlineStr">
        <is>
          <t>N.F.</t>
        </is>
      </c>
      <c r="C1655" s="633" t="inlineStr">
        <is>
          <t>TIPO</t>
        </is>
      </c>
      <c r="D1655" s="633" t="inlineStr">
        <is>
          <t>PREÇO UNITÁRIO</t>
        </is>
      </c>
      <c r="E1655" s="701" t="n"/>
      <c r="F1655" s="633" t="inlineStr">
        <is>
          <t>QUANTIDADE / KG</t>
        </is>
      </c>
      <c r="H1655" s="701" t="n"/>
      <c r="I1655" s="632" t="inlineStr">
        <is>
          <t>PREÇO</t>
        </is>
      </c>
      <c r="J1655" s="632" t="inlineStr">
        <is>
          <t>VALORES</t>
        </is>
      </c>
      <c r="L1655" s="701" t="n"/>
      <c r="M1655" s="649" t="n"/>
    </row>
    <row r="1656" ht="15.75" customHeight="1" s="436" thickBot="1">
      <c r="A1656" s="703" t="n"/>
      <c r="B1656" s="704" t="n"/>
      <c r="C1656" s="704" t="n"/>
      <c r="D1656" s="703" t="n"/>
      <c r="E1656" s="701" t="n"/>
      <c r="F1656" s="705" t="n"/>
      <c r="G1656" s="706" t="n"/>
      <c r="H1656" s="707" t="n"/>
      <c r="I1656" s="704" t="n"/>
      <c r="J1656" s="703" t="n"/>
      <c r="L1656" s="701" t="n"/>
      <c r="M1656" s="704" t="n"/>
    </row>
    <row r="1657" ht="15.75" customHeight="1" s="436" thickBot="1">
      <c r="A1657" s="703" t="n"/>
      <c r="B1657" s="704" t="n"/>
      <c r="C1657" s="704" t="n"/>
      <c r="D1657" s="705" t="n"/>
      <c r="E1657" s="707" t="n"/>
      <c r="F1657" s="3" t="inlineStr">
        <is>
          <t>ENTRADA</t>
        </is>
      </c>
      <c r="G1657" s="3" t="inlineStr">
        <is>
          <t>SAÍDA</t>
        </is>
      </c>
      <c r="H1657" s="640" t="n"/>
      <c r="I1657" s="633" t="inlineStr">
        <is>
          <t>MÉDIO</t>
        </is>
      </c>
      <c r="J1657" s="652" t="inlineStr">
        <is>
          <t>SALDO EM 30/11/2017</t>
        </is>
      </c>
      <c r="K1657" s="706" t="n"/>
      <c r="L1657" s="17" t="n"/>
      <c r="M1657" s="704" t="n"/>
    </row>
    <row r="1658" ht="18" customHeight="1" s="436" thickBot="1">
      <c r="A1658" s="705" t="n"/>
      <c r="B1658" s="695" t="n"/>
      <c r="C1658" s="695" t="n"/>
      <c r="D1658" s="3" t="inlineStr">
        <is>
          <t>C/ICMS</t>
        </is>
      </c>
      <c r="E1658" s="3" t="inlineStr">
        <is>
          <t>S/ICMS</t>
        </is>
      </c>
      <c r="F1658" s="695" t="n"/>
      <c r="G1658" s="695" t="n"/>
      <c r="H1658" s="84" t="inlineStr">
        <is>
          <t>Saldo em 29/02/2020</t>
        </is>
      </c>
      <c r="I1658" s="695" t="n"/>
      <c r="J1658" s="645" t="inlineStr">
        <is>
          <t>ENTRADA</t>
        </is>
      </c>
      <c r="K1658" s="633" t="inlineStr">
        <is>
          <t>SAÍDA / CMV</t>
        </is>
      </c>
      <c r="L1658" s="643" t="inlineStr">
        <is>
          <t>SALDO</t>
        </is>
      </c>
      <c r="M1658" s="392" t="n"/>
    </row>
    <row r="1659" ht="17.25" customHeight="1" s="436">
      <c r="A1659" s="30" t="n">
        <v>43921</v>
      </c>
      <c r="B1659" s="31" t="n"/>
      <c r="C1659" s="35" t="n"/>
      <c r="D1659" s="36" t="n"/>
      <c r="E1659" s="36" t="n"/>
      <c r="F1659" s="37" t="n"/>
      <c r="G1659" s="37" t="n"/>
      <c r="H1659" s="98" t="n">
        <v>3378</v>
      </c>
      <c r="I1659" s="36" t="n"/>
      <c r="J1659" s="711">
        <f>F1659*I1659</f>
        <v/>
      </c>
      <c r="K1659" s="721" t="n">
        <v>0</v>
      </c>
      <c r="L1659" s="710">
        <f>J1659-K1659</f>
        <v/>
      </c>
      <c r="M1659" s="392" t="n"/>
    </row>
    <row r="1660" ht="17.25" customHeight="1" s="436">
      <c r="A1660" s="296" t="n">
        <v>43922</v>
      </c>
      <c r="B1660" s="35" t="inlineStr">
        <is>
          <t>7190</t>
        </is>
      </c>
      <c r="C1660" s="35" t="n"/>
      <c r="D1660" s="36" t="n">
        <v>53</v>
      </c>
      <c r="E1660" s="36" t="n"/>
      <c r="F1660" s="37" t="n"/>
      <c r="G1660" s="37" t="n">
        <v>50</v>
      </c>
      <c r="H1660" s="98">
        <f>H1659-G1660</f>
        <v/>
      </c>
      <c r="I1660" s="36" t="n"/>
      <c r="J1660" s="711" t="n"/>
      <c r="K1660" s="721" t="n"/>
      <c r="L1660" s="711" t="n"/>
      <c r="M1660" s="392" t="n"/>
    </row>
    <row r="1661">
      <c r="A1661" s="568" t="n">
        <v>43922</v>
      </c>
      <c r="B1661" s="392" t="n">
        <v>7191</v>
      </c>
      <c r="C1661" s="392" t="n"/>
      <c r="D1661" s="36" t="n">
        <v>58</v>
      </c>
      <c r="E1661" s="392" t="n"/>
      <c r="F1661" s="392" t="n"/>
      <c r="G1661" s="392" t="n">
        <v>60</v>
      </c>
      <c r="H1661" s="98">
        <f>H1660-G1661</f>
        <v/>
      </c>
      <c r="I1661" s="392" t="n"/>
      <c r="J1661" s="392" t="n"/>
      <c r="K1661" s="392" t="n"/>
      <c r="L1661" s="392" t="n"/>
      <c r="M1661" s="392" t="n"/>
    </row>
    <row r="1662">
      <c r="A1662" s="568" t="n">
        <v>43922</v>
      </c>
      <c r="B1662" s="392" t="n">
        <v>7192</v>
      </c>
      <c r="C1662" s="392" t="n"/>
      <c r="D1662" s="36" t="n">
        <v>56</v>
      </c>
      <c r="E1662" s="392" t="n"/>
      <c r="F1662" s="392" t="n"/>
      <c r="G1662" s="392" t="n">
        <v>40</v>
      </c>
      <c r="H1662" s="98">
        <f>H1661-G1662</f>
        <v/>
      </c>
      <c r="I1662" s="392" t="n"/>
      <c r="J1662" s="392" t="n"/>
      <c r="K1662" s="392" t="n"/>
      <c r="L1662" s="392" t="n"/>
      <c r="M1662" s="392" t="n"/>
    </row>
    <row r="1663">
      <c r="A1663" s="568" t="n">
        <v>43922</v>
      </c>
      <c r="B1663" s="392" t="n">
        <v>7193</v>
      </c>
      <c r="C1663" s="392" t="n"/>
      <c r="D1663" s="36" t="n">
        <v>62</v>
      </c>
      <c r="E1663" s="392" t="n"/>
      <c r="F1663" s="392" t="n"/>
      <c r="G1663" s="392" t="n">
        <v>20</v>
      </c>
      <c r="H1663" s="98">
        <f>H1662-G1663</f>
        <v/>
      </c>
      <c r="I1663" s="392" t="n"/>
      <c r="J1663" s="392" t="n"/>
      <c r="K1663" s="392" t="n"/>
      <c r="L1663" s="392" t="n"/>
      <c r="M1663" s="392" t="n"/>
    </row>
    <row r="1664">
      <c r="A1664" s="568" t="n">
        <v>43922</v>
      </c>
      <c r="B1664" s="392" t="n">
        <v>7195</v>
      </c>
      <c r="C1664" s="392" t="n"/>
      <c r="D1664" s="36" t="n">
        <v>50</v>
      </c>
      <c r="E1664" s="392" t="n"/>
      <c r="F1664" s="392" t="n"/>
      <c r="G1664" s="392" t="n">
        <v>40</v>
      </c>
      <c r="H1664" s="98">
        <f>H1663-G1664</f>
        <v/>
      </c>
      <c r="I1664" s="392" t="n"/>
      <c r="J1664" s="392" t="n"/>
      <c r="K1664" s="392" t="n"/>
      <c r="L1664" s="392" t="n"/>
      <c r="M1664" s="392" t="n"/>
    </row>
    <row r="1665">
      <c r="A1665" s="568" t="n">
        <v>43922</v>
      </c>
      <c r="B1665" s="392" t="n">
        <v>7196</v>
      </c>
      <c r="C1665" s="392" t="n"/>
      <c r="D1665" s="36" t="n">
        <v>59</v>
      </c>
      <c r="E1665" s="392" t="n"/>
      <c r="F1665" s="392" t="n"/>
      <c r="G1665" s="392" t="n">
        <v>20</v>
      </c>
      <c r="H1665" s="98">
        <f>H1664-G1665</f>
        <v/>
      </c>
      <c r="I1665" s="392" t="n"/>
      <c r="J1665" s="392" t="n"/>
      <c r="K1665" s="392" t="n"/>
      <c r="L1665" s="392" t="n"/>
      <c r="M1665" s="392" t="n"/>
    </row>
    <row r="1666">
      <c r="A1666" s="568" t="n">
        <v>43925</v>
      </c>
      <c r="B1666" s="392" t="n">
        <v>7197</v>
      </c>
      <c r="C1666" s="392" t="n"/>
      <c r="D1666" s="36" t="n">
        <v>54</v>
      </c>
      <c r="E1666" s="392" t="n"/>
      <c r="F1666" s="392" t="n"/>
      <c r="G1666" s="392" t="n">
        <v>100</v>
      </c>
      <c r="H1666" s="98">
        <f>H1665-G1666</f>
        <v/>
      </c>
      <c r="I1666" s="392" t="n"/>
      <c r="J1666" s="392" t="n"/>
      <c r="K1666" s="392" t="n"/>
      <c r="L1666" s="392" t="n"/>
      <c r="M1666" s="392" t="n"/>
    </row>
    <row r="1667">
      <c r="A1667" s="568" t="n">
        <v>43928</v>
      </c>
      <c r="B1667" s="392" t="n">
        <v>7198</v>
      </c>
      <c r="C1667" s="392" t="n"/>
      <c r="D1667" s="36" t="n">
        <v>54</v>
      </c>
      <c r="E1667" s="392" t="n"/>
      <c r="F1667" s="392" t="n"/>
      <c r="G1667" s="392" t="n">
        <v>10</v>
      </c>
      <c r="H1667" s="98">
        <f>H1666-G1667</f>
        <v/>
      </c>
      <c r="I1667" s="392" t="n"/>
      <c r="J1667" s="392" t="n"/>
      <c r="K1667" s="392" t="n"/>
      <c r="L1667" s="392" t="n"/>
      <c r="M1667" s="392" t="n"/>
    </row>
    <row r="1668">
      <c r="A1668" s="568" t="n">
        <v>43928</v>
      </c>
      <c r="B1668" s="392" t="n">
        <v>7201</v>
      </c>
      <c r="C1668" s="392" t="n"/>
      <c r="D1668" s="36" t="n">
        <v>59.6</v>
      </c>
      <c r="E1668" s="392" t="n"/>
      <c r="F1668" s="392" t="n"/>
      <c r="G1668" s="392" t="n">
        <v>50</v>
      </c>
      <c r="H1668" s="98">
        <f>H1667-G1668</f>
        <v/>
      </c>
      <c r="I1668" s="392" t="n"/>
      <c r="J1668" s="392" t="n"/>
      <c r="K1668" s="392" t="n"/>
      <c r="L1668" s="392" t="n"/>
      <c r="M1668" s="392" t="n"/>
    </row>
    <row r="1669">
      <c r="A1669" s="568" t="n">
        <v>43928</v>
      </c>
      <c r="B1669" s="392" t="n">
        <v>7205</v>
      </c>
      <c r="C1669" s="392" t="n"/>
      <c r="D1669" s="36" t="n">
        <v>50</v>
      </c>
      <c r="E1669" s="392" t="n"/>
      <c r="F1669" s="392" t="n"/>
      <c r="G1669" s="392" t="n">
        <v>30</v>
      </c>
      <c r="H1669" s="98">
        <f>H1668-G1669</f>
        <v/>
      </c>
      <c r="I1669" s="392" t="n"/>
      <c r="J1669" s="392" t="n"/>
      <c r="K1669" s="392" t="n"/>
      <c r="L1669" s="392" t="n"/>
      <c r="M1669" s="392" t="n"/>
    </row>
    <row r="1670">
      <c r="A1670" s="568" t="n">
        <v>43929</v>
      </c>
      <c r="B1670" s="392" t="n">
        <v>7208</v>
      </c>
      <c r="C1670" s="392" t="n"/>
      <c r="D1670" s="36" t="n">
        <v>50</v>
      </c>
      <c r="E1670" s="392" t="n"/>
      <c r="F1670" s="392" t="n"/>
      <c r="G1670" s="392" t="n">
        <v>50</v>
      </c>
      <c r="H1670" s="98">
        <f>H1669-G1670</f>
        <v/>
      </c>
      <c r="I1670" s="392" t="n"/>
      <c r="J1670" s="392" t="n"/>
      <c r="K1670" s="392" t="n"/>
      <c r="L1670" s="392" t="n"/>
      <c r="M1670" s="392" t="n"/>
    </row>
    <row r="1671">
      <c r="A1671" s="568" t="n">
        <v>43934</v>
      </c>
      <c r="B1671" s="392" t="n">
        <v>7209</v>
      </c>
      <c r="C1671" s="392" t="n"/>
      <c r="D1671" s="36" t="n">
        <v>54</v>
      </c>
      <c r="E1671" s="392" t="n"/>
      <c r="F1671" s="392" t="n"/>
      <c r="G1671" s="392" t="n">
        <v>50</v>
      </c>
      <c r="H1671" s="98">
        <f>H1670-G1671</f>
        <v/>
      </c>
      <c r="I1671" s="392" t="n"/>
      <c r="J1671" s="392" t="n"/>
      <c r="K1671" s="392" t="n"/>
      <c r="L1671" s="392" t="n"/>
      <c r="M1671" s="392" t="n"/>
    </row>
    <row r="1672">
      <c r="A1672" s="568" t="n">
        <v>43934</v>
      </c>
      <c r="B1672" s="392" t="n">
        <v>7211</v>
      </c>
      <c r="C1672" s="392" t="n"/>
      <c r="D1672" s="36" t="n">
        <v>57.5</v>
      </c>
      <c r="E1672" s="392" t="n"/>
      <c r="F1672" s="392" t="n"/>
      <c r="G1672" s="392" t="n">
        <v>40</v>
      </c>
      <c r="H1672" s="98">
        <f>H1671-G1672</f>
        <v/>
      </c>
      <c r="I1672" s="392" t="n"/>
      <c r="J1672" s="392" t="n"/>
      <c r="K1672" s="392" t="n"/>
      <c r="L1672" s="392" t="n"/>
      <c r="M1672" s="392" t="n"/>
    </row>
    <row r="1673">
      <c r="A1673" s="568" t="n">
        <v>43934</v>
      </c>
      <c r="B1673" s="392" t="n">
        <v>7212</v>
      </c>
      <c r="C1673" s="392" t="n"/>
      <c r="D1673" s="36" t="n">
        <v>64</v>
      </c>
      <c r="E1673" s="392" t="n"/>
      <c r="F1673" s="392" t="n"/>
      <c r="G1673" s="392" t="n">
        <v>20</v>
      </c>
      <c r="H1673" s="98">
        <f>H1672-G1673</f>
        <v/>
      </c>
      <c r="I1673" s="392" t="n"/>
      <c r="J1673" s="392" t="n"/>
      <c r="K1673" s="392" t="n"/>
      <c r="L1673" s="392" t="n"/>
      <c r="M1673" s="392" t="n"/>
    </row>
    <row r="1674">
      <c r="A1674" s="568" t="n">
        <v>43934</v>
      </c>
      <c r="B1674" s="392" t="n">
        <v>7214</v>
      </c>
      <c r="C1674" s="392" t="n"/>
      <c r="D1674" s="36" t="n">
        <v>50</v>
      </c>
      <c r="E1674" s="392" t="n"/>
      <c r="F1674" s="392" t="n"/>
      <c r="G1674" s="392" t="n">
        <v>50</v>
      </c>
      <c r="H1674" s="98">
        <f>H1673-G1674</f>
        <v/>
      </c>
      <c r="I1674" s="392" t="n"/>
      <c r="J1674" s="392" t="n"/>
      <c r="K1674" s="392" t="n"/>
      <c r="L1674" s="392" t="n"/>
      <c r="M1674" s="392" t="n"/>
    </row>
    <row r="1675">
      <c r="A1675" s="568" t="n">
        <v>43934</v>
      </c>
      <c r="B1675" s="392" t="n">
        <v>7215</v>
      </c>
      <c r="C1675" s="392" t="n"/>
      <c r="D1675" s="36" t="n">
        <v>54</v>
      </c>
      <c r="E1675" s="392" t="n"/>
      <c r="F1675" s="392" t="n"/>
      <c r="G1675" s="392" t="n">
        <v>100</v>
      </c>
      <c r="H1675" s="98">
        <f>H1674-G1675</f>
        <v/>
      </c>
      <c r="I1675" s="392" t="n"/>
      <c r="J1675" s="392" t="n"/>
      <c r="K1675" s="392" t="n"/>
      <c r="L1675" s="392" t="n"/>
      <c r="M1675" s="392" t="n"/>
    </row>
    <row r="1676">
      <c r="A1676" s="568" t="n">
        <v>43936</v>
      </c>
      <c r="B1676" s="392" t="n">
        <v>7217</v>
      </c>
      <c r="C1676" s="392" t="n"/>
      <c r="D1676" s="36" t="n">
        <v>50</v>
      </c>
      <c r="E1676" s="392" t="n"/>
      <c r="F1676" s="392" t="n"/>
      <c r="G1676" s="392" t="n">
        <v>50</v>
      </c>
      <c r="H1676" s="98">
        <f>H1675-G1676</f>
        <v/>
      </c>
      <c r="I1676" s="392" t="n"/>
      <c r="J1676" s="392" t="n"/>
      <c r="K1676" s="392" t="n"/>
      <c r="L1676" s="392" t="n"/>
      <c r="M1676" s="392" t="n"/>
    </row>
    <row r="1677">
      <c r="A1677" s="568" t="n">
        <v>43936</v>
      </c>
      <c r="B1677" s="392" t="n">
        <v>7219</v>
      </c>
      <c r="C1677" s="392" t="n"/>
      <c r="D1677" s="36" t="n">
        <v>50</v>
      </c>
      <c r="E1677" s="392" t="n"/>
      <c r="F1677" s="392" t="n"/>
      <c r="G1677" s="392" t="n">
        <v>20</v>
      </c>
      <c r="H1677" s="98">
        <f>H1676-G1677</f>
        <v/>
      </c>
      <c r="I1677" s="392" t="n"/>
      <c r="J1677" s="392" t="n"/>
      <c r="K1677" s="392" t="n"/>
      <c r="L1677" s="392" t="n"/>
      <c r="M1677" s="392" t="n"/>
    </row>
    <row r="1678">
      <c r="A1678" s="568" t="n">
        <v>43936</v>
      </c>
      <c r="B1678" s="392" t="n">
        <v>7221</v>
      </c>
      <c r="C1678" s="392" t="n"/>
      <c r="D1678" s="36" t="n">
        <v>58</v>
      </c>
      <c r="E1678" s="392" t="n"/>
      <c r="F1678" s="392" t="n"/>
      <c r="G1678" s="392" t="n">
        <v>25</v>
      </c>
      <c r="H1678" s="98">
        <f>H1677-G1678</f>
        <v/>
      </c>
      <c r="I1678" s="392" t="n"/>
      <c r="J1678" s="392" t="n"/>
      <c r="K1678" s="392" t="n"/>
      <c r="L1678" s="392" t="n"/>
      <c r="M1678" s="392" t="n"/>
    </row>
    <row r="1679">
      <c r="A1679" s="568" t="n">
        <v>43936</v>
      </c>
      <c r="B1679" s="392" t="n">
        <v>7222</v>
      </c>
      <c r="C1679" s="392" t="n"/>
      <c r="D1679" s="36" t="n">
        <v>58</v>
      </c>
      <c r="E1679" s="392" t="n"/>
      <c r="F1679" s="392" t="n"/>
      <c r="G1679" s="392" t="n">
        <v>20</v>
      </c>
      <c r="H1679" s="98">
        <f>H1678-G1679</f>
        <v/>
      </c>
      <c r="I1679" s="392" t="n"/>
      <c r="J1679" s="392" t="n"/>
      <c r="K1679" s="392" t="n"/>
      <c r="L1679" s="392" t="n"/>
      <c r="M1679" s="392" t="n"/>
    </row>
    <row r="1680">
      <c r="A1680" s="568" t="n">
        <v>43942</v>
      </c>
      <c r="B1680" s="392" t="n">
        <v>7226</v>
      </c>
      <c r="C1680" s="392" t="n"/>
      <c r="D1680" s="36" t="n">
        <v>58</v>
      </c>
      <c r="E1680" s="392" t="n"/>
      <c r="F1680" s="392" t="n"/>
      <c r="G1680" s="392" t="n">
        <v>20</v>
      </c>
      <c r="H1680" s="98">
        <f>H1679-G1680</f>
        <v/>
      </c>
      <c r="I1680" s="392" t="n"/>
      <c r="J1680" s="392" t="n"/>
      <c r="K1680" s="392" t="n"/>
      <c r="L1680" s="392" t="n"/>
      <c r="M1680" s="392" t="n"/>
    </row>
    <row r="1681">
      <c r="A1681" s="568" t="n">
        <v>43942</v>
      </c>
      <c r="B1681" s="392" t="n">
        <v>7227</v>
      </c>
      <c r="C1681" s="392" t="n"/>
      <c r="D1681" s="36" t="n">
        <v>64</v>
      </c>
      <c r="E1681" s="392" t="n"/>
      <c r="F1681" s="392" t="n"/>
      <c r="G1681" s="392" t="n">
        <v>20</v>
      </c>
      <c r="H1681" s="98">
        <f>H1680-G1681</f>
        <v/>
      </c>
      <c r="I1681" s="392" t="n"/>
      <c r="J1681" s="392" t="n"/>
      <c r="K1681" s="392" t="n"/>
      <c r="L1681" s="392" t="n"/>
      <c r="M1681" s="392" t="n"/>
    </row>
    <row r="1682">
      <c r="A1682" s="304" t="n">
        <v>43938</v>
      </c>
      <c r="B1682" s="401" t="n">
        <v>139928</v>
      </c>
      <c r="C1682" s="401" t="n"/>
      <c r="D1682" s="276" t="n">
        <v>47</v>
      </c>
      <c r="E1682" s="401" t="n"/>
      <c r="F1682" s="401" t="n">
        <v>150</v>
      </c>
      <c r="G1682" s="401" t="n"/>
      <c r="H1682" s="277" t="n">
        <v>2643</v>
      </c>
      <c r="I1682" s="392" t="n"/>
      <c r="J1682" s="392" t="n"/>
      <c r="K1682" s="392" t="n"/>
      <c r="L1682" s="392" t="n"/>
      <c r="M1682" s="392" t="n"/>
    </row>
    <row r="1683">
      <c r="A1683" s="568" t="n">
        <v>43942</v>
      </c>
      <c r="B1683" s="392" t="n">
        <v>7228</v>
      </c>
      <c r="C1683" s="392" t="n"/>
      <c r="D1683" s="36" t="n">
        <v>50</v>
      </c>
      <c r="E1683" s="392" t="n"/>
      <c r="F1683" s="392" t="n"/>
      <c r="G1683" s="392" t="n">
        <v>40</v>
      </c>
      <c r="H1683" s="98">
        <f>H1682-G1683</f>
        <v/>
      </c>
      <c r="I1683" s="392" t="n"/>
      <c r="J1683" s="392" t="n"/>
      <c r="K1683" s="392" t="n"/>
      <c r="L1683" s="392" t="n"/>
      <c r="M1683" s="392" t="n"/>
    </row>
    <row r="1684">
      <c r="A1684" s="568" t="n">
        <v>43942</v>
      </c>
      <c r="B1684" s="392" t="n">
        <v>7229</v>
      </c>
      <c r="C1684" s="392" t="n"/>
      <c r="D1684" s="36" t="n">
        <v>61.6</v>
      </c>
      <c r="E1684" s="392" t="n"/>
      <c r="F1684" s="392" t="n"/>
      <c r="G1684" s="392" t="n">
        <v>25</v>
      </c>
      <c r="H1684" s="98">
        <f>H1683-G1684</f>
        <v/>
      </c>
      <c r="I1684" s="392" t="n"/>
      <c r="J1684" s="392" t="n"/>
      <c r="K1684" s="392" t="n"/>
      <c r="L1684" s="392" t="n"/>
      <c r="M1684" s="392" t="n"/>
    </row>
    <row r="1685">
      <c r="A1685" s="568" t="n">
        <v>43942</v>
      </c>
      <c r="B1685" s="392" t="n">
        <v>7231</v>
      </c>
      <c r="C1685" s="392" t="n"/>
      <c r="D1685" s="36" t="n">
        <v>57.5</v>
      </c>
      <c r="E1685" s="392" t="n"/>
      <c r="F1685" s="392" t="n"/>
      <c r="G1685" s="392" t="n">
        <v>40</v>
      </c>
      <c r="H1685" s="98">
        <f>H1684-G1685</f>
        <v/>
      </c>
      <c r="I1685" s="392" t="n"/>
      <c r="J1685" s="392" t="n"/>
      <c r="K1685" s="392" t="n"/>
      <c r="L1685" s="392" t="n"/>
      <c r="M1685" s="392" t="n"/>
    </row>
    <row r="1686">
      <c r="A1686" s="568" t="n">
        <v>43942</v>
      </c>
      <c r="B1686" s="392" t="n">
        <v>7232</v>
      </c>
      <c r="C1686" s="392" t="n"/>
      <c r="D1686" s="36" t="n">
        <v>50</v>
      </c>
      <c r="E1686" s="392" t="n"/>
      <c r="F1686" s="392" t="n"/>
      <c r="G1686" s="392" t="n">
        <v>10</v>
      </c>
      <c r="H1686" s="98">
        <f>H1685-G1686</f>
        <v/>
      </c>
      <c r="I1686" s="392" t="n"/>
      <c r="J1686" s="392" t="n"/>
      <c r="K1686" s="392" t="n"/>
      <c r="L1686" s="392" t="n"/>
      <c r="M1686" s="392" t="n"/>
    </row>
    <row r="1687">
      <c r="A1687" s="304" t="n">
        <v>43944</v>
      </c>
      <c r="B1687" s="401" t="n">
        <v>7238</v>
      </c>
      <c r="C1687" s="401" t="n"/>
      <c r="D1687" s="276" t="n">
        <v>44.76</v>
      </c>
      <c r="E1687" s="401" t="n"/>
      <c r="F1687" s="401" t="n">
        <v>1140</v>
      </c>
      <c r="G1687" s="401" t="n"/>
      <c r="H1687" s="277" t="n">
        <v>3668</v>
      </c>
      <c r="I1687" s="392" t="n"/>
      <c r="J1687" s="392" t="n"/>
      <c r="K1687" s="392" t="n"/>
      <c r="L1687" s="392" t="n"/>
      <c r="M1687" s="392" t="n"/>
    </row>
    <row r="1688">
      <c r="A1688" s="568" t="n">
        <v>43944</v>
      </c>
      <c r="B1688" s="392" t="n">
        <v>7239</v>
      </c>
      <c r="C1688" s="392" t="n"/>
      <c r="D1688" s="36" t="n">
        <v>55</v>
      </c>
      <c r="E1688" s="392" t="n"/>
      <c r="F1688" s="392" t="n"/>
      <c r="G1688" s="392" t="n">
        <v>150</v>
      </c>
      <c r="H1688" s="98">
        <f>H1687-G1688</f>
        <v/>
      </c>
      <c r="I1688" s="392" t="n"/>
      <c r="J1688" s="392" t="n"/>
      <c r="K1688" s="392" t="n"/>
      <c r="L1688" s="392" t="n"/>
      <c r="M1688" s="392" t="n"/>
    </row>
    <row r="1689">
      <c r="A1689" s="568" t="n">
        <v>43944</v>
      </c>
      <c r="B1689" s="392" t="n">
        <v>7240</v>
      </c>
      <c r="C1689" s="392" t="n"/>
      <c r="D1689" s="36" t="n">
        <v>55</v>
      </c>
      <c r="E1689" s="392" t="n"/>
      <c r="F1689" s="392" t="n"/>
      <c r="G1689" s="392" t="n">
        <v>60</v>
      </c>
      <c r="H1689" s="98">
        <f>H1688-G1689</f>
        <v/>
      </c>
      <c r="I1689" s="392" t="n"/>
      <c r="J1689" s="392" t="n"/>
      <c r="K1689" s="392" t="n"/>
      <c r="L1689" s="392" t="n"/>
      <c r="M1689" s="392" t="n"/>
    </row>
    <row r="1690">
      <c r="A1690" s="568" t="n">
        <v>43944</v>
      </c>
      <c r="B1690" s="392" t="n">
        <v>7241</v>
      </c>
      <c r="C1690" s="392" t="n"/>
      <c r="D1690" s="36" t="n">
        <v>55</v>
      </c>
      <c r="E1690" s="392" t="n"/>
      <c r="F1690" s="392" t="n"/>
      <c r="G1690" s="392" t="n">
        <v>500</v>
      </c>
      <c r="H1690" s="98">
        <f>H1689-G1690</f>
        <v/>
      </c>
      <c r="I1690" s="392" t="n"/>
      <c r="J1690" s="392" t="n"/>
      <c r="K1690" s="392" t="n"/>
      <c r="L1690" s="392" t="n"/>
      <c r="M1690" s="392" t="n"/>
    </row>
    <row r="1691">
      <c r="A1691" s="568" t="n">
        <v>43944</v>
      </c>
      <c r="B1691" s="392" t="n">
        <v>7243</v>
      </c>
      <c r="C1691" s="392" t="n"/>
      <c r="D1691" s="36" t="n">
        <v>55</v>
      </c>
      <c r="E1691" s="392" t="n"/>
      <c r="F1691" s="392" t="n"/>
      <c r="G1691" s="392" t="n">
        <v>260</v>
      </c>
      <c r="H1691" s="98">
        <f>H1690-G1691</f>
        <v/>
      </c>
      <c r="I1691" s="392" t="n"/>
      <c r="J1691" s="392" t="n"/>
      <c r="K1691" s="392" t="n"/>
      <c r="L1691" s="392" t="n"/>
      <c r="M1691" s="392" t="n"/>
    </row>
    <row r="1692">
      <c r="A1692" s="568" t="n">
        <v>43949</v>
      </c>
      <c r="B1692" s="392" t="n">
        <v>7244</v>
      </c>
      <c r="C1692" s="392" t="n"/>
      <c r="D1692" s="36" t="n">
        <v>61</v>
      </c>
      <c r="E1692" s="392" t="n"/>
      <c r="F1692" s="392" t="n"/>
      <c r="G1692" s="392" t="n">
        <v>25</v>
      </c>
      <c r="H1692" s="98">
        <f>H1691-G1692</f>
        <v/>
      </c>
      <c r="I1692" s="392" t="n"/>
      <c r="J1692" s="392" t="n"/>
      <c r="K1692" s="392" t="n"/>
      <c r="L1692" s="392" t="n"/>
      <c r="M1692" s="392" t="n"/>
    </row>
    <row r="1693">
      <c r="A1693" s="568" t="n">
        <v>43949</v>
      </c>
      <c r="B1693" s="392" t="n">
        <v>7245</v>
      </c>
      <c r="C1693" s="392" t="n"/>
      <c r="D1693" s="36" t="n">
        <v>62</v>
      </c>
      <c r="E1693" s="392" t="n"/>
      <c r="F1693" s="392" t="n"/>
      <c r="G1693" s="392" t="n">
        <v>30</v>
      </c>
      <c r="H1693" s="98">
        <f>H1692-G1693</f>
        <v/>
      </c>
      <c r="I1693" s="392" t="n"/>
      <c r="J1693" s="392" t="n"/>
      <c r="K1693" s="392" t="n"/>
      <c r="L1693" s="392" t="n"/>
      <c r="M1693" s="392" t="n"/>
    </row>
    <row r="1694">
      <c r="A1694" s="568" t="n">
        <v>43949</v>
      </c>
      <c r="B1694" s="392" t="n">
        <v>7246</v>
      </c>
      <c r="C1694" s="392" t="n"/>
      <c r="D1694" s="36" t="n">
        <v>62</v>
      </c>
      <c r="E1694" s="392" t="n"/>
      <c r="F1694" s="392" t="n"/>
      <c r="G1694" s="392" t="n">
        <v>10</v>
      </c>
      <c r="H1694" s="98">
        <f>H1693-G1694</f>
        <v/>
      </c>
      <c r="I1694" s="392" t="n"/>
      <c r="J1694" s="392" t="n"/>
      <c r="K1694" s="392" t="n"/>
      <c r="L1694" s="392" t="n"/>
      <c r="M1694" s="392" t="n"/>
    </row>
    <row r="1695">
      <c r="A1695" s="568" t="n">
        <v>43949</v>
      </c>
      <c r="B1695" s="392" t="n">
        <v>7247</v>
      </c>
      <c r="C1695" s="392" t="n"/>
      <c r="D1695" s="36" t="n">
        <v>60</v>
      </c>
      <c r="E1695" s="392" t="n"/>
      <c r="F1695" s="392" t="n"/>
      <c r="G1695" s="392" t="n">
        <v>30</v>
      </c>
      <c r="H1695" s="98">
        <f>H1694-G1695</f>
        <v/>
      </c>
      <c r="I1695" s="392" t="n"/>
      <c r="J1695" s="392" t="n"/>
      <c r="K1695" s="392" t="n"/>
      <c r="L1695" s="392" t="n"/>
      <c r="M1695" s="392" t="n"/>
    </row>
    <row r="1696">
      <c r="A1696" s="568" t="n">
        <v>43949</v>
      </c>
      <c r="B1696" s="392" t="n">
        <v>7248</v>
      </c>
      <c r="C1696" s="392" t="n"/>
      <c r="D1696" s="36" t="n">
        <v>62</v>
      </c>
      <c r="E1696" s="392" t="n"/>
      <c r="F1696" s="392" t="n"/>
      <c r="G1696" s="392" t="n">
        <v>20</v>
      </c>
      <c r="H1696" s="98">
        <f>H1695-G1696</f>
        <v/>
      </c>
      <c r="I1696" s="392" t="n"/>
      <c r="J1696" s="392" t="n"/>
      <c r="K1696" s="392" t="n"/>
      <c r="L1696" s="392" t="n"/>
      <c r="M1696" s="392" t="n"/>
    </row>
    <row r="1697">
      <c r="A1697" s="568" t="n">
        <v>43949</v>
      </c>
      <c r="B1697" s="392" t="n">
        <v>7250</v>
      </c>
      <c r="C1697" s="392" t="n"/>
      <c r="D1697" s="36" t="n">
        <v>60</v>
      </c>
      <c r="E1697" s="392" t="n"/>
      <c r="F1697" s="392" t="n"/>
      <c r="G1697" s="392" t="n">
        <v>20</v>
      </c>
      <c r="H1697" s="98">
        <f>H1696-G1697</f>
        <v/>
      </c>
      <c r="I1697" s="392" t="n"/>
      <c r="J1697" s="392" t="n"/>
      <c r="K1697" s="392" t="n"/>
      <c r="L1697" s="392" t="n"/>
      <c r="M1697" s="392" t="n"/>
    </row>
    <row r="1698">
      <c r="A1698" s="304" t="n">
        <v>43950</v>
      </c>
      <c r="B1698" s="401" t="n">
        <v>140605</v>
      </c>
      <c r="C1698" s="401" t="n"/>
      <c r="D1698" s="276" t="n">
        <v>47</v>
      </c>
      <c r="E1698" s="401" t="n"/>
      <c r="F1698" s="401" t="n">
        <v>200</v>
      </c>
      <c r="G1698" s="401" t="n"/>
      <c r="H1698" s="277" t="n">
        <v>2763</v>
      </c>
      <c r="I1698" s="392" t="n"/>
      <c r="J1698" s="392" t="n"/>
      <c r="K1698" s="392" t="n"/>
      <c r="L1698" s="392" t="n"/>
      <c r="M1698" s="392" t="n"/>
    </row>
    <row r="1699">
      <c r="A1699" s="304" t="n">
        <v>43950</v>
      </c>
      <c r="B1699" s="401" t="n">
        <v>140605</v>
      </c>
      <c r="C1699" s="401" t="n"/>
      <c r="D1699" s="276" t="n">
        <v>47</v>
      </c>
      <c r="E1699" s="401" t="n"/>
      <c r="F1699" s="401" t="n">
        <v>600</v>
      </c>
      <c r="G1699" s="401" t="n"/>
      <c r="H1699" s="277" t="n">
        <v>3363</v>
      </c>
      <c r="I1699" s="392" t="n"/>
      <c r="J1699" s="392" t="n"/>
      <c r="K1699" s="392" t="n"/>
      <c r="L1699" s="392" t="n"/>
      <c r="M1699" s="392" t="n"/>
    </row>
    <row r="1700">
      <c r="A1700" s="568" t="n"/>
      <c r="B1700" s="392" t="n"/>
      <c r="C1700" s="392" t="n"/>
      <c r="D1700" s="36" t="n"/>
      <c r="E1700" s="392" t="n"/>
      <c r="F1700" s="392" t="n"/>
      <c r="G1700" s="392" t="n"/>
      <c r="H1700" s="98">
        <f>H1699-G1700</f>
        <v/>
      </c>
      <c r="I1700" s="392" t="n"/>
      <c r="J1700" s="392" t="n"/>
      <c r="K1700" s="392" t="n"/>
      <c r="L1700" s="392" t="n"/>
      <c r="M1700" s="392" t="n"/>
    </row>
    <row r="1701">
      <c r="A1701" s="568" t="n"/>
      <c r="B1701" s="392" t="n"/>
      <c r="C1701" s="392" t="n"/>
      <c r="D1701" s="36" t="n"/>
      <c r="E1701" s="392" t="n"/>
      <c r="F1701" s="392" t="n"/>
      <c r="G1701" s="392" t="n"/>
      <c r="H1701" s="98">
        <f>H1700-G1701</f>
        <v/>
      </c>
      <c r="I1701" s="392" t="n"/>
      <c r="J1701" s="392" t="n"/>
      <c r="K1701" s="392" t="n"/>
      <c r="L1701" s="392" t="n"/>
      <c r="M1701" s="392" t="n"/>
    </row>
    <row r="1702" ht="15.75" customHeight="1" s="436" thickBot="1"/>
    <row r="1703" ht="32.25" customHeight="1" s="436" thickBot="1">
      <c r="A1703" s="735" t="inlineStr">
        <is>
          <t>Maio</t>
        </is>
      </c>
      <c r="B1703" s="697" t="n"/>
      <c r="C1703" s="697" t="n"/>
      <c r="D1703" s="697" t="n"/>
      <c r="E1703" s="697" t="n"/>
      <c r="F1703" s="697" t="n"/>
      <c r="G1703" s="697" t="n"/>
      <c r="H1703" s="697" t="n"/>
      <c r="I1703" s="697" t="n"/>
      <c r="J1703" s="697" t="n"/>
      <c r="K1703" s="697" t="n"/>
      <c r="L1703" s="697" t="n"/>
      <c r="M1703" s="698" t="n"/>
    </row>
    <row r="1704" ht="27" customHeight="1" s="436" thickBot="1">
      <c r="A1704" s="734" t="inlineStr">
        <is>
          <t xml:space="preserve"> FARINHA DE TRIGO TIPO: 1 - 25 KG</t>
        </is>
      </c>
      <c r="B1704" s="706" t="n"/>
      <c r="C1704" s="706" t="n"/>
      <c r="D1704" s="706" t="n"/>
      <c r="E1704" s="706" t="n"/>
      <c r="F1704" s="706" t="n"/>
      <c r="G1704" s="706" t="n"/>
      <c r="H1704" s="706" t="n"/>
      <c r="I1704" s="706" t="n"/>
      <c r="J1704" s="706" t="n"/>
      <c r="K1704" s="706" t="n"/>
      <c r="L1704" s="706" t="n"/>
      <c r="M1704" s="707" t="n"/>
    </row>
    <row r="1705">
      <c r="A1705" s="643" t="inlineStr">
        <is>
          <t>DATA</t>
        </is>
      </c>
      <c r="B1705" s="633" t="inlineStr">
        <is>
          <t>N.F.</t>
        </is>
      </c>
      <c r="C1705" s="633" t="inlineStr">
        <is>
          <t>TIPO</t>
        </is>
      </c>
      <c r="D1705" s="633" t="inlineStr">
        <is>
          <t>PREÇO UNITÁRIO</t>
        </is>
      </c>
      <c r="E1705" s="701" t="n"/>
      <c r="F1705" s="633" t="inlineStr">
        <is>
          <t>QUANTIDADE / KG</t>
        </is>
      </c>
      <c r="H1705" s="701" t="n"/>
      <c r="I1705" s="632" t="inlineStr">
        <is>
          <t>PREÇO</t>
        </is>
      </c>
      <c r="J1705" s="632" t="inlineStr">
        <is>
          <t>VALORES</t>
        </is>
      </c>
      <c r="L1705" s="701" t="n"/>
      <c r="M1705" s="649" t="n"/>
    </row>
    <row r="1706" ht="15.75" customHeight="1" s="436" thickBot="1">
      <c r="A1706" s="703" t="n"/>
      <c r="B1706" s="704" t="n"/>
      <c r="C1706" s="704" t="n"/>
      <c r="D1706" s="703" t="n"/>
      <c r="E1706" s="701" t="n"/>
      <c r="F1706" s="705" t="n"/>
      <c r="G1706" s="706" t="n"/>
      <c r="H1706" s="707" t="n"/>
      <c r="I1706" s="704" t="n"/>
      <c r="J1706" s="703" t="n"/>
      <c r="L1706" s="701" t="n"/>
      <c r="M1706" s="704" t="n"/>
    </row>
    <row r="1707" ht="15.75" customHeight="1" s="436" thickBot="1">
      <c r="A1707" s="703" t="n"/>
      <c r="B1707" s="704" t="n"/>
      <c r="C1707" s="704" t="n"/>
      <c r="D1707" s="705" t="n"/>
      <c r="E1707" s="707" t="n"/>
      <c r="F1707" s="3" t="inlineStr">
        <is>
          <t>ENTRADA</t>
        </is>
      </c>
      <c r="G1707" s="3" t="inlineStr">
        <is>
          <t>SAÍDA</t>
        </is>
      </c>
      <c r="H1707" s="640" t="n"/>
      <c r="I1707" s="633" t="inlineStr">
        <is>
          <t>MÉDIO</t>
        </is>
      </c>
      <c r="J1707" s="652" t="inlineStr">
        <is>
          <t>SALDO EM 30/11/2017</t>
        </is>
      </c>
      <c r="K1707" s="706" t="n"/>
      <c r="L1707" s="17" t="n"/>
      <c r="M1707" s="704" t="n"/>
    </row>
    <row r="1708" ht="18" customHeight="1" s="436" thickBot="1">
      <c r="A1708" s="705" t="n"/>
      <c r="B1708" s="695" t="n"/>
      <c r="C1708" s="695" t="n"/>
      <c r="D1708" s="3" t="inlineStr">
        <is>
          <t>C/ICMS</t>
        </is>
      </c>
      <c r="E1708" s="3" t="inlineStr">
        <is>
          <t>S/ICMS</t>
        </is>
      </c>
      <c r="F1708" s="695" t="n"/>
      <c r="G1708" s="695" t="n"/>
      <c r="H1708" s="84" t="inlineStr">
        <is>
          <t>Saldo em 29/02/2020</t>
        </is>
      </c>
      <c r="I1708" s="695" t="n"/>
      <c r="J1708" s="645" t="inlineStr">
        <is>
          <t>ENTRADA</t>
        </is>
      </c>
      <c r="K1708" s="633" t="inlineStr">
        <is>
          <t>SAÍDA / CMV</t>
        </is>
      </c>
      <c r="L1708" s="643" t="inlineStr">
        <is>
          <t>SALDO</t>
        </is>
      </c>
      <c r="M1708" s="392" t="n"/>
    </row>
    <row r="1709" ht="17.25" customHeight="1" s="436">
      <c r="A1709" s="30" t="n">
        <v>43951</v>
      </c>
      <c r="B1709" s="31" t="n"/>
      <c r="C1709" s="35" t="n"/>
      <c r="D1709" s="36" t="n"/>
      <c r="E1709" s="36" t="n"/>
      <c r="F1709" s="37" t="n"/>
      <c r="G1709" s="37" t="n"/>
      <c r="H1709" s="98" t="n">
        <v>3363</v>
      </c>
      <c r="I1709" s="36" t="n"/>
      <c r="J1709" s="711">
        <f>F1709*I1709</f>
        <v/>
      </c>
      <c r="K1709" s="721" t="n">
        <v>0</v>
      </c>
      <c r="L1709" s="710">
        <f>J1709-K1709</f>
        <v/>
      </c>
      <c r="M1709" s="392" t="n"/>
    </row>
    <row r="1710" ht="17.25" customHeight="1" s="436">
      <c r="A1710" s="296" t="n">
        <v>43952</v>
      </c>
      <c r="B1710" s="35" t="inlineStr">
        <is>
          <t>7252</t>
        </is>
      </c>
      <c r="C1710" s="35" t="n"/>
      <c r="D1710" s="36" t="n">
        <v>59</v>
      </c>
      <c r="E1710" s="36" t="n"/>
      <c r="F1710" s="37" t="n"/>
      <c r="G1710" s="37" t="n">
        <v>10</v>
      </c>
      <c r="H1710" s="98">
        <f>H1709-G1710</f>
        <v/>
      </c>
      <c r="I1710" s="36" t="n"/>
      <c r="J1710" s="711" t="n"/>
      <c r="K1710" s="721" t="n"/>
      <c r="L1710" s="711" t="n"/>
      <c r="M1710" s="392" t="n"/>
    </row>
    <row r="1711" ht="17.25" customHeight="1" s="436">
      <c r="A1711" s="296" t="n">
        <v>43952</v>
      </c>
      <c r="B1711" s="35" t="inlineStr">
        <is>
          <t>7254</t>
        </is>
      </c>
      <c r="C1711" s="35" t="n"/>
      <c r="D1711" s="36" t="n">
        <v>54</v>
      </c>
      <c r="E1711" s="36" t="n"/>
      <c r="F1711" s="37" t="n"/>
      <c r="G1711" s="37" t="n">
        <v>20</v>
      </c>
      <c r="H1711" s="98">
        <f>H1710-G1711</f>
        <v/>
      </c>
      <c r="I1711" s="36" t="n"/>
      <c r="J1711" s="711" t="n"/>
      <c r="K1711" s="721" t="n"/>
      <c r="L1711" s="711" t="n"/>
      <c r="M1711" s="392" t="n"/>
    </row>
    <row r="1712" ht="17.25" customHeight="1" s="436">
      <c r="A1712" s="307" t="n">
        <v>43956</v>
      </c>
      <c r="B1712" s="93" t="inlineStr">
        <is>
          <t>7256</t>
        </is>
      </c>
      <c r="C1712" s="96" t="n"/>
      <c r="D1712" s="97" t="n">
        <v>60</v>
      </c>
      <c r="E1712" s="97" t="n"/>
      <c r="F1712" s="98" t="n"/>
      <c r="G1712" s="98" t="n">
        <v>25</v>
      </c>
      <c r="H1712" s="98">
        <f>H1711-G1712</f>
        <v/>
      </c>
      <c r="I1712" s="36" t="n"/>
      <c r="J1712" s="711" t="n"/>
      <c r="K1712" s="721" t="n"/>
      <c r="L1712" s="711" t="n"/>
      <c r="M1712" s="392" t="n"/>
    </row>
    <row r="1713" ht="17.25" customHeight="1" s="436">
      <c r="A1713" s="307" t="n">
        <v>43956</v>
      </c>
      <c r="B1713" s="93" t="inlineStr">
        <is>
          <t>7257</t>
        </is>
      </c>
      <c r="C1713" s="96" t="n"/>
      <c r="D1713" s="97" t="n">
        <v>57.5</v>
      </c>
      <c r="E1713" s="97" t="n"/>
      <c r="F1713" s="98" t="n"/>
      <c r="G1713" s="98" t="n">
        <v>40</v>
      </c>
      <c r="H1713" s="98">
        <f>H1712-G1713</f>
        <v/>
      </c>
      <c r="I1713" s="36" t="n"/>
      <c r="J1713" s="711" t="n"/>
      <c r="K1713" s="721" t="n"/>
      <c r="L1713" s="711" t="n"/>
      <c r="M1713" s="392" t="n"/>
    </row>
    <row r="1714" ht="17.25" customHeight="1" s="436">
      <c r="A1714" s="307" t="n">
        <v>43956</v>
      </c>
      <c r="B1714" s="93" t="inlineStr">
        <is>
          <t>7258</t>
        </is>
      </c>
      <c r="C1714" s="96" t="n"/>
      <c r="D1714" s="97" t="n">
        <v>55</v>
      </c>
      <c r="E1714" s="97" t="n"/>
      <c r="F1714" s="98" t="n"/>
      <c r="G1714" s="98" t="n">
        <v>50</v>
      </c>
      <c r="H1714" s="98">
        <f>H1713-G1714</f>
        <v/>
      </c>
      <c r="I1714" s="36" t="n"/>
      <c r="J1714" s="711" t="n"/>
      <c r="K1714" s="721" t="n"/>
      <c r="L1714" s="711" t="n"/>
      <c r="M1714" s="392" t="n"/>
    </row>
    <row r="1715" ht="17.25" customHeight="1" s="436">
      <c r="A1715" s="296" t="n">
        <v>43956</v>
      </c>
      <c r="B1715" s="35" t="inlineStr">
        <is>
          <t>7261</t>
        </is>
      </c>
      <c r="C1715" s="35" t="n"/>
      <c r="D1715" s="36" t="n">
        <v>55</v>
      </c>
      <c r="E1715" s="36" t="n"/>
      <c r="F1715" s="37" t="n"/>
      <c r="G1715" s="37" t="n">
        <v>10</v>
      </c>
      <c r="H1715" s="98">
        <f>H1714-G1715</f>
        <v/>
      </c>
      <c r="I1715" s="36" t="n"/>
      <c r="J1715" s="711" t="n"/>
      <c r="K1715" s="721" t="n"/>
      <c r="L1715" s="711" t="n"/>
      <c r="M1715" s="392" t="n"/>
    </row>
    <row r="1716" ht="17.25" customHeight="1" s="436">
      <c r="A1716" s="296" t="n">
        <v>43956</v>
      </c>
      <c r="B1716" s="35" t="inlineStr">
        <is>
          <t>7262</t>
        </is>
      </c>
      <c r="C1716" s="35" t="n"/>
      <c r="D1716" s="36" t="n">
        <v>57</v>
      </c>
      <c r="E1716" s="36" t="n"/>
      <c r="F1716" s="37" t="n"/>
      <c r="G1716" s="37" t="n">
        <v>30</v>
      </c>
      <c r="H1716" s="98">
        <f>H1715-G1716</f>
        <v/>
      </c>
      <c r="I1716" s="36" t="n"/>
      <c r="J1716" s="711" t="n"/>
      <c r="K1716" s="721" t="n"/>
      <c r="L1716" s="711" t="n"/>
      <c r="M1716" s="392" t="n"/>
    </row>
    <row r="1717" ht="17.25" customHeight="1" s="436">
      <c r="A1717" s="296" t="n">
        <v>43956</v>
      </c>
      <c r="B1717" s="35" t="inlineStr">
        <is>
          <t>7263</t>
        </is>
      </c>
      <c r="C1717" s="35" t="n"/>
      <c r="D1717" s="36" t="n">
        <v>50</v>
      </c>
      <c r="E1717" s="36" t="n"/>
      <c r="F1717" s="37" t="n"/>
      <c r="G1717" s="37" t="n">
        <v>15</v>
      </c>
      <c r="H1717" s="98">
        <f>H1716-G1717</f>
        <v/>
      </c>
      <c r="I1717" s="36" t="n"/>
      <c r="J1717" s="711" t="n"/>
      <c r="K1717" s="721" t="n"/>
      <c r="L1717" s="711" t="n"/>
      <c r="M1717" s="392" t="n"/>
    </row>
    <row r="1718" ht="17.25" customHeight="1" s="436">
      <c r="A1718" s="296" t="n">
        <v>43957</v>
      </c>
      <c r="B1718" s="35" t="inlineStr">
        <is>
          <t>7266</t>
        </is>
      </c>
      <c r="C1718" s="35" t="n"/>
      <c r="D1718" s="36" t="n">
        <v>55</v>
      </c>
      <c r="E1718" s="36" t="n"/>
      <c r="F1718" s="37" t="n"/>
      <c r="G1718" s="37" t="n">
        <v>100</v>
      </c>
      <c r="H1718" s="98">
        <f>H1717-G1718</f>
        <v/>
      </c>
      <c r="I1718" s="36" t="n"/>
      <c r="J1718" s="711" t="n"/>
      <c r="K1718" s="721" t="n"/>
      <c r="L1718" s="711" t="n"/>
      <c r="M1718" s="392" t="n"/>
    </row>
    <row r="1719" ht="17.25" customHeight="1" s="436">
      <c r="A1719" s="296" t="n">
        <v>43958</v>
      </c>
      <c r="B1719" s="35" t="inlineStr">
        <is>
          <t>7267</t>
        </is>
      </c>
      <c r="C1719" s="35" t="n"/>
      <c r="D1719" s="36" t="n">
        <v>54</v>
      </c>
      <c r="E1719" s="36" t="n"/>
      <c r="F1719" s="37" t="n"/>
      <c r="G1719" s="37" t="n">
        <v>100</v>
      </c>
      <c r="H1719" s="98">
        <f>H1718-G1719</f>
        <v/>
      </c>
      <c r="I1719" s="36" t="n"/>
      <c r="J1719" s="711" t="n"/>
      <c r="K1719" s="721" t="n"/>
      <c r="L1719" s="711" t="n"/>
      <c r="M1719" s="392" t="n"/>
    </row>
    <row r="1720" ht="17.25" customHeight="1" s="436">
      <c r="A1720" s="296" t="n">
        <v>43958</v>
      </c>
      <c r="B1720" s="35" t="inlineStr">
        <is>
          <t>7269</t>
        </is>
      </c>
      <c r="C1720" s="35" t="n"/>
      <c r="D1720" s="36" t="n">
        <v>60.67</v>
      </c>
      <c r="E1720" s="36" t="n"/>
      <c r="F1720" s="37" t="n"/>
      <c r="G1720" s="37" t="n">
        <v>24</v>
      </c>
      <c r="H1720" s="98">
        <f>H1719-G1720</f>
        <v/>
      </c>
      <c r="I1720" s="36" t="n"/>
      <c r="J1720" s="711" t="n"/>
      <c r="K1720" s="721" t="n"/>
      <c r="L1720" s="711" t="n"/>
      <c r="M1720" s="392" t="n"/>
    </row>
    <row r="1721" ht="17.25" customHeight="1" s="436">
      <c r="A1721" s="296" t="n">
        <v>43962</v>
      </c>
      <c r="B1721" s="35" t="inlineStr">
        <is>
          <t>7274</t>
        </is>
      </c>
      <c r="C1721" s="35" t="n"/>
      <c r="D1721" s="36" t="n">
        <v>56</v>
      </c>
      <c r="E1721" s="36" t="n"/>
      <c r="F1721" s="37" t="n"/>
      <c r="G1721" s="37" t="n">
        <v>50</v>
      </c>
      <c r="H1721" s="98">
        <f>H1720-G1721</f>
        <v/>
      </c>
      <c r="I1721" s="36" t="n"/>
      <c r="J1721" s="711" t="n"/>
      <c r="K1721" s="721" t="n"/>
      <c r="L1721" s="711" t="n"/>
      <c r="M1721" s="392" t="n"/>
    </row>
    <row r="1722" ht="17.25" customHeight="1" s="436">
      <c r="A1722" s="296" t="n">
        <v>43962</v>
      </c>
      <c r="B1722" s="35" t="inlineStr">
        <is>
          <t>7276</t>
        </is>
      </c>
      <c r="C1722" s="35" t="n"/>
      <c r="D1722" s="36" t="n">
        <v>62</v>
      </c>
      <c r="E1722" s="36" t="n"/>
      <c r="F1722" s="37" t="n"/>
      <c r="G1722" s="37" t="n">
        <v>20</v>
      </c>
      <c r="H1722" s="98">
        <f>H1721-G1722</f>
        <v/>
      </c>
      <c r="I1722" s="36" t="n"/>
      <c r="J1722" s="711" t="n"/>
      <c r="K1722" s="721" t="n"/>
      <c r="L1722" s="711" t="n"/>
      <c r="M1722" s="392" t="n"/>
    </row>
    <row r="1723" ht="17.25" customHeight="1" s="436">
      <c r="A1723" s="296" t="n">
        <v>43962</v>
      </c>
      <c r="B1723" s="35" t="inlineStr">
        <is>
          <t>7277</t>
        </is>
      </c>
      <c r="C1723" s="35" t="n"/>
      <c r="D1723" s="36" t="n">
        <v>61</v>
      </c>
      <c r="E1723" s="36" t="n"/>
      <c r="F1723" s="37" t="n"/>
      <c r="G1723" s="37" t="n">
        <v>25</v>
      </c>
      <c r="H1723" s="98">
        <f>H1722-G1723</f>
        <v/>
      </c>
      <c r="I1723" s="36" t="n"/>
      <c r="J1723" s="711" t="n"/>
      <c r="K1723" s="721" t="n"/>
      <c r="L1723" s="711" t="n"/>
      <c r="M1723" s="392" t="n"/>
    </row>
    <row r="1724" ht="17.25" customHeight="1" s="436">
      <c r="A1724" s="296" t="n">
        <v>43962</v>
      </c>
      <c r="B1724" s="35" t="inlineStr">
        <is>
          <t>7278</t>
        </is>
      </c>
      <c r="C1724" s="35" t="n"/>
      <c r="D1724" s="36" t="n">
        <v>57.5</v>
      </c>
      <c r="E1724" s="36" t="n"/>
      <c r="F1724" s="37" t="n"/>
      <c r="G1724" s="37" t="n">
        <v>40</v>
      </c>
      <c r="H1724" s="98">
        <f>H1723-G1724</f>
        <v/>
      </c>
      <c r="I1724" s="36" t="n"/>
      <c r="J1724" s="711" t="n"/>
      <c r="K1724" s="721" t="n"/>
      <c r="L1724" s="711" t="n"/>
      <c r="M1724" s="392" t="n"/>
    </row>
    <row r="1725" ht="17.25" customHeight="1" s="436">
      <c r="A1725" s="296" t="n">
        <v>43962</v>
      </c>
      <c r="B1725" s="35" t="inlineStr">
        <is>
          <t>7279</t>
        </is>
      </c>
      <c r="C1725" s="35" t="n"/>
      <c r="D1725" s="36" t="n">
        <v>62</v>
      </c>
      <c r="E1725" s="36" t="n"/>
      <c r="F1725" s="37" t="n"/>
      <c r="G1725" s="37" t="n">
        <v>10</v>
      </c>
      <c r="H1725" s="98">
        <f>H1724-G1725</f>
        <v/>
      </c>
      <c r="I1725" s="36" t="n"/>
      <c r="J1725" s="711" t="n"/>
      <c r="K1725" s="721" t="n"/>
      <c r="L1725" s="711" t="n"/>
      <c r="M1725" s="392" t="n"/>
    </row>
    <row r="1726" ht="17.25" customHeight="1" s="436">
      <c r="A1726" s="310" t="n">
        <v>43965</v>
      </c>
      <c r="B1726" s="275" t="inlineStr">
        <is>
          <t>141556</t>
        </is>
      </c>
      <c r="C1726" s="275" t="n"/>
      <c r="D1726" s="276" t="n">
        <v>49.5</v>
      </c>
      <c r="E1726" s="276" t="n"/>
      <c r="F1726" s="277" t="n">
        <v>200</v>
      </c>
      <c r="G1726" s="277" t="n"/>
      <c r="H1726" s="277" t="n">
        <v>2994</v>
      </c>
      <c r="I1726" s="36" t="n"/>
      <c r="J1726" s="711" t="n"/>
      <c r="K1726" s="721" t="n"/>
      <c r="L1726" s="711" t="n"/>
      <c r="M1726" s="392" t="n"/>
    </row>
    <row r="1727" ht="17.25" customHeight="1" s="436">
      <c r="A1727" s="310" t="n">
        <v>43965</v>
      </c>
      <c r="B1727" s="275" t="inlineStr">
        <is>
          <t>141556</t>
        </is>
      </c>
      <c r="C1727" s="275" t="n"/>
      <c r="D1727" s="276" t="n">
        <v>48.2</v>
      </c>
      <c r="E1727" s="276" t="n"/>
      <c r="F1727" s="277" t="n">
        <v>300</v>
      </c>
      <c r="G1727" s="277" t="n"/>
      <c r="H1727" s="277" t="n">
        <v>3294</v>
      </c>
      <c r="I1727" s="36" t="n"/>
      <c r="J1727" s="711" t="n"/>
      <c r="K1727" s="721" t="n"/>
      <c r="L1727" s="711" t="n"/>
      <c r="M1727" s="392" t="n"/>
    </row>
    <row r="1728" ht="17.25" customHeight="1" s="436">
      <c r="A1728" s="296" t="n">
        <v>43969</v>
      </c>
      <c r="B1728" s="35" t="inlineStr">
        <is>
          <t>7284</t>
        </is>
      </c>
      <c r="C1728" s="35" t="n"/>
      <c r="D1728" s="36" t="n">
        <v>62</v>
      </c>
      <c r="E1728" s="36" t="n"/>
      <c r="F1728" s="37" t="n"/>
      <c r="G1728" s="37" t="n">
        <v>50</v>
      </c>
      <c r="H1728" s="98">
        <f>H1727-G1728</f>
        <v/>
      </c>
      <c r="I1728" s="36" t="n"/>
      <c r="J1728" s="711" t="n"/>
      <c r="K1728" s="721" t="n"/>
      <c r="L1728" s="711" t="n"/>
      <c r="M1728" s="392" t="n"/>
    </row>
    <row r="1729" ht="17.25" customHeight="1" s="436">
      <c r="A1729" s="296" t="n">
        <v>43971</v>
      </c>
      <c r="B1729" s="35" t="inlineStr">
        <is>
          <t>7285</t>
        </is>
      </c>
      <c r="C1729" s="35" t="n"/>
      <c r="D1729" s="36" t="n">
        <v>62</v>
      </c>
      <c r="E1729" s="36" t="n"/>
      <c r="F1729" s="37" t="n"/>
      <c r="G1729" s="37" t="n">
        <v>10</v>
      </c>
      <c r="H1729" s="98">
        <f>H1728-G1729</f>
        <v/>
      </c>
      <c r="I1729" s="36" t="n"/>
      <c r="J1729" s="711" t="n"/>
      <c r="K1729" s="721" t="n"/>
      <c r="L1729" s="711" t="n"/>
      <c r="M1729" s="392" t="n"/>
    </row>
    <row r="1730">
      <c r="A1730" s="568" t="n">
        <v>43971</v>
      </c>
      <c r="B1730" s="392" t="n">
        <v>7286</v>
      </c>
      <c r="C1730" s="392" t="n"/>
      <c r="D1730" s="36" t="n">
        <v>56</v>
      </c>
      <c r="E1730" s="392" t="n"/>
      <c r="F1730" s="392" t="n"/>
      <c r="G1730" s="392" t="n">
        <v>20</v>
      </c>
      <c r="H1730" s="98">
        <f>H1710-G1730</f>
        <v/>
      </c>
      <c r="I1730" s="392" t="n"/>
      <c r="J1730" s="392" t="n"/>
      <c r="K1730" s="392" t="n"/>
      <c r="L1730" s="392" t="n"/>
      <c r="M1730" s="392" t="n"/>
    </row>
    <row r="1731">
      <c r="A1731" s="568" t="n">
        <v>43971</v>
      </c>
      <c r="B1731" s="392" t="n">
        <v>7287</v>
      </c>
      <c r="C1731" s="392" t="n"/>
      <c r="D1731" s="36" t="n">
        <v>60.4</v>
      </c>
      <c r="E1731" s="392" t="n"/>
      <c r="F1731" s="392" t="n"/>
      <c r="G1731" s="392" t="n">
        <v>25</v>
      </c>
      <c r="H1731" s="98">
        <f>H1711-G1731</f>
        <v/>
      </c>
      <c r="I1731" s="392" t="n"/>
      <c r="J1731" s="392" t="n"/>
      <c r="K1731" s="392" t="n"/>
      <c r="L1731" s="392" t="n"/>
      <c r="M1731" s="392" t="n"/>
    </row>
    <row r="1732">
      <c r="A1732" s="568" t="n">
        <v>43971</v>
      </c>
      <c r="B1732" s="392" t="n">
        <v>7288</v>
      </c>
      <c r="C1732" s="392" t="n"/>
      <c r="D1732" s="36" t="n">
        <v>60</v>
      </c>
      <c r="E1732" s="392" t="n"/>
      <c r="F1732" s="392" t="n"/>
      <c r="G1732" s="392" t="n">
        <v>25</v>
      </c>
      <c r="H1732" s="98">
        <f>H1712-G1732</f>
        <v/>
      </c>
      <c r="I1732" s="392" t="n"/>
      <c r="J1732" s="392" t="n"/>
      <c r="K1732" s="392" t="n"/>
      <c r="L1732" s="392" t="n"/>
      <c r="M1732" s="392" t="n"/>
    </row>
    <row r="1733">
      <c r="A1733" s="568" t="n">
        <v>43977</v>
      </c>
      <c r="B1733" s="392" t="n">
        <v>7296</v>
      </c>
      <c r="C1733" s="392" t="n"/>
      <c r="D1733" s="36" t="n">
        <v>60</v>
      </c>
      <c r="E1733" s="392" t="n"/>
      <c r="F1733" s="392" t="n"/>
      <c r="G1733" s="392" t="n">
        <v>30</v>
      </c>
      <c r="H1733" s="98">
        <f>H1713-G1733</f>
        <v/>
      </c>
      <c r="I1733" s="392" t="n"/>
      <c r="J1733" s="392" t="n"/>
      <c r="K1733" s="392" t="n"/>
      <c r="L1733" s="392" t="n"/>
      <c r="M1733" s="392" t="n"/>
    </row>
    <row r="1734">
      <c r="A1734" s="568" t="n">
        <v>43977</v>
      </c>
      <c r="B1734" s="392" t="n">
        <v>7300</v>
      </c>
      <c r="C1734" s="392" t="n"/>
      <c r="D1734" s="36" t="n">
        <v>57</v>
      </c>
      <c r="E1734" s="392" t="n"/>
      <c r="F1734" s="392" t="n"/>
      <c r="G1734" s="392" t="n">
        <v>10</v>
      </c>
      <c r="H1734" s="98">
        <f>H1714-G1734</f>
        <v/>
      </c>
      <c r="I1734" s="392" t="n"/>
      <c r="J1734" s="392" t="n"/>
      <c r="K1734" s="392" t="n"/>
      <c r="L1734" s="392" t="n"/>
      <c r="M1734" s="392" t="n"/>
    </row>
    <row r="1735">
      <c r="A1735" s="568" t="n">
        <v>43977</v>
      </c>
      <c r="B1735" s="392" t="n">
        <v>7301</v>
      </c>
      <c r="C1735" s="392" t="n"/>
      <c r="D1735" s="36" t="n">
        <v>57</v>
      </c>
      <c r="E1735" s="392" t="n"/>
      <c r="F1735" s="392" t="n"/>
      <c r="G1735" s="392" t="n">
        <v>20</v>
      </c>
      <c r="H1735" s="98">
        <f>H1715-G1735</f>
        <v/>
      </c>
      <c r="I1735" s="392" t="n"/>
      <c r="J1735" s="392" t="n"/>
      <c r="K1735" s="392" t="n"/>
      <c r="L1735" s="392" t="n"/>
      <c r="M1735" s="392" t="n"/>
    </row>
    <row r="1736">
      <c r="A1736" s="568" t="n">
        <v>43977</v>
      </c>
      <c r="B1736" s="392" t="n">
        <v>7303</v>
      </c>
      <c r="C1736" s="392" t="n"/>
      <c r="D1736" s="36" t="n">
        <v>58</v>
      </c>
      <c r="E1736" s="392" t="n"/>
      <c r="F1736" s="392" t="n"/>
      <c r="G1736" s="392" t="n">
        <v>10</v>
      </c>
      <c r="H1736" s="98">
        <f>H1716-G1736</f>
        <v/>
      </c>
      <c r="I1736" s="392" t="n"/>
      <c r="J1736" s="392" t="n"/>
      <c r="K1736" s="392" t="n"/>
      <c r="L1736" s="392" t="n"/>
      <c r="M1736" s="392" t="n"/>
    </row>
    <row r="1737">
      <c r="A1737" s="568" t="n">
        <v>43977</v>
      </c>
      <c r="B1737" s="392" t="n">
        <v>7304</v>
      </c>
      <c r="C1737" s="392" t="n"/>
      <c r="D1737" s="36" t="n">
        <v>59.5</v>
      </c>
      <c r="E1737" s="392" t="n"/>
      <c r="F1737" s="392" t="n"/>
      <c r="G1737" s="392" t="n">
        <v>30</v>
      </c>
      <c r="H1737" s="98">
        <f>H1717-G1737</f>
        <v/>
      </c>
      <c r="I1737" s="392" t="n"/>
      <c r="J1737" s="392" t="n"/>
      <c r="K1737" s="392" t="n"/>
      <c r="L1737" s="392" t="n"/>
      <c r="M1737" s="392" t="n"/>
    </row>
    <row r="1738">
      <c r="A1738" s="568" t="n">
        <v>43977</v>
      </c>
      <c r="B1738" s="392" t="n">
        <v>7306</v>
      </c>
      <c r="C1738" s="392" t="n"/>
      <c r="D1738" s="36" t="n">
        <v>64</v>
      </c>
      <c r="E1738" s="392" t="n"/>
      <c r="F1738" s="392" t="n"/>
      <c r="G1738" s="392" t="n">
        <v>20</v>
      </c>
      <c r="H1738" s="98">
        <f>H1718-G1738</f>
        <v/>
      </c>
      <c r="I1738" s="392" t="n"/>
      <c r="J1738" s="392" t="n"/>
      <c r="K1738" s="392" t="n"/>
      <c r="L1738" s="392" t="n"/>
      <c r="M1738" s="392" t="n"/>
    </row>
    <row r="1739">
      <c r="A1739" s="568" t="n">
        <v>43977</v>
      </c>
      <c r="B1739" s="392" t="n">
        <v>7309</v>
      </c>
      <c r="C1739" s="392" t="n"/>
      <c r="D1739" s="36" t="n">
        <v>62</v>
      </c>
      <c r="E1739" s="392" t="n"/>
      <c r="F1739" s="392" t="n"/>
      <c r="G1739" s="392" t="n">
        <v>30</v>
      </c>
      <c r="H1739" s="98">
        <f>H1719-G1739</f>
        <v/>
      </c>
      <c r="I1739" s="392" t="n"/>
      <c r="J1739" s="392" t="n"/>
      <c r="K1739" s="392" t="n"/>
      <c r="L1739" s="392" t="n"/>
      <c r="M1739" s="392" t="n"/>
    </row>
    <row r="1740">
      <c r="A1740" s="304" t="n">
        <v>43980</v>
      </c>
      <c r="B1740" s="401" t="n">
        <v>142604</v>
      </c>
      <c r="C1740" s="401" t="n"/>
      <c r="D1740" s="276" t="n">
        <v>50.5</v>
      </c>
      <c r="E1740" s="401" t="n"/>
      <c r="F1740" s="401" t="n">
        <v>280</v>
      </c>
      <c r="G1740" s="401" t="n"/>
      <c r="H1740" s="277" t="n">
        <v>3213</v>
      </c>
      <c r="I1740" s="392" t="n"/>
      <c r="J1740" s="392" t="n"/>
      <c r="K1740" s="392" t="n"/>
      <c r="L1740" s="392" t="n"/>
      <c r="M1740" s="392" t="n"/>
    </row>
    <row r="1741">
      <c r="A1741" s="568" t="n"/>
      <c r="B1741" s="392" t="n"/>
      <c r="C1741" s="392" t="n"/>
      <c r="D1741" s="36" t="n"/>
      <c r="E1741" s="392" t="n"/>
      <c r="F1741" s="392" t="n"/>
      <c r="G1741" s="392" t="n"/>
      <c r="H1741" s="98" t="n"/>
      <c r="I1741" s="392" t="n"/>
      <c r="J1741" s="392" t="n"/>
      <c r="K1741" s="392" t="n"/>
      <c r="L1741" s="392" t="n"/>
      <c r="M1741" s="392" t="n"/>
    </row>
    <row r="1742"/>
    <row r="1743" ht="15.75" customHeight="1" s="436" thickBot="1"/>
    <row r="1744" ht="32.25" customHeight="1" s="436" thickBot="1">
      <c r="A1744" s="735" t="inlineStr">
        <is>
          <t>JUnho</t>
        </is>
      </c>
      <c r="B1744" s="697" t="n"/>
      <c r="C1744" s="697" t="n"/>
      <c r="D1744" s="697" t="n"/>
      <c r="E1744" s="697" t="n"/>
      <c r="F1744" s="697" t="n"/>
      <c r="G1744" s="697" t="n"/>
      <c r="H1744" s="697" t="n"/>
      <c r="I1744" s="697" t="n"/>
      <c r="J1744" s="697" t="n"/>
      <c r="K1744" s="697" t="n"/>
      <c r="L1744" s="697" t="n"/>
      <c r="M1744" s="698" t="n"/>
    </row>
    <row r="1745" ht="27" customHeight="1" s="436" thickBot="1">
      <c r="A1745" s="734" t="inlineStr">
        <is>
          <t xml:space="preserve"> FARINHA DE TRIGO TIPO: 1 - 25 KG</t>
        </is>
      </c>
      <c r="B1745" s="706" t="n"/>
      <c r="C1745" s="706" t="n"/>
      <c r="D1745" s="706" t="n"/>
      <c r="E1745" s="706" t="n"/>
      <c r="F1745" s="706" t="n"/>
      <c r="G1745" s="706" t="n"/>
      <c r="H1745" s="706" t="n"/>
      <c r="I1745" s="706" t="n"/>
      <c r="J1745" s="706" t="n"/>
      <c r="K1745" s="706" t="n"/>
      <c r="L1745" s="706" t="n"/>
      <c r="M1745" s="707" t="n"/>
    </row>
    <row r="1746">
      <c r="A1746" s="643" t="inlineStr">
        <is>
          <t>DATA</t>
        </is>
      </c>
      <c r="B1746" s="633" t="inlineStr">
        <is>
          <t>N.F.</t>
        </is>
      </c>
      <c r="C1746" s="633" t="inlineStr">
        <is>
          <t>TIPO</t>
        </is>
      </c>
      <c r="D1746" s="633" t="inlineStr">
        <is>
          <t>PREÇO UNITÁRIO</t>
        </is>
      </c>
      <c r="E1746" s="701" t="n"/>
      <c r="F1746" s="633" t="inlineStr">
        <is>
          <t>QUANTIDADE / KG</t>
        </is>
      </c>
      <c r="H1746" s="701" t="n"/>
      <c r="I1746" s="632" t="inlineStr">
        <is>
          <t>PREÇO</t>
        </is>
      </c>
      <c r="J1746" s="632" t="inlineStr">
        <is>
          <t>VALORES</t>
        </is>
      </c>
      <c r="L1746" s="701" t="n"/>
      <c r="M1746" s="649" t="n"/>
    </row>
    <row r="1747" ht="15.75" customHeight="1" s="436" thickBot="1">
      <c r="A1747" s="703" t="n"/>
      <c r="B1747" s="704" t="n"/>
      <c r="C1747" s="704" t="n"/>
      <c r="D1747" s="703" t="n"/>
      <c r="E1747" s="701" t="n"/>
      <c r="F1747" s="705" t="n"/>
      <c r="G1747" s="706" t="n"/>
      <c r="H1747" s="707" t="n"/>
      <c r="I1747" s="704" t="n"/>
      <c r="J1747" s="703" t="n"/>
      <c r="L1747" s="701" t="n"/>
      <c r="M1747" s="704" t="n"/>
    </row>
    <row r="1748" ht="15.75" customHeight="1" s="436" thickBot="1">
      <c r="A1748" s="703" t="n"/>
      <c r="B1748" s="704" t="n"/>
      <c r="C1748" s="704" t="n"/>
      <c r="D1748" s="705" t="n"/>
      <c r="E1748" s="707" t="n"/>
      <c r="F1748" s="3" t="inlineStr">
        <is>
          <t>ENTRADA</t>
        </is>
      </c>
      <c r="G1748" s="3" t="inlineStr">
        <is>
          <t>SAÍDA</t>
        </is>
      </c>
      <c r="H1748" s="640" t="n"/>
      <c r="I1748" s="633" t="inlineStr">
        <is>
          <t>MÉDIO</t>
        </is>
      </c>
      <c r="J1748" s="652" t="inlineStr">
        <is>
          <t>SALDO EM 30/11/2017</t>
        </is>
      </c>
      <c r="K1748" s="706" t="n"/>
      <c r="L1748" s="17" t="n"/>
      <c r="M1748" s="704" t="n"/>
    </row>
    <row r="1749" ht="18" customHeight="1" s="436" thickBot="1">
      <c r="A1749" s="705" t="n"/>
      <c r="B1749" s="695" t="n"/>
      <c r="C1749" s="695" t="n"/>
      <c r="D1749" s="3" t="inlineStr">
        <is>
          <t>C/ICMS</t>
        </is>
      </c>
      <c r="E1749" s="3" t="inlineStr">
        <is>
          <t>S/ICMS</t>
        </is>
      </c>
      <c r="F1749" s="695" t="n"/>
      <c r="G1749" s="695" t="n"/>
      <c r="H1749" s="84" t="inlineStr">
        <is>
          <t>Saldo em 29/02/2020</t>
        </is>
      </c>
      <c r="I1749" s="695" t="n"/>
      <c r="J1749" s="645" t="inlineStr">
        <is>
          <t>ENTRADA</t>
        </is>
      </c>
      <c r="K1749" s="633" t="inlineStr">
        <is>
          <t>SAÍDA / CMV</t>
        </is>
      </c>
      <c r="L1749" s="643" t="inlineStr">
        <is>
          <t>SALDO</t>
        </is>
      </c>
      <c r="M1749" s="392" t="n"/>
    </row>
    <row r="1750" ht="17.25" customHeight="1" s="436">
      <c r="A1750" s="30" t="n">
        <v>43982</v>
      </c>
      <c r="B1750" s="31" t="n"/>
      <c r="C1750" s="35" t="n"/>
      <c r="D1750" s="36" t="n"/>
      <c r="E1750" s="36" t="n"/>
      <c r="F1750" s="37" t="n"/>
      <c r="G1750" s="37" t="n"/>
      <c r="H1750" s="98" t="n">
        <v>3213</v>
      </c>
      <c r="I1750" s="36" t="n"/>
      <c r="J1750" s="711">
        <f>F1750*I1750</f>
        <v/>
      </c>
      <c r="K1750" s="721" t="n">
        <v>0</v>
      </c>
      <c r="L1750" s="710">
        <f>J1750-K1750</f>
        <v/>
      </c>
      <c r="M1750" s="392" t="n"/>
    </row>
    <row r="1751" ht="17.25" customHeight="1" s="436">
      <c r="A1751" s="296" t="n">
        <v>43983</v>
      </c>
      <c r="B1751" s="35" t="inlineStr">
        <is>
          <t>7312</t>
        </is>
      </c>
      <c r="C1751" s="35" t="n"/>
      <c r="D1751" s="36" t="n">
        <v>57</v>
      </c>
      <c r="E1751" s="36" t="n"/>
      <c r="F1751" s="37" t="n"/>
      <c r="G1751" s="37" t="n">
        <v>20</v>
      </c>
      <c r="H1751" s="98">
        <f>H1750-G1751</f>
        <v/>
      </c>
      <c r="I1751" s="36" t="n"/>
      <c r="J1751" s="711" t="n"/>
      <c r="K1751" s="721" t="n"/>
      <c r="L1751" s="711" t="n"/>
      <c r="M1751" s="392" t="n"/>
    </row>
    <row r="1752" ht="17.25" customHeight="1" s="436">
      <c r="A1752" s="296" t="n">
        <v>43984</v>
      </c>
      <c r="B1752" s="35" t="inlineStr">
        <is>
          <t>7313</t>
        </is>
      </c>
      <c r="C1752" s="35" t="n"/>
      <c r="D1752" s="36" t="n">
        <v>44.1</v>
      </c>
      <c r="E1752" s="36" t="n"/>
      <c r="F1752" s="37" t="n">
        <v>1140</v>
      </c>
      <c r="G1752" s="37" t="n"/>
      <c r="H1752" s="37" t="n">
        <v>4333</v>
      </c>
      <c r="I1752" s="36" t="n"/>
      <c r="J1752" s="711" t="n"/>
      <c r="K1752" s="721" t="n"/>
      <c r="L1752" s="711" t="n"/>
      <c r="M1752" s="392" t="n"/>
    </row>
    <row r="1753">
      <c r="A1753" s="296" t="n">
        <v>43985</v>
      </c>
      <c r="B1753" s="392" t="n">
        <v>7315</v>
      </c>
      <c r="C1753" s="392" t="n"/>
      <c r="D1753" s="36" t="n">
        <v>53</v>
      </c>
      <c r="E1753" s="392" t="n"/>
      <c r="F1753" s="392" t="n"/>
      <c r="G1753" s="392" t="n">
        <v>700</v>
      </c>
      <c r="H1753" s="98">
        <f>H1752-G1753</f>
        <v/>
      </c>
      <c r="I1753" s="392" t="n"/>
      <c r="J1753" s="392" t="n"/>
      <c r="K1753" s="392" t="n"/>
      <c r="L1753" s="392" t="n"/>
      <c r="M1753" s="392" t="n"/>
    </row>
    <row r="1754">
      <c r="A1754" s="568" t="n">
        <v>43985</v>
      </c>
      <c r="B1754" s="392" t="n">
        <v>7317</v>
      </c>
      <c r="C1754" s="392" t="n"/>
      <c r="D1754" s="36" t="n">
        <v>55</v>
      </c>
      <c r="E1754" s="392" t="n"/>
      <c r="F1754" s="392" t="n"/>
      <c r="G1754" s="392" t="n">
        <v>15</v>
      </c>
      <c r="H1754" s="98">
        <f>H1753-G1754</f>
        <v/>
      </c>
      <c r="I1754" s="392" t="n"/>
      <c r="J1754" s="392" t="n"/>
      <c r="K1754" s="392" t="n"/>
      <c r="L1754" s="392" t="n"/>
      <c r="M1754" s="392" t="n"/>
    </row>
    <row r="1755">
      <c r="A1755" s="568" t="n">
        <v>43985</v>
      </c>
      <c r="B1755" s="392" t="n">
        <v>7318</v>
      </c>
      <c r="C1755" s="392" t="n"/>
      <c r="D1755" s="36" t="n">
        <v>60.33</v>
      </c>
      <c r="E1755" s="392" t="n"/>
      <c r="F1755" s="392" t="n"/>
      <c r="G1755" s="392" t="n">
        <v>43</v>
      </c>
      <c r="H1755" s="98">
        <f>H1754-G1755</f>
        <v/>
      </c>
      <c r="I1755" s="392" t="n"/>
      <c r="J1755" s="392" t="n"/>
      <c r="K1755" s="392" t="n"/>
      <c r="L1755" s="392" t="n"/>
      <c r="M1755" s="392" t="n"/>
    </row>
    <row r="1756">
      <c r="A1756" s="568" t="n">
        <v>43985</v>
      </c>
      <c r="B1756" s="392" t="n">
        <v>7321</v>
      </c>
      <c r="C1756" s="392" t="n"/>
      <c r="D1756" s="36" t="n">
        <v>57</v>
      </c>
      <c r="E1756" s="392" t="n"/>
      <c r="F1756" s="392" t="n"/>
      <c r="G1756" s="392" t="n">
        <v>15</v>
      </c>
      <c r="H1756" s="98">
        <f>H1755-G1756</f>
        <v/>
      </c>
      <c r="I1756" s="392" t="n"/>
      <c r="J1756" s="392" t="n"/>
      <c r="K1756" s="392" t="n"/>
      <c r="L1756" s="392" t="n"/>
      <c r="M1756" s="392" t="n"/>
    </row>
    <row r="1757">
      <c r="A1757" s="568" t="n">
        <v>43985</v>
      </c>
      <c r="B1757" s="392" t="n">
        <v>7322</v>
      </c>
      <c r="C1757" s="392" t="n"/>
      <c r="D1757" s="36" t="n">
        <v>62</v>
      </c>
      <c r="E1757" s="392" t="n"/>
      <c r="F1757" s="392" t="n"/>
      <c r="G1757" s="392" t="n">
        <v>30</v>
      </c>
      <c r="H1757" s="98">
        <f>H1756-G1757</f>
        <v/>
      </c>
      <c r="I1757" s="392" t="n"/>
      <c r="J1757" s="392" t="n"/>
      <c r="K1757" s="392" t="n"/>
      <c r="L1757" s="392" t="n"/>
      <c r="M1757" s="392" t="n"/>
    </row>
    <row r="1758">
      <c r="A1758" s="568" t="n">
        <v>43985</v>
      </c>
      <c r="B1758" s="392" t="n">
        <v>7327</v>
      </c>
      <c r="C1758" s="392" t="n"/>
      <c r="D1758" s="36" t="n">
        <v>56</v>
      </c>
      <c r="E1758" s="392" t="n"/>
      <c r="F1758" s="392" t="n"/>
      <c r="G1758" s="392" t="n">
        <v>20</v>
      </c>
      <c r="H1758" s="98">
        <f>H1757-G1758</f>
        <v/>
      </c>
      <c r="I1758" s="392" t="n"/>
      <c r="J1758" s="392" t="n"/>
      <c r="K1758" s="392" t="n"/>
      <c r="L1758" s="392" t="n"/>
      <c r="M1758" s="392" t="n"/>
    </row>
    <row r="1759">
      <c r="A1759" s="568" t="n">
        <v>43985</v>
      </c>
      <c r="B1759" s="392" t="n">
        <v>7330</v>
      </c>
      <c r="C1759" s="392" t="n"/>
      <c r="D1759" s="36" t="n">
        <v>58</v>
      </c>
      <c r="E1759" s="392" t="n"/>
      <c r="F1759" s="392" t="n"/>
      <c r="G1759" s="392" t="n">
        <v>150</v>
      </c>
      <c r="H1759" s="98">
        <f>H1758-G1759</f>
        <v/>
      </c>
      <c r="I1759" s="392" t="n"/>
      <c r="J1759" s="392" t="n"/>
      <c r="K1759" s="392" t="n"/>
      <c r="L1759" s="392" t="n"/>
      <c r="M1759" s="392" t="n"/>
    </row>
    <row r="1760">
      <c r="A1760" s="568" t="n">
        <v>43992</v>
      </c>
      <c r="B1760" s="392" t="n">
        <v>7331</v>
      </c>
      <c r="C1760" s="392" t="n"/>
      <c r="D1760" s="36" t="n">
        <v>62</v>
      </c>
      <c r="E1760" s="392" t="n"/>
      <c r="F1760" s="392" t="n"/>
      <c r="G1760" s="392" t="n">
        <v>15</v>
      </c>
      <c r="H1760" s="98">
        <f>H1759-G1760</f>
        <v/>
      </c>
      <c r="I1760" s="392" t="n"/>
      <c r="J1760" s="392" t="n"/>
      <c r="K1760" s="392" t="n"/>
      <c r="L1760" s="392" t="n"/>
      <c r="M1760" s="392" t="n"/>
    </row>
    <row r="1761">
      <c r="A1761" s="568" t="n">
        <v>43992</v>
      </c>
      <c r="B1761" s="392" t="n">
        <v>7332</v>
      </c>
      <c r="C1761" s="392" t="n"/>
      <c r="D1761" s="36" t="n">
        <v>62</v>
      </c>
      <c r="E1761" s="392" t="n"/>
      <c r="F1761" s="392" t="n"/>
      <c r="G1761" s="392" t="n">
        <v>15</v>
      </c>
      <c r="H1761" s="98">
        <f>H1760-G1761</f>
        <v/>
      </c>
      <c r="I1761" s="392" t="n"/>
      <c r="J1761" s="392" t="n"/>
      <c r="K1761" s="392" t="n"/>
      <c r="L1761" s="392" t="n"/>
      <c r="M1761" s="392" t="n"/>
    </row>
    <row r="1762">
      <c r="A1762" s="568" t="n">
        <v>43992</v>
      </c>
      <c r="B1762" s="392" t="n">
        <v>7333</v>
      </c>
      <c r="C1762" s="392" t="n"/>
      <c r="D1762" s="36" t="n">
        <v>62</v>
      </c>
      <c r="E1762" s="392" t="n"/>
      <c r="F1762" s="392" t="n"/>
      <c r="G1762" s="392" t="n">
        <v>30</v>
      </c>
      <c r="H1762" s="98">
        <f>H1761-G1762</f>
        <v/>
      </c>
      <c r="I1762" s="392" t="n"/>
      <c r="J1762" s="392" t="n"/>
      <c r="K1762" s="392" t="n"/>
      <c r="L1762" s="392" t="n"/>
      <c r="M1762" s="392" t="n"/>
    </row>
    <row r="1763">
      <c r="A1763" s="568" t="n">
        <v>43992</v>
      </c>
      <c r="B1763" s="392" t="n">
        <v>7336</v>
      </c>
      <c r="C1763" s="392" t="n"/>
      <c r="D1763" s="36" t="n">
        <v>62</v>
      </c>
      <c r="E1763" s="392" t="n"/>
      <c r="F1763" s="392" t="n"/>
      <c r="G1763" s="392" t="n">
        <v>10</v>
      </c>
      <c r="H1763" s="98">
        <f>H1762-G1763</f>
        <v/>
      </c>
      <c r="I1763" s="392" t="n"/>
      <c r="J1763" s="392" t="n"/>
      <c r="K1763" s="392" t="n"/>
      <c r="L1763" s="392" t="n"/>
      <c r="M1763" s="392" t="n"/>
    </row>
    <row r="1764">
      <c r="A1764" s="568" t="n">
        <v>43992</v>
      </c>
      <c r="B1764" s="392" t="n">
        <v>7338</v>
      </c>
      <c r="C1764" s="392" t="n"/>
      <c r="D1764" s="36" t="n">
        <v>58</v>
      </c>
      <c r="E1764" s="392" t="n"/>
      <c r="F1764" s="392" t="n"/>
      <c r="G1764" s="392" t="n">
        <v>30</v>
      </c>
      <c r="H1764" s="98">
        <f>H1763-G1764</f>
        <v/>
      </c>
      <c r="I1764" s="392" t="n"/>
      <c r="J1764" s="392" t="n"/>
      <c r="K1764" s="392" t="n"/>
      <c r="L1764" s="392" t="n"/>
      <c r="M1764" s="392" t="n"/>
    </row>
    <row r="1765">
      <c r="A1765" s="568" t="n">
        <v>43992</v>
      </c>
      <c r="B1765" s="392" t="n">
        <v>7339</v>
      </c>
      <c r="C1765" s="392" t="n"/>
      <c r="D1765" s="36" t="n">
        <v>60</v>
      </c>
      <c r="E1765" s="392" t="n"/>
      <c r="F1765" s="392" t="n"/>
      <c r="G1765" s="392" t="n">
        <v>30</v>
      </c>
      <c r="H1765" s="98">
        <f>H1764-G1765</f>
        <v/>
      </c>
      <c r="I1765" s="392" t="n"/>
      <c r="J1765" s="392" t="n"/>
      <c r="K1765" s="392" t="n"/>
      <c r="L1765" s="392" t="n"/>
      <c r="M1765" s="392" t="n"/>
    </row>
    <row r="1766">
      <c r="A1766" s="568" t="n">
        <v>43992</v>
      </c>
      <c r="B1766" s="392" t="n">
        <v>7340</v>
      </c>
      <c r="C1766" s="392" t="n"/>
      <c r="D1766" s="36" t="n">
        <v>62</v>
      </c>
      <c r="E1766" s="392" t="n"/>
      <c r="F1766" s="392" t="n"/>
      <c r="G1766" s="392" t="n">
        <v>20</v>
      </c>
      <c r="H1766" s="98">
        <f>H1765-G1766</f>
        <v/>
      </c>
      <c r="I1766" s="392" t="n"/>
      <c r="J1766" s="392" t="n"/>
      <c r="K1766" s="392" t="n"/>
      <c r="L1766" s="392" t="n"/>
      <c r="M1766" s="392" t="n"/>
    </row>
    <row r="1767">
      <c r="A1767" s="568" t="n">
        <v>43992</v>
      </c>
      <c r="B1767" s="392" t="n">
        <v>7341</v>
      </c>
      <c r="C1767" s="392" t="n"/>
      <c r="D1767" s="36" t="n">
        <v>59</v>
      </c>
      <c r="E1767" s="392" t="n"/>
      <c r="F1767" s="392" t="n"/>
      <c r="G1767" s="392" t="n">
        <v>50</v>
      </c>
      <c r="H1767" s="98">
        <f>H1766-G1767</f>
        <v/>
      </c>
      <c r="I1767" s="392" t="n"/>
      <c r="J1767" s="392" t="n"/>
      <c r="K1767" s="392" t="n"/>
      <c r="L1767" s="392" t="n"/>
      <c r="M1767" s="392" t="n"/>
    </row>
    <row r="1768">
      <c r="A1768" s="568" t="n">
        <v>43992</v>
      </c>
      <c r="B1768" s="392" t="n">
        <v>7342</v>
      </c>
      <c r="C1768" s="392" t="n"/>
      <c r="D1768" s="36" t="n">
        <v>62</v>
      </c>
      <c r="E1768" s="392" t="n"/>
      <c r="F1768" s="392" t="n"/>
      <c r="G1768" s="392" t="n">
        <v>40</v>
      </c>
      <c r="H1768" s="98">
        <f>H1767-G1768</f>
        <v/>
      </c>
      <c r="I1768" s="392" t="n"/>
      <c r="J1768" s="392" t="n"/>
      <c r="K1768" s="392" t="n"/>
      <c r="L1768" s="392" t="n"/>
      <c r="M1768" s="392" t="n"/>
    </row>
    <row r="1769">
      <c r="A1769" s="568" t="n">
        <v>43995</v>
      </c>
      <c r="B1769" s="392" t="n">
        <v>7344</v>
      </c>
      <c r="C1769" s="392" t="n"/>
      <c r="D1769" s="36" t="n">
        <v>55</v>
      </c>
      <c r="E1769" s="392" t="n"/>
      <c r="F1769" s="392" t="n"/>
      <c r="G1769" s="392" t="n">
        <v>50</v>
      </c>
      <c r="H1769" s="98">
        <f>H1768-G1769</f>
        <v/>
      </c>
      <c r="I1769" s="392" t="n"/>
      <c r="J1769" s="392" t="n"/>
      <c r="K1769" s="392" t="n"/>
      <c r="L1769" s="392" t="n"/>
      <c r="M1769" s="392" t="n"/>
    </row>
    <row r="1770">
      <c r="A1770" s="568" t="n">
        <v>43995</v>
      </c>
      <c r="B1770" s="392" t="n">
        <v>7345</v>
      </c>
      <c r="C1770" s="392" t="n"/>
      <c r="D1770" s="36" t="n">
        <v>58</v>
      </c>
      <c r="E1770" s="392" t="n"/>
      <c r="F1770" s="392" t="n"/>
      <c r="G1770" s="392" t="n">
        <v>50</v>
      </c>
      <c r="H1770" s="98">
        <f>H1769-G1770</f>
        <v/>
      </c>
      <c r="I1770" s="392" t="n"/>
      <c r="J1770" s="392" t="n"/>
      <c r="K1770" s="392" t="n"/>
      <c r="L1770" s="392" t="n"/>
      <c r="M1770" s="392" t="n"/>
    </row>
    <row r="1771">
      <c r="A1771" s="568" t="n">
        <v>43998</v>
      </c>
      <c r="B1771" s="392" t="n">
        <v>7348</v>
      </c>
      <c r="C1771" s="392" t="n"/>
      <c r="D1771" s="36" t="n">
        <v>62</v>
      </c>
      <c r="E1771" s="392" t="n"/>
      <c r="F1771" s="392" t="n"/>
      <c r="G1771" s="392" t="n">
        <v>20</v>
      </c>
      <c r="H1771" s="98">
        <f>H1770-G1771</f>
        <v/>
      </c>
      <c r="I1771" s="392" t="n"/>
      <c r="J1771" s="392" t="n"/>
      <c r="K1771" s="392" t="n"/>
      <c r="L1771" s="392" t="n"/>
      <c r="M1771" s="392" t="n"/>
    </row>
    <row r="1772">
      <c r="A1772" s="568" t="n">
        <v>43998</v>
      </c>
      <c r="B1772" s="392" t="n">
        <v>7349</v>
      </c>
      <c r="C1772" s="392" t="n"/>
      <c r="D1772" s="36" t="n">
        <v>58</v>
      </c>
      <c r="E1772" s="392" t="n"/>
      <c r="F1772" s="392" t="n"/>
      <c r="G1772" s="392" t="n">
        <v>25</v>
      </c>
      <c r="H1772" s="98">
        <f>H1771-G1772</f>
        <v/>
      </c>
      <c r="I1772" s="392" t="n"/>
      <c r="J1772" s="392" t="n"/>
      <c r="K1772" s="392" t="n"/>
      <c r="L1772" s="392" t="n"/>
      <c r="M1772" s="392" t="n"/>
    </row>
    <row r="1773">
      <c r="A1773" s="568" t="n">
        <v>43998</v>
      </c>
      <c r="B1773" s="392" t="n">
        <v>7350</v>
      </c>
      <c r="C1773" s="392" t="n"/>
      <c r="D1773" s="36" t="n">
        <v>58</v>
      </c>
      <c r="E1773" s="392" t="n"/>
      <c r="F1773" s="392" t="n"/>
      <c r="G1773" s="392" t="n">
        <v>20</v>
      </c>
      <c r="H1773" s="98">
        <f>H1772-G1773</f>
        <v/>
      </c>
      <c r="I1773" s="392" t="n"/>
      <c r="J1773" s="392" t="n"/>
      <c r="K1773" s="392" t="n"/>
      <c r="L1773" s="392" t="n"/>
      <c r="M1773" s="392" t="n"/>
    </row>
    <row r="1774">
      <c r="A1774" s="568" t="n">
        <v>43998</v>
      </c>
      <c r="B1774" s="392" t="n">
        <v>7351</v>
      </c>
      <c r="C1774" s="392" t="n"/>
      <c r="D1774" s="36" t="n">
        <v>62</v>
      </c>
      <c r="E1774" s="392" t="n"/>
      <c r="F1774" s="392" t="n"/>
      <c r="G1774" s="392" t="n">
        <v>15</v>
      </c>
      <c r="H1774" s="98">
        <f>H1773-G1774</f>
        <v/>
      </c>
      <c r="I1774" s="392" t="n"/>
      <c r="J1774" s="392" t="n"/>
      <c r="K1774" s="392" t="n"/>
      <c r="L1774" s="392" t="n"/>
      <c r="M1774" s="392" t="n"/>
    </row>
    <row r="1775">
      <c r="A1775" s="568" t="n">
        <v>43998</v>
      </c>
      <c r="B1775" s="392" t="n">
        <v>7352</v>
      </c>
      <c r="C1775" s="392" t="n"/>
      <c r="D1775" s="36" t="n">
        <v>50</v>
      </c>
      <c r="E1775" s="392" t="n"/>
      <c r="F1775" s="392" t="n"/>
      <c r="G1775" s="392" t="n">
        <v>15</v>
      </c>
      <c r="H1775" s="98">
        <f>H1774-G1775</f>
        <v/>
      </c>
      <c r="I1775" s="392" t="n"/>
      <c r="J1775" s="392" t="n"/>
      <c r="K1775" s="392" t="n"/>
      <c r="L1775" s="392" t="n"/>
      <c r="M1775" s="392" t="n"/>
    </row>
    <row r="1776">
      <c r="A1776" s="568" t="n">
        <v>43998</v>
      </c>
      <c r="B1776" s="392" t="n">
        <v>7353</v>
      </c>
      <c r="C1776" s="392" t="n"/>
      <c r="D1776" s="36" t="n">
        <v>62</v>
      </c>
      <c r="E1776" s="392" t="n"/>
      <c r="F1776" s="392" t="n"/>
      <c r="G1776" s="392" t="n">
        <v>25</v>
      </c>
      <c r="H1776" s="98">
        <f>H1775-G1776</f>
        <v/>
      </c>
      <c r="I1776" s="392" t="n"/>
      <c r="J1776" s="392" t="n"/>
      <c r="K1776" s="392" t="n"/>
      <c r="L1776" s="392" t="n"/>
      <c r="M1776" s="392" t="n"/>
    </row>
    <row r="1777">
      <c r="A1777" s="568" t="n">
        <v>43983</v>
      </c>
      <c r="B1777" s="392" t="n">
        <v>7358</v>
      </c>
      <c r="C1777" s="392" t="n"/>
      <c r="D1777" s="36" t="n">
        <v>62</v>
      </c>
      <c r="E1777" s="392" t="n"/>
      <c r="F1777" s="392" t="n"/>
      <c r="G1777" s="392" t="n">
        <v>30</v>
      </c>
      <c r="H1777" s="98">
        <f>H1776-G1777</f>
        <v/>
      </c>
      <c r="I1777" s="392" t="n"/>
      <c r="J1777" s="392" t="n"/>
      <c r="K1777" s="392" t="n"/>
      <c r="L1777" s="392" t="n"/>
      <c r="M1777" s="392" t="n"/>
    </row>
    <row r="1778">
      <c r="A1778" s="319" t="n">
        <v>43999</v>
      </c>
      <c r="B1778" s="320" t="n">
        <v>10848</v>
      </c>
      <c r="C1778" s="320" t="n"/>
      <c r="D1778" s="36" t="n">
        <v>45.9</v>
      </c>
      <c r="E1778" s="320" t="n"/>
      <c r="F1778" s="320" t="n">
        <v>1120</v>
      </c>
      <c r="G1778" s="320" t="n"/>
      <c r="H1778" s="37" t="n">
        <v>3990</v>
      </c>
      <c r="I1778" s="392" t="n"/>
      <c r="J1778" s="392" t="n"/>
      <c r="K1778" s="392" t="n"/>
      <c r="L1778" s="392" t="n"/>
      <c r="M1778" s="392" t="n"/>
    </row>
    <row r="1779">
      <c r="A1779" s="568" t="n">
        <v>44000</v>
      </c>
      <c r="B1779" s="392" t="n">
        <v>7360</v>
      </c>
      <c r="C1779" s="392" t="n"/>
      <c r="D1779" s="36" t="n">
        <v>56</v>
      </c>
      <c r="E1779" s="392" t="n"/>
      <c r="F1779" s="392" t="n"/>
      <c r="G1779" s="392" t="n">
        <v>150</v>
      </c>
      <c r="H1779" s="98">
        <f>H1778-G1779</f>
        <v/>
      </c>
      <c r="I1779" s="392" t="n"/>
      <c r="J1779" s="392" t="n"/>
      <c r="K1779" s="392" t="n"/>
      <c r="L1779" s="392" t="n"/>
      <c r="M1779" s="392" t="n"/>
    </row>
    <row r="1780">
      <c r="A1780" s="568" t="n">
        <v>44000</v>
      </c>
      <c r="B1780" s="392" t="n">
        <v>7361</v>
      </c>
      <c r="C1780" s="392" t="n"/>
      <c r="D1780" s="36" t="n">
        <v>61</v>
      </c>
      <c r="E1780" s="392" t="n"/>
      <c r="F1780" s="392" t="n"/>
      <c r="G1780" s="392" t="n">
        <v>60</v>
      </c>
      <c r="H1780" s="98">
        <f>H1779-G1780</f>
        <v/>
      </c>
      <c r="I1780" s="392" t="n"/>
      <c r="J1780" s="392" t="n"/>
      <c r="K1780" s="392" t="n"/>
      <c r="L1780" s="392" t="n"/>
      <c r="M1780" s="392" t="n"/>
    </row>
    <row r="1781">
      <c r="A1781" s="568" t="n">
        <v>44000</v>
      </c>
      <c r="B1781" s="392" t="n">
        <v>7363</v>
      </c>
      <c r="C1781" s="392" t="n"/>
      <c r="D1781" s="36" t="n">
        <v>60</v>
      </c>
      <c r="E1781" s="392" t="n"/>
      <c r="F1781" s="392" t="n"/>
      <c r="G1781" s="392" t="n">
        <v>20</v>
      </c>
      <c r="H1781" s="98">
        <f>H1780-G1781</f>
        <v/>
      </c>
      <c r="I1781" s="392" t="n"/>
      <c r="J1781" s="392" t="n"/>
      <c r="K1781" s="392" t="n"/>
      <c r="L1781" s="392" t="n"/>
      <c r="M1781" s="392" t="n"/>
    </row>
    <row r="1782">
      <c r="A1782" s="568" t="n">
        <v>44000</v>
      </c>
      <c r="B1782" s="392" t="n">
        <v>7664</v>
      </c>
      <c r="C1782" s="392" t="n"/>
      <c r="D1782" s="36" t="n">
        <v>50</v>
      </c>
      <c r="E1782" s="392" t="n"/>
      <c r="F1782" s="392" t="n"/>
      <c r="G1782" s="392" t="n">
        <v>20</v>
      </c>
      <c r="H1782" s="98">
        <f>H1781-G1782</f>
        <v/>
      </c>
      <c r="I1782" s="392" t="n"/>
      <c r="J1782" s="392" t="n"/>
      <c r="K1782" s="392" t="n"/>
      <c r="L1782" s="392" t="n"/>
      <c r="M1782" s="392" t="n"/>
    </row>
    <row r="1783">
      <c r="A1783" s="568" t="n">
        <v>44004</v>
      </c>
      <c r="B1783" s="392" t="n">
        <v>7367</v>
      </c>
      <c r="C1783" s="392" t="n"/>
      <c r="D1783" s="36" t="n">
        <v>65</v>
      </c>
      <c r="E1783" s="392" t="n"/>
      <c r="F1783" s="392" t="n"/>
      <c r="G1783" s="392" t="n">
        <v>25</v>
      </c>
      <c r="H1783" s="98">
        <f>H1782-G1783</f>
        <v/>
      </c>
      <c r="I1783" s="392" t="n"/>
      <c r="J1783" s="392" t="n"/>
      <c r="K1783" s="392" t="n"/>
      <c r="L1783" s="392" t="n"/>
      <c r="M1783" s="392" t="n"/>
    </row>
    <row r="1784">
      <c r="A1784" s="568" t="n">
        <v>44004</v>
      </c>
      <c r="B1784" s="392" t="n">
        <v>7368</v>
      </c>
      <c r="C1784" s="392" t="n"/>
      <c r="D1784" s="36" t="n">
        <v>60</v>
      </c>
      <c r="E1784" s="392" t="n"/>
      <c r="F1784" s="392" t="n"/>
      <c r="G1784" s="392" t="n">
        <v>40</v>
      </c>
      <c r="H1784" s="98">
        <f>H1783-G1784</f>
        <v/>
      </c>
      <c r="I1784" s="392" t="n"/>
      <c r="J1784" s="392" t="n"/>
      <c r="K1784" s="392" t="n"/>
      <c r="L1784" s="392" t="n"/>
      <c r="M1784" s="392" t="n"/>
    </row>
    <row r="1785">
      <c r="A1785" s="568" t="n">
        <v>44004</v>
      </c>
      <c r="B1785" s="392" t="n">
        <v>7369</v>
      </c>
      <c r="C1785" s="392" t="n"/>
      <c r="D1785" s="36" t="n">
        <v>64</v>
      </c>
      <c r="E1785" s="392" t="n"/>
      <c r="F1785" s="392" t="n"/>
      <c r="G1785" s="392" t="n">
        <v>20</v>
      </c>
      <c r="H1785" s="98">
        <f>H1784-G1785</f>
        <v/>
      </c>
      <c r="I1785" s="392" t="n"/>
      <c r="J1785" s="392" t="n"/>
      <c r="K1785" s="392" t="n"/>
      <c r="L1785" s="392" t="n"/>
      <c r="M1785" s="392" t="n"/>
    </row>
    <row r="1786">
      <c r="A1786" s="568" t="n">
        <v>44004</v>
      </c>
      <c r="B1786" s="392" t="n">
        <v>7370</v>
      </c>
      <c r="C1786" s="392" t="n"/>
      <c r="D1786" s="36" t="n">
        <v>62</v>
      </c>
      <c r="E1786" s="392" t="n"/>
      <c r="F1786" s="392" t="n"/>
      <c r="G1786" s="392" t="n">
        <v>40</v>
      </c>
      <c r="H1786" s="98">
        <f>H1785-G1786</f>
        <v/>
      </c>
      <c r="I1786" s="392" t="n"/>
      <c r="J1786" s="392" t="n"/>
      <c r="K1786" s="392" t="n"/>
      <c r="L1786" s="392" t="n"/>
      <c r="M1786" s="392" t="n"/>
    </row>
    <row r="1787">
      <c r="A1787" s="568" t="n">
        <v>44004</v>
      </c>
      <c r="B1787" s="392" t="n">
        <v>7372</v>
      </c>
      <c r="C1787" s="392" t="n"/>
      <c r="D1787" s="36" t="n">
        <v>65</v>
      </c>
      <c r="E1787" s="392" t="n"/>
      <c r="F1787" s="392" t="n"/>
      <c r="G1787" s="392" t="n">
        <v>10</v>
      </c>
      <c r="H1787" s="98">
        <f>H1786-G1787</f>
        <v/>
      </c>
      <c r="I1787" s="392" t="n"/>
      <c r="J1787" s="392" t="n"/>
      <c r="K1787" s="392" t="n"/>
      <c r="L1787" s="392" t="n"/>
      <c r="M1787" s="392" t="n"/>
    </row>
    <row r="1788">
      <c r="A1788" s="568" t="n">
        <v>44004</v>
      </c>
      <c r="B1788" s="392" t="n">
        <v>7373</v>
      </c>
      <c r="C1788" s="392" t="n"/>
      <c r="D1788" s="36" t="n">
        <v>50</v>
      </c>
      <c r="E1788" s="392" t="n"/>
      <c r="F1788" s="392" t="n"/>
      <c r="G1788" s="392" t="n">
        <v>30</v>
      </c>
      <c r="H1788" s="98">
        <f>H1787-G1788</f>
        <v/>
      </c>
      <c r="I1788" s="392" t="n"/>
      <c r="J1788" s="392" t="n"/>
      <c r="K1788" s="392" t="n"/>
      <c r="L1788" s="392" t="n"/>
      <c r="M1788" s="392" t="n"/>
    </row>
    <row r="1789">
      <c r="A1789" s="568" t="n">
        <v>44004</v>
      </c>
      <c r="B1789" s="392" t="n">
        <v>7376</v>
      </c>
      <c r="C1789" s="392" t="n"/>
      <c r="D1789" s="392" t="n">
        <v>59.5</v>
      </c>
      <c r="E1789" s="392" t="n"/>
      <c r="F1789" s="392" t="n"/>
      <c r="G1789" s="392" t="n">
        <v>40</v>
      </c>
      <c r="H1789" s="98">
        <f>H1788-G1789</f>
        <v/>
      </c>
      <c r="I1789" s="392" t="n"/>
      <c r="J1789" s="392" t="n"/>
      <c r="K1789" s="392" t="n"/>
      <c r="L1789" s="392" t="n"/>
      <c r="M1789" s="392" t="n"/>
    </row>
    <row r="1790">
      <c r="A1790" s="568" t="n">
        <v>44004</v>
      </c>
      <c r="B1790" s="392" t="n">
        <v>7377</v>
      </c>
      <c r="C1790" s="392" t="n"/>
      <c r="D1790" s="392" t="n">
        <v>62</v>
      </c>
      <c r="E1790" s="392" t="n"/>
      <c r="F1790" s="392" t="n"/>
      <c r="G1790" s="392" t="n">
        <v>30</v>
      </c>
      <c r="H1790" s="98">
        <f>H1789-G1790</f>
        <v/>
      </c>
      <c r="I1790" s="392" t="n"/>
      <c r="J1790" s="392" t="n"/>
      <c r="K1790" s="392" t="n"/>
      <c r="L1790" s="392" t="n"/>
      <c r="M1790" s="392" t="n"/>
    </row>
    <row r="1791">
      <c r="A1791" s="568" t="n">
        <v>44004</v>
      </c>
      <c r="B1791" s="392" t="n">
        <v>7379</v>
      </c>
      <c r="C1791" s="392" t="n"/>
      <c r="D1791" s="392" t="n">
        <v>62</v>
      </c>
      <c r="E1791" s="392" t="n"/>
      <c r="F1791" s="392" t="n"/>
      <c r="G1791" s="392" t="n">
        <v>30</v>
      </c>
      <c r="H1791" s="98">
        <f>H1790-G1791</f>
        <v/>
      </c>
      <c r="I1791" s="392" t="n"/>
      <c r="J1791" s="392" t="n"/>
      <c r="K1791" s="392" t="n"/>
      <c r="L1791" s="392" t="n"/>
      <c r="M1791" s="392" t="n"/>
    </row>
    <row r="1792">
      <c r="A1792" s="568" t="n">
        <v>44006</v>
      </c>
      <c r="B1792" s="392" t="n">
        <v>7380</v>
      </c>
      <c r="C1792" s="392" t="n"/>
      <c r="D1792" s="392" t="n">
        <v>55</v>
      </c>
      <c r="E1792" s="392" t="n"/>
      <c r="F1792" s="392" t="n"/>
      <c r="G1792" s="392" t="n">
        <v>30</v>
      </c>
      <c r="H1792" s="98">
        <f>H1791-G1792</f>
        <v/>
      </c>
      <c r="I1792" s="392" t="n"/>
      <c r="J1792" s="392" t="n"/>
      <c r="K1792" s="392" t="n"/>
      <c r="L1792" s="392" t="n"/>
      <c r="M1792" s="392" t="n"/>
    </row>
    <row r="1793">
      <c r="A1793" s="568" t="n">
        <v>44006</v>
      </c>
      <c r="B1793" s="392" t="n">
        <v>7383</v>
      </c>
      <c r="C1793" s="392" t="n"/>
      <c r="D1793" s="392" t="n">
        <v>59.5</v>
      </c>
      <c r="E1793" s="392" t="n"/>
      <c r="F1793" s="392" t="n"/>
      <c r="G1793" s="392" t="n">
        <v>200</v>
      </c>
      <c r="H1793" s="98">
        <f>H1792-G1793</f>
        <v/>
      </c>
      <c r="I1793" s="392" t="n"/>
      <c r="J1793" s="392" t="n"/>
      <c r="K1793" s="392" t="n"/>
      <c r="L1793" s="392" t="n"/>
      <c r="M1793" s="392" t="n"/>
    </row>
    <row r="1794">
      <c r="A1794" s="568" t="n">
        <v>44006</v>
      </c>
      <c r="B1794" s="392" t="n">
        <v>7384</v>
      </c>
      <c r="C1794" s="392" t="n"/>
      <c r="D1794" s="392" t="n">
        <v>65</v>
      </c>
      <c r="E1794" s="392" t="n"/>
      <c r="F1794" s="392" t="n"/>
      <c r="G1794" s="392" t="n">
        <v>20</v>
      </c>
      <c r="H1794" s="98">
        <f>H1793-G1794</f>
        <v/>
      </c>
      <c r="I1794" s="392" t="n"/>
      <c r="J1794" s="392" t="n"/>
      <c r="K1794" s="392" t="n"/>
      <c r="L1794" s="392" t="n"/>
      <c r="M1794" s="392" t="n"/>
    </row>
    <row r="1795">
      <c r="A1795" s="568" t="n">
        <v>44007</v>
      </c>
      <c r="B1795" s="392" t="n">
        <v>7385</v>
      </c>
      <c r="C1795" s="392" t="n"/>
      <c r="D1795" s="392" t="n">
        <v>62</v>
      </c>
      <c r="E1795" s="392" t="n"/>
      <c r="F1795" s="392" t="n"/>
      <c r="G1795" s="392" t="n">
        <v>15</v>
      </c>
      <c r="H1795" s="98">
        <f>H1794-G1795</f>
        <v/>
      </c>
      <c r="I1795" s="392" t="n"/>
      <c r="J1795" s="392" t="n"/>
      <c r="K1795" s="392" t="n"/>
      <c r="L1795" s="392" t="n"/>
      <c r="M1795" s="392" t="n"/>
    </row>
    <row r="1796">
      <c r="A1796" s="568" t="n">
        <v>44011</v>
      </c>
      <c r="B1796" s="392" t="n">
        <v>7388</v>
      </c>
      <c r="C1796" s="392" t="n"/>
      <c r="D1796" s="392" t="n">
        <v>55</v>
      </c>
      <c r="E1796" s="392" t="n"/>
      <c r="F1796" s="392" t="n"/>
      <c r="G1796" s="392" t="n">
        <v>20</v>
      </c>
      <c r="H1796" s="98">
        <f>H1795-G1796</f>
        <v/>
      </c>
      <c r="I1796" s="392" t="n"/>
      <c r="J1796" s="392" t="n"/>
      <c r="K1796" s="392" t="n"/>
      <c r="L1796" s="392" t="n"/>
      <c r="M1796" s="392" t="n"/>
    </row>
    <row r="1797">
      <c r="A1797" s="568" t="n">
        <v>44011</v>
      </c>
      <c r="B1797" s="392" t="n">
        <v>7390</v>
      </c>
      <c r="C1797" s="392" t="n"/>
      <c r="D1797" s="392" t="n">
        <v>58</v>
      </c>
      <c r="E1797" s="392" t="n"/>
      <c r="F1797" s="392" t="n"/>
      <c r="G1797" s="392" t="n">
        <v>10</v>
      </c>
      <c r="H1797" s="98">
        <f>H1796-G1797</f>
        <v/>
      </c>
      <c r="I1797" s="392" t="n"/>
      <c r="J1797" s="392" t="n"/>
      <c r="K1797" s="392" t="n"/>
      <c r="L1797" s="392" t="n"/>
      <c r="M1797" s="392" t="n"/>
    </row>
    <row r="1798">
      <c r="A1798" s="568" t="n">
        <v>44011</v>
      </c>
      <c r="B1798" s="392" t="n">
        <v>7394</v>
      </c>
      <c r="C1798" s="392" t="n"/>
      <c r="D1798" s="392" t="n">
        <v>62</v>
      </c>
      <c r="E1798" s="392" t="n"/>
      <c r="F1798" s="392" t="n"/>
      <c r="G1798" s="392" t="n">
        <v>25</v>
      </c>
      <c r="H1798" s="98">
        <f>H1797-G1798</f>
        <v/>
      </c>
      <c r="I1798" s="392" t="n"/>
      <c r="J1798" s="392" t="n"/>
      <c r="K1798" s="392" t="n"/>
      <c r="L1798" s="392" t="n"/>
      <c r="M1798" s="392" t="n"/>
    </row>
    <row r="1799">
      <c r="A1799" s="568" t="n">
        <v>44012</v>
      </c>
      <c r="B1799" s="392" t="n">
        <v>7398</v>
      </c>
      <c r="C1799" s="392" t="n"/>
      <c r="D1799" s="392" t="n">
        <v>65</v>
      </c>
      <c r="E1799" s="392" t="n"/>
      <c r="F1799" s="392" t="n"/>
      <c r="G1799" s="392" t="n">
        <v>10</v>
      </c>
      <c r="H1799" s="98">
        <f>H1798-G1799</f>
        <v/>
      </c>
      <c r="I1799" s="392" t="n"/>
      <c r="J1799" s="392" t="n"/>
      <c r="K1799" s="392" t="n"/>
      <c r="L1799" s="392" t="n"/>
      <c r="M1799" s="392" t="n"/>
    </row>
    <row r="1800">
      <c r="A1800" s="568" t="n">
        <v>44012</v>
      </c>
      <c r="B1800" s="392" t="n">
        <v>7399</v>
      </c>
      <c r="C1800" s="392" t="n"/>
      <c r="D1800" s="392" t="n">
        <v>62</v>
      </c>
      <c r="E1800" s="392" t="n"/>
      <c r="F1800" s="392" t="n"/>
      <c r="G1800" s="392" t="n">
        <v>20</v>
      </c>
      <c r="H1800" s="98">
        <f>H1799-G1800</f>
        <v/>
      </c>
      <c r="I1800" s="392" t="n"/>
      <c r="J1800" s="392" t="n"/>
      <c r="K1800" s="392" t="n"/>
      <c r="L1800" s="392" t="n"/>
      <c r="M1800" s="392" t="n"/>
    </row>
    <row r="1801">
      <c r="A1801" s="392" t="n"/>
      <c r="B1801" s="392" t="n"/>
      <c r="C1801" s="392" t="n"/>
      <c r="D1801" s="392" t="n"/>
      <c r="E1801" s="392" t="n"/>
      <c r="F1801" s="392" t="n"/>
      <c r="G1801" s="392" t="n"/>
      <c r="H1801" s="98">
        <f>H1800-G1801</f>
        <v/>
      </c>
      <c r="I1801" s="392" t="n"/>
      <c r="J1801" s="392" t="n"/>
      <c r="K1801" s="392" t="n"/>
      <c r="L1801" s="392" t="n"/>
      <c r="M1801" s="392" t="n"/>
    </row>
    <row r="1802">
      <c r="A1802" s="392" t="n"/>
      <c r="B1802" s="392" t="n"/>
      <c r="C1802" s="392" t="n"/>
      <c r="D1802" s="392" t="n"/>
      <c r="E1802" s="392" t="n"/>
      <c r="F1802" s="392" t="n"/>
      <c r="G1802" s="392" t="n"/>
      <c r="H1802" s="392" t="n"/>
      <c r="I1802" s="392" t="n"/>
      <c r="J1802" s="392" t="n"/>
      <c r="K1802" s="392" t="n"/>
      <c r="L1802" s="392" t="n"/>
      <c r="M1802" s="392" t="n"/>
    </row>
    <row r="1803" ht="15.75" customHeight="1" s="436" thickBot="1">
      <c r="A1803" s="392" t="n"/>
      <c r="B1803" s="392" t="n"/>
      <c r="C1803" s="392" t="n"/>
      <c r="D1803" s="392" t="n"/>
      <c r="E1803" s="392" t="n"/>
      <c r="F1803" s="392" t="n"/>
      <c r="G1803" s="392" t="n"/>
      <c r="H1803" s="392" t="n"/>
      <c r="I1803" s="392" t="n"/>
      <c r="J1803" s="392" t="n"/>
      <c r="K1803" s="392" t="n"/>
      <c r="L1803" s="392" t="n"/>
      <c r="M1803" s="392" t="n"/>
    </row>
    <row r="1804" ht="32.25" customHeight="1" s="436" thickBot="1">
      <c r="A1804" s="735" t="inlineStr">
        <is>
          <t>JULHO</t>
        </is>
      </c>
      <c r="B1804" s="697" t="n"/>
      <c r="C1804" s="697" t="n"/>
      <c r="D1804" s="697" t="n"/>
      <c r="E1804" s="697" t="n"/>
      <c r="F1804" s="697" t="n"/>
      <c r="G1804" s="697" t="n"/>
      <c r="H1804" s="697" t="n"/>
      <c r="I1804" s="697" t="n"/>
      <c r="J1804" s="697" t="n"/>
      <c r="K1804" s="697" t="n"/>
      <c r="L1804" s="697" t="n"/>
      <c r="M1804" s="698" t="n"/>
    </row>
    <row r="1805" ht="27" customHeight="1" s="436" thickBot="1">
      <c r="A1805" s="734" t="inlineStr">
        <is>
          <t xml:space="preserve"> FARINHA DE TRIGO TIPO: 1 - 25 KG</t>
        </is>
      </c>
      <c r="B1805" s="706" t="n"/>
      <c r="C1805" s="706" t="n"/>
      <c r="D1805" s="706" t="n"/>
      <c r="E1805" s="706" t="n"/>
      <c r="F1805" s="706" t="n"/>
      <c r="G1805" s="706" t="n"/>
      <c r="H1805" s="706" t="n"/>
      <c r="I1805" s="706" t="n"/>
      <c r="J1805" s="706" t="n"/>
      <c r="K1805" s="706" t="n"/>
      <c r="L1805" s="706" t="n"/>
      <c r="M1805" s="707" t="n"/>
    </row>
    <row r="1806">
      <c r="A1806" s="643" t="inlineStr">
        <is>
          <t>DATA</t>
        </is>
      </c>
      <c r="B1806" s="633" t="inlineStr">
        <is>
          <t>N.F.</t>
        </is>
      </c>
      <c r="C1806" s="633" t="inlineStr">
        <is>
          <t>TIPO</t>
        </is>
      </c>
      <c r="D1806" s="633" t="inlineStr">
        <is>
          <t>PREÇO UNITÁRIO</t>
        </is>
      </c>
      <c r="E1806" s="701" t="n"/>
      <c r="F1806" s="633" t="inlineStr">
        <is>
          <t>QUANTIDADE / KG</t>
        </is>
      </c>
      <c r="H1806" s="701" t="n"/>
      <c r="I1806" s="632" t="inlineStr">
        <is>
          <t>PREÇO</t>
        </is>
      </c>
      <c r="J1806" s="632" t="inlineStr">
        <is>
          <t>VALORES</t>
        </is>
      </c>
      <c r="L1806" s="701" t="n"/>
      <c r="M1806" s="649" t="n"/>
    </row>
    <row r="1807" ht="15.75" customHeight="1" s="436" thickBot="1">
      <c r="A1807" s="703" t="n"/>
      <c r="B1807" s="704" t="n"/>
      <c r="C1807" s="704" t="n"/>
      <c r="D1807" s="703" t="n"/>
      <c r="E1807" s="701" t="n"/>
      <c r="F1807" s="705" t="n"/>
      <c r="G1807" s="706" t="n"/>
      <c r="H1807" s="707" t="n"/>
      <c r="I1807" s="704" t="n"/>
      <c r="J1807" s="703" t="n"/>
      <c r="L1807" s="701" t="n"/>
      <c r="M1807" s="704" t="n"/>
    </row>
    <row r="1808" ht="15.75" customHeight="1" s="436" thickBot="1">
      <c r="A1808" s="703" t="n"/>
      <c r="B1808" s="704" t="n"/>
      <c r="C1808" s="704" t="n"/>
      <c r="D1808" s="705" t="n"/>
      <c r="E1808" s="707" t="n"/>
      <c r="F1808" s="3" t="inlineStr">
        <is>
          <t>ENTRADA</t>
        </is>
      </c>
      <c r="G1808" s="3" t="inlineStr">
        <is>
          <t>SAÍDA</t>
        </is>
      </c>
      <c r="H1808" s="640" t="n"/>
      <c r="I1808" s="633" t="inlineStr">
        <is>
          <t>MÉDIO</t>
        </is>
      </c>
      <c r="J1808" s="652" t="inlineStr">
        <is>
          <t>SALDO EM 30/11/2017</t>
        </is>
      </c>
      <c r="K1808" s="706" t="n"/>
      <c r="L1808" s="17" t="n"/>
      <c r="M1808" s="704" t="n"/>
    </row>
    <row r="1809" ht="18" customHeight="1" s="436" thickBot="1">
      <c r="A1809" s="705" t="n"/>
      <c r="B1809" s="695" t="n"/>
      <c r="C1809" s="695" t="n"/>
      <c r="D1809" s="3" t="inlineStr">
        <is>
          <t>C/ICMS</t>
        </is>
      </c>
      <c r="E1809" s="3" t="inlineStr">
        <is>
          <t>S/ICMS</t>
        </is>
      </c>
      <c r="F1809" s="695" t="n"/>
      <c r="G1809" s="695" t="n"/>
      <c r="H1809" s="84" t="inlineStr">
        <is>
          <t>Saldo em 30/06/2020</t>
        </is>
      </c>
      <c r="I1809" s="695" t="n"/>
      <c r="J1809" s="645" t="inlineStr">
        <is>
          <t>ENTRADA</t>
        </is>
      </c>
      <c r="K1809" s="633" t="inlineStr">
        <is>
          <t>SAÍDA / CMV</t>
        </is>
      </c>
      <c r="L1809" s="643" t="inlineStr">
        <is>
          <t>SALDO</t>
        </is>
      </c>
      <c r="M1809" s="392" t="n"/>
    </row>
    <row r="1810">
      <c r="A1810" s="392" t="n"/>
      <c r="B1810" s="392" t="n"/>
      <c r="C1810" s="392" t="n"/>
      <c r="D1810" s="392" t="n"/>
      <c r="E1810" s="392" t="n"/>
      <c r="F1810" s="392" t="n"/>
      <c r="G1810" s="392" t="n"/>
      <c r="H1810" s="98" t="n">
        <v>3125</v>
      </c>
      <c r="I1810" s="392" t="n"/>
      <c r="J1810" s="392" t="n"/>
      <c r="K1810" s="392" t="n"/>
      <c r="L1810" s="392" t="n"/>
      <c r="M1810" s="392" t="n"/>
    </row>
    <row r="1811">
      <c r="A1811" s="568" t="n">
        <v>44014</v>
      </c>
      <c r="B1811" s="392" t="n">
        <v>7401</v>
      </c>
      <c r="C1811" s="392" t="n"/>
      <c r="D1811" s="392" t="n">
        <v>65</v>
      </c>
      <c r="E1811" s="392" t="n"/>
      <c r="F1811" s="392" t="n"/>
      <c r="G1811" s="392" t="n">
        <v>20</v>
      </c>
      <c r="H1811" s="446">
        <f>H1810-G1811</f>
        <v/>
      </c>
      <c r="I1811" s="392" t="n"/>
      <c r="J1811" s="392" t="n"/>
      <c r="K1811" s="392" t="n"/>
      <c r="L1811" s="392" t="n"/>
      <c r="M1811" s="392" t="n"/>
    </row>
    <row r="1812">
      <c r="A1812" s="568" t="n">
        <v>44014</v>
      </c>
      <c r="B1812" s="392" t="n">
        <v>7402</v>
      </c>
      <c r="C1812" s="392" t="n"/>
      <c r="D1812" s="392" t="n">
        <v>59.5</v>
      </c>
      <c r="E1812" s="392" t="n"/>
      <c r="F1812" s="392" t="n"/>
      <c r="G1812" s="392" t="n">
        <v>100</v>
      </c>
      <c r="H1812" s="446">
        <f>H1811-G1812</f>
        <v/>
      </c>
      <c r="I1812" s="392" t="n"/>
      <c r="J1812" s="392" t="n"/>
      <c r="K1812" s="392" t="n"/>
      <c r="L1812" s="392" t="n"/>
      <c r="M1812" s="392" t="n"/>
    </row>
    <row r="1813">
      <c r="A1813" s="568" t="n">
        <v>44014</v>
      </c>
      <c r="B1813" s="392" t="n">
        <v>7403</v>
      </c>
      <c r="C1813" s="392" t="n"/>
      <c r="D1813" s="392" t="n">
        <v>50</v>
      </c>
      <c r="E1813" s="392" t="n"/>
      <c r="F1813" s="392" t="n"/>
      <c r="G1813" s="392" t="n">
        <v>100</v>
      </c>
      <c r="H1813" s="446">
        <f>H1812-G1813</f>
        <v/>
      </c>
      <c r="I1813" s="392" t="n"/>
      <c r="J1813" s="392" t="n"/>
      <c r="K1813" s="392" t="n"/>
      <c r="L1813" s="392" t="n"/>
      <c r="M1813" s="392" t="n"/>
    </row>
    <row r="1814">
      <c r="A1814" s="568" t="n">
        <v>44014</v>
      </c>
      <c r="B1814" s="392" t="n">
        <v>7404</v>
      </c>
      <c r="C1814" s="392" t="n"/>
      <c r="D1814" s="392" t="n">
        <v>57</v>
      </c>
      <c r="E1814" s="392" t="n"/>
      <c r="F1814" s="392" t="n"/>
      <c r="G1814" s="392" t="n">
        <v>20</v>
      </c>
      <c r="H1814" s="446">
        <f>H1813-G1814</f>
        <v/>
      </c>
      <c r="I1814" s="392" t="n"/>
      <c r="J1814" s="392" t="n"/>
      <c r="K1814" s="392" t="n"/>
      <c r="L1814" s="392" t="n"/>
      <c r="M1814" s="392" t="n"/>
    </row>
    <row r="1815">
      <c r="A1815" s="568" t="n">
        <v>44014</v>
      </c>
      <c r="B1815" s="392" t="n">
        <v>7405</v>
      </c>
      <c r="C1815" s="392" t="n"/>
      <c r="D1815" s="392" t="n">
        <v>50</v>
      </c>
      <c r="E1815" s="392" t="n"/>
      <c r="F1815" s="392" t="n"/>
      <c r="G1815" s="392" t="n">
        <v>20</v>
      </c>
      <c r="H1815" s="446">
        <f>H1814-G1815</f>
        <v/>
      </c>
      <c r="I1815" s="392" t="n"/>
      <c r="J1815" s="392" t="n"/>
      <c r="K1815" s="392" t="n"/>
      <c r="L1815" s="392" t="n"/>
      <c r="M1815" s="392" t="n"/>
    </row>
    <row r="1816">
      <c r="A1816" s="568" t="n">
        <v>44017</v>
      </c>
      <c r="B1816" s="392" t="n">
        <v>7406</v>
      </c>
      <c r="C1816" s="392" t="n"/>
      <c r="D1816" s="392" t="n">
        <v>53</v>
      </c>
      <c r="E1816" s="392" t="n"/>
      <c r="F1816" s="392" t="n"/>
      <c r="G1816" s="392" t="n">
        <v>100</v>
      </c>
      <c r="H1816" s="446">
        <f>H1815-G1816</f>
        <v/>
      </c>
      <c r="I1816" s="392" t="n"/>
      <c r="J1816" s="392" t="n"/>
      <c r="K1816" s="392" t="n"/>
      <c r="L1816" s="392" t="n"/>
      <c r="M1816" s="392" t="n"/>
    </row>
    <row r="1817">
      <c r="A1817" s="304" t="n">
        <v>44019</v>
      </c>
      <c r="B1817" s="401" t="n">
        <v>11130</v>
      </c>
      <c r="C1817" s="401" t="n"/>
      <c r="D1817" s="401" t="n">
        <v>46.5</v>
      </c>
      <c r="E1817" s="401" t="n"/>
      <c r="F1817" s="401" t="n">
        <v>1120</v>
      </c>
      <c r="G1817" s="401" t="n"/>
      <c r="H1817" s="322" t="n">
        <v>3885</v>
      </c>
      <c r="I1817" s="392" t="n"/>
      <c r="J1817" s="392" t="n"/>
      <c r="K1817" s="392" t="n"/>
      <c r="L1817" s="392" t="n"/>
      <c r="M1817" s="392" t="n"/>
    </row>
    <row r="1818">
      <c r="A1818" s="568" t="n">
        <v>44019</v>
      </c>
      <c r="B1818" s="392" t="n">
        <v>7409</v>
      </c>
      <c r="C1818" s="392" t="n"/>
      <c r="D1818" s="392" t="n">
        <v>62</v>
      </c>
      <c r="E1818" s="392" t="n"/>
      <c r="F1818" s="392" t="n"/>
      <c r="G1818" s="392" t="n">
        <v>50</v>
      </c>
      <c r="H1818" s="446">
        <f>H1817-G1818</f>
        <v/>
      </c>
      <c r="I1818" s="392" t="n"/>
      <c r="J1818" s="392" t="n"/>
      <c r="K1818" s="392" t="n"/>
      <c r="L1818" s="392" t="n"/>
      <c r="M1818" s="392" t="n"/>
    </row>
    <row r="1819">
      <c r="A1819" s="568" t="n">
        <v>44019</v>
      </c>
      <c r="B1819" s="392" t="n">
        <v>7412</v>
      </c>
      <c r="C1819" s="392" t="n"/>
      <c r="D1819" s="392" t="n">
        <v>62</v>
      </c>
      <c r="E1819" s="392" t="n"/>
      <c r="F1819" s="392" t="n"/>
      <c r="G1819" s="392" t="n">
        <v>15</v>
      </c>
      <c r="H1819" s="446">
        <f>H1818-G1819</f>
        <v/>
      </c>
      <c r="I1819" s="392" t="n"/>
      <c r="J1819" s="392" t="n"/>
      <c r="K1819" s="392" t="n"/>
      <c r="L1819" s="392" t="n"/>
      <c r="M1819" s="392" t="n"/>
    </row>
    <row r="1820">
      <c r="A1820" s="568" t="n">
        <v>44019</v>
      </c>
      <c r="B1820" s="392" t="n">
        <v>7413</v>
      </c>
      <c r="C1820" s="392" t="n"/>
      <c r="D1820" s="392" t="n">
        <v>63.75</v>
      </c>
      <c r="E1820" s="392" t="n"/>
      <c r="F1820" s="392" t="n"/>
      <c r="G1820" s="392" t="n">
        <v>40</v>
      </c>
      <c r="H1820" s="446">
        <f>H1819-G1820</f>
        <v/>
      </c>
      <c r="I1820" s="392" t="n"/>
      <c r="J1820" s="392" t="n"/>
      <c r="K1820" s="392" t="n"/>
      <c r="L1820" s="392" t="n"/>
      <c r="M1820" s="392" t="n"/>
    </row>
    <row r="1821">
      <c r="A1821" s="568" t="n">
        <v>44019</v>
      </c>
      <c r="B1821" s="392" t="n">
        <v>7414</v>
      </c>
      <c r="C1821" s="392" t="n"/>
      <c r="D1821" s="392" t="n">
        <v>66</v>
      </c>
      <c r="E1821" s="392" t="n"/>
      <c r="F1821" s="392" t="n"/>
      <c r="G1821" s="392" t="n">
        <v>25</v>
      </c>
      <c r="H1821" s="446">
        <f>H1820-G1821</f>
        <v/>
      </c>
      <c r="I1821" s="392" t="n"/>
      <c r="J1821" s="392" t="n"/>
      <c r="K1821" s="392" t="n"/>
      <c r="L1821" s="392" t="n"/>
      <c r="M1821" s="392" t="n"/>
    </row>
    <row r="1822">
      <c r="A1822" s="568" t="n">
        <v>44019</v>
      </c>
      <c r="B1822" s="392" t="n">
        <v>7415</v>
      </c>
      <c r="C1822" s="392" t="n"/>
      <c r="D1822" s="392" t="n">
        <v>61</v>
      </c>
      <c r="E1822" s="392" t="n"/>
      <c r="F1822" s="392" t="n"/>
      <c r="G1822" s="392" t="n">
        <v>30</v>
      </c>
      <c r="H1822" s="446">
        <f>H1821-G1822</f>
        <v/>
      </c>
      <c r="I1822" s="392" t="n"/>
      <c r="J1822" s="392" t="n"/>
      <c r="K1822" s="392" t="n"/>
      <c r="L1822" s="392" t="n"/>
      <c r="M1822" s="392" t="n"/>
    </row>
    <row r="1823">
      <c r="A1823" s="568" t="n">
        <v>44019</v>
      </c>
      <c r="B1823" s="392" t="n">
        <v>7416</v>
      </c>
      <c r="C1823" s="392" t="n"/>
      <c r="D1823" s="392" t="n">
        <v>63</v>
      </c>
      <c r="E1823" s="392" t="n"/>
      <c r="F1823" s="392" t="n"/>
      <c r="G1823" s="392" t="n">
        <v>30</v>
      </c>
      <c r="H1823" s="446">
        <f>H1822-G1823</f>
        <v/>
      </c>
      <c r="I1823" s="392" t="n"/>
      <c r="J1823" s="392" t="n"/>
      <c r="K1823" s="392" t="n"/>
      <c r="L1823" s="392" t="n"/>
      <c r="M1823" s="392" t="n"/>
    </row>
    <row r="1824">
      <c r="A1824" s="568" t="n">
        <v>44019</v>
      </c>
      <c r="B1824" s="392" t="n">
        <v>7417</v>
      </c>
      <c r="C1824" s="392" t="n"/>
      <c r="D1824" s="392" t="n">
        <v>63</v>
      </c>
      <c r="E1824" s="392" t="n"/>
      <c r="F1824" s="392" t="n"/>
      <c r="G1824" s="392" t="n">
        <v>25</v>
      </c>
      <c r="H1824" s="446">
        <f>H1823-G1824</f>
        <v/>
      </c>
      <c r="I1824" s="392" t="n"/>
      <c r="J1824" s="392" t="n"/>
      <c r="K1824" s="392" t="n"/>
      <c r="L1824" s="392" t="n"/>
      <c r="M1824" s="392" t="n"/>
    </row>
    <row r="1825">
      <c r="A1825" s="568" t="n">
        <v>44019</v>
      </c>
      <c r="B1825" s="392" t="n">
        <v>7418</v>
      </c>
      <c r="C1825" s="392" t="n"/>
      <c r="D1825" s="392" t="n">
        <v>64</v>
      </c>
      <c r="E1825" s="392" t="n"/>
      <c r="F1825" s="392" t="n"/>
      <c r="G1825" s="392" t="n">
        <v>15</v>
      </c>
      <c r="H1825" s="446">
        <f>H1824-G1825</f>
        <v/>
      </c>
      <c r="I1825" s="392" t="n"/>
      <c r="J1825" s="392" t="n"/>
      <c r="K1825" s="392" t="n"/>
      <c r="L1825" s="392" t="n"/>
      <c r="M1825" s="392" t="n"/>
    </row>
    <row r="1826">
      <c r="A1826" s="568" t="n">
        <v>44025</v>
      </c>
      <c r="B1826" s="392" t="n">
        <v>7419</v>
      </c>
      <c r="C1826" s="392" t="n"/>
      <c r="D1826" s="392" t="n">
        <v>57</v>
      </c>
      <c r="E1826" s="392" t="n"/>
      <c r="F1826" s="392" t="n"/>
      <c r="G1826" s="392" t="n">
        <v>150</v>
      </c>
      <c r="H1826" s="446">
        <f>H1825-G1826</f>
        <v/>
      </c>
      <c r="I1826" s="392" t="n"/>
      <c r="J1826" s="392" t="n"/>
      <c r="K1826" s="392" t="n"/>
      <c r="L1826" s="392" t="n"/>
      <c r="M1826" s="392" t="n"/>
    </row>
    <row r="1827">
      <c r="A1827" s="568" t="n">
        <v>44025</v>
      </c>
      <c r="B1827" s="392" t="n">
        <v>7421</v>
      </c>
      <c r="C1827" s="392" t="n"/>
      <c r="D1827" s="392" t="n">
        <v>59</v>
      </c>
      <c r="E1827" s="392" t="n"/>
      <c r="F1827" s="392" t="n"/>
      <c r="G1827" s="392" t="n">
        <v>10</v>
      </c>
      <c r="H1827" s="446">
        <f>H1826-G1827</f>
        <v/>
      </c>
      <c r="I1827" s="392" t="n"/>
      <c r="J1827" s="392" t="n"/>
      <c r="K1827" s="392" t="n"/>
      <c r="L1827" s="392" t="n"/>
      <c r="M1827" s="392" t="n"/>
    </row>
    <row r="1828">
      <c r="A1828" s="568" t="n">
        <v>44025</v>
      </c>
      <c r="B1828" s="392" t="n">
        <v>7422</v>
      </c>
      <c r="C1828" s="392" t="n"/>
      <c r="D1828" s="392" t="n">
        <v>66</v>
      </c>
      <c r="E1828" s="392" t="n"/>
      <c r="F1828" s="392" t="n"/>
      <c r="G1828" s="392" t="n">
        <v>20</v>
      </c>
      <c r="H1828" s="446">
        <f>H1827-G1828</f>
        <v/>
      </c>
      <c r="I1828" s="392" t="n"/>
      <c r="J1828" s="392" t="n"/>
      <c r="K1828" s="392" t="n"/>
      <c r="L1828" s="392" t="n"/>
      <c r="M1828" s="392" t="n"/>
    </row>
    <row r="1829">
      <c r="A1829" s="568" t="n">
        <v>44025</v>
      </c>
      <c r="B1829" s="392" t="n">
        <v>7423</v>
      </c>
      <c r="C1829" s="392" t="n"/>
      <c r="D1829" s="392" t="n">
        <v>59.5</v>
      </c>
      <c r="E1829" s="392" t="n"/>
      <c r="F1829" s="392" t="n"/>
      <c r="G1829" s="392" t="n">
        <v>50</v>
      </c>
      <c r="H1829" s="446">
        <f>H1828-G1829</f>
        <v/>
      </c>
      <c r="I1829" s="392" t="n"/>
      <c r="J1829" s="392" t="n"/>
      <c r="K1829" s="392" t="n"/>
      <c r="L1829" s="392" t="n"/>
      <c r="M1829" s="392" t="n"/>
    </row>
    <row r="1830">
      <c r="A1830" s="568" t="n">
        <v>44025</v>
      </c>
      <c r="B1830" s="392" t="n">
        <v>7424</v>
      </c>
      <c r="C1830" s="392" t="n"/>
      <c r="D1830" s="392" t="n">
        <v>60.5</v>
      </c>
      <c r="E1830" s="392" t="n"/>
      <c r="F1830" s="392" t="n"/>
      <c r="G1830" s="392" t="n">
        <v>40</v>
      </c>
      <c r="H1830" s="446">
        <f>H1829-G1830</f>
        <v/>
      </c>
      <c r="I1830" s="392" t="n"/>
      <c r="J1830" s="392" t="n"/>
      <c r="K1830" s="392" t="n"/>
      <c r="L1830" s="392" t="n"/>
      <c r="M1830" s="392" t="n"/>
    </row>
    <row r="1831">
      <c r="A1831" s="568" t="n">
        <v>44025</v>
      </c>
      <c r="B1831" s="392" t="n">
        <v>7425</v>
      </c>
      <c r="C1831" s="392" t="n"/>
      <c r="D1831" s="392" t="n">
        <v>50</v>
      </c>
      <c r="E1831" s="392" t="n"/>
      <c r="F1831" s="392" t="n"/>
      <c r="G1831" s="392" t="n">
        <v>30</v>
      </c>
      <c r="H1831" s="446">
        <f>H1830-G1831</f>
        <v/>
      </c>
      <c r="I1831" s="392" t="n"/>
      <c r="J1831" s="392" t="n"/>
      <c r="K1831" s="392" t="n"/>
      <c r="L1831" s="392" t="n"/>
      <c r="M1831" s="392" t="n"/>
    </row>
    <row r="1832">
      <c r="A1832" s="568" t="n">
        <v>44025</v>
      </c>
      <c r="B1832" s="392" t="n">
        <v>7426</v>
      </c>
      <c r="C1832" s="392" t="n"/>
      <c r="D1832" s="392" t="n">
        <v>50</v>
      </c>
      <c r="E1832" s="392" t="n"/>
      <c r="F1832" s="392" t="n"/>
      <c r="G1832" s="392" t="n">
        <v>30</v>
      </c>
      <c r="H1832" s="446">
        <f>H1831-G1832</f>
        <v/>
      </c>
      <c r="I1832" s="392" t="n"/>
      <c r="J1832" s="392" t="n"/>
      <c r="K1832" s="392" t="n"/>
      <c r="L1832" s="392" t="n"/>
      <c r="M1832" s="392" t="n"/>
    </row>
    <row r="1833">
      <c r="A1833" s="568" t="n">
        <v>44027</v>
      </c>
      <c r="B1833" s="392" t="n">
        <v>7427</v>
      </c>
      <c r="C1833" s="392" t="n"/>
      <c r="D1833" s="392" t="n">
        <v>50</v>
      </c>
      <c r="E1833" s="392" t="n"/>
      <c r="F1833" s="392" t="n"/>
      <c r="G1833" s="392" t="n">
        <v>58</v>
      </c>
      <c r="H1833" s="446">
        <f>H1832-G1833</f>
        <v/>
      </c>
      <c r="I1833" s="392" t="n"/>
      <c r="J1833" s="392" t="n"/>
      <c r="K1833" s="392" t="n"/>
      <c r="L1833" s="392" t="n"/>
      <c r="M1833" s="392" t="n"/>
    </row>
    <row r="1834">
      <c r="A1834" s="568" t="n">
        <v>44027</v>
      </c>
      <c r="B1834" s="392" t="n">
        <v>7428</v>
      </c>
      <c r="C1834" s="392" t="n"/>
      <c r="D1834" s="392" t="n">
        <v>66</v>
      </c>
      <c r="E1834" s="392" t="n"/>
      <c r="F1834" s="392" t="n"/>
      <c r="G1834" s="392" t="n">
        <v>30</v>
      </c>
      <c r="H1834" s="446">
        <f>H1833-G1834</f>
        <v/>
      </c>
      <c r="I1834" s="392" t="n"/>
      <c r="J1834" s="392" t="n"/>
      <c r="K1834" s="392" t="n"/>
      <c r="L1834" s="392" t="n"/>
      <c r="M1834" s="392" t="n"/>
    </row>
    <row r="1835">
      <c r="A1835" s="568" t="n">
        <v>44027</v>
      </c>
      <c r="B1835" s="392" t="n">
        <v>7429</v>
      </c>
      <c r="C1835" s="392" t="n"/>
      <c r="D1835" s="392" t="n">
        <v>63</v>
      </c>
      <c r="E1835" s="392" t="n"/>
      <c r="F1835" s="392" t="n"/>
      <c r="G1835" s="392" t="n">
        <v>30</v>
      </c>
      <c r="H1835" s="446">
        <f>H1834-G1835</f>
        <v/>
      </c>
      <c r="I1835" s="392" t="n"/>
      <c r="J1835" s="392" t="n"/>
      <c r="K1835" s="392" t="n"/>
      <c r="L1835" s="392" t="n"/>
      <c r="M1835" s="392" t="n"/>
    </row>
    <row r="1836">
      <c r="A1836" s="568" t="n">
        <v>44027</v>
      </c>
      <c r="B1836" s="392" t="n">
        <v>7430</v>
      </c>
      <c r="C1836" s="392" t="n"/>
      <c r="D1836" s="392" t="n">
        <v>63</v>
      </c>
      <c r="E1836" s="392" t="n"/>
      <c r="F1836" s="392" t="n"/>
      <c r="G1836" s="392" t="n">
        <v>30</v>
      </c>
      <c r="H1836" s="446">
        <f>H1835-G1836</f>
        <v/>
      </c>
      <c r="I1836" s="392" t="n"/>
      <c r="J1836" s="392" t="n"/>
      <c r="K1836" s="392" t="n"/>
      <c r="L1836" s="392" t="n"/>
      <c r="M1836" s="392" t="n"/>
    </row>
    <row r="1837">
      <c r="A1837" s="568" t="n">
        <v>44027</v>
      </c>
      <c r="B1837" s="392" t="n">
        <v>7432</v>
      </c>
      <c r="C1837" s="392" t="n"/>
      <c r="D1837" s="392" t="n">
        <v>57</v>
      </c>
      <c r="E1837" s="392" t="n"/>
      <c r="F1837" s="392" t="n"/>
      <c r="G1837" s="392" t="n">
        <v>10</v>
      </c>
      <c r="H1837" s="446">
        <f>H1836-G1837</f>
        <v/>
      </c>
      <c r="I1837" s="392" t="n"/>
      <c r="J1837" s="392" t="n"/>
      <c r="K1837" s="392" t="n"/>
      <c r="L1837" s="392" t="n"/>
      <c r="M1837" s="392" t="n"/>
    </row>
    <row r="1838">
      <c r="A1838" s="568" t="n">
        <v>44027</v>
      </c>
      <c r="B1838" s="392" t="n">
        <v>7434</v>
      </c>
      <c r="C1838" s="392" t="n"/>
      <c r="D1838" s="392" t="n">
        <v>58</v>
      </c>
      <c r="E1838" s="392" t="n"/>
      <c r="F1838" s="392" t="n"/>
      <c r="G1838" s="392" t="n">
        <v>20</v>
      </c>
      <c r="H1838" s="446">
        <f>H1837-G1838</f>
        <v/>
      </c>
      <c r="I1838" s="392" t="n"/>
      <c r="J1838" s="392" t="n"/>
      <c r="K1838" s="392" t="n"/>
      <c r="L1838" s="392" t="n"/>
      <c r="M1838" s="392" t="n"/>
    </row>
    <row r="1839">
      <c r="A1839" s="568" t="n">
        <v>44027</v>
      </c>
      <c r="B1839" s="392" t="n">
        <v>7435</v>
      </c>
      <c r="C1839" s="392" t="n"/>
      <c r="D1839" s="392" t="n">
        <v>55</v>
      </c>
      <c r="E1839" s="392" t="n"/>
      <c r="F1839" s="392" t="n"/>
      <c r="G1839" s="392" t="n">
        <v>30</v>
      </c>
      <c r="H1839" s="446">
        <f>H1838-G1839</f>
        <v/>
      </c>
      <c r="I1839" s="392" t="n"/>
      <c r="J1839" s="392" t="n"/>
      <c r="K1839" s="392" t="n"/>
      <c r="L1839" s="392" t="n"/>
      <c r="M1839" s="392" t="n"/>
    </row>
    <row r="1840">
      <c r="A1840" s="568" t="n">
        <v>44033</v>
      </c>
      <c r="B1840" s="392" t="n">
        <v>7436</v>
      </c>
      <c r="C1840" s="392" t="n"/>
      <c r="D1840" s="392" t="n">
        <v>50</v>
      </c>
      <c r="E1840" s="392" t="n"/>
      <c r="F1840" s="392" t="n"/>
      <c r="G1840" s="392" t="n">
        <v>200</v>
      </c>
      <c r="H1840" s="446">
        <f>H1839-G1840</f>
        <v/>
      </c>
      <c r="I1840" s="392" t="n"/>
      <c r="J1840" s="392" t="n"/>
      <c r="K1840" s="392" t="n"/>
      <c r="L1840" s="392" t="n"/>
      <c r="M1840" s="392" t="n"/>
    </row>
    <row r="1841">
      <c r="A1841" s="568" t="n">
        <v>44033</v>
      </c>
      <c r="B1841" s="392" t="n">
        <v>7437</v>
      </c>
      <c r="C1841" s="392" t="n"/>
      <c r="D1841" s="392" t="n">
        <v>50</v>
      </c>
      <c r="E1841" s="392" t="n"/>
      <c r="F1841" s="392" t="n"/>
      <c r="G1841" s="392" t="n">
        <v>50</v>
      </c>
      <c r="H1841" s="446">
        <f>H1840-G1841</f>
        <v/>
      </c>
      <c r="I1841" s="392" t="n"/>
      <c r="J1841" s="392" t="n"/>
      <c r="K1841" s="392" t="n"/>
      <c r="L1841" s="392" t="n"/>
      <c r="M1841" s="392" t="n"/>
    </row>
    <row r="1842">
      <c r="A1842" s="568" t="n">
        <v>44033</v>
      </c>
      <c r="B1842" s="392" t="n">
        <v>7438</v>
      </c>
      <c r="C1842" s="392" t="n"/>
      <c r="D1842" s="392" t="n">
        <v>64.13</v>
      </c>
      <c r="E1842" s="392" t="n"/>
      <c r="F1842" s="392" t="n"/>
      <c r="G1842" s="392" t="n">
        <v>40</v>
      </c>
      <c r="H1842" s="446">
        <f>H1841-G1842</f>
        <v/>
      </c>
      <c r="I1842" s="392" t="n"/>
      <c r="J1842" s="392" t="n"/>
      <c r="K1842" s="392" t="n"/>
      <c r="L1842" s="392" t="n"/>
      <c r="M1842" s="392" t="n"/>
    </row>
    <row r="1843">
      <c r="A1843" s="568" t="n">
        <v>44033</v>
      </c>
      <c r="B1843" s="392" t="n">
        <v>7441</v>
      </c>
      <c r="C1843" s="392" t="n"/>
      <c r="D1843" s="392" t="n">
        <v>66</v>
      </c>
      <c r="E1843" s="392" t="n"/>
      <c r="F1843" s="392" t="n"/>
      <c r="G1843" s="392" t="n">
        <v>10</v>
      </c>
      <c r="H1843" s="446">
        <f>H1842-G1843</f>
        <v/>
      </c>
      <c r="I1843" s="392" t="n"/>
      <c r="J1843" s="392" t="n"/>
      <c r="K1843" s="392" t="n"/>
      <c r="L1843" s="392" t="n"/>
      <c r="M1843" s="392" t="n"/>
    </row>
    <row r="1844">
      <c r="A1844" s="568" t="n">
        <v>44033</v>
      </c>
      <c r="B1844" s="392" t="n">
        <v>7443</v>
      </c>
      <c r="C1844" s="392" t="n"/>
      <c r="D1844" s="392" t="n">
        <v>61.5</v>
      </c>
      <c r="E1844" s="392" t="n"/>
      <c r="F1844" s="392" t="n"/>
      <c r="G1844" s="392" t="n">
        <v>30</v>
      </c>
      <c r="H1844" s="446">
        <f>H1843-G1844</f>
        <v/>
      </c>
      <c r="I1844" s="392" t="n"/>
      <c r="J1844" s="392" t="n"/>
      <c r="K1844" s="392" t="n"/>
      <c r="L1844" s="392" t="n"/>
      <c r="M1844" s="392" t="n"/>
    </row>
    <row r="1845">
      <c r="A1845" s="568" t="n">
        <v>44038</v>
      </c>
      <c r="B1845" s="392" t="n">
        <v>7446</v>
      </c>
      <c r="C1845" s="392" t="n"/>
      <c r="D1845" s="392" t="n">
        <v>50</v>
      </c>
      <c r="E1845" s="392" t="n"/>
      <c r="F1845" s="392" t="n"/>
      <c r="G1845" s="392" t="n">
        <v>110</v>
      </c>
      <c r="H1845" s="446">
        <f>H1844-G1845</f>
        <v/>
      </c>
      <c r="I1845" s="392" t="n"/>
      <c r="J1845" s="392" t="n"/>
      <c r="K1845" s="392" t="n"/>
      <c r="L1845" s="392" t="n"/>
      <c r="M1845" s="392" t="n"/>
    </row>
    <row r="1846">
      <c r="A1846" s="568" t="n">
        <v>44039</v>
      </c>
      <c r="B1846" s="392" t="n">
        <v>7448</v>
      </c>
      <c r="C1846" s="392" t="n"/>
      <c r="D1846" s="392" t="n">
        <v>50</v>
      </c>
      <c r="E1846" s="392" t="n"/>
      <c r="F1846" s="392" t="n"/>
      <c r="G1846" s="392" t="n">
        <v>45</v>
      </c>
      <c r="H1846" s="446">
        <f>H1845-G1846</f>
        <v/>
      </c>
      <c r="I1846" s="392" t="n"/>
      <c r="J1846" s="392" t="n"/>
      <c r="K1846" s="392" t="n"/>
      <c r="L1846" s="392" t="n"/>
      <c r="M1846" s="392" t="n"/>
    </row>
    <row r="1847">
      <c r="A1847" s="568" t="n">
        <v>44039</v>
      </c>
      <c r="B1847" s="392" t="n">
        <v>7449</v>
      </c>
      <c r="C1847" s="392" t="n"/>
      <c r="D1847" s="392" t="n">
        <v>64</v>
      </c>
      <c r="E1847" s="392" t="n"/>
      <c r="F1847" s="392" t="n"/>
      <c r="G1847" s="392" t="n">
        <v>20</v>
      </c>
      <c r="H1847" s="446">
        <f>H1846-G1847</f>
        <v/>
      </c>
      <c r="I1847" s="392" t="n"/>
      <c r="J1847" s="392" t="n"/>
      <c r="K1847" s="392" t="n"/>
      <c r="L1847" s="392" t="n"/>
      <c r="M1847" s="392" t="n"/>
    </row>
    <row r="1848">
      <c r="A1848" s="568" t="n">
        <v>44039</v>
      </c>
      <c r="B1848" s="392" t="n">
        <v>7450</v>
      </c>
      <c r="C1848" s="392" t="n"/>
      <c r="D1848" s="392" t="n">
        <v>66</v>
      </c>
      <c r="E1848" s="392" t="n"/>
      <c r="F1848" s="392" t="n"/>
      <c r="G1848" s="392" t="n">
        <v>20</v>
      </c>
      <c r="H1848" s="446">
        <f>H1847-G1848</f>
        <v/>
      </c>
      <c r="I1848" s="392" t="n"/>
      <c r="J1848" s="392" t="n"/>
      <c r="K1848" s="392" t="n"/>
      <c r="L1848" s="392" t="n"/>
      <c r="M1848" s="392" t="n"/>
    </row>
    <row r="1849">
      <c r="A1849" s="568" t="n">
        <v>44039</v>
      </c>
      <c r="B1849" s="392" t="n">
        <v>7451</v>
      </c>
      <c r="C1849" s="392" t="n"/>
      <c r="D1849" s="392" t="n">
        <v>63</v>
      </c>
      <c r="E1849" s="392" t="n"/>
      <c r="F1849" s="392" t="n"/>
      <c r="G1849" s="392" t="n">
        <v>30</v>
      </c>
      <c r="H1849" s="446">
        <f>H1848-G1849</f>
        <v/>
      </c>
      <c r="I1849" s="392" t="n"/>
      <c r="J1849" s="392" t="n"/>
      <c r="K1849" s="392" t="n"/>
      <c r="L1849" s="392" t="n"/>
      <c r="M1849" s="392" t="n"/>
    </row>
    <row r="1850">
      <c r="A1850" s="568" t="n">
        <v>44039</v>
      </c>
      <c r="B1850" s="392" t="n">
        <v>7452</v>
      </c>
      <c r="C1850" s="392" t="n"/>
      <c r="D1850" s="392" t="n">
        <v>59</v>
      </c>
      <c r="E1850" s="392" t="n"/>
      <c r="F1850" s="392" t="n"/>
      <c r="G1850" s="392" t="n">
        <v>20</v>
      </c>
      <c r="H1850" s="446">
        <f>H1849-G1850</f>
        <v/>
      </c>
      <c r="I1850" s="392" t="n"/>
      <c r="J1850" s="392" t="n"/>
      <c r="K1850" s="392" t="n"/>
      <c r="L1850" s="392" t="n"/>
      <c r="M1850" s="392" t="n"/>
    </row>
    <row r="1851">
      <c r="A1851" s="568" t="n">
        <v>44039</v>
      </c>
      <c r="B1851" s="392" t="n">
        <v>7454</v>
      </c>
      <c r="C1851" s="392" t="n"/>
      <c r="D1851" s="392" t="n">
        <v>61</v>
      </c>
      <c r="E1851" s="392" t="n"/>
      <c r="F1851" s="392" t="n"/>
      <c r="G1851" s="392" t="n">
        <v>10</v>
      </c>
      <c r="H1851" s="446">
        <f>H1850-G1851</f>
        <v/>
      </c>
      <c r="I1851" s="392" t="n"/>
      <c r="J1851" s="392" t="n"/>
      <c r="K1851" s="392" t="n"/>
      <c r="L1851" s="392" t="n"/>
      <c r="M1851" s="392" t="n"/>
    </row>
    <row r="1852">
      <c r="A1852" s="568" t="n">
        <v>44039</v>
      </c>
      <c r="B1852" s="392" t="n">
        <v>7455</v>
      </c>
      <c r="C1852" s="392" t="n"/>
      <c r="D1852" s="392" t="n">
        <v>61.5</v>
      </c>
      <c r="E1852" s="392" t="n"/>
      <c r="F1852" s="392" t="n"/>
      <c r="G1852" s="392" t="n">
        <v>10</v>
      </c>
      <c r="H1852" s="446">
        <f>H1851-G1852</f>
        <v/>
      </c>
      <c r="I1852" s="392" t="n"/>
      <c r="J1852" s="392" t="n"/>
      <c r="K1852" s="392" t="n"/>
      <c r="L1852" s="392" t="n"/>
      <c r="M1852" s="392" t="n"/>
    </row>
    <row r="1853">
      <c r="A1853" s="568" t="n">
        <v>44039</v>
      </c>
      <c r="B1853" s="392" t="n">
        <v>7457</v>
      </c>
      <c r="C1853" s="392" t="n"/>
      <c r="D1853" s="392" t="n">
        <v>50</v>
      </c>
      <c r="E1853" s="392" t="n"/>
      <c r="F1853" s="392" t="n"/>
      <c r="G1853" s="392" t="n">
        <v>30</v>
      </c>
      <c r="H1853" s="446">
        <f>H1852-G1853</f>
        <v/>
      </c>
      <c r="I1853" s="392" t="n"/>
      <c r="J1853" s="392" t="n"/>
      <c r="K1853" s="392" t="n"/>
      <c r="L1853" s="392" t="n"/>
      <c r="M1853" s="392" t="n"/>
    </row>
    <row r="1854">
      <c r="A1854" s="568" t="n">
        <v>44039</v>
      </c>
      <c r="B1854" s="392" t="n">
        <v>7458</v>
      </c>
      <c r="C1854" s="392" t="n"/>
      <c r="D1854" s="392" t="n">
        <v>62.81</v>
      </c>
      <c r="E1854" s="392" t="n"/>
      <c r="F1854" s="392" t="n"/>
      <c r="G1854" s="392" t="n">
        <v>52</v>
      </c>
      <c r="H1854" s="446">
        <f>H1853-G1854</f>
        <v/>
      </c>
      <c r="I1854" s="392" t="n"/>
      <c r="J1854" s="392" t="n"/>
      <c r="K1854" s="392" t="n"/>
      <c r="L1854" s="392" t="n"/>
      <c r="M1854" s="392" t="n"/>
    </row>
    <row r="1855">
      <c r="A1855" s="568" t="n">
        <v>44039</v>
      </c>
      <c r="B1855" s="392" t="n">
        <v>7459</v>
      </c>
      <c r="C1855" s="392" t="n"/>
      <c r="D1855" s="392" t="n">
        <v>63</v>
      </c>
      <c r="E1855" s="392" t="n"/>
      <c r="F1855" s="392" t="n"/>
      <c r="G1855" s="392" t="n">
        <v>30</v>
      </c>
      <c r="H1855" s="446">
        <f>H1854-G1855</f>
        <v/>
      </c>
      <c r="I1855" s="392" t="n"/>
      <c r="J1855" s="392" t="n"/>
      <c r="K1855" s="392" t="n"/>
      <c r="L1855" s="392" t="n"/>
      <c r="M1855" s="392" t="n"/>
    </row>
    <row r="1856">
      <c r="A1856" s="304" t="n">
        <v>44040</v>
      </c>
      <c r="B1856" s="401" t="n">
        <v>11449</v>
      </c>
      <c r="C1856" s="401" t="n"/>
      <c r="D1856" s="401" t="n">
        <v>49.6</v>
      </c>
      <c r="E1856" s="401" t="n"/>
      <c r="F1856" s="401" t="n">
        <v>1120</v>
      </c>
      <c r="G1856" s="401" t="n"/>
      <c r="H1856" s="322" t="n">
        <v>3530</v>
      </c>
      <c r="I1856" s="392" t="n"/>
      <c r="J1856" s="392" t="n"/>
      <c r="K1856" s="392" t="n"/>
      <c r="L1856" s="392" t="n"/>
      <c r="M1856" s="392" t="n"/>
    </row>
    <row r="1857">
      <c r="A1857" s="568" t="n">
        <v>44041</v>
      </c>
      <c r="B1857" s="392" t="n">
        <v>7460</v>
      </c>
      <c r="C1857" s="392" t="n"/>
      <c r="D1857" s="392" t="n">
        <v>63</v>
      </c>
      <c r="E1857" s="392" t="n"/>
      <c r="F1857" s="392" t="n"/>
      <c r="G1857" s="392" t="n">
        <v>15</v>
      </c>
      <c r="H1857" s="446">
        <f>H1856-G1857</f>
        <v/>
      </c>
      <c r="I1857" s="392" t="n"/>
      <c r="J1857" s="392" t="n"/>
      <c r="K1857" s="392" t="n"/>
      <c r="L1857" s="392" t="n"/>
      <c r="M1857" s="392" t="n"/>
    </row>
    <row r="1858">
      <c r="A1858" s="568" t="n">
        <v>44041</v>
      </c>
      <c r="B1858" s="392" t="n">
        <v>7461</v>
      </c>
      <c r="C1858" s="392" t="n"/>
      <c r="D1858" s="392" t="n">
        <v>58</v>
      </c>
      <c r="E1858" s="392" t="n"/>
      <c r="F1858" s="392" t="n"/>
      <c r="G1858" s="392" t="n">
        <v>50</v>
      </c>
      <c r="H1858" s="446">
        <f>H1857-G1858</f>
        <v/>
      </c>
      <c r="I1858" s="392" t="n"/>
      <c r="J1858" s="392" t="n"/>
      <c r="K1858" s="392" t="n"/>
      <c r="L1858" s="392" t="n"/>
      <c r="M1858" s="392" t="n"/>
    </row>
    <row r="1859">
      <c r="A1859" s="568" t="n">
        <v>44041</v>
      </c>
      <c r="B1859" s="392" t="n">
        <v>7462</v>
      </c>
      <c r="C1859" s="392" t="n"/>
      <c r="D1859" s="392" t="n">
        <v>59.5</v>
      </c>
      <c r="E1859" s="392" t="n"/>
      <c r="F1859" s="392" t="n"/>
      <c r="G1859" s="392" t="n">
        <v>50</v>
      </c>
      <c r="H1859" s="446">
        <f>H1858-G1859</f>
        <v/>
      </c>
      <c r="I1859" s="392" t="n"/>
      <c r="J1859" s="392" t="n"/>
      <c r="K1859" s="392" t="n"/>
      <c r="L1859" s="392" t="n"/>
      <c r="M1859" s="392" t="n"/>
    </row>
    <row r="1860">
      <c r="A1860" s="568" t="n">
        <v>44041</v>
      </c>
      <c r="B1860" s="392" t="n">
        <v>7463</v>
      </c>
      <c r="C1860" s="392" t="n"/>
      <c r="D1860" s="392" t="n">
        <v>49</v>
      </c>
      <c r="E1860" s="392" t="n"/>
      <c r="F1860" s="392" t="n"/>
      <c r="G1860" s="392" t="n">
        <v>200</v>
      </c>
      <c r="H1860" s="446">
        <f>H1859-G1860</f>
        <v/>
      </c>
      <c r="I1860" s="392" t="n"/>
      <c r="J1860" s="392" t="n"/>
      <c r="K1860" s="392" t="n"/>
      <c r="L1860" s="392" t="n"/>
      <c r="M1860" s="392" t="n"/>
    </row>
    <row r="1861">
      <c r="A1861" s="568" t="n">
        <v>44041</v>
      </c>
      <c r="B1861" s="392" t="n">
        <v>7465</v>
      </c>
      <c r="C1861" s="392" t="n"/>
      <c r="D1861" s="392" t="n">
        <v>66</v>
      </c>
      <c r="E1861" s="392" t="n"/>
      <c r="F1861" s="392" t="n"/>
      <c r="G1861" s="392" t="n">
        <v>50</v>
      </c>
      <c r="H1861" s="446">
        <f>H1860-G1861</f>
        <v/>
      </c>
      <c r="I1861" s="392" t="n"/>
      <c r="J1861" s="392" t="n"/>
      <c r="K1861" s="392" t="n"/>
      <c r="L1861" s="392" t="n"/>
      <c r="M1861" s="392" t="n"/>
    </row>
    <row r="1862">
      <c r="A1862" s="568" t="n">
        <v>44041</v>
      </c>
      <c r="B1862" s="392" t="n">
        <v>7466</v>
      </c>
      <c r="C1862" s="392" t="n"/>
      <c r="D1862" s="392" t="n">
        <v>66</v>
      </c>
      <c r="E1862" s="392" t="n"/>
      <c r="F1862" s="392" t="n"/>
      <c r="G1862" s="392" t="n">
        <v>65</v>
      </c>
      <c r="H1862" s="446">
        <f>H1861-G1862</f>
        <v/>
      </c>
      <c r="I1862" s="392" t="n"/>
      <c r="J1862" s="392" t="n"/>
      <c r="K1862" s="392" t="n"/>
      <c r="L1862" s="392" t="n"/>
      <c r="M1862" s="392" t="n"/>
    </row>
    <row r="1863">
      <c r="A1863" s="568" t="n"/>
      <c r="B1863" s="392" t="n"/>
      <c r="C1863" s="392" t="n"/>
      <c r="D1863" s="392" t="n"/>
      <c r="E1863" s="392" t="n"/>
      <c r="F1863" s="392" t="n"/>
      <c r="G1863" s="392" t="n"/>
      <c r="H1863" s="446">
        <f>H1862-G1863</f>
        <v/>
      </c>
      <c r="I1863" s="392" t="n"/>
      <c r="J1863" s="392" t="n"/>
      <c r="K1863" s="392" t="n"/>
      <c r="L1863" s="392" t="n"/>
      <c r="M1863" s="392" t="n"/>
    </row>
    <row r="1864">
      <c r="A1864" s="568" t="n"/>
      <c r="B1864" s="392" t="n"/>
      <c r="C1864" s="392" t="n"/>
      <c r="D1864" s="392" t="n"/>
      <c r="E1864" s="392" t="n"/>
      <c r="F1864" s="392" t="n"/>
      <c r="G1864" s="392" t="n"/>
      <c r="H1864" s="446">
        <f>H1863-G1864</f>
        <v/>
      </c>
      <c r="I1864" s="392" t="n"/>
      <c r="J1864" s="392" t="n"/>
      <c r="K1864" s="392" t="n"/>
      <c r="L1864" s="392" t="n"/>
      <c r="M1864" s="392" t="n"/>
    </row>
    <row r="1865">
      <c r="A1865" s="568" t="n"/>
      <c r="B1865" s="392" t="n"/>
      <c r="C1865" s="392" t="n"/>
      <c r="D1865" s="392" t="n"/>
      <c r="E1865" s="392" t="n"/>
      <c r="F1865" s="392" t="n"/>
      <c r="G1865" s="392" t="n"/>
      <c r="H1865" s="446">
        <f>H1864-G1865</f>
        <v/>
      </c>
      <c r="I1865" s="392" t="n"/>
      <c r="J1865" s="392" t="n"/>
      <c r="K1865" s="392" t="n"/>
      <c r="L1865" s="392" t="n"/>
      <c r="M1865" s="392" t="n"/>
    </row>
    <row r="1866">
      <c r="A1866" s="568" t="n"/>
      <c r="B1866" s="392" t="n"/>
      <c r="C1866" s="392" t="n"/>
      <c r="D1866" s="392" t="n"/>
      <c r="E1866" s="392" t="n"/>
      <c r="F1866" s="392" t="n"/>
      <c r="G1866" s="392" t="n"/>
      <c r="H1866" s="446">
        <f>H1865-G1866</f>
        <v/>
      </c>
      <c r="I1866" s="392" t="n"/>
      <c r="J1866" s="392" t="n"/>
      <c r="K1866" s="392" t="n"/>
      <c r="L1866" s="392" t="n"/>
      <c r="M1866" s="392" t="n"/>
    </row>
    <row r="1867">
      <c r="A1867" s="568" t="n"/>
      <c r="B1867" s="392" t="n"/>
      <c r="C1867" s="392" t="n"/>
      <c r="D1867" s="392" t="n"/>
      <c r="E1867" s="392" t="n"/>
      <c r="F1867" s="392" t="n"/>
      <c r="G1867" s="392" t="n"/>
      <c r="H1867" s="446">
        <f>H1866-G1867</f>
        <v/>
      </c>
      <c r="I1867" s="392" t="n"/>
      <c r="J1867" s="392" t="n"/>
      <c r="K1867" s="392" t="n"/>
      <c r="L1867" s="392" t="n"/>
      <c r="M1867" s="392" t="n"/>
    </row>
    <row r="1868" ht="15.75" customHeight="1" s="436" thickBot="1">
      <c r="A1868" s="568" t="n"/>
      <c r="B1868" s="392" t="n"/>
      <c r="C1868" s="392" t="n"/>
      <c r="D1868" s="392" t="n"/>
      <c r="E1868" s="392" t="n"/>
      <c r="F1868" s="392" t="n"/>
      <c r="G1868" s="392" t="n"/>
      <c r="H1868" s="446">
        <f>H1867-G1868</f>
        <v/>
      </c>
      <c r="I1868" s="392" t="n"/>
      <c r="J1868" s="392" t="n"/>
      <c r="K1868" s="392" t="n"/>
      <c r="L1868" s="392" t="n"/>
      <c r="M1868" s="392" t="n"/>
    </row>
    <row r="1869" ht="32.25" customHeight="1" s="436" thickBot="1">
      <c r="A1869" s="735" t="inlineStr">
        <is>
          <t>AGOSTO</t>
        </is>
      </c>
      <c r="B1869" s="697" t="n"/>
      <c r="C1869" s="697" t="n"/>
      <c r="D1869" s="697" t="n"/>
      <c r="E1869" s="697" t="n"/>
      <c r="F1869" s="697" t="n"/>
      <c r="G1869" s="697" t="n"/>
      <c r="H1869" s="697" t="n"/>
      <c r="I1869" s="697" t="n"/>
      <c r="J1869" s="697" t="n"/>
      <c r="K1869" s="697" t="n"/>
      <c r="L1869" s="697" t="n"/>
      <c r="M1869" s="698" t="n"/>
    </row>
    <row r="1870" ht="27" customHeight="1" s="436" thickBot="1">
      <c r="A1870" s="734" t="inlineStr">
        <is>
          <t xml:space="preserve"> FARINHA DE TRIGO TIPO: 1 - 25 KG</t>
        </is>
      </c>
      <c r="B1870" s="706" t="n"/>
      <c r="C1870" s="706" t="n"/>
      <c r="D1870" s="706" t="n"/>
      <c r="E1870" s="706" t="n"/>
      <c r="F1870" s="706" t="n"/>
      <c r="G1870" s="706" t="n"/>
      <c r="H1870" s="706" t="n"/>
      <c r="I1870" s="706" t="n"/>
      <c r="J1870" s="706" t="n"/>
      <c r="K1870" s="706" t="n"/>
      <c r="L1870" s="706" t="n"/>
      <c r="M1870" s="707" t="n"/>
    </row>
    <row r="1871">
      <c r="A1871" s="643" t="inlineStr">
        <is>
          <t>DATA</t>
        </is>
      </c>
      <c r="B1871" s="633" t="inlineStr">
        <is>
          <t>N.F.</t>
        </is>
      </c>
      <c r="C1871" s="633" t="inlineStr">
        <is>
          <t>TIPO</t>
        </is>
      </c>
      <c r="D1871" s="633" t="inlineStr">
        <is>
          <t>PREÇO UNITÁRIO</t>
        </is>
      </c>
      <c r="E1871" s="701" t="n"/>
      <c r="F1871" s="633" t="inlineStr">
        <is>
          <t>QUANTIDADE / KG</t>
        </is>
      </c>
      <c r="H1871" s="701" t="n"/>
      <c r="I1871" s="632" t="inlineStr">
        <is>
          <t>PREÇO</t>
        </is>
      </c>
      <c r="J1871" s="632" t="inlineStr">
        <is>
          <t>VALORES</t>
        </is>
      </c>
      <c r="L1871" s="701" t="n"/>
      <c r="M1871" s="649" t="n"/>
    </row>
    <row r="1872" ht="15.75" customHeight="1" s="436" thickBot="1">
      <c r="A1872" s="703" t="n"/>
      <c r="B1872" s="704" t="n"/>
      <c r="C1872" s="704" t="n"/>
      <c r="D1872" s="703" t="n"/>
      <c r="E1872" s="701" t="n"/>
      <c r="F1872" s="705" t="n"/>
      <c r="G1872" s="706" t="n"/>
      <c r="H1872" s="707" t="n"/>
      <c r="I1872" s="704" t="n"/>
      <c r="J1872" s="703" t="n"/>
      <c r="L1872" s="701" t="n"/>
      <c r="M1872" s="704" t="n"/>
    </row>
    <row r="1873" ht="15.75" customHeight="1" s="436" thickBot="1">
      <c r="A1873" s="703" t="n"/>
      <c r="B1873" s="704" t="n"/>
      <c r="C1873" s="704" t="n"/>
      <c r="D1873" s="705" t="n"/>
      <c r="E1873" s="707" t="n"/>
      <c r="F1873" s="3" t="inlineStr">
        <is>
          <t>ENTRADA</t>
        </is>
      </c>
      <c r="G1873" s="3" t="inlineStr">
        <is>
          <t>SAÍDA</t>
        </is>
      </c>
      <c r="H1873" s="640" t="n"/>
      <c r="I1873" s="633" t="inlineStr">
        <is>
          <t>MÉDIO</t>
        </is>
      </c>
      <c r="J1873" s="652" t="inlineStr">
        <is>
          <t>SALDO EM 30/11/2017</t>
        </is>
      </c>
      <c r="K1873" s="706" t="n"/>
      <c r="L1873" s="17" t="n"/>
      <c r="M1873" s="704" t="n"/>
    </row>
    <row r="1874" ht="18" customHeight="1" s="436" thickBot="1">
      <c r="A1874" s="705" t="n"/>
      <c r="B1874" s="695" t="n"/>
      <c r="C1874" s="695" t="n"/>
      <c r="D1874" s="3" t="inlineStr">
        <is>
          <t>C/ICMS</t>
        </is>
      </c>
      <c r="E1874" s="3" t="inlineStr">
        <is>
          <t>S/ICMS</t>
        </is>
      </c>
      <c r="F1874" s="695" t="n"/>
      <c r="G1874" s="695" t="n"/>
      <c r="H1874" s="84" t="inlineStr">
        <is>
          <t>Saldo em 31/07/2020</t>
        </is>
      </c>
      <c r="I1874" s="695" t="n"/>
      <c r="J1874" s="645" t="inlineStr">
        <is>
          <t>ENTRADA</t>
        </is>
      </c>
      <c r="K1874" s="633" t="inlineStr">
        <is>
          <t>SAÍDA / CMV</t>
        </is>
      </c>
      <c r="L1874" s="643" t="inlineStr">
        <is>
          <t>SALDO</t>
        </is>
      </c>
      <c r="M1874" s="392" t="n"/>
    </row>
    <row r="1875">
      <c r="A1875" s="392" t="n"/>
      <c r="B1875" s="392" t="n"/>
      <c r="C1875" s="392" t="n"/>
      <c r="D1875" s="392" t="n"/>
      <c r="E1875" s="392" t="n"/>
      <c r="F1875" s="392" t="n"/>
      <c r="G1875" s="392" t="n"/>
      <c r="H1875" s="98" t="n">
        <v>3100</v>
      </c>
      <c r="I1875" s="392" t="n"/>
      <c r="J1875" s="392" t="n"/>
      <c r="K1875" s="392" t="n"/>
      <c r="L1875" s="392" t="n"/>
      <c r="M1875" s="392" t="n"/>
    </row>
    <row r="1876">
      <c r="A1876" s="568" t="n">
        <v>44047</v>
      </c>
      <c r="B1876" s="392" t="n">
        <v>7470</v>
      </c>
      <c r="C1876" s="392" t="n"/>
      <c r="D1876" s="392" t="n">
        <v>66</v>
      </c>
      <c r="E1876" s="392" t="n"/>
      <c r="F1876" s="392" t="n"/>
      <c r="G1876" s="392" t="n">
        <v>10</v>
      </c>
      <c r="H1876" s="446">
        <f>H1875-G1876</f>
        <v/>
      </c>
      <c r="I1876" s="392" t="n"/>
      <c r="J1876" s="392" t="n"/>
      <c r="K1876" s="392" t="n"/>
      <c r="L1876" s="392" t="n"/>
      <c r="M1876" s="392" t="n"/>
    </row>
    <row r="1877">
      <c r="A1877" s="568" t="n">
        <v>44047</v>
      </c>
      <c r="B1877" s="392" t="n">
        <v>7471</v>
      </c>
      <c r="C1877" s="392" t="n"/>
      <c r="D1877" s="392" t="n">
        <v>64.2</v>
      </c>
      <c r="E1877" s="392" t="n"/>
      <c r="F1877" s="392" t="n"/>
      <c r="G1877" s="392" t="n">
        <v>50</v>
      </c>
      <c r="H1877" s="446">
        <f>H1876-G1877</f>
        <v/>
      </c>
      <c r="I1877" s="392" t="n"/>
      <c r="J1877" s="392" t="n"/>
      <c r="K1877" s="392" t="n"/>
      <c r="L1877" s="392" t="n"/>
      <c r="M1877" s="392" t="n"/>
    </row>
    <row r="1878">
      <c r="A1878" s="568" t="n">
        <v>44047</v>
      </c>
      <c r="B1878" s="392" t="n">
        <v>7473</v>
      </c>
      <c r="C1878" s="392" t="n"/>
      <c r="D1878" s="392" t="n">
        <v>61.13</v>
      </c>
      <c r="E1878" s="392" t="n"/>
      <c r="F1878" s="392" t="n"/>
      <c r="G1878" s="392" t="n">
        <v>40</v>
      </c>
      <c r="H1878" s="446">
        <f>H1877-G1878</f>
        <v/>
      </c>
      <c r="I1878" s="392" t="n"/>
      <c r="J1878" s="392" t="n"/>
      <c r="K1878" s="392" t="n"/>
      <c r="L1878" s="392" t="n"/>
      <c r="M1878" s="392" t="n"/>
    </row>
    <row r="1879">
      <c r="A1879" s="568" t="n">
        <v>44047</v>
      </c>
      <c r="B1879" s="392" t="n">
        <v>7474</v>
      </c>
      <c r="C1879" s="392" t="n"/>
      <c r="D1879" s="392" t="n">
        <v>65</v>
      </c>
      <c r="E1879" s="392" t="n"/>
      <c r="F1879" s="392" t="n"/>
      <c r="G1879" s="392" t="n">
        <v>15</v>
      </c>
      <c r="H1879" s="446">
        <f>H1878-G1879</f>
        <v/>
      </c>
      <c r="I1879" s="392" t="n"/>
      <c r="J1879" s="392" t="n"/>
      <c r="K1879" s="392" t="n"/>
      <c r="L1879" s="392" t="n"/>
      <c r="M1879" s="392" t="n"/>
    </row>
    <row r="1880">
      <c r="A1880" s="568" t="n">
        <v>44047</v>
      </c>
      <c r="B1880" s="392" t="n">
        <v>7475</v>
      </c>
      <c r="C1880" s="392" t="n"/>
      <c r="D1880" s="392" t="n">
        <v>58.94</v>
      </c>
      <c r="E1880" s="392" t="n"/>
      <c r="F1880" s="392" t="n"/>
      <c r="G1880" s="392" t="n">
        <v>15</v>
      </c>
      <c r="H1880" s="446">
        <f>H1879-G1880</f>
        <v/>
      </c>
      <c r="I1880" s="392" t="n"/>
      <c r="J1880" s="392" t="n"/>
      <c r="K1880" s="392" t="n"/>
      <c r="L1880" s="392" t="n"/>
      <c r="M1880" s="392" t="n"/>
    </row>
    <row r="1881">
      <c r="A1881" s="568" t="n">
        <v>44047</v>
      </c>
      <c r="B1881" s="392" t="n">
        <v>7476</v>
      </c>
      <c r="C1881" s="392" t="n"/>
      <c r="D1881" s="392" t="n">
        <v>61.5</v>
      </c>
      <c r="E1881" s="392" t="n"/>
      <c r="F1881" s="392" t="n"/>
      <c r="G1881" s="392" t="n">
        <v>30</v>
      </c>
      <c r="H1881" s="446">
        <f>H1880-G1881</f>
        <v/>
      </c>
      <c r="I1881" s="392" t="n"/>
      <c r="J1881" s="392" t="n"/>
      <c r="K1881" s="392" t="n"/>
      <c r="L1881" s="392" t="n"/>
      <c r="M1881" s="392" t="n"/>
    </row>
    <row r="1882">
      <c r="A1882" s="568" t="n">
        <v>44047</v>
      </c>
      <c r="B1882" s="392" t="n">
        <v>7477</v>
      </c>
      <c r="C1882" s="392" t="n"/>
      <c r="D1882" s="392" t="n">
        <v>50</v>
      </c>
      <c r="E1882" s="392" t="n"/>
      <c r="F1882" s="392" t="n"/>
      <c r="G1882" s="392" t="n">
        <v>50</v>
      </c>
      <c r="H1882" s="446">
        <f>H1881-G1882</f>
        <v/>
      </c>
      <c r="I1882" s="392" t="n"/>
      <c r="J1882" s="392" t="n"/>
      <c r="K1882" s="392" t="n"/>
      <c r="L1882" s="392" t="n"/>
      <c r="M1882" s="392" t="n"/>
    </row>
    <row r="1883">
      <c r="A1883" s="568" t="n">
        <v>44047</v>
      </c>
      <c r="B1883" s="392" t="n">
        <v>7478</v>
      </c>
      <c r="C1883" s="392" t="n"/>
      <c r="D1883" s="392" t="n">
        <v>50</v>
      </c>
      <c r="E1883" s="392" t="n"/>
      <c r="F1883" s="392" t="n"/>
      <c r="G1883" s="392" t="n">
        <v>200</v>
      </c>
      <c r="H1883" s="446">
        <f>H1882-G1883</f>
        <v/>
      </c>
      <c r="I1883" s="392" t="n"/>
      <c r="J1883" s="392" t="n"/>
      <c r="K1883" s="392" t="n"/>
      <c r="L1883" s="392" t="n"/>
      <c r="M1883" s="392" t="n"/>
    </row>
    <row r="1884">
      <c r="A1884" s="304" t="n">
        <v>44053</v>
      </c>
      <c r="B1884" s="401" t="n"/>
      <c r="C1884" s="401" t="n"/>
      <c r="D1884" s="401" t="n">
        <v>52</v>
      </c>
      <c r="E1884" s="401" t="n"/>
      <c r="F1884" s="401" t="n">
        <v>1306</v>
      </c>
      <c r="G1884" s="401" t="n"/>
      <c r="H1884" s="322" t="n">
        <v>3996</v>
      </c>
      <c r="I1884" s="392" t="n"/>
      <c r="J1884" s="392" t="n"/>
      <c r="K1884" s="392" t="n"/>
      <c r="L1884" s="392" t="n"/>
      <c r="M1884" s="392" t="n"/>
    </row>
    <row r="1885">
      <c r="A1885" s="568" t="n">
        <v>44049</v>
      </c>
      <c r="B1885" s="392" t="n">
        <v>7479</v>
      </c>
      <c r="C1885" s="392" t="n"/>
      <c r="D1885" s="392" t="n">
        <v>55</v>
      </c>
      <c r="E1885" s="392" t="n"/>
      <c r="F1885" s="392" t="n"/>
      <c r="G1885" s="392" t="n">
        <v>50</v>
      </c>
      <c r="H1885" s="446">
        <f>H1884-G1885</f>
        <v/>
      </c>
      <c r="I1885" s="392" t="n"/>
      <c r="J1885" s="392" t="n"/>
      <c r="K1885" s="392" t="n"/>
      <c r="L1885" s="392" t="n"/>
      <c r="M1885" s="392" t="n"/>
    </row>
    <row r="1886">
      <c r="A1886" s="568" t="n">
        <v>44049</v>
      </c>
      <c r="B1886" s="392" t="n">
        <v>7480</v>
      </c>
      <c r="C1886" s="392" t="n"/>
      <c r="D1886" s="392" t="n">
        <v>52</v>
      </c>
      <c r="E1886" s="392" t="n"/>
      <c r="F1886" s="392" t="n"/>
      <c r="G1886" s="392" t="n">
        <v>20</v>
      </c>
      <c r="H1886" s="446">
        <f>H1885-G1886</f>
        <v/>
      </c>
      <c r="I1886" s="392" t="n"/>
      <c r="J1886" s="392" t="n"/>
      <c r="K1886" s="392" t="n"/>
      <c r="L1886" s="392" t="n"/>
      <c r="M1886" s="392" t="n"/>
    </row>
    <row r="1887">
      <c r="A1887" s="568" t="n">
        <v>44049</v>
      </c>
      <c r="B1887" s="392" t="n">
        <v>7481</v>
      </c>
      <c r="C1887" s="392" t="n"/>
      <c r="D1887" s="392" t="n">
        <v>63</v>
      </c>
      <c r="E1887" s="392" t="n"/>
      <c r="F1887" s="392" t="n"/>
      <c r="G1887" s="392" t="n">
        <v>30</v>
      </c>
      <c r="H1887" s="446">
        <f>H1886-G1887</f>
        <v/>
      </c>
      <c r="I1887" s="392" t="n"/>
      <c r="J1887" s="392" t="n"/>
      <c r="K1887" s="392" t="n"/>
      <c r="L1887" s="392" t="n"/>
      <c r="M1887" s="392" t="n"/>
    </row>
    <row r="1888">
      <c r="A1888" s="568" t="n">
        <v>44049</v>
      </c>
      <c r="B1888" s="392" t="n">
        <v>7482</v>
      </c>
      <c r="C1888" s="392" t="n"/>
      <c r="D1888" s="392" t="n">
        <v>60</v>
      </c>
      <c r="E1888" s="392" t="n"/>
      <c r="F1888" s="392" t="n"/>
      <c r="G1888" s="392" t="n">
        <v>10</v>
      </c>
      <c r="H1888" s="446">
        <f>H1887-G1888</f>
        <v/>
      </c>
      <c r="I1888" s="392" t="n"/>
      <c r="J1888" s="392" t="n"/>
      <c r="K1888" s="392" t="n"/>
      <c r="L1888" s="392" t="n"/>
      <c r="M1888" s="392" t="n"/>
    </row>
    <row r="1889">
      <c r="A1889" s="568" t="n">
        <v>44049</v>
      </c>
      <c r="B1889" s="392" t="n">
        <v>7486</v>
      </c>
      <c r="C1889" s="392" t="n"/>
      <c r="D1889" s="392" t="n">
        <v>63</v>
      </c>
      <c r="E1889" s="392" t="n"/>
      <c r="F1889" s="392" t="n"/>
      <c r="G1889" s="392" t="n">
        <v>30</v>
      </c>
      <c r="H1889" s="446">
        <f>H1888-G1889</f>
        <v/>
      </c>
      <c r="I1889" s="392" t="n"/>
      <c r="J1889" s="392" t="n"/>
      <c r="K1889" s="392" t="n"/>
      <c r="L1889" s="392" t="n"/>
      <c r="M1889" s="392" t="n"/>
    </row>
    <row r="1890">
      <c r="A1890" s="568" t="n">
        <v>44052</v>
      </c>
      <c r="B1890" s="392" t="n">
        <v>7489</v>
      </c>
      <c r="C1890" s="392" t="n"/>
      <c r="D1890" s="392" t="n">
        <v>60</v>
      </c>
      <c r="E1890" s="392" t="n"/>
      <c r="F1890" s="392" t="n"/>
      <c r="G1890" s="392" t="n">
        <v>30</v>
      </c>
      <c r="H1890" s="446">
        <f>H1889-G1890</f>
        <v/>
      </c>
      <c r="I1890" s="392" t="n"/>
      <c r="J1890" s="392" t="n"/>
      <c r="K1890" s="392" t="n"/>
      <c r="L1890" s="392" t="n"/>
      <c r="M1890" s="392" t="n"/>
    </row>
    <row r="1891">
      <c r="A1891" s="304" t="n">
        <v>44053</v>
      </c>
      <c r="B1891" s="401" t="n">
        <v>147140</v>
      </c>
      <c r="C1891" s="401" t="n"/>
      <c r="D1891" s="401" t="n">
        <v>52.2</v>
      </c>
      <c r="E1891" s="401" t="n"/>
      <c r="F1891" s="401" t="n">
        <v>200</v>
      </c>
      <c r="G1891" s="401" t="n"/>
      <c r="H1891" s="322" t="n">
        <v>4026</v>
      </c>
      <c r="I1891" s="392" t="n"/>
      <c r="J1891" s="392" t="n"/>
      <c r="K1891" s="392" t="n"/>
      <c r="L1891" s="392" t="n"/>
      <c r="M1891" s="392" t="n"/>
    </row>
    <row r="1892">
      <c r="A1892" s="304" t="n">
        <v>44053</v>
      </c>
      <c r="B1892" s="401" t="n">
        <v>147140</v>
      </c>
      <c r="C1892" s="401" t="n"/>
      <c r="D1892" s="401" t="n">
        <v>50.7</v>
      </c>
      <c r="E1892" s="401" t="n"/>
      <c r="F1892" s="401" t="n">
        <v>600</v>
      </c>
      <c r="G1892" s="401" t="n"/>
      <c r="H1892" s="322" t="n">
        <v>4626</v>
      </c>
      <c r="I1892" s="392" t="n"/>
      <c r="J1892" s="392" t="n"/>
      <c r="K1892" s="392" t="n"/>
      <c r="L1892" s="392" t="n"/>
      <c r="M1892" s="392" t="n"/>
    </row>
    <row r="1893">
      <c r="A1893" s="568" t="n">
        <v>44055</v>
      </c>
      <c r="B1893" s="392" t="n">
        <v>7490</v>
      </c>
      <c r="C1893" s="392" t="n"/>
      <c r="D1893" s="392" t="n">
        <v>59.5</v>
      </c>
      <c r="E1893" s="392" t="n"/>
      <c r="F1893" s="392" t="n"/>
      <c r="G1893" s="392" t="n">
        <v>50</v>
      </c>
      <c r="H1893" s="446">
        <f>H1892-G1893</f>
        <v/>
      </c>
      <c r="I1893" s="392" t="n"/>
      <c r="J1893" s="392" t="n"/>
      <c r="K1893" s="392" t="n"/>
      <c r="L1893" s="392" t="n"/>
      <c r="M1893" s="392" t="n"/>
    </row>
    <row r="1894">
      <c r="A1894" s="568" t="n">
        <v>44055</v>
      </c>
      <c r="B1894" s="392" t="n">
        <v>7491</v>
      </c>
      <c r="C1894" s="392" t="n"/>
      <c r="D1894" s="392" t="n">
        <v>53</v>
      </c>
      <c r="E1894" s="392" t="n"/>
      <c r="F1894" s="392" t="n"/>
      <c r="G1894" s="392" t="n">
        <v>200</v>
      </c>
      <c r="H1894" s="446">
        <f>H1893-G1894</f>
        <v/>
      </c>
      <c r="I1894" s="392" t="n"/>
      <c r="J1894" s="392" t="n"/>
      <c r="K1894" s="392" t="n"/>
      <c r="L1894" s="392" t="n"/>
      <c r="M1894" s="392" t="n"/>
    </row>
    <row r="1895">
      <c r="A1895" s="568" t="n">
        <v>44055</v>
      </c>
      <c r="B1895" s="392" t="n">
        <v>7493</v>
      </c>
      <c r="C1895" s="392" t="n"/>
      <c r="D1895" s="392" t="n">
        <v>66</v>
      </c>
      <c r="E1895" s="392" t="n"/>
      <c r="F1895" s="392" t="n"/>
      <c r="G1895" s="392" t="n">
        <v>10</v>
      </c>
      <c r="H1895" s="446">
        <f>H1894-G1895</f>
        <v/>
      </c>
      <c r="I1895" s="392" t="n"/>
      <c r="J1895" s="392" t="n"/>
      <c r="K1895" s="392" t="n"/>
      <c r="L1895" s="392" t="n"/>
      <c r="M1895" s="392" t="n"/>
    </row>
    <row r="1896">
      <c r="A1896" s="568" t="n">
        <v>44055</v>
      </c>
      <c r="B1896" s="392" t="n">
        <v>7494</v>
      </c>
      <c r="C1896" s="392" t="n"/>
      <c r="D1896" s="392" t="n">
        <v>60</v>
      </c>
      <c r="E1896" s="392" t="n"/>
      <c r="F1896" s="392" t="n"/>
      <c r="G1896" s="392" t="n">
        <v>30</v>
      </c>
      <c r="H1896" s="446">
        <f>H1895-G1896</f>
        <v/>
      </c>
      <c r="I1896" s="392" t="n"/>
      <c r="J1896" s="392" t="n"/>
      <c r="K1896" s="392" t="n"/>
      <c r="L1896" s="392" t="n"/>
      <c r="M1896" s="392" t="n"/>
    </row>
    <row r="1897">
      <c r="A1897" s="568" t="n">
        <v>44055</v>
      </c>
      <c r="B1897" s="392" t="n">
        <v>7495</v>
      </c>
      <c r="C1897" s="392" t="n"/>
      <c r="D1897" s="392" t="n">
        <v>53</v>
      </c>
      <c r="E1897" s="392" t="n"/>
      <c r="F1897" s="392" t="n"/>
      <c r="G1897" s="392" t="n">
        <v>30</v>
      </c>
      <c r="H1897" s="446">
        <f>H1896-G1897</f>
        <v/>
      </c>
      <c r="I1897" s="392" t="n"/>
      <c r="J1897" s="392" t="n"/>
      <c r="K1897" s="392" t="n"/>
      <c r="L1897" s="392" t="n"/>
      <c r="M1897" s="392" t="n"/>
    </row>
    <row r="1898">
      <c r="A1898" s="568" t="n">
        <v>44055</v>
      </c>
      <c r="B1898" s="392" t="n">
        <v>7496</v>
      </c>
      <c r="C1898" s="392" t="n"/>
      <c r="D1898" s="392" t="n">
        <v>63</v>
      </c>
      <c r="E1898" s="392" t="n"/>
      <c r="F1898" s="392" t="n"/>
      <c r="G1898" s="392" t="n">
        <v>30</v>
      </c>
      <c r="H1898" s="446">
        <f>H1897-G1898</f>
        <v/>
      </c>
      <c r="I1898" s="392" t="n"/>
      <c r="J1898" s="392" t="n"/>
      <c r="K1898" s="392" t="n"/>
      <c r="L1898" s="392" t="n"/>
      <c r="M1898" s="392" t="n"/>
    </row>
    <row r="1899">
      <c r="A1899" s="568" t="n">
        <v>44055</v>
      </c>
      <c r="B1899" s="392" t="n">
        <v>7497</v>
      </c>
      <c r="C1899" s="392" t="n"/>
      <c r="D1899" s="392" t="n">
        <v>66</v>
      </c>
      <c r="E1899" s="392" t="n"/>
      <c r="F1899" s="392" t="n"/>
      <c r="G1899" s="392" t="n">
        <v>20</v>
      </c>
      <c r="H1899" s="446">
        <f>H1898-G1899</f>
        <v/>
      </c>
      <c r="I1899" s="392" t="n"/>
      <c r="J1899" s="392" t="n"/>
      <c r="K1899" s="392" t="n"/>
      <c r="L1899" s="392" t="n"/>
      <c r="M1899" s="392" t="n"/>
    </row>
    <row r="1900">
      <c r="A1900" s="568" t="n">
        <v>44055</v>
      </c>
      <c r="B1900" s="392" t="n">
        <v>7498</v>
      </c>
      <c r="C1900" s="392" t="n"/>
      <c r="D1900" s="392" t="n">
        <v>66</v>
      </c>
      <c r="E1900" s="392" t="n"/>
      <c r="F1900" s="392" t="n"/>
      <c r="G1900" s="392" t="n">
        <v>20</v>
      </c>
      <c r="H1900" s="446">
        <f>H1899-G1900</f>
        <v/>
      </c>
      <c r="I1900" s="392" t="n"/>
      <c r="J1900" s="392" t="n"/>
      <c r="K1900" s="392" t="n"/>
      <c r="L1900" s="392" t="n"/>
      <c r="M1900" s="392" t="n"/>
    </row>
    <row r="1901">
      <c r="A1901" s="568" t="n">
        <v>44055</v>
      </c>
      <c r="B1901" s="392" t="n">
        <v>7500</v>
      </c>
      <c r="C1901" s="392" t="n"/>
      <c r="D1901" s="392" t="n">
        <v>66</v>
      </c>
      <c r="E1901" s="392" t="n"/>
      <c r="F1901" s="392" t="n"/>
      <c r="G1901" s="392" t="n">
        <v>15</v>
      </c>
      <c r="H1901" s="446">
        <f>H1900-G1901</f>
        <v/>
      </c>
      <c r="I1901" s="392" t="n"/>
      <c r="J1901" s="392" t="n"/>
      <c r="K1901" s="392" t="n"/>
      <c r="L1901" s="392" t="n"/>
      <c r="M1901" s="392" t="n"/>
    </row>
    <row r="1902">
      <c r="A1902" s="568" t="n">
        <v>44055</v>
      </c>
      <c r="B1902" s="392" t="n">
        <v>7502</v>
      </c>
      <c r="C1902" s="392" t="n"/>
      <c r="D1902" s="392" t="n">
        <v>60</v>
      </c>
      <c r="E1902" s="392" t="n"/>
      <c r="F1902" s="392" t="n"/>
      <c r="G1902" s="392" t="n">
        <v>50</v>
      </c>
      <c r="H1902" s="446">
        <f>H1901-G1902</f>
        <v/>
      </c>
      <c r="I1902" s="392" t="n"/>
      <c r="J1902" s="392" t="n"/>
      <c r="K1902" s="392" t="n"/>
      <c r="L1902" s="392" t="n"/>
      <c r="M1902" s="392" t="n"/>
    </row>
    <row r="1903">
      <c r="A1903" s="568" t="n">
        <v>44055</v>
      </c>
      <c r="B1903" s="392" t="n">
        <v>7503</v>
      </c>
      <c r="C1903" s="392" t="n"/>
      <c r="D1903" s="392" t="n">
        <v>64</v>
      </c>
      <c r="E1903" s="392" t="n"/>
      <c r="F1903" s="392" t="n"/>
      <c r="G1903" s="392" t="n">
        <v>50</v>
      </c>
      <c r="H1903" s="446">
        <f>H1902-G1903</f>
        <v/>
      </c>
      <c r="I1903" s="392" t="n"/>
      <c r="J1903" s="392" t="n"/>
      <c r="K1903" s="392" t="n"/>
      <c r="L1903" s="392" t="n"/>
      <c r="M1903" s="392" t="n"/>
    </row>
    <row r="1904">
      <c r="A1904" s="568" t="n">
        <v>44056</v>
      </c>
      <c r="B1904" s="392" t="n">
        <v>7504</v>
      </c>
      <c r="C1904" s="392" t="n"/>
      <c r="D1904" s="392" t="n">
        <v>50</v>
      </c>
      <c r="E1904" s="392" t="n"/>
      <c r="F1904" s="392" t="n"/>
      <c r="G1904" s="392" t="n">
        <v>140</v>
      </c>
      <c r="H1904" s="446">
        <f>H1903-G1904</f>
        <v/>
      </c>
      <c r="I1904" s="392" t="n"/>
      <c r="J1904" s="392" t="n"/>
      <c r="K1904" s="392" t="n"/>
      <c r="L1904" s="392" t="n"/>
      <c r="M1904" s="392" t="n"/>
    </row>
    <row r="1905">
      <c r="A1905" s="304" t="n">
        <v>44060</v>
      </c>
      <c r="B1905" s="401" t="n">
        <v>37269</v>
      </c>
      <c r="C1905" s="401" t="n"/>
      <c r="D1905" s="401" t="n">
        <v>56.5</v>
      </c>
      <c r="E1905" s="401" t="n"/>
      <c r="F1905" s="401" t="n">
        <v>520</v>
      </c>
      <c r="G1905" s="401" t="n"/>
      <c r="H1905" s="322" t="n">
        <v>4501</v>
      </c>
      <c r="I1905" s="392" t="n"/>
      <c r="J1905" s="392" t="n"/>
      <c r="K1905" s="392" t="n"/>
      <c r="L1905" s="392" t="n"/>
      <c r="M1905" s="392" t="n"/>
    </row>
    <row r="1906">
      <c r="A1906" s="568" t="n">
        <v>44060</v>
      </c>
      <c r="B1906" s="392" t="n">
        <v>7507</v>
      </c>
      <c r="C1906" s="392" t="n"/>
      <c r="D1906" s="392" t="n">
        <v>60</v>
      </c>
      <c r="E1906" s="392" t="n"/>
      <c r="F1906" s="392" t="n"/>
      <c r="G1906" s="392" t="n">
        <v>50</v>
      </c>
      <c r="H1906" s="446">
        <f>H1904-G1906</f>
        <v/>
      </c>
      <c r="I1906" s="392" t="n"/>
      <c r="J1906" s="392" t="n"/>
      <c r="K1906" s="392" t="n"/>
      <c r="L1906" s="392" t="n"/>
      <c r="M1906" s="392" t="n"/>
    </row>
    <row r="1907">
      <c r="A1907" s="568" t="n">
        <v>44060</v>
      </c>
      <c r="B1907" s="392" t="n">
        <v>7509</v>
      </c>
      <c r="C1907" s="392" t="n"/>
      <c r="D1907" s="392" t="n">
        <v>61.88</v>
      </c>
      <c r="E1907" s="392" t="n"/>
      <c r="F1907" s="392" t="n"/>
      <c r="G1907" s="392" t="n">
        <v>40</v>
      </c>
      <c r="H1907" s="446">
        <f>H1906-G1907</f>
        <v/>
      </c>
      <c r="I1907" s="392" t="n"/>
      <c r="J1907" s="392" t="n"/>
      <c r="K1907" s="392" t="n"/>
      <c r="L1907" s="392" t="n"/>
      <c r="M1907" s="392" t="n"/>
    </row>
    <row r="1908">
      <c r="A1908" s="568" t="n">
        <v>44060</v>
      </c>
      <c r="B1908" s="392" t="n">
        <v>7510</v>
      </c>
      <c r="C1908" s="392" t="n"/>
      <c r="D1908" s="392" t="n">
        <v>66</v>
      </c>
      <c r="E1908" s="392" t="n"/>
      <c r="F1908" s="392" t="n"/>
      <c r="G1908" s="392" t="n">
        <v>50</v>
      </c>
      <c r="H1908" s="446">
        <f>H1907-G1908</f>
        <v/>
      </c>
      <c r="I1908" s="392" t="n"/>
      <c r="J1908" s="392" t="n"/>
      <c r="K1908" s="392" t="n"/>
      <c r="L1908" s="392" t="n"/>
      <c r="M1908" s="392" t="n"/>
    </row>
    <row r="1909">
      <c r="A1909" s="568" t="n">
        <v>44060</v>
      </c>
      <c r="B1909" s="392" t="n">
        <v>7511</v>
      </c>
      <c r="C1909" s="392" t="n"/>
      <c r="D1909" s="392" t="n">
        <v>64</v>
      </c>
      <c r="E1909" s="392" t="n"/>
      <c r="F1909" s="392" t="n"/>
      <c r="G1909" s="392" t="n">
        <v>30</v>
      </c>
      <c r="H1909" s="446">
        <f>H1908-G1909</f>
        <v/>
      </c>
      <c r="I1909" s="392" t="n"/>
      <c r="J1909" s="392" t="n"/>
      <c r="K1909" s="392" t="n"/>
      <c r="L1909" s="392" t="n"/>
      <c r="M1909" s="392" t="n"/>
    </row>
    <row r="1910">
      <c r="A1910" s="568" t="n">
        <v>44060</v>
      </c>
      <c r="B1910" s="392" t="n">
        <v>7512</v>
      </c>
      <c r="C1910" s="392" t="n"/>
      <c r="D1910" s="392" t="n">
        <v>52</v>
      </c>
      <c r="E1910" s="392" t="n"/>
      <c r="F1910" s="392" t="n"/>
      <c r="G1910" s="392" t="n">
        <v>200</v>
      </c>
      <c r="H1910" s="446">
        <f>H1909-G1910</f>
        <v/>
      </c>
      <c r="I1910" s="392" t="n"/>
      <c r="J1910" s="392" t="n"/>
      <c r="K1910" s="392" t="n"/>
      <c r="L1910" s="392" t="n"/>
      <c r="M1910" s="392" t="n"/>
    </row>
    <row r="1911">
      <c r="A1911" s="568" t="n">
        <v>44060</v>
      </c>
      <c r="B1911" s="392" t="n">
        <v>7513</v>
      </c>
      <c r="C1911" s="392" t="n"/>
      <c r="D1911" s="392" t="n">
        <v>63</v>
      </c>
      <c r="E1911" s="392" t="n"/>
      <c r="F1911" s="392" t="n"/>
      <c r="G1911" s="392" t="n">
        <v>20</v>
      </c>
      <c r="H1911" s="446">
        <f>H1910-G1911</f>
        <v/>
      </c>
      <c r="I1911" s="392" t="n"/>
      <c r="J1911" s="392" t="n"/>
      <c r="K1911" s="392" t="n"/>
      <c r="L1911" s="392" t="n"/>
      <c r="M1911" s="392" t="n"/>
    </row>
    <row r="1912">
      <c r="A1912" s="568" t="n">
        <v>44061</v>
      </c>
      <c r="B1912" s="392" t="n">
        <v>7514</v>
      </c>
      <c r="C1912" s="392" t="n"/>
      <c r="D1912" s="392" t="n">
        <v>64</v>
      </c>
      <c r="E1912" s="392" t="n"/>
      <c r="F1912" s="392" t="n"/>
      <c r="G1912" s="392" t="n">
        <v>50</v>
      </c>
      <c r="H1912" s="446">
        <f>H1911-G1912</f>
        <v/>
      </c>
      <c r="I1912" s="392" t="n"/>
      <c r="J1912" s="392" t="n"/>
      <c r="K1912" s="392" t="n"/>
      <c r="L1912" s="392" t="n"/>
      <c r="M1912" s="392" t="n"/>
    </row>
    <row r="1913">
      <c r="A1913" s="568" t="n">
        <v>44061</v>
      </c>
      <c r="B1913" s="392" t="n">
        <v>7515</v>
      </c>
      <c r="C1913" s="392" t="n"/>
      <c r="D1913" s="392" t="n">
        <v>60.5</v>
      </c>
      <c r="E1913" s="392" t="n"/>
      <c r="F1913" s="392" t="n"/>
      <c r="G1913" s="392" t="n">
        <v>40</v>
      </c>
      <c r="H1913" s="446">
        <f>H1912-G1913</f>
        <v/>
      </c>
      <c r="I1913" s="392" t="n"/>
      <c r="J1913" s="392" t="n"/>
      <c r="K1913" s="392" t="n"/>
      <c r="L1913" s="392" t="n"/>
      <c r="M1913" s="392" t="n"/>
    </row>
    <row r="1914">
      <c r="A1914" s="568" t="n">
        <v>44061</v>
      </c>
      <c r="B1914" s="392" t="n">
        <v>7516</v>
      </c>
      <c r="C1914" s="392" t="n"/>
      <c r="D1914" s="392" t="n">
        <v>63</v>
      </c>
      <c r="E1914" s="392" t="n"/>
      <c r="F1914" s="392" t="n"/>
      <c r="G1914" s="392" t="n">
        <v>30</v>
      </c>
      <c r="H1914" s="446">
        <f>H1913-G1914</f>
        <v/>
      </c>
      <c r="I1914" s="392" t="n"/>
      <c r="J1914" s="392" t="n"/>
      <c r="K1914" s="392" t="n"/>
      <c r="L1914" s="392" t="n"/>
      <c r="M1914" s="392" t="n"/>
    </row>
    <row r="1915">
      <c r="A1915" s="568" t="n">
        <v>44061</v>
      </c>
      <c r="B1915" s="392" t="n">
        <v>7520</v>
      </c>
      <c r="C1915" s="392" t="n"/>
      <c r="D1915" s="392" t="n">
        <v>62.13</v>
      </c>
      <c r="E1915" s="392" t="n"/>
      <c r="F1915" s="392" t="n"/>
      <c r="G1915" s="392" t="n">
        <v>40</v>
      </c>
      <c r="H1915" s="446">
        <f>H1914-G1915</f>
        <v/>
      </c>
      <c r="I1915" s="392" t="n"/>
      <c r="J1915" s="392" t="n"/>
      <c r="K1915" s="392" t="n"/>
      <c r="L1915" s="392" t="n"/>
      <c r="M1915" s="392" t="n"/>
    </row>
    <row r="1916">
      <c r="A1916" s="568" t="n">
        <v>44061</v>
      </c>
      <c r="B1916" s="392" t="n">
        <v>7522</v>
      </c>
      <c r="C1916" s="392" t="n"/>
      <c r="D1916" s="392" t="n">
        <v>66</v>
      </c>
      <c r="E1916" s="392" t="n"/>
      <c r="F1916" s="392" t="n"/>
      <c r="G1916" s="392" t="n">
        <v>15</v>
      </c>
      <c r="H1916" s="446">
        <f>H1915-G1916</f>
        <v/>
      </c>
      <c r="I1916" s="392" t="n"/>
      <c r="J1916" s="392" t="n"/>
      <c r="K1916" s="392" t="n"/>
      <c r="L1916" s="392" t="n"/>
      <c r="M1916" s="392" t="n"/>
    </row>
    <row r="1917">
      <c r="A1917" s="568" t="n">
        <v>44062</v>
      </c>
      <c r="B1917" s="392" t="n">
        <v>7523</v>
      </c>
      <c r="C1917" s="392" t="n"/>
      <c r="D1917" s="392" t="n">
        <v>60.5</v>
      </c>
      <c r="E1917" s="392" t="n"/>
      <c r="F1917" s="392" t="n"/>
      <c r="G1917" s="392" t="n">
        <v>50</v>
      </c>
      <c r="H1917" s="446">
        <f>H1916-G1917</f>
        <v/>
      </c>
      <c r="I1917" s="392" t="n"/>
      <c r="J1917" s="392" t="n"/>
      <c r="K1917" s="392" t="n"/>
      <c r="L1917" s="392" t="n"/>
      <c r="M1917" s="392" t="n"/>
    </row>
    <row r="1918">
      <c r="A1918" s="568" t="n">
        <v>44062</v>
      </c>
      <c r="B1918" s="392" t="n">
        <v>7524</v>
      </c>
      <c r="C1918" s="392" t="n"/>
      <c r="D1918" s="392" t="n">
        <v>66</v>
      </c>
      <c r="E1918" s="392" t="n"/>
      <c r="F1918" s="392" t="n"/>
      <c r="G1918" s="392" t="n">
        <v>20</v>
      </c>
      <c r="H1918" s="446">
        <f>H1917-G1918</f>
        <v/>
      </c>
      <c r="I1918" s="392" t="n"/>
      <c r="J1918" s="392" t="n"/>
      <c r="K1918" s="392" t="n"/>
      <c r="L1918" s="392" t="n"/>
      <c r="M1918" s="392" t="n"/>
    </row>
    <row r="1919">
      <c r="A1919" s="568" t="n">
        <v>44068</v>
      </c>
      <c r="B1919" s="392" t="n">
        <v>7525</v>
      </c>
      <c r="C1919" s="392" t="n"/>
      <c r="D1919" s="392" t="n">
        <v>63</v>
      </c>
      <c r="E1919" s="392" t="n"/>
      <c r="F1919" s="392" t="n"/>
      <c r="G1919" s="392" t="n">
        <v>30</v>
      </c>
      <c r="H1919" s="446">
        <f>H1918-G1919</f>
        <v/>
      </c>
      <c r="I1919" s="392" t="n"/>
      <c r="J1919" s="392" t="n"/>
      <c r="K1919" s="392" t="n"/>
      <c r="L1919" s="392" t="n"/>
      <c r="M1919" s="392" t="n"/>
    </row>
    <row r="1920">
      <c r="A1920" s="568" t="n">
        <v>44068</v>
      </c>
      <c r="B1920" s="392" t="n">
        <v>7526</v>
      </c>
      <c r="C1920" s="392" t="n"/>
      <c r="D1920" s="392" t="n">
        <v>62</v>
      </c>
      <c r="E1920" s="392" t="n"/>
      <c r="F1920" s="392" t="n"/>
      <c r="G1920" s="392" t="n">
        <v>20</v>
      </c>
      <c r="H1920" s="446">
        <f>H1919-G1920</f>
        <v/>
      </c>
      <c r="I1920" s="392" t="n"/>
      <c r="J1920" s="392" t="n"/>
      <c r="K1920" s="392" t="n"/>
      <c r="L1920" s="392" t="n"/>
      <c r="M1920" s="392" t="n"/>
    </row>
    <row r="1921">
      <c r="A1921" s="568" t="n">
        <v>44068</v>
      </c>
      <c r="B1921" s="392" t="n">
        <v>7529</v>
      </c>
      <c r="C1921" s="392" t="n"/>
      <c r="D1921" s="392" t="n">
        <v>63</v>
      </c>
      <c r="E1921" s="392" t="n"/>
      <c r="F1921" s="392" t="n"/>
      <c r="G1921" s="392" t="n">
        <v>30</v>
      </c>
      <c r="H1921" s="446">
        <f>H1920-G1921</f>
        <v/>
      </c>
      <c r="I1921" s="392" t="n"/>
      <c r="J1921" s="392" t="n"/>
      <c r="K1921" s="392" t="n"/>
      <c r="L1921" s="392" t="n"/>
      <c r="M1921" s="392" t="n"/>
    </row>
    <row r="1922">
      <c r="A1922" s="568" t="n">
        <v>44068</v>
      </c>
      <c r="B1922" s="392" t="n">
        <v>7531</v>
      </c>
      <c r="C1922" s="392" t="n"/>
      <c r="D1922" s="392" t="n">
        <v>63</v>
      </c>
      <c r="E1922" s="392" t="n"/>
      <c r="F1922" s="392" t="n"/>
      <c r="G1922" s="392" t="n">
        <v>30</v>
      </c>
      <c r="H1922" s="446">
        <f>H1921-G1922</f>
        <v/>
      </c>
      <c r="I1922" s="392" t="n"/>
      <c r="J1922" s="392" t="n"/>
      <c r="K1922" s="392" t="n"/>
      <c r="L1922" s="392" t="n"/>
      <c r="M1922" s="392" t="n"/>
    </row>
    <row r="1923">
      <c r="A1923" s="568" t="n">
        <v>44068</v>
      </c>
      <c r="B1923" s="392" t="n">
        <v>7532</v>
      </c>
      <c r="C1923" s="392" t="n"/>
      <c r="D1923" s="392" t="n">
        <v>59</v>
      </c>
      <c r="E1923" s="392" t="n"/>
      <c r="F1923" s="392" t="n"/>
      <c r="G1923" s="392" t="n">
        <v>10</v>
      </c>
      <c r="H1923" s="446">
        <f>H1922-G1923</f>
        <v/>
      </c>
      <c r="I1923" s="392" t="n"/>
      <c r="J1923" s="392" t="n"/>
      <c r="K1923" s="392" t="n"/>
      <c r="L1923" s="392" t="n"/>
      <c r="M1923" s="392" t="n"/>
    </row>
    <row r="1924">
      <c r="A1924" s="568" t="n">
        <v>44068</v>
      </c>
      <c r="B1924" s="392" t="n">
        <v>7533</v>
      </c>
      <c r="C1924" s="392" t="n"/>
      <c r="D1924" s="392" t="n">
        <v>52</v>
      </c>
      <c r="E1924" s="392" t="n"/>
      <c r="F1924" s="392" t="n"/>
      <c r="G1924" s="392" t="n">
        <v>30</v>
      </c>
      <c r="H1924" s="446">
        <f>H1923-G1924</f>
        <v/>
      </c>
      <c r="I1924" s="392" t="n"/>
      <c r="J1924" s="392" t="n"/>
      <c r="K1924" s="392" t="n"/>
      <c r="L1924" s="392" t="n"/>
      <c r="M1924" s="392" t="n"/>
    </row>
    <row r="1925">
      <c r="A1925" s="568" t="n">
        <v>44068</v>
      </c>
      <c r="B1925" s="392" t="n">
        <v>7534</v>
      </c>
      <c r="C1925" s="392" t="n"/>
      <c r="D1925" s="392" t="n">
        <v>61</v>
      </c>
      <c r="E1925" s="392" t="n"/>
      <c r="F1925" s="392" t="n"/>
      <c r="G1925" s="392" t="n">
        <v>30</v>
      </c>
      <c r="H1925" s="446">
        <f>H1924-G1925</f>
        <v/>
      </c>
      <c r="I1925" s="392" t="n"/>
      <c r="J1925" s="392" t="n"/>
      <c r="K1925" s="392" t="n"/>
      <c r="L1925" s="392" t="n"/>
      <c r="M1925" s="392" t="n"/>
    </row>
    <row r="1926">
      <c r="A1926" s="568" t="n">
        <v>44068</v>
      </c>
      <c r="B1926" s="392" t="n">
        <v>7535</v>
      </c>
      <c r="C1926" s="392" t="n"/>
      <c r="D1926" s="392" t="n">
        <v>66</v>
      </c>
      <c r="E1926" s="392" t="n"/>
      <c r="F1926" s="392" t="n"/>
      <c r="G1926" s="392" t="n">
        <v>15</v>
      </c>
      <c r="H1926" s="446">
        <f>H1925-G1926</f>
        <v/>
      </c>
      <c r="I1926" s="392" t="n"/>
      <c r="J1926" s="392" t="n"/>
      <c r="K1926" s="392" t="n"/>
      <c r="L1926" s="392" t="n"/>
      <c r="M1926" s="392" t="n"/>
    </row>
    <row r="1927">
      <c r="A1927" s="568" t="n">
        <v>44068</v>
      </c>
      <c r="B1927" s="392" t="n">
        <v>7536</v>
      </c>
      <c r="C1927" s="392" t="n"/>
      <c r="D1927" s="392" t="n">
        <v>66</v>
      </c>
      <c r="E1927" s="392" t="n"/>
      <c r="F1927" s="392" t="n"/>
      <c r="G1927" s="392" t="n">
        <v>25</v>
      </c>
      <c r="H1927" s="446">
        <f>H1926-G1927</f>
        <v/>
      </c>
      <c r="I1927" s="392" t="n"/>
      <c r="J1927" s="392" t="n"/>
      <c r="K1927" s="392" t="n"/>
      <c r="L1927" s="392" t="n"/>
      <c r="M1927" s="392" t="n"/>
    </row>
    <row r="1928">
      <c r="A1928" s="568" t="n">
        <v>44068</v>
      </c>
      <c r="B1928" s="392" t="n">
        <v>7537</v>
      </c>
      <c r="C1928" s="392" t="n"/>
      <c r="D1928" s="392" t="n">
        <v>50</v>
      </c>
      <c r="E1928" s="392" t="n"/>
      <c r="F1928" s="392" t="n"/>
      <c r="G1928" s="392" t="n">
        <v>200</v>
      </c>
      <c r="H1928" s="446">
        <f>H1927-G1928</f>
        <v/>
      </c>
      <c r="I1928" s="392" t="n"/>
      <c r="J1928" s="392" t="n"/>
      <c r="K1928" s="392" t="n"/>
      <c r="L1928" s="392" t="n"/>
      <c r="M1928" s="392" t="n"/>
    </row>
    <row r="1929">
      <c r="A1929" s="568" t="n">
        <v>44069</v>
      </c>
      <c r="B1929" s="392" t="n">
        <v>7539</v>
      </c>
      <c r="C1929" s="392" t="n"/>
      <c r="D1929" s="392" t="n">
        <v>64.5</v>
      </c>
      <c r="E1929" s="392" t="n"/>
      <c r="F1929" s="392" t="n"/>
      <c r="G1929" s="392" t="n">
        <v>12</v>
      </c>
      <c r="H1929" s="446">
        <f>H1928-G1929</f>
        <v/>
      </c>
      <c r="I1929" s="392" t="n"/>
      <c r="J1929" s="392" t="n"/>
      <c r="K1929" s="392" t="n"/>
      <c r="L1929" s="392" t="n"/>
      <c r="M1929" s="392" t="n"/>
    </row>
    <row r="1930">
      <c r="A1930" s="568" t="n">
        <v>44069</v>
      </c>
      <c r="B1930" s="392" t="n">
        <v>7540</v>
      </c>
      <c r="C1930" s="392" t="n"/>
      <c r="D1930" s="392" t="n">
        <v>60.5</v>
      </c>
      <c r="E1930" s="392" t="n"/>
      <c r="F1930" s="392" t="n"/>
      <c r="G1930" s="392" t="n">
        <v>50</v>
      </c>
      <c r="H1930" s="446">
        <f>H1929-G1930</f>
        <v/>
      </c>
      <c r="I1930" s="392" t="n"/>
      <c r="J1930" s="392" t="n"/>
      <c r="K1930" s="392" t="n"/>
      <c r="L1930" s="392" t="n"/>
      <c r="M1930" s="392" t="n"/>
    </row>
    <row r="1931">
      <c r="A1931" s="568" t="n">
        <v>44069</v>
      </c>
      <c r="B1931" s="392" t="n">
        <v>7542</v>
      </c>
      <c r="C1931" s="392" t="n"/>
      <c r="D1931" s="392" t="n">
        <v>59.25</v>
      </c>
      <c r="E1931" s="392" t="n"/>
      <c r="F1931" s="392" t="n"/>
      <c r="G1931" s="392" t="n">
        <v>40</v>
      </c>
      <c r="H1931" s="446">
        <f>H1930-G1931</f>
        <v/>
      </c>
      <c r="I1931" s="392" t="n"/>
      <c r="J1931" s="392" t="n"/>
      <c r="K1931" s="392" t="n"/>
      <c r="L1931" s="392" t="n"/>
      <c r="M1931" s="392" t="n"/>
    </row>
    <row r="1932">
      <c r="A1932" s="568" t="n">
        <v>44069</v>
      </c>
      <c r="B1932" s="392" t="n">
        <v>7543</v>
      </c>
      <c r="C1932" s="392" t="n"/>
      <c r="D1932" s="392" t="n">
        <v>66</v>
      </c>
      <c r="E1932" s="392" t="n"/>
      <c r="F1932" s="392" t="n"/>
      <c r="G1932" s="392" t="n">
        <v>20</v>
      </c>
      <c r="H1932" s="446">
        <f>H1931-G1932</f>
        <v/>
      </c>
      <c r="I1932" s="392" t="n"/>
      <c r="J1932" s="392" t="n"/>
      <c r="K1932" s="392" t="n"/>
      <c r="L1932" s="392" t="n"/>
      <c r="M1932" s="392" t="n"/>
    </row>
    <row r="1933">
      <c r="A1933" s="568" t="n">
        <v>44069</v>
      </c>
      <c r="B1933" s="392" t="n">
        <v>7544</v>
      </c>
      <c r="C1933" s="392" t="n"/>
      <c r="D1933" s="392" t="n">
        <v>66</v>
      </c>
      <c r="E1933" s="392" t="n"/>
      <c r="F1933" s="392" t="n"/>
      <c r="G1933" s="392" t="n">
        <v>20</v>
      </c>
      <c r="H1933" s="446">
        <f>H1932-G1933</f>
        <v/>
      </c>
      <c r="I1933" s="392" t="n"/>
      <c r="J1933" s="392" t="n"/>
      <c r="K1933" s="392" t="n"/>
      <c r="L1933" s="392" t="n"/>
      <c r="M1933" s="392" t="n"/>
    </row>
    <row r="1934">
      <c r="A1934" s="568" t="n">
        <v>44069</v>
      </c>
      <c r="B1934" s="392" t="n">
        <v>7545</v>
      </c>
      <c r="C1934" s="392" t="n"/>
      <c r="D1934" s="392" t="n">
        <v>63</v>
      </c>
      <c r="E1934" s="392" t="n"/>
      <c r="F1934" s="392" t="n"/>
      <c r="G1934" s="392" t="n">
        <v>10</v>
      </c>
      <c r="H1934" s="446">
        <f>H1933-G1934</f>
        <v/>
      </c>
      <c r="I1934" s="392" t="n"/>
      <c r="J1934" s="392" t="n"/>
      <c r="K1934" s="392" t="n"/>
      <c r="L1934" s="392" t="n"/>
      <c r="M1934" s="392" t="n"/>
    </row>
    <row r="1935">
      <c r="A1935" s="568" t="n">
        <v>44069</v>
      </c>
      <c r="B1935" s="392" t="n">
        <v>7546</v>
      </c>
      <c r="C1935" s="392" t="n"/>
      <c r="D1935" s="392" t="n">
        <v>63</v>
      </c>
      <c r="E1935" s="392" t="n"/>
      <c r="F1935" s="392" t="n"/>
      <c r="G1935" s="392" t="n">
        <v>20</v>
      </c>
      <c r="H1935" s="446">
        <f>H1934-G1935</f>
        <v/>
      </c>
      <c r="I1935" s="392" t="n"/>
      <c r="J1935" s="392" t="n"/>
      <c r="K1935" s="392" t="n"/>
      <c r="L1935" s="392" t="n"/>
      <c r="M1935" s="392" t="n"/>
    </row>
    <row r="1936">
      <c r="A1936" s="568" t="n">
        <v>44069</v>
      </c>
      <c r="B1936" s="392" t="n">
        <v>7547</v>
      </c>
      <c r="C1936" s="392" t="n"/>
      <c r="D1936" s="392" t="n">
        <v>66</v>
      </c>
      <c r="E1936" s="392" t="n"/>
      <c r="F1936" s="392" t="n"/>
      <c r="G1936" s="392" t="n">
        <v>15</v>
      </c>
      <c r="H1936" s="446">
        <f>H1935-G1936</f>
        <v/>
      </c>
      <c r="I1936" s="392" t="n"/>
      <c r="J1936" s="392" t="n"/>
      <c r="K1936" s="392" t="n"/>
      <c r="L1936" s="392" t="n"/>
      <c r="M1936" s="392" t="n"/>
    </row>
    <row r="1937">
      <c r="A1937" s="568" t="n">
        <v>44069</v>
      </c>
      <c r="B1937" s="392" t="n">
        <v>7548</v>
      </c>
      <c r="C1937" s="392" t="n"/>
      <c r="D1937" s="392" t="n">
        <v>66</v>
      </c>
      <c r="E1937" s="392" t="n"/>
      <c r="F1937" s="392" t="n"/>
      <c r="G1937" s="392" t="n">
        <v>20</v>
      </c>
      <c r="H1937" s="446">
        <f>H1936-G1937</f>
        <v/>
      </c>
      <c r="I1937" s="392" t="n"/>
      <c r="J1937" s="392" t="n"/>
      <c r="K1937" s="392" t="n"/>
      <c r="L1937" s="392" t="n"/>
      <c r="M1937" s="392" t="n"/>
    </row>
    <row r="1938">
      <c r="A1938" s="304" t="n">
        <v>44070</v>
      </c>
      <c r="B1938" s="401" t="n">
        <v>148263</v>
      </c>
      <c r="C1938" s="401" t="n"/>
      <c r="D1938" s="401" t="n">
        <v>52.2</v>
      </c>
      <c r="E1938" s="401" t="n"/>
      <c r="F1938" s="401" t="n">
        <v>350</v>
      </c>
      <c r="G1938" s="401" t="n"/>
      <c r="H1938" s="322" t="n">
        <v>3069</v>
      </c>
      <c r="I1938" s="392" t="n"/>
      <c r="J1938" s="392" t="n"/>
      <c r="K1938" s="392" t="n"/>
      <c r="L1938" s="392" t="n"/>
      <c r="M1938" s="392" t="n"/>
    </row>
    <row r="1939">
      <c r="A1939" s="304" t="n">
        <v>44070</v>
      </c>
      <c r="B1939" s="401" t="n">
        <v>148263</v>
      </c>
      <c r="C1939" s="401" t="n"/>
      <c r="D1939" s="401" t="n">
        <v>50.7</v>
      </c>
      <c r="E1939" s="401" t="n"/>
      <c r="F1939" s="401" t="n">
        <v>300</v>
      </c>
      <c r="G1939" s="401" t="n"/>
      <c r="H1939" s="322" t="n">
        <v>3369</v>
      </c>
      <c r="I1939" s="392" t="n"/>
      <c r="J1939" s="392" t="n"/>
      <c r="K1939" s="392" t="n"/>
      <c r="L1939" s="392" t="n"/>
      <c r="M1939" s="392" t="n"/>
    </row>
    <row r="1940">
      <c r="A1940" s="568" t="n">
        <v>44072</v>
      </c>
      <c r="B1940" s="392" t="n"/>
      <c r="C1940" s="392" t="n"/>
      <c r="D1940" s="392" t="n"/>
      <c r="E1940" s="392" t="n"/>
      <c r="F1940" s="392" t="n"/>
      <c r="G1940" s="392" t="n"/>
      <c r="H1940" s="446">
        <f>H1939-G1940</f>
        <v/>
      </c>
      <c r="I1940" s="392" t="n"/>
      <c r="J1940" s="392" t="n"/>
      <c r="K1940" s="392" t="n"/>
      <c r="L1940" s="392" t="n"/>
      <c r="M1940" s="392" t="n"/>
    </row>
    <row r="1941">
      <c r="A1941" s="568" t="n">
        <v>44073</v>
      </c>
      <c r="B1941" s="392" t="n"/>
      <c r="C1941" s="392" t="n"/>
      <c r="D1941" s="392" t="n"/>
      <c r="E1941" s="392" t="n"/>
      <c r="F1941" s="392" t="n"/>
      <c r="G1941" s="392" t="n"/>
      <c r="H1941" s="446">
        <f>H1940-G1941</f>
        <v/>
      </c>
      <c r="I1941" s="392" t="n"/>
      <c r="J1941" s="392" t="n"/>
      <c r="K1941" s="392" t="n"/>
      <c r="L1941" s="392" t="n"/>
      <c r="M1941" s="392" t="n"/>
    </row>
    <row r="1942">
      <c r="A1942" s="333" t="n"/>
      <c r="B1942" s="392" t="n"/>
      <c r="C1942" s="392" t="n"/>
      <c r="D1942" s="392" t="n"/>
      <c r="E1942" s="392" t="n"/>
      <c r="F1942" s="392" t="n"/>
      <c r="G1942" s="392" t="n"/>
      <c r="H1942" s="446">
        <f>H1941-G1942</f>
        <v/>
      </c>
      <c r="I1942" s="392" t="n"/>
      <c r="J1942" s="392" t="n"/>
      <c r="K1942" s="392" t="n"/>
      <c r="L1942" s="392" t="n"/>
      <c r="M1942" s="392" t="n"/>
    </row>
    <row r="1943" ht="15.75" customHeight="1" s="436" thickBot="1"/>
    <row r="1944" ht="32.25" customHeight="1" s="436" thickBot="1">
      <c r="A1944" s="735" t="inlineStr">
        <is>
          <t>SETEMBRO</t>
        </is>
      </c>
      <c r="B1944" s="697" t="n"/>
      <c r="C1944" s="697" t="n"/>
      <c r="D1944" s="697" t="n"/>
      <c r="E1944" s="697" t="n"/>
      <c r="F1944" s="697" t="n"/>
      <c r="G1944" s="697" t="n"/>
      <c r="H1944" s="697" t="n"/>
      <c r="I1944" s="697" t="n"/>
      <c r="J1944" s="697" t="n"/>
      <c r="K1944" s="697" t="n"/>
      <c r="L1944" s="697" t="n"/>
      <c r="M1944" s="698" t="n"/>
    </row>
    <row r="1945" ht="27" customHeight="1" s="436" thickBot="1">
      <c r="A1945" s="734" t="inlineStr">
        <is>
          <t xml:space="preserve"> FARINHA DE TRIGO TIPO: 1 - 25 KG</t>
        </is>
      </c>
      <c r="B1945" s="706" t="n"/>
      <c r="C1945" s="706" t="n"/>
      <c r="D1945" s="706" t="n"/>
      <c r="E1945" s="706" t="n"/>
      <c r="F1945" s="706" t="n"/>
      <c r="G1945" s="706" t="n"/>
      <c r="H1945" s="706" t="n"/>
      <c r="I1945" s="706" t="n"/>
      <c r="J1945" s="706" t="n"/>
      <c r="K1945" s="706" t="n"/>
      <c r="L1945" s="706" t="n"/>
      <c r="M1945" s="707" t="n"/>
    </row>
    <row r="1946">
      <c r="A1946" s="643" t="inlineStr">
        <is>
          <t>DATA</t>
        </is>
      </c>
      <c r="B1946" s="633" t="inlineStr">
        <is>
          <t>N.F.</t>
        </is>
      </c>
      <c r="C1946" s="633" t="inlineStr">
        <is>
          <t>TIPO</t>
        </is>
      </c>
      <c r="D1946" s="633" t="inlineStr">
        <is>
          <t>PREÇO UNITÁRIO</t>
        </is>
      </c>
      <c r="E1946" s="701" t="n"/>
      <c r="F1946" s="633" t="inlineStr">
        <is>
          <t>QUANTIDADE / KG</t>
        </is>
      </c>
      <c r="H1946" s="701" t="n"/>
      <c r="I1946" s="632" t="inlineStr">
        <is>
          <t>PREÇO</t>
        </is>
      </c>
      <c r="J1946" s="632" t="inlineStr">
        <is>
          <t>VALORES</t>
        </is>
      </c>
      <c r="L1946" s="701" t="n"/>
      <c r="M1946" s="649" t="n"/>
    </row>
    <row r="1947" ht="15.75" customHeight="1" s="436" thickBot="1">
      <c r="A1947" s="703" t="n"/>
      <c r="B1947" s="704" t="n"/>
      <c r="C1947" s="704" t="n"/>
      <c r="D1947" s="703" t="n"/>
      <c r="E1947" s="701" t="n"/>
      <c r="F1947" s="705" t="n"/>
      <c r="G1947" s="706" t="n"/>
      <c r="H1947" s="707" t="n"/>
      <c r="I1947" s="704" t="n"/>
      <c r="J1947" s="703" t="n"/>
      <c r="L1947" s="701" t="n"/>
      <c r="M1947" s="704" t="n"/>
    </row>
    <row r="1948" ht="15.75" customHeight="1" s="436" thickBot="1">
      <c r="A1948" s="703" t="n"/>
      <c r="B1948" s="704" t="n"/>
      <c r="C1948" s="704" t="n"/>
      <c r="D1948" s="705" t="n"/>
      <c r="E1948" s="707" t="n"/>
      <c r="F1948" s="3" t="inlineStr">
        <is>
          <t>ENTRADA</t>
        </is>
      </c>
      <c r="G1948" s="3" t="inlineStr">
        <is>
          <t>SAÍDA</t>
        </is>
      </c>
      <c r="H1948" s="640" t="n"/>
      <c r="I1948" s="633" t="inlineStr">
        <is>
          <t>MÉDIO</t>
        </is>
      </c>
      <c r="J1948" s="652" t="inlineStr">
        <is>
          <t>SALDO EM 30/11/2017</t>
        </is>
      </c>
      <c r="K1948" s="706" t="n"/>
      <c r="L1948" s="17" t="n"/>
      <c r="M1948" s="704" t="n"/>
    </row>
    <row r="1949" ht="18" customHeight="1" s="436" thickBot="1">
      <c r="A1949" s="705" t="n"/>
      <c r="B1949" s="695" t="n"/>
      <c r="C1949" s="695" t="n"/>
      <c r="D1949" s="3" t="inlineStr">
        <is>
          <t>C/ICMS</t>
        </is>
      </c>
      <c r="E1949" s="3" t="inlineStr">
        <is>
          <t>S/ICMS</t>
        </is>
      </c>
      <c r="F1949" s="695" t="n"/>
      <c r="G1949" s="695" t="n"/>
      <c r="H1949" s="84" t="inlineStr">
        <is>
          <t>Saldo em 31/08/2020</t>
        </is>
      </c>
      <c r="I1949" s="695" t="n"/>
      <c r="J1949" s="645" t="inlineStr">
        <is>
          <t>ENTRADA</t>
        </is>
      </c>
      <c r="K1949" s="633" t="inlineStr">
        <is>
          <t>SAÍDA / CMV</t>
        </is>
      </c>
      <c r="L1949" s="643" t="inlineStr">
        <is>
          <t>SALDO</t>
        </is>
      </c>
      <c r="M1949" s="392" t="n"/>
    </row>
    <row r="1950">
      <c r="A1950" s="392" t="n"/>
      <c r="B1950" s="392" t="n"/>
      <c r="C1950" s="392" t="n"/>
      <c r="D1950" s="392" t="n"/>
      <c r="E1950" s="392" t="n"/>
      <c r="F1950" s="392" t="n"/>
      <c r="G1950" s="392" t="n"/>
      <c r="H1950" s="98" t="n">
        <v>3369</v>
      </c>
      <c r="I1950" s="392" t="n"/>
      <c r="J1950" s="392" t="n"/>
      <c r="K1950" s="392" t="n"/>
      <c r="L1950" s="392" t="n"/>
      <c r="M1950" s="392" t="n"/>
    </row>
    <row r="1951">
      <c r="A1951" s="568" t="n">
        <v>44076</v>
      </c>
      <c r="B1951" s="392" t="n">
        <v>7549</v>
      </c>
      <c r="C1951" s="392" t="n"/>
      <c r="D1951" s="392" t="n">
        <v>61</v>
      </c>
      <c r="E1951" s="392" t="n"/>
      <c r="F1951" s="392" t="n"/>
      <c r="G1951" s="392" t="n">
        <v>30</v>
      </c>
      <c r="H1951" s="446">
        <f>H1950-G1951</f>
        <v/>
      </c>
      <c r="I1951" s="392" t="n"/>
      <c r="J1951" s="392" t="n"/>
      <c r="K1951" s="392" t="n"/>
      <c r="L1951" s="392" t="n"/>
      <c r="M1951" s="392" t="n"/>
    </row>
    <row r="1952">
      <c r="A1952" s="568" t="n">
        <v>44076</v>
      </c>
      <c r="B1952" s="392" t="n">
        <v>7550</v>
      </c>
      <c r="C1952" s="392" t="n"/>
      <c r="D1952" s="392" t="n">
        <v>63</v>
      </c>
      <c r="E1952" s="392" t="n"/>
      <c r="F1952" s="392" t="n"/>
      <c r="G1952" s="392" t="n">
        <v>30</v>
      </c>
      <c r="H1952" s="446">
        <f>H1951-G1952</f>
        <v/>
      </c>
      <c r="I1952" s="392" t="n"/>
      <c r="J1952" s="392" t="n"/>
      <c r="K1952" s="392" t="n"/>
      <c r="L1952" s="392" t="n"/>
      <c r="M1952" s="392" t="n"/>
    </row>
    <row r="1953">
      <c r="A1953" s="568" t="n">
        <v>44076</v>
      </c>
      <c r="B1953" s="392" t="n">
        <v>7552</v>
      </c>
      <c r="C1953" s="392" t="n"/>
      <c r="D1953" s="392" t="n">
        <v>64.2</v>
      </c>
      <c r="E1953" s="392" t="n"/>
      <c r="F1953" s="392" t="n"/>
      <c r="G1953" s="392" t="n">
        <v>50</v>
      </c>
      <c r="H1953" s="446">
        <f>H1952-G1953</f>
        <v/>
      </c>
      <c r="I1953" s="392" t="n"/>
      <c r="J1953" s="392" t="n"/>
      <c r="K1953" s="392" t="n"/>
      <c r="L1953" s="392" t="n"/>
      <c r="M1953" s="392" t="n"/>
    </row>
    <row r="1954">
      <c r="A1954" s="568" t="n">
        <v>44076</v>
      </c>
      <c r="B1954" s="392" t="n">
        <v>7553</v>
      </c>
      <c r="C1954" s="392" t="n"/>
      <c r="D1954" s="392" t="n">
        <v>62.13</v>
      </c>
      <c r="E1954" s="392" t="n"/>
      <c r="F1954" s="392" t="n"/>
      <c r="G1954" s="392" t="n">
        <v>40</v>
      </c>
      <c r="H1954" s="446">
        <f>H1953-G1954</f>
        <v/>
      </c>
      <c r="I1954" s="392" t="n"/>
      <c r="J1954" s="392" t="n"/>
      <c r="K1954" s="392" t="n"/>
      <c r="L1954" s="392" t="n"/>
      <c r="M1954" s="392" t="n"/>
    </row>
    <row r="1955">
      <c r="A1955" s="568" t="n">
        <v>44076</v>
      </c>
      <c r="B1955" s="392" t="n">
        <v>7554</v>
      </c>
      <c r="C1955" s="392" t="n"/>
      <c r="D1955" s="392" t="n">
        <v>64</v>
      </c>
      <c r="E1955" s="392" t="n"/>
      <c r="F1955" s="392" t="n"/>
      <c r="G1955" s="392" t="n">
        <v>20</v>
      </c>
      <c r="H1955" s="446">
        <f>H1954-G1955</f>
        <v/>
      </c>
      <c r="I1955" s="392" t="n"/>
      <c r="J1955" s="392" t="n"/>
      <c r="K1955" s="392" t="n"/>
      <c r="L1955" s="392" t="n"/>
      <c r="M1955" s="392" t="n"/>
    </row>
    <row r="1956">
      <c r="A1956" s="568" t="n">
        <v>44076</v>
      </c>
      <c r="B1956" s="392" t="n">
        <v>7555</v>
      </c>
      <c r="C1956" s="392" t="n"/>
      <c r="D1956" s="392" t="n">
        <v>63</v>
      </c>
      <c r="E1956" s="392" t="n"/>
      <c r="F1956" s="392" t="n"/>
      <c r="G1956" s="392" t="n">
        <v>25</v>
      </c>
      <c r="H1956" s="446">
        <f>H1955-G1956</f>
        <v/>
      </c>
      <c r="I1956" s="392" t="n"/>
      <c r="J1956" s="392" t="n"/>
      <c r="K1956" s="392" t="n"/>
      <c r="L1956" s="392" t="n"/>
      <c r="M1956" s="392" t="n"/>
    </row>
    <row r="1957">
      <c r="A1957" s="568" t="n">
        <v>44076</v>
      </c>
      <c r="B1957" s="392" t="n">
        <v>7557</v>
      </c>
      <c r="C1957" s="392" t="n"/>
      <c r="D1957" s="392" t="n">
        <v>54</v>
      </c>
      <c r="E1957" s="392" t="n"/>
      <c r="F1957" s="392" t="n"/>
      <c r="G1957" s="392" t="n">
        <v>100</v>
      </c>
      <c r="H1957" s="446">
        <f>H1956-G1957</f>
        <v/>
      </c>
      <c r="I1957" s="392" t="n"/>
      <c r="J1957" s="392" t="n"/>
      <c r="K1957" s="392" t="n"/>
      <c r="L1957" s="392" t="n"/>
      <c r="M1957" s="392" t="n"/>
    </row>
    <row r="1958">
      <c r="A1958" s="568" t="n">
        <v>44083</v>
      </c>
      <c r="B1958" s="392" t="n">
        <v>7559</v>
      </c>
      <c r="C1958" s="392" t="n"/>
      <c r="D1958" s="392" t="n">
        <v>66</v>
      </c>
      <c r="E1958" s="392" t="n"/>
      <c r="F1958" s="392" t="n"/>
      <c r="G1958" s="392" t="n">
        <v>25</v>
      </c>
      <c r="H1958" s="446">
        <f>H1957-G1958</f>
        <v/>
      </c>
      <c r="I1958" s="392" t="n"/>
      <c r="J1958" s="392" t="n"/>
      <c r="K1958" s="392" t="n"/>
      <c r="L1958" s="392" t="n"/>
      <c r="M1958" s="392" t="n"/>
    </row>
    <row r="1959">
      <c r="A1959" s="568" t="n">
        <v>44083</v>
      </c>
      <c r="B1959" s="392" t="n">
        <v>7560</v>
      </c>
      <c r="C1959" s="392" t="n"/>
      <c r="D1959" s="392" t="n">
        <v>66</v>
      </c>
      <c r="E1959" s="392" t="n"/>
      <c r="F1959" s="392" t="n"/>
      <c r="G1959" s="392" t="n">
        <v>60</v>
      </c>
      <c r="H1959" s="446">
        <f>H1958-G1959</f>
        <v/>
      </c>
      <c r="I1959" s="392" t="n"/>
      <c r="J1959" s="392" t="n"/>
      <c r="K1959" s="392" t="n"/>
      <c r="L1959" s="392" t="n"/>
      <c r="M1959" s="392" t="n"/>
    </row>
    <row r="1960">
      <c r="A1960" s="568" t="n">
        <v>44083</v>
      </c>
      <c r="B1960" s="392" t="n">
        <v>7561</v>
      </c>
      <c r="C1960" s="392" t="n"/>
      <c r="D1960" s="392" t="n">
        <v>63</v>
      </c>
      <c r="E1960" s="392" t="n"/>
      <c r="F1960" s="392" t="n"/>
      <c r="G1960" s="392" t="n">
        <v>20</v>
      </c>
      <c r="H1960" s="446">
        <f>H1959-G1960</f>
        <v/>
      </c>
      <c r="I1960" s="392" t="n"/>
      <c r="J1960" s="392" t="n"/>
      <c r="K1960" s="392" t="n"/>
      <c r="L1960" s="392" t="n"/>
      <c r="M1960" s="392" t="n"/>
    </row>
    <row r="1961">
      <c r="A1961" s="568" t="n">
        <v>44083</v>
      </c>
      <c r="B1961" s="392" t="n">
        <v>7562</v>
      </c>
      <c r="C1961" s="392" t="n"/>
      <c r="D1961" s="392" t="n">
        <v>65</v>
      </c>
      <c r="E1961" s="392" t="n"/>
      <c r="F1961" s="392" t="n"/>
      <c r="G1961" s="392" t="n">
        <v>14</v>
      </c>
      <c r="H1961" s="446">
        <f>H1960-G1961</f>
        <v/>
      </c>
      <c r="I1961" s="392" t="n"/>
      <c r="J1961" s="392" t="n"/>
      <c r="K1961" s="392" t="n"/>
      <c r="L1961" s="392" t="n"/>
      <c r="M1961" s="392" t="n"/>
    </row>
    <row r="1962">
      <c r="A1962" s="568" t="n">
        <v>44083</v>
      </c>
      <c r="B1962" s="392" t="n">
        <v>7564</v>
      </c>
      <c r="C1962" s="392" t="n"/>
      <c r="D1962" s="392" t="n">
        <v>61.5</v>
      </c>
      <c r="E1962" s="392" t="n"/>
      <c r="F1962" s="392" t="n"/>
      <c r="G1962" s="392" t="n">
        <v>40</v>
      </c>
      <c r="H1962" s="446">
        <f>H1961-G1962</f>
        <v/>
      </c>
      <c r="I1962" s="392" t="n"/>
      <c r="J1962" s="392" t="n"/>
      <c r="K1962" s="392" t="n"/>
      <c r="L1962" s="392" t="n"/>
      <c r="M1962" s="392" t="n"/>
    </row>
    <row r="1963">
      <c r="A1963" s="568" t="n">
        <v>44083</v>
      </c>
      <c r="B1963" s="392" t="n">
        <v>7565</v>
      </c>
      <c r="C1963" s="392" t="n"/>
      <c r="D1963" s="392" t="n">
        <v>61</v>
      </c>
      <c r="E1963" s="392" t="n"/>
      <c r="F1963" s="392" t="n"/>
      <c r="G1963" s="392" t="n">
        <v>30</v>
      </c>
      <c r="H1963" s="446">
        <f>H1962-G1963</f>
        <v/>
      </c>
      <c r="I1963" s="392" t="n"/>
      <c r="J1963" s="392" t="n"/>
      <c r="K1963" s="392" t="n"/>
      <c r="L1963" s="392" t="n"/>
      <c r="M1963" s="392" t="n"/>
    </row>
    <row r="1964">
      <c r="A1964" s="568" t="n">
        <v>44083</v>
      </c>
      <c r="B1964" s="392" t="n">
        <v>7566</v>
      </c>
      <c r="C1964" s="392" t="n"/>
      <c r="D1964" s="392" t="n">
        <v>52</v>
      </c>
      <c r="E1964" s="392" t="n"/>
      <c r="F1964" s="392" t="n"/>
      <c r="G1964" s="392" t="n">
        <v>30</v>
      </c>
      <c r="H1964" s="446">
        <f>H1963-G1964</f>
        <v/>
      </c>
      <c r="I1964" s="392" t="n"/>
      <c r="J1964" s="392" t="n"/>
      <c r="K1964" s="392" t="n"/>
      <c r="L1964" s="392" t="n"/>
      <c r="M1964" s="392" t="n"/>
    </row>
    <row r="1965">
      <c r="A1965" s="568" t="n">
        <v>44087</v>
      </c>
      <c r="B1965" s="392" t="n">
        <v>7568</v>
      </c>
      <c r="C1965" s="392" t="n"/>
      <c r="D1965" s="392" t="n">
        <v>57.5</v>
      </c>
      <c r="E1965" s="392" t="n"/>
      <c r="F1965" s="392" t="n"/>
      <c r="G1965" s="392" t="n">
        <v>150</v>
      </c>
      <c r="H1965" s="446">
        <f>H1964-G1965</f>
        <v/>
      </c>
      <c r="I1965" s="392" t="n"/>
      <c r="J1965" s="392" t="n"/>
      <c r="K1965" s="392" t="n"/>
      <c r="L1965" s="392" t="n"/>
      <c r="M1965" s="392" t="n"/>
    </row>
    <row r="1966">
      <c r="A1966" s="568" t="n">
        <v>44087</v>
      </c>
      <c r="B1966" s="392" t="n">
        <v>7569</v>
      </c>
      <c r="C1966" s="392" t="n"/>
      <c r="D1966" s="392" t="n">
        <v>60</v>
      </c>
      <c r="E1966" s="392" t="n"/>
      <c r="F1966" s="392" t="n"/>
      <c r="G1966" s="392" t="n">
        <v>20</v>
      </c>
      <c r="H1966" s="446">
        <f>H1965-G1966</f>
        <v/>
      </c>
      <c r="I1966" s="392" t="n"/>
      <c r="J1966" s="392" t="n"/>
      <c r="K1966" s="392" t="n"/>
      <c r="L1966" s="392" t="n"/>
      <c r="M1966" s="392" t="n"/>
    </row>
    <row r="1967">
      <c r="A1967" s="568" t="n">
        <v>44088</v>
      </c>
      <c r="B1967" s="392" t="n">
        <v>7570</v>
      </c>
      <c r="C1967" s="392" t="n"/>
      <c r="D1967" s="392" t="n">
        <v>64</v>
      </c>
      <c r="E1967" s="392" t="n"/>
      <c r="F1967" s="392" t="n"/>
      <c r="G1967" s="392" t="n">
        <v>30</v>
      </c>
      <c r="H1967" s="446">
        <f>H1966-G1967</f>
        <v/>
      </c>
      <c r="I1967" s="392" t="n"/>
      <c r="J1967" s="392" t="n"/>
      <c r="K1967" s="392" t="n"/>
      <c r="L1967" s="392" t="n"/>
      <c r="M1967" s="392" t="n"/>
    </row>
    <row r="1968">
      <c r="A1968" s="568" t="n">
        <v>44088</v>
      </c>
      <c r="B1968" s="392" t="n">
        <v>7571</v>
      </c>
      <c r="C1968" s="392" t="n"/>
      <c r="D1968" s="392" t="n">
        <v>60.5</v>
      </c>
      <c r="E1968" s="392" t="n"/>
      <c r="F1968" s="392" t="n"/>
      <c r="G1968" s="392" t="n">
        <v>50</v>
      </c>
      <c r="H1968" s="446">
        <f>H1967-G1968</f>
        <v/>
      </c>
      <c r="I1968" s="392" t="n"/>
      <c r="J1968" s="392" t="n"/>
      <c r="K1968" s="392" t="n"/>
      <c r="L1968" s="392" t="n"/>
      <c r="M1968" s="392" t="n"/>
    </row>
    <row r="1969">
      <c r="A1969" s="568" t="n">
        <v>44088</v>
      </c>
      <c r="B1969" s="392" t="n">
        <v>7574</v>
      </c>
      <c r="C1969" s="392" t="n"/>
      <c r="D1969" s="392" t="n">
        <v>65</v>
      </c>
      <c r="E1969" s="392" t="n"/>
      <c r="F1969" s="392" t="n"/>
      <c r="G1969" s="392" t="n">
        <v>50</v>
      </c>
      <c r="H1969" s="446">
        <f>H1968-G1969</f>
        <v/>
      </c>
      <c r="I1969" s="392" t="n"/>
      <c r="J1969" s="392" t="n"/>
      <c r="K1969" s="392" t="n"/>
      <c r="L1969" s="392" t="n"/>
      <c r="M1969" s="392" t="n"/>
    </row>
    <row r="1970">
      <c r="A1970" s="568" t="n">
        <v>44088</v>
      </c>
      <c r="B1970" s="392" t="n">
        <v>7576</v>
      </c>
      <c r="C1970" s="392" t="n"/>
      <c r="D1970" s="392" t="n">
        <v>66</v>
      </c>
      <c r="E1970" s="392" t="n"/>
      <c r="F1970" s="392" t="n"/>
      <c r="G1970" s="392" t="n">
        <v>15</v>
      </c>
      <c r="H1970" s="446">
        <f>H1969-G1970</f>
        <v/>
      </c>
      <c r="I1970" s="392" t="n"/>
      <c r="J1970" s="392" t="n"/>
      <c r="K1970" s="392" t="n"/>
      <c r="L1970" s="392" t="n"/>
      <c r="M1970" s="392" t="n"/>
    </row>
    <row r="1971">
      <c r="A1971" s="568" t="n">
        <v>44088</v>
      </c>
      <c r="B1971" s="392" t="n">
        <v>7576</v>
      </c>
      <c r="C1971" s="392" t="n"/>
      <c r="D1971" s="392" t="n">
        <v>65</v>
      </c>
      <c r="E1971" s="392" t="n"/>
      <c r="F1971" s="392" t="n"/>
      <c r="G1971" s="392" t="n">
        <v>10</v>
      </c>
      <c r="H1971" s="446">
        <f>H1970-G1971</f>
        <v/>
      </c>
      <c r="I1971" s="392" t="n"/>
      <c r="J1971" s="392" t="n"/>
      <c r="K1971" s="392" t="n"/>
      <c r="L1971" s="392" t="n"/>
      <c r="M1971" s="392" t="n"/>
    </row>
    <row r="1972">
      <c r="A1972" s="304" t="n">
        <v>44089</v>
      </c>
      <c r="B1972" s="401" t="n">
        <v>37274</v>
      </c>
      <c r="C1972" s="401" t="n"/>
      <c r="D1972" s="401" t="n">
        <v>52</v>
      </c>
      <c r="E1972" s="401" t="n"/>
      <c r="F1972" s="401" t="n">
        <v>420</v>
      </c>
      <c r="G1972" s="401" t="n"/>
      <c r="H1972" s="322" t="n">
        <v>2950</v>
      </c>
      <c r="I1972" s="392" t="n"/>
      <c r="J1972" s="392" t="n"/>
      <c r="K1972" s="392" t="n"/>
      <c r="L1972" s="392" t="n"/>
      <c r="M1972" s="392" t="n"/>
    </row>
    <row r="1973">
      <c r="A1973" s="568" t="n">
        <v>44091</v>
      </c>
      <c r="B1973" s="392" t="n">
        <v>7579</v>
      </c>
      <c r="C1973" s="392" t="n"/>
      <c r="D1973" s="392" t="n">
        <v>63</v>
      </c>
      <c r="E1973" s="392" t="n"/>
      <c r="F1973" s="392" t="n"/>
      <c r="G1973" s="392" t="n">
        <v>30</v>
      </c>
      <c r="H1973" s="446">
        <f>H1972-G1973</f>
        <v/>
      </c>
      <c r="I1973" s="392" t="n"/>
      <c r="J1973" s="392" t="n"/>
      <c r="K1973" s="392" t="n"/>
      <c r="L1973" s="392" t="n"/>
      <c r="M1973" s="392" t="n"/>
    </row>
    <row r="1974">
      <c r="A1974" s="568" t="n">
        <v>44091</v>
      </c>
      <c r="B1974" s="392" t="n">
        <v>7580</v>
      </c>
      <c r="C1974" s="392" t="n"/>
      <c r="D1974" s="392" t="n">
        <v>62.5</v>
      </c>
      <c r="E1974" s="392" t="n"/>
      <c r="F1974" s="392" t="n"/>
      <c r="G1974" s="392" t="n">
        <v>20</v>
      </c>
      <c r="H1974" s="446">
        <f>H1973-G1974</f>
        <v/>
      </c>
      <c r="I1974" s="392" t="n"/>
      <c r="J1974" s="392" t="n"/>
      <c r="K1974" s="392" t="n"/>
      <c r="L1974" s="392" t="n"/>
      <c r="M1974" s="392" t="n"/>
    </row>
    <row r="1975">
      <c r="A1975" s="568" t="n">
        <v>44091</v>
      </c>
      <c r="B1975" s="392" t="n">
        <v>7581</v>
      </c>
      <c r="C1975" s="392" t="n"/>
      <c r="D1975" s="392" t="n">
        <v>62.5</v>
      </c>
      <c r="E1975" s="392" t="n"/>
      <c r="F1975" s="392" t="n"/>
      <c r="G1975" s="392" t="n">
        <v>30</v>
      </c>
      <c r="H1975" s="446">
        <f>H1974-G1975</f>
        <v/>
      </c>
      <c r="I1975" s="392" t="n"/>
      <c r="J1975" s="392" t="n"/>
      <c r="K1975" s="392" t="n"/>
      <c r="L1975" s="392" t="n"/>
      <c r="M1975" s="392" t="n"/>
    </row>
    <row r="1976">
      <c r="A1976" s="568" t="n">
        <v>44095</v>
      </c>
      <c r="B1976" s="392" t="n">
        <v>7583</v>
      </c>
      <c r="C1976" s="392" t="n"/>
      <c r="D1976" s="392" t="n">
        <v>66</v>
      </c>
      <c r="E1976" s="392" t="n"/>
      <c r="F1976" s="392" t="n"/>
      <c r="G1976" s="392" t="n">
        <v>20</v>
      </c>
      <c r="H1976" s="446">
        <f>H1975-G1976</f>
        <v/>
      </c>
      <c r="I1976" s="392" t="n"/>
      <c r="J1976" s="392" t="n"/>
      <c r="K1976" s="392" t="n"/>
      <c r="L1976" s="392" t="n"/>
      <c r="M1976" s="392" t="n"/>
    </row>
    <row r="1977">
      <c r="A1977" s="568" t="n">
        <v>44095</v>
      </c>
      <c r="B1977" s="392" t="n">
        <v>7584</v>
      </c>
      <c r="C1977" s="392" t="n"/>
      <c r="D1977" s="392" t="n">
        <v>66</v>
      </c>
      <c r="E1977" s="392" t="n"/>
      <c r="F1977" s="392" t="n"/>
      <c r="G1977" s="392" t="n">
        <v>50</v>
      </c>
      <c r="H1977" s="446">
        <f>H1976-G1977</f>
        <v/>
      </c>
      <c r="I1977" s="392" t="n"/>
      <c r="J1977" s="392" t="n"/>
      <c r="K1977" s="392" t="n"/>
      <c r="L1977" s="392" t="n"/>
      <c r="M1977" s="392" t="n"/>
    </row>
    <row r="1978">
      <c r="A1978" s="568" t="n">
        <v>44095</v>
      </c>
      <c r="B1978" s="392" t="n">
        <v>7585</v>
      </c>
      <c r="C1978" s="392" t="n"/>
      <c r="D1978" s="392" t="n">
        <v>64</v>
      </c>
      <c r="E1978" s="392" t="n"/>
      <c r="F1978" s="392" t="n"/>
      <c r="G1978" s="392" t="n">
        <v>45</v>
      </c>
      <c r="H1978" s="446">
        <f>H1977-G1978</f>
        <v/>
      </c>
      <c r="I1978" s="392" t="n"/>
      <c r="J1978" s="392" t="n"/>
      <c r="K1978" s="392" t="n"/>
      <c r="L1978" s="392" t="n"/>
      <c r="M1978" s="392" t="n"/>
    </row>
    <row r="1979">
      <c r="A1979" s="568" t="n">
        <v>44095</v>
      </c>
      <c r="B1979" s="392" t="n">
        <v>7587</v>
      </c>
      <c r="C1979" s="392" t="n"/>
      <c r="D1979" s="392" t="n">
        <v>62.5</v>
      </c>
      <c r="E1979" s="392" t="n"/>
      <c r="F1979" s="392" t="n"/>
      <c r="G1979" s="392" t="n">
        <v>20</v>
      </c>
      <c r="H1979" s="446">
        <f>H1978-G1979</f>
        <v/>
      </c>
      <c r="I1979" s="392" t="n"/>
      <c r="J1979" s="392" t="n"/>
      <c r="K1979" s="392" t="n"/>
      <c r="L1979" s="392" t="n"/>
      <c r="M1979" s="392" t="n"/>
    </row>
    <row r="1980">
      <c r="A1980" s="568" t="n">
        <v>44095</v>
      </c>
      <c r="B1980" s="392" t="n">
        <v>7588</v>
      </c>
      <c r="C1980" s="392" t="n"/>
      <c r="D1980" s="392" t="n">
        <v>66</v>
      </c>
      <c r="E1980" s="392" t="n"/>
      <c r="F1980" s="392" t="n"/>
      <c r="G1980" s="392" t="n">
        <v>50</v>
      </c>
      <c r="H1980" s="446">
        <f>H1979-G1980</f>
        <v/>
      </c>
      <c r="I1980" s="392" t="n"/>
      <c r="J1980" s="392" t="n"/>
      <c r="K1980" s="392" t="n"/>
      <c r="L1980" s="392" t="n"/>
      <c r="M1980" s="392" t="n"/>
    </row>
    <row r="1981">
      <c r="A1981" s="568" t="n">
        <v>44095</v>
      </c>
      <c r="B1981" s="392" t="n">
        <v>7589</v>
      </c>
      <c r="C1981" s="392" t="n"/>
      <c r="D1981" s="392" t="n">
        <v>66</v>
      </c>
      <c r="E1981" s="392" t="n"/>
      <c r="F1981" s="392" t="n"/>
      <c r="G1981" s="392" t="n">
        <v>25</v>
      </c>
      <c r="H1981" s="446">
        <f>H1980-G1981</f>
        <v/>
      </c>
      <c r="I1981" s="392" t="n"/>
      <c r="J1981" s="392" t="n"/>
      <c r="K1981" s="392" t="n"/>
      <c r="L1981" s="392" t="n"/>
      <c r="M1981" s="392" t="n"/>
    </row>
    <row r="1982">
      <c r="A1982" s="568" t="n">
        <v>44095</v>
      </c>
      <c r="B1982" s="392" t="n">
        <v>7590</v>
      </c>
      <c r="C1982" s="392" t="n"/>
      <c r="D1982" s="392" t="n">
        <v>61</v>
      </c>
      <c r="E1982" s="392" t="n"/>
      <c r="F1982" s="392" t="n"/>
      <c r="G1982" s="392" t="n">
        <v>20</v>
      </c>
      <c r="H1982" s="446">
        <f>H1981-G1982</f>
        <v/>
      </c>
      <c r="I1982" s="392" t="n"/>
      <c r="J1982" s="392" t="n"/>
      <c r="K1982" s="392" t="n"/>
      <c r="L1982" s="392" t="n"/>
      <c r="M1982" s="392" t="n"/>
    </row>
    <row r="1983">
      <c r="A1983" s="568" t="n">
        <v>44096</v>
      </c>
      <c r="B1983" s="392" t="n">
        <v>7592</v>
      </c>
      <c r="C1983" s="392" t="n"/>
      <c r="D1983" s="392" t="n">
        <v>60.5</v>
      </c>
      <c r="E1983" s="392" t="n"/>
      <c r="F1983" s="392" t="n"/>
      <c r="G1983" s="392" t="n">
        <v>100</v>
      </c>
      <c r="H1983" s="446">
        <f>H1982-G1983</f>
        <v/>
      </c>
      <c r="I1983" s="392" t="n"/>
      <c r="J1983" s="392" t="n"/>
      <c r="K1983" s="392" t="n"/>
      <c r="L1983" s="392" t="n"/>
      <c r="M1983" s="392" t="n"/>
    </row>
    <row r="1984">
      <c r="A1984" s="568" t="n">
        <v>44096</v>
      </c>
      <c r="B1984" s="392" t="n">
        <v>7593</v>
      </c>
      <c r="C1984" s="392" t="n"/>
      <c r="D1984" s="392" t="n">
        <v>57</v>
      </c>
      <c r="E1984" s="392" t="n"/>
      <c r="F1984" s="392" t="n"/>
      <c r="G1984" s="392" t="n">
        <v>50</v>
      </c>
      <c r="H1984" s="446">
        <f>H1983-G1984</f>
        <v/>
      </c>
      <c r="I1984" s="392" t="n"/>
      <c r="J1984" s="392" t="n"/>
      <c r="K1984" s="392" t="n"/>
      <c r="L1984" s="392" t="n"/>
      <c r="M1984" s="392" t="n"/>
    </row>
    <row r="1985">
      <c r="A1985" s="568" t="n">
        <v>44096</v>
      </c>
      <c r="B1985" s="392" t="n">
        <v>7594</v>
      </c>
      <c r="C1985" s="392" t="n"/>
      <c r="D1985" s="392" t="n">
        <v>63</v>
      </c>
      <c r="E1985" s="392" t="n"/>
      <c r="F1985" s="392" t="n"/>
      <c r="G1985" s="392" t="n">
        <v>30</v>
      </c>
      <c r="H1985" s="446">
        <f>H1984-G1985</f>
        <v/>
      </c>
      <c r="I1985" s="392" t="n"/>
      <c r="J1985" s="392" t="n"/>
      <c r="K1985" s="392" t="n"/>
      <c r="L1985" s="392" t="n"/>
      <c r="M1985" s="392" t="n"/>
    </row>
    <row r="1986">
      <c r="A1986" s="568" t="n">
        <v>44096</v>
      </c>
      <c r="B1986" s="392" t="n">
        <v>7595</v>
      </c>
      <c r="C1986" s="392" t="n"/>
      <c r="D1986" s="392" t="n">
        <v>63</v>
      </c>
      <c r="E1986" s="392" t="n"/>
      <c r="F1986" s="392" t="n"/>
      <c r="G1986" s="392" t="n">
        <v>30</v>
      </c>
      <c r="H1986" s="446">
        <f>H1985-G1986</f>
        <v/>
      </c>
      <c r="I1986" s="392" t="n"/>
      <c r="J1986" s="392" t="n"/>
      <c r="K1986" s="392" t="n"/>
      <c r="L1986" s="392" t="n"/>
      <c r="M1986" s="392" t="n"/>
    </row>
    <row r="1987">
      <c r="A1987" s="568" t="n">
        <v>44096</v>
      </c>
      <c r="B1987" s="392" t="n">
        <v>7596</v>
      </c>
      <c r="C1987" s="392" t="n"/>
      <c r="D1987" s="392" t="n">
        <v>55</v>
      </c>
      <c r="E1987" s="392" t="n"/>
      <c r="F1987" s="392" t="n"/>
      <c r="G1987" s="392" t="n">
        <v>120</v>
      </c>
      <c r="H1987" s="446">
        <f>H1986-G1987</f>
        <v/>
      </c>
      <c r="I1987" s="392" t="n"/>
      <c r="J1987" s="392" t="n"/>
      <c r="K1987" s="392" t="n"/>
      <c r="L1987" s="392" t="n"/>
      <c r="M1987" s="392" t="n"/>
    </row>
    <row r="1988">
      <c r="A1988" s="568" t="n">
        <v>44096</v>
      </c>
      <c r="B1988" s="392" t="n">
        <v>7597</v>
      </c>
      <c r="C1988" s="392" t="n"/>
      <c r="D1988" s="392" t="n">
        <v>62.67</v>
      </c>
      <c r="E1988" s="392" t="n"/>
      <c r="F1988" s="392" t="n"/>
      <c r="G1988" s="392" t="n">
        <v>36</v>
      </c>
      <c r="H1988" s="446">
        <f>H1987-G1988</f>
        <v/>
      </c>
      <c r="I1988" s="392" t="n"/>
      <c r="J1988" s="392" t="n"/>
      <c r="K1988" s="392" t="n"/>
      <c r="L1988" s="392" t="n"/>
      <c r="M1988" s="392" t="n"/>
    </row>
    <row r="1989">
      <c r="A1989" s="568" t="n">
        <v>44098</v>
      </c>
      <c r="B1989" s="392" t="n">
        <v>7599</v>
      </c>
      <c r="C1989" s="392" t="n"/>
      <c r="D1989" s="392" t="n">
        <v>63</v>
      </c>
      <c r="E1989" s="392" t="n"/>
      <c r="F1989" s="392" t="n"/>
      <c r="G1989" s="392" t="n">
        <v>30</v>
      </c>
      <c r="H1989" s="446">
        <f>H1988-G1989</f>
        <v/>
      </c>
      <c r="I1989" s="392" t="n"/>
      <c r="J1989" s="392" t="n"/>
      <c r="K1989" s="392" t="n"/>
      <c r="L1989" s="392" t="n"/>
      <c r="M1989" s="392" t="n"/>
    </row>
    <row r="1990">
      <c r="A1990" s="568" t="n">
        <v>44103</v>
      </c>
      <c r="B1990" s="392" t="n">
        <v>7602</v>
      </c>
      <c r="C1990" s="392" t="n"/>
      <c r="D1990" s="392" t="n">
        <v>61</v>
      </c>
      <c r="E1990" s="392" t="n"/>
      <c r="F1990" s="392" t="n"/>
      <c r="G1990" s="392" t="n">
        <v>30</v>
      </c>
      <c r="H1990" s="446">
        <f>H1989-G1990</f>
        <v/>
      </c>
      <c r="I1990" s="392" t="n"/>
      <c r="J1990" s="392" t="n"/>
      <c r="K1990" s="392" t="n"/>
      <c r="L1990" s="392" t="n"/>
      <c r="M1990" s="392" t="n"/>
    </row>
    <row r="1991">
      <c r="A1991" s="568" t="n">
        <v>44103</v>
      </c>
      <c r="B1991" s="392" t="n">
        <v>7603</v>
      </c>
      <c r="C1991" s="392" t="n"/>
      <c r="D1991" s="392" t="n">
        <v>61</v>
      </c>
      <c r="E1991" s="392" t="n"/>
      <c r="F1991" s="392" t="n"/>
      <c r="G1991" s="392" t="n">
        <v>40</v>
      </c>
      <c r="H1991" s="446">
        <f>H1990-G1991</f>
        <v/>
      </c>
      <c r="I1991" s="392" t="n"/>
      <c r="J1991" s="392" t="n"/>
      <c r="K1991" s="392" t="n"/>
      <c r="L1991" s="392" t="n"/>
      <c r="M1991" s="392" t="n"/>
    </row>
    <row r="1992">
      <c r="A1992" s="568" t="n">
        <v>44103</v>
      </c>
      <c r="B1992" s="392" t="n">
        <v>7605</v>
      </c>
      <c r="C1992" s="392" t="n"/>
      <c r="D1992" s="392" t="n">
        <v>63</v>
      </c>
      <c r="E1992" s="392" t="n"/>
      <c r="F1992" s="392" t="n"/>
      <c r="G1992" s="392" t="n">
        <v>30</v>
      </c>
      <c r="H1992" s="446">
        <f>H1991-G1992</f>
        <v/>
      </c>
      <c r="I1992" s="392" t="n"/>
      <c r="J1992" s="392" t="n"/>
      <c r="K1992" s="392" t="n"/>
      <c r="L1992" s="392" t="n"/>
      <c r="M1992" s="392" t="n"/>
    </row>
    <row r="1993">
      <c r="A1993" s="568" t="n">
        <v>44103</v>
      </c>
      <c r="B1993" s="392" t="n">
        <v>7608</v>
      </c>
      <c r="C1993" s="392" t="n"/>
      <c r="D1993" s="392" t="n">
        <v>60.5</v>
      </c>
      <c r="E1993" s="392" t="n"/>
      <c r="F1993" s="392" t="n"/>
      <c r="G1993" s="392" t="n">
        <v>50</v>
      </c>
      <c r="H1993" s="446">
        <f>H1992-G1993</f>
        <v/>
      </c>
      <c r="I1993" s="392" t="n"/>
      <c r="J1993" s="392" t="n"/>
      <c r="K1993" s="392" t="n"/>
      <c r="L1993" s="392" t="n"/>
      <c r="M1993" s="392" t="n"/>
    </row>
    <row r="1994">
      <c r="A1994" s="568" t="n"/>
      <c r="B1994" s="392" t="n"/>
      <c r="C1994" s="392" t="n"/>
      <c r="D1994" s="392" t="n"/>
      <c r="E1994" s="392" t="n"/>
      <c r="F1994" s="392" t="n"/>
      <c r="G1994" s="392" t="n"/>
      <c r="H1994" s="446">
        <f>H1993-G1994</f>
        <v/>
      </c>
      <c r="I1994" s="392" t="n"/>
      <c r="J1994" s="392" t="n"/>
      <c r="K1994" s="392" t="n"/>
      <c r="L1994" s="392" t="n"/>
      <c r="M1994" s="392" t="n"/>
    </row>
    <row r="1995">
      <c r="A1995" s="568" t="n"/>
      <c r="B1995" s="392" t="n"/>
      <c r="C1995" s="392" t="n"/>
      <c r="D1995" s="392" t="n"/>
      <c r="E1995" s="392" t="n"/>
      <c r="F1995" s="392" t="n"/>
      <c r="G1995" s="392" t="n"/>
      <c r="H1995" s="446">
        <f>H1994-G1995</f>
        <v/>
      </c>
      <c r="I1995" s="392" t="n"/>
      <c r="J1995" s="392" t="n"/>
      <c r="K1995" s="392" t="n"/>
      <c r="L1995" s="392" t="n"/>
      <c r="M1995" s="392" t="n"/>
    </row>
    <row r="1996" ht="15.75" customHeight="1" s="436" thickBot="1"/>
    <row r="1997" ht="32.25" customHeight="1" s="436" thickBot="1">
      <c r="A1997" s="735" t="inlineStr">
        <is>
          <t>Outubro</t>
        </is>
      </c>
      <c r="B1997" s="697" t="n"/>
      <c r="C1997" s="697" t="n"/>
      <c r="D1997" s="697" t="n"/>
      <c r="E1997" s="697" t="n"/>
      <c r="F1997" s="697" t="n"/>
      <c r="G1997" s="697" t="n"/>
      <c r="H1997" s="697" t="n"/>
      <c r="I1997" s="697" t="n"/>
      <c r="J1997" s="697" t="n"/>
      <c r="K1997" s="697" t="n"/>
      <c r="L1997" s="697" t="n"/>
      <c r="M1997" s="698" t="n"/>
    </row>
    <row r="1998" ht="27" customHeight="1" s="436" thickBot="1">
      <c r="A1998" s="734" t="inlineStr">
        <is>
          <t xml:space="preserve"> FARINHA DE TRIGO TIPO: 1 - 25 KG</t>
        </is>
      </c>
      <c r="B1998" s="706" t="n"/>
      <c r="C1998" s="706" t="n"/>
      <c r="D1998" s="706" t="n"/>
      <c r="E1998" s="706" t="n"/>
      <c r="F1998" s="706" t="n"/>
      <c r="G1998" s="706" t="n"/>
      <c r="H1998" s="706" t="n"/>
      <c r="I1998" s="706" t="n"/>
      <c r="J1998" s="706" t="n"/>
      <c r="K1998" s="706" t="n"/>
      <c r="L1998" s="706" t="n"/>
      <c r="M1998" s="707" t="n"/>
    </row>
    <row r="1999">
      <c r="A1999" s="643" t="inlineStr">
        <is>
          <t>DATA</t>
        </is>
      </c>
      <c r="B1999" s="633" t="inlineStr">
        <is>
          <t>N.F.</t>
        </is>
      </c>
      <c r="C1999" s="633" t="inlineStr">
        <is>
          <t>TIPO</t>
        </is>
      </c>
      <c r="D1999" s="633" t="inlineStr">
        <is>
          <t>PREÇO UNITÁRIO</t>
        </is>
      </c>
      <c r="E1999" s="701" t="n"/>
      <c r="F1999" s="633" t="inlineStr">
        <is>
          <t>QUANTIDADE / KG</t>
        </is>
      </c>
      <c r="H1999" s="701" t="n"/>
      <c r="I1999" s="632" t="inlineStr">
        <is>
          <t>PREÇO</t>
        </is>
      </c>
      <c r="J1999" s="632" t="inlineStr">
        <is>
          <t>VALORES</t>
        </is>
      </c>
      <c r="L1999" s="701" t="n"/>
      <c r="M1999" s="649" t="n"/>
    </row>
    <row r="2000" ht="15.75" customHeight="1" s="436" thickBot="1">
      <c r="A2000" s="703" t="n"/>
      <c r="B2000" s="704" t="n"/>
      <c r="C2000" s="704" t="n"/>
      <c r="D2000" s="703" t="n"/>
      <c r="E2000" s="701" t="n"/>
      <c r="F2000" s="705" t="n"/>
      <c r="G2000" s="706" t="n"/>
      <c r="H2000" s="707" t="n"/>
      <c r="I2000" s="704" t="n"/>
      <c r="J2000" s="703" t="n"/>
      <c r="L2000" s="701" t="n"/>
      <c r="M2000" s="704" t="n"/>
    </row>
    <row r="2001" ht="15.75" customHeight="1" s="436" thickBot="1">
      <c r="A2001" s="703" t="n"/>
      <c r="B2001" s="704" t="n"/>
      <c r="C2001" s="704" t="n"/>
      <c r="D2001" s="705" t="n"/>
      <c r="E2001" s="707" t="n"/>
      <c r="F2001" s="3" t="inlineStr">
        <is>
          <t>ENTRADA</t>
        </is>
      </c>
      <c r="G2001" s="3" t="inlineStr">
        <is>
          <t>SAÍDA</t>
        </is>
      </c>
      <c r="H2001" s="640" t="n"/>
      <c r="I2001" s="633" t="inlineStr">
        <is>
          <t>MÉDIO</t>
        </is>
      </c>
      <c r="J2001" s="652" t="inlineStr">
        <is>
          <t>SALDO EM 30/11/2017</t>
        </is>
      </c>
      <c r="K2001" s="706" t="n"/>
      <c r="L2001" s="17" t="n"/>
      <c r="M2001" s="704" t="n"/>
    </row>
    <row r="2002" ht="18" customHeight="1" s="436" thickBot="1">
      <c r="A2002" s="705" t="n"/>
      <c r="B2002" s="695" t="n"/>
      <c r="C2002" s="695" t="n"/>
      <c r="D2002" s="3" t="inlineStr">
        <is>
          <t>C/ICMS</t>
        </is>
      </c>
      <c r="E2002" s="3" t="inlineStr">
        <is>
          <t>S/ICMS</t>
        </is>
      </c>
      <c r="F2002" s="695" t="n"/>
      <c r="G2002" s="695" t="n"/>
      <c r="H2002" s="84" t="inlineStr">
        <is>
          <t>Saldo em 30/09/2020</t>
        </is>
      </c>
      <c r="I2002" s="695" t="n"/>
      <c r="J2002" s="645" t="inlineStr">
        <is>
          <t>ENTRADA</t>
        </is>
      </c>
      <c r="K2002" s="633" t="inlineStr">
        <is>
          <t>SAÍDA / CMV</t>
        </is>
      </c>
      <c r="L2002" s="643" t="inlineStr">
        <is>
          <t>SALDO</t>
        </is>
      </c>
      <c r="M2002" s="392" t="n"/>
    </row>
    <row r="2003">
      <c r="A2003" s="392" t="n"/>
      <c r="B2003" s="392" t="n"/>
      <c r="C2003" s="392" t="n"/>
      <c r="D2003" s="392" t="n"/>
      <c r="E2003" s="392" t="n"/>
      <c r="F2003" s="392" t="n"/>
      <c r="G2003" s="392" t="n"/>
      <c r="H2003" s="98" t="n">
        <v>2094</v>
      </c>
      <c r="I2003" s="392" t="n"/>
      <c r="J2003" s="392" t="n"/>
      <c r="K2003" s="392" t="n"/>
      <c r="L2003" s="392" t="n"/>
      <c r="M2003" s="392" t="n"/>
    </row>
    <row r="2004">
      <c r="A2004" s="568" t="n">
        <v>44110</v>
      </c>
      <c r="B2004" s="392" t="n">
        <v>7610</v>
      </c>
      <c r="C2004" s="392" t="n"/>
      <c r="D2004" s="392" t="n">
        <v>66</v>
      </c>
      <c r="E2004" s="392" t="n"/>
      <c r="F2004" s="392" t="n"/>
      <c r="G2004" s="392" t="n">
        <v>40</v>
      </c>
      <c r="H2004" s="446">
        <f>H2003-G2004</f>
        <v/>
      </c>
      <c r="I2004" s="392" t="n"/>
      <c r="J2004" s="392" t="n"/>
      <c r="K2004" s="392" t="n"/>
      <c r="L2004" s="392" t="n"/>
      <c r="M2004" s="392" t="n"/>
    </row>
    <row r="2005">
      <c r="A2005" s="568" t="n">
        <v>44110</v>
      </c>
      <c r="B2005" s="392" t="n">
        <v>7611</v>
      </c>
      <c r="C2005" s="392" t="n"/>
      <c r="D2005" s="392" t="n">
        <v>68</v>
      </c>
      <c r="E2005" s="392" t="n"/>
      <c r="F2005" s="392" t="n"/>
      <c r="G2005" s="392" t="n">
        <v>50</v>
      </c>
      <c r="H2005" s="446">
        <f>H2004-G2005</f>
        <v/>
      </c>
      <c r="I2005" s="392" t="n"/>
      <c r="J2005" s="392" t="n"/>
      <c r="K2005" s="392" t="n"/>
      <c r="L2005" s="392" t="n"/>
      <c r="M2005" s="392" t="n"/>
    </row>
    <row r="2006">
      <c r="A2006" s="568" t="n">
        <v>44110</v>
      </c>
      <c r="B2006" s="392" t="n">
        <v>7613</v>
      </c>
      <c r="C2006" s="392" t="n"/>
      <c r="D2006" s="392" t="n">
        <v>66</v>
      </c>
      <c r="E2006" s="392" t="n"/>
      <c r="F2006" s="392" t="n"/>
      <c r="G2006" s="392" t="n">
        <v>10</v>
      </c>
      <c r="H2006" s="446">
        <f>H2005-G2006</f>
        <v/>
      </c>
      <c r="I2006" s="392" t="n"/>
      <c r="J2006" s="392" t="n"/>
      <c r="K2006" s="392" t="n"/>
      <c r="L2006" s="392" t="n"/>
      <c r="M2006" s="392" t="n"/>
    </row>
    <row r="2007">
      <c r="A2007" s="568" t="n">
        <v>44110</v>
      </c>
      <c r="B2007" s="392" t="n">
        <v>7614</v>
      </c>
      <c r="C2007" s="392" t="n"/>
      <c r="D2007" s="392" t="n">
        <v>65.75</v>
      </c>
      <c r="E2007" s="392" t="n"/>
      <c r="F2007" s="392" t="n"/>
      <c r="G2007" s="392" t="n">
        <v>40</v>
      </c>
      <c r="H2007" s="446">
        <f>H2006-G2007</f>
        <v/>
      </c>
      <c r="I2007" s="392" t="n"/>
      <c r="J2007" s="392" t="n"/>
      <c r="K2007" s="392" t="n"/>
      <c r="L2007" s="392" t="n"/>
      <c r="M2007" s="392" t="n"/>
    </row>
    <row r="2008">
      <c r="A2008" s="568" t="n">
        <v>44110</v>
      </c>
      <c r="B2008" s="392" t="n">
        <v>7616</v>
      </c>
      <c r="C2008" s="392" t="n"/>
      <c r="D2008" s="392" t="n">
        <v>63</v>
      </c>
      <c r="E2008" s="392" t="n"/>
      <c r="F2008" s="392" t="n"/>
      <c r="G2008" s="392" t="n">
        <v>20</v>
      </c>
      <c r="H2008" s="446">
        <f>H2007-G2008</f>
        <v/>
      </c>
      <c r="I2008" s="392" t="n"/>
      <c r="J2008" s="392" t="n"/>
      <c r="K2008" s="392" t="n"/>
      <c r="L2008" s="392" t="n"/>
      <c r="M2008" s="392" t="n"/>
    </row>
    <row r="2009">
      <c r="A2009" s="568" t="n">
        <v>44110</v>
      </c>
      <c r="B2009" s="392" t="n">
        <v>7619</v>
      </c>
      <c r="C2009" s="392" t="n"/>
      <c r="D2009" s="392" t="n">
        <v>65</v>
      </c>
      <c r="E2009" s="392" t="n"/>
      <c r="F2009" s="392" t="n"/>
      <c r="G2009" s="392" t="n">
        <v>20</v>
      </c>
      <c r="H2009" s="446">
        <f>H2008-G2009</f>
        <v/>
      </c>
      <c r="I2009" s="392" t="n"/>
      <c r="J2009" s="392" t="n"/>
      <c r="K2009" s="392" t="n"/>
      <c r="L2009" s="392" t="n"/>
      <c r="M2009" s="392" t="n"/>
    </row>
    <row r="2010">
      <c r="A2010" s="568" t="n">
        <v>44110</v>
      </c>
      <c r="B2010" s="392" t="n">
        <v>7620</v>
      </c>
      <c r="C2010" s="392" t="n"/>
      <c r="D2010" s="392" t="n">
        <v>63</v>
      </c>
      <c r="E2010" s="392" t="n"/>
      <c r="F2010" s="392" t="n"/>
      <c r="G2010" s="392" t="n">
        <v>30</v>
      </c>
      <c r="H2010" s="446">
        <f>H2009-G2010</f>
        <v/>
      </c>
      <c r="I2010" s="392" t="n"/>
      <c r="J2010" s="392" t="n"/>
      <c r="K2010" s="392" t="n"/>
      <c r="L2010" s="392" t="n"/>
      <c r="M2010" s="392" t="n"/>
    </row>
    <row r="2011">
      <c r="A2011" s="568" t="n">
        <v>44111</v>
      </c>
      <c r="B2011" s="392" t="n">
        <v>7622</v>
      </c>
      <c r="C2011" s="392" t="n"/>
      <c r="D2011" s="392" t="n">
        <v>63.5</v>
      </c>
      <c r="E2011" s="392" t="n"/>
      <c r="F2011" s="392" t="n"/>
      <c r="G2011" s="392" t="n">
        <v>50</v>
      </c>
      <c r="H2011" s="446">
        <f>H2010-G2011</f>
        <v/>
      </c>
      <c r="I2011" s="392" t="n"/>
      <c r="J2011" s="392" t="n"/>
      <c r="K2011" s="392" t="n"/>
      <c r="L2011" s="392" t="n"/>
      <c r="M2011" s="392" t="n"/>
    </row>
    <row r="2012">
      <c r="A2012" s="568" t="n">
        <v>44111</v>
      </c>
      <c r="B2012" s="392" t="n">
        <v>7624</v>
      </c>
      <c r="C2012" s="392" t="n"/>
      <c r="D2012" s="392" t="n">
        <v>66</v>
      </c>
      <c r="E2012" s="392" t="n"/>
      <c r="F2012" s="392" t="n"/>
      <c r="G2012" s="392" t="n">
        <v>40</v>
      </c>
      <c r="H2012" s="446">
        <f>H2011-G2012</f>
        <v/>
      </c>
      <c r="I2012" s="392" t="n"/>
      <c r="J2012" s="392" t="n"/>
      <c r="K2012" s="392" t="n"/>
      <c r="L2012" s="392" t="n"/>
      <c r="M2012" s="392" t="n"/>
    </row>
    <row r="2013">
      <c r="A2013" s="568" t="n">
        <v>44117</v>
      </c>
      <c r="B2013" s="392" t="n">
        <v>7625</v>
      </c>
      <c r="C2013" s="392" t="n"/>
      <c r="D2013" s="392" t="n">
        <v>65</v>
      </c>
      <c r="E2013" s="392" t="n"/>
      <c r="F2013" s="392" t="n"/>
      <c r="G2013" s="392" t="n">
        <v>20</v>
      </c>
      <c r="H2013" s="446">
        <f>H2012-G2013</f>
        <v/>
      </c>
      <c r="I2013" s="392" t="n"/>
      <c r="J2013" s="392" t="n"/>
      <c r="K2013" s="392" t="n"/>
      <c r="L2013" s="392" t="n"/>
      <c r="M2013" s="392" t="n"/>
    </row>
    <row r="2014">
      <c r="A2014" s="568" t="n">
        <v>44117</v>
      </c>
      <c r="B2014" s="392" t="n">
        <v>7626</v>
      </c>
      <c r="C2014" s="392" t="n"/>
      <c r="D2014" s="392" t="n">
        <v>64</v>
      </c>
      <c r="E2014" s="392" t="n"/>
      <c r="F2014" s="392" t="n"/>
      <c r="G2014" s="392" t="n">
        <v>70</v>
      </c>
      <c r="H2014" s="446">
        <f>H2013-G2014</f>
        <v/>
      </c>
      <c r="I2014" s="392" t="n"/>
      <c r="J2014" s="392" t="n"/>
      <c r="K2014" s="392" t="n"/>
      <c r="L2014" s="392" t="n"/>
      <c r="M2014" s="392" t="n"/>
    </row>
    <row r="2015">
      <c r="A2015" s="568" t="n">
        <v>44117</v>
      </c>
      <c r="B2015" s="392" t="n">
        <v>7627</v>
      </c>
      <c r="C2015" s="392" t="n"/>
      <c r="D2015" s="392" t="n">
        <v>63</v>
      </c>
      <c r="E2015" s="392" t="n"/>
      <c r="F2015" s="392" t="n"/>
      <c r="G2015" s="392" t="n">
        <v>40</v>
      </c>
      <c r="H2015" s="446">
        <f>H2014-G2015</f>
        <v/>
      </c>
      <c r="I2015" s="392" t="n"/>
      <c r="J2015" s="392" t="n"/>
      <c r="K2015" s="392" t="n"/>
      <c r="L2015" s="392" t="n"/>
      <c r="M2015" s="392" t="n"/>
    </row>
    <row r="2016">
      <c r="A2016" s="568" t="n">
        <v>44117</v>
      </c>
      <c r="B2016" s="392" t="n">
        <v>7628</v>
      </c>
      <c r="C2016" s="392" t="n"/>
      <c r="D2016" s="392" t="n">
        <v>66</v>
      </c>
      <c r="E2016" s="392" t="n"/>
      <c r="F2016" s="392" t="n"/>
      <c r="G2016" s="392" t="n">
        <v>20</v>
      </c>
      <c r="H2016" s="446">
        <f>H2015-G2016</f>
        <v/>
      </c>
      <c r="I2016" s="392" t="n"/>
      <c r="J2016" s="392" t="n"/>
      <c r="K2016" s="392" t="n"/>
      <c r="L2016" s="392" t="n"/>
      <c r="M2016" s="392" t="n"/>
    </row>
    <row r="2017">
      <c r="A2017" s="568" t="n">
        <v>44117</v>
      </c>
      <c r="B2017" s="392" t="n">
        <v>7629</v>
      </c>
      <c r="C2017" s="392" t="n"/>
      <c r="D2017" s="392" t="n">
        <v>68</v>
      </c>
      <c r="E2017" s="392" t="n"/>
      <c r="F2017" s="392" t="n"/>
      <c r="G2017" s="392" t="n">
        <v>30</v>
      </c>
      <c r="H2017" s="446">
        <f>H2016-G2017</f>
        <v/>
      </c>
      <c r="I2017" s="392" t="n"/>
      <c r="J2017" s="392" t="n"/>
      <c r="K2017" s="392" t="n"/>
      <c r="L2017" s="392" t="n"/>
      <c r="M2017" s="392" t="n"/>
    </row>
    <row r="2018">
      <c r="A2018" s="568" t="n">
        <v>44117</v>
      </c>
      <c r="B2018" s="392" t="n">
        <v>7630</v>
      </c>
      <c r="C2018" s="392" t="n"/>
      <c r="D2018" s="392" t="n">
        <v>63.5</v>
      </c>
      <c r="E2018" s="392" t="n"/>
      <c r="F2018" s="392" t="n"/>
      <c r="G2018" s="392" t="n">
        <v>40</v>
      </c>
      <c r="H2018" s="446">
        <f>H2017-G2018</f>
        <v/>
      </c>
      <c r="I2018" s="392" t="n"/>
      <c r="J2018" s="392" t="n"/>
      <c r="K2018" s="392" t="n"/>
      <c r="L2018" s="392" t="n"/>
      <c r="M2018" s="392" t="n"/>
    </row>
    <row r="2019">
      <c r="A2019" s="568" t="n">
        <v>44117</v>
      </c>
      <c r="B2019" s="392" t="n">
        <v>7631</v>
      </c>
      <c r="C2019" s="392" t="n"/>
      <c r="D2019" s="392" t="n">
        <v>60</v>
      </c>
      <c r="E2019" s="392" t="n"/>
      <c r="F2019" s="392" t="n"/>
      <c r="G2019" s="392" t="n">
        <v>15</v>
      </c>
      <c r="H2019" s="446">
        <f>H2018-G2019</f>
        <v/>
      </c>
      <c r="I2019" s="392" t="n"/>
      <c r="J2019" s="392" t="n"/>
      <c r="K2019" s="392" t="n"/>
      <c r="L2019" s="392" t="n"/>
      <c r="M2019" s="392" t="n"/>
    </row>
    <row r="2020">
      <c r="A2020" s="568" t="n">
        <v>44117</v>
      </c>
      <c r="B2020" s="392" t="n">
        <v>7633</v>
      </c>
      <c r="C2020" s="392" t="n"/>
      <c r="D2020" s="392" t="n">
        <v>65.59999999999999</v>
      </c>
      <c r="E2020" s="392" t="n"/>
      <c r="F2020" s="392" t="n"/>
      <c r="G2020" s="392" t="n">
        <v>25</v>
      </c>
      <c r="H2020" s="446">
        <f>H2019-G2020</f>
        <v/>
      </c>
      <c r="I2020" s="392" t="n"/>
      <c r="J2020" s="392" t="n"/>
      <c r="K2020" s="392" t="n"/>
      <c r="L2020" s="392" t="n"/>
      <c r="M2020" s="392" t="n"/>
    </row>
    <row r="2021">
      <c r="A2021" s="568" t="n">
        <v>44117</v>
      </c>
      <c r="B2021" s="392" t="n">
        <v>7635</v>
      </c>
      <c r="C2021" s="392" t="n"/>
      <c r="D2021" s="392" t="n">
        <v>64</v>
      </c>
      <c r="E2021" s="392" t="n"/>
      <c r="F2021" s="392" t="n"/>
      <c r="G2021" s="392" t="n">
        <v>20</v>
      </c>
      <c r="H2021" s="446">
        <f>H2020-G2021</f>
        <v/>
      </c>
      <c r="I2021" s="392" t="n"/>
      <c r="J2021" s="392" t="n"/>
      <c r="K2021" s="392" t="n"/>
      <c r="L2021" s="392" t="n"/>
      <c r="M2021" s="392" t="n"/>
    </row>
    <row r="2022">
      <c r="A2022" s="304" t="n">
        <v>44118</v>
      </c>
      <c r="B2022" s="401" t="n"/>
      <c r="C2022" s="401" t="n"/>
      <c r="D2022" s="401" t="n">
        <v>57</v>
      </c>
      <c r="E2022" s="401" t="n"/>
      <c r="F2022" s="401" t="n">
        <v>355</v>
      </c>
      <c r="G2022" s="401" t="n"/>
      <c r="H2022" s="322" t="n">
        <v>1869</v>
      </c>
      <c r="I2022" s="392" t="n"/>
      <c r="J2022" s="392" t="n"/>
      <c r="K2022" s="392" t="n"/>
      <c r="L2022" s="392" t="n"/>
      <c r="M2022" s="392" t="n"/>
    </row>
    <row r="2023">
      <c r="A2023" s="568" t="n">
        <v>44119</v>
      </c>
      <c r="B2023" s="392" t="n">
        <v>7636</v>
      </c>
      <c r="C2023" s="392" t="n"/>
      <c r="D2023" s="392" t="n">
        <v>63.5</v>
      </c>
      <c r="E2023" s="392" t="n"/>
      <c r="F2023" s="392" t="n"/>
      <c r="G2023" s="392" t="n">
        <v>50</v>
      </c>
      <c r="H2023" s="446">
        <f>H2022-G2023</f>
        <v/>
      </c>
      <c r="I2023" s="392" t="n"/>
      <c r="J2023" s="392" t="n"/>
      <c r="K2023" s="392" t="n"/>
      <c r="L2023" s="392" t="n"/>
      <c r="M2023" s="392" t="n"/>
    </row>
    <row r="2024">
      <c r="A2024" s="304" t="n">
        <v>44120</v>
      </c>
      <c r="B2024" s="401" t="n">
        <v>151124</v>
      </c>
      <c r="C2024" s="401" t="n"/>
      <c r="D2024" s="401" t="n">
        <v>54.81</v>
      </c>
      <c r="E2024" s="401" t="n"/>
      <c r="F2024" s="401" t="n">
        <v>380</v>
      </c>
      <c r="G2024" s="401" t="n"/>
      <c r="H2024" s="322" t="n">
        <v>2199</v>
      </c>
      <c r="I2024" s="392" t="n"/>
      <c r="J2024" s="392" t="n"/>
      <c r="K2024" s="392" t="n"/>
      <c r="L2024" s="392" t="n"/>
      <c r="M2024" s="392" t="n"/>
    </row>
    <row r="2025">
      <c r="A2025" s="304" t="n">
        <v>44120</v>
      </c>
      <c r="B2025" s="401" t="n">
        <v>151124</v>
      </c>
      <c r="C2025" s="401" t="n"/>
      <c r="D2025" s="401" t="n">
        <v>53.23</v>
      </c>
      <c r="E2025" s="401" t="n"/>
      <c r="F2025" s="401" t="n">
        <v>200</v>
      </c>
      <c r="G2025" s="401" t="n"/>
      <c r="H2025" s="322" t="n">
        <v>2399</v>
      </c>
      <c r="I2025" s="392" t="n"/>
      <c r="J2025" s="392" t="n"/>
      <c r="K2025" s="392" t="n"/>
      <c r="L2025" s="392" t="n"/>
      <c r="M2025" s="392" t="n"/>
    </row>
    <row r="2026">
      <c r="A2026" s="304" t="n">
        <v>44119</v>
      </c>
      <c r="B2026" s="401" t="n"/>
      <c r="C2026" s="401" t="n"/>
      <c r="D2026" s="401" t="n">
        <v>53</v>
      </c>
      <c r="E2026" s="401" t="n"/>
      <c r="F2026" s="401" t="n">
        <v>700</v>
      </c>
      <c r="G2026" s="401" t="n"/>
      <c r="H2026" s="322" t="n">
        <v>3099</v>
      </c>
      <c r="I2026" s="392" t="n"/>
      <c r="J2026" s="392" t="n"/>
      <c r="K2026" s="392" t="n"/>
      <c r="L2026" s="392" t="n"/>
      <c r="M2026" s="392" t="n"/>
    </row>
    <row r="2027">
      <c r="A2027" s="304" t="n">
        <v>44119</v>
      </c>
      <c r="B2027" s="401" t="n"/>
      <c r="C2027" s="401" t="n"/>
      <c r="D2027" s="401" t="n">
        <v>57.3</v>
      </c>
      <c r="E2027" s="401" t="n"/>
      <c r="F2027" s="401" t="n">
        <v>380</v>
      </c>
      <c r="G2027" s="401" t="n"/>
      <c r="H2027" s="322" t="n">
        <v>3479</v>
      </c>
      <c r="I2027" s="392" t="n"/>
      <c r="J2027" s="392" t="n"/>
      <c r="K2027" s="392" t="n"/>
      <c r="L2027" s="392" t="n"/>
      <c r="M2027" s="392" t="n"/>
    </row>
    <row r="2028">
      <c r="A2028" s="568" t="n">
        <v>44125</v>
      </c>
      <c r="B2028" s="392" t="n">
        <v>7637</v>
      </c>
      <c r="C2028" s="392" t="n"/>
      <c r="D2028" s="392" t="n">
        <v>65</v>
      </c>
      <c r="E2028" s="392" t="n"/>
      <c r="F2028" s="392" t="n"/>
      <c r="G2028" s="392" t="n">
        <v>30</v>
      </c>
      <c r="H2028" s="446">
        <f>H2027-G2028</f>
        <v/>
      </c>
      <c r="I2028" s="392" t="n"/>
      <c r="J2028" s="392" t="n"/>
      <c r="K2028" s="392" t="n"/>
      <c r="L2028" s="392" t="n"/>
      <c r="M2028" s="392" t="n"/>
    </row>
    <row r="2029">
      <c r="A2029" s="568" t="n">
        <v>44125</v>
      </c>
      <c r="B2029" s="392" t="n">
        <v>7638</v>
      </c>
      <c r="C2029" s="392" t="n"/>
      <c r="D2029" s="392" t="n">
        <v>66</v>
      </c>
      <c r="E2029" s="392" t="n"/>
      <c r="F2029" s="392" t="n"/>
      <c r="G2029" s="392" t="n">
        <v>45</v>
      </c>
      <c r="H2029" s="446">
        <f>H2028-G2029</f>
        <v/>
      </c>
      <c r="I2029" s="392" t="n"/>
      <c r="J2029" s="392" t="n"/>
      <c r="K2029" s="392" t="n"/>
      <c r="L2029" s="392" t="n"/>
      <c r="M2029" s="392" t="n"/>
    </row>
    <row r="2030">
      <c r="A2030" s="568" t="n">
        <v>44125</v>
      </c>
      <c r="B2030" s="392" t="n">
        <v>7639</v>
      </c>
      <c r="C2030" s="392" t="n"/>
      <c r="D2030" s="392" t="n">
        <v>66</v>
      </c>
      <c r="E2030" s="392" t="n"/>
      <c r="F2030" s="392" t="n"/>
      <c r="G2030" s="392" t="n">
        <v>20</v>
      </c>
      <c r="H2030" s="446">
        <f>H2029-G2030</f>
        <v/>
      </c>
      <c r="I2030" s="392" t="n"/>
      <c r="J2030" s="392" t="n"/>
      <c r="K2030" s="392" t="n"/>
      <c r="L2030" s="392" t="n"/>
      <c r="M2030" s="392" t="n"/>
    </row>
    <row r="2031">
      <c r="A2031" s="568" t="n">
        <v>44125</v>
      </c>
      <c r="B2031" s="392" t="n">
        <v>7640</v>
      </c>
      <c r="C2031" s="392" t="n"/>
      <c r="D2031" s="392" t="n">
        <v>65</v>
      </c>
      <c r="E2031" s="392" t="n"/>
      <c r="F2031" s="392" t="n"/>
      <c r="G2031" s="392" t="n">
        <v>20</v>
      </c>
      <c r="H2031" s="446">
        <f>H2030-G2031</f>
        <v/>
      </c>
      <c r="I2031" s="392" t="n"/>
      <c r="J2031" s="392" t="n"/>
      <c r="K2031" s="392" t="n"/>
      <c r="L2031" s="392" t="n"/>
      <c r="M2031" s="392" t="n"/>
    </row>
    <row r="2032">
      <c r="A2032" s="568" t="n">
        <v>44125</v>
      </c>
      <c r="B2032" s="392" t="n">
        <v>7641</v>
      </c>
      <c r="C2032" s="392" t="n"/>
      <c r="D2032" s="392" t="n">
        <v>65</v>
      </c>
      <c r="E2032" s="392" t="n"/>
      <c r="F2032" s="392" t="n"/>
      <c r="G2032" s="392" t="n">
        <v>15</v>
      </c>
      <c r="H2032" s="446">
        <f>H2031-G2032</f>
        <v/>
      </c>
      <c r="I2032" s="392" t="n"/>
      <c r="J2032" s="392" t="n"/>
      <c r="K2032" s="392" t="n"/>
      <c r="L2032" s="392" t="n"/>
      <c r="M2032" s="392" t="n"/>
    </row>
    <row r="2033">
      <c r="A2033" s="568" t="n">
        <v>44125</v>
      </c>
      <c r="B2033" s="392" t="n">
        <v>7642</v>
      </c>
      <c r="C2033" s="392" t="n"/>
      <c r="D2033" s="392" t="n">
        <v>60</v>
      </c>
      <c r="E2033" s="392" t="n"/>
      <c r="F2033" s="392" t="n"/>
      <c r="G2033" s="392" t="n">
        <v>20</v>
      </c>
      <c r="H2033" s="446">
        <f>H2032-G2033</f>
        <v/>
      </c>
      <c r="I2033" s="392" t="n"/>
      <c r="J2033" s="392" t="n"/>
      <c r="K2033" s="392" t="n"/>
      <c r="L2033" s="392" t="n"/>
      <c r="M2033" s="392" t="n"/>
    </row>
    <row r="2034">
      <c r="A2034" s="568" t="n">
        <v>44125</v>
      </c>
      <c r="B2034" s="392" t="n">
        <v>7643</v>
      </c>
      <c r="C2034" s="392" t="n"/>
      <c r="D2034" s="392" t="n">
        <v>66</v>
      </c>
      <c r="E2034" s="392" t="n"/>
      <c r="F2034" s="392" t="n"/>
      <c r="G2034" s="392" t="n">
        <v>20</v>
      </c>
      <c r="H2034" s="446">
        <f>H2033-G2034</f>
        <v/>
      </c>
      <c r="I2034" s="392" t="n"/>
      <c r="J2034" s="392" t="n"/>
      <c r="K2034" s="392" t="n"/>
      <c r="L2034" s="392" t="n"/>
      <c r="M2034" s="392" t="n"/>
    </row>
    <row r="2035">
      <c r="A2035" s="568" t="n">
        <v>44125</v>
      </c>
      <c r="B2035" s="392" t="n">
        <v>7644</v>
      </c>
      <c r="C2035" s="392" t="n"/>
      <c r="D2035" s="392" t="n">
        <v>68</v>
      </c>
      <c r="E2035" s="392" t="n"/>
      <c r="F2035" s="392" t="n"/>
      <c r="G2035" s="392" t="n">
        <v>15</v>
      </c>
      <c r="H2035" s="446">
        <f>H2034-G2035</f>
        <v/>
      </c>
      <c r="I2035" s="392" t="n"/>
      <c r="J2035" s="392" t="n"/>
      <c r="K2035" s="392" t="n"/>
      <c r="L2035" s="392" t="n"/>
      <c r="M2035" s="392" t="n"/>
    </row>
    <row r="2036">
      <c r="A2036" s="568" t="n">
        <v>44125</v>
      </c>
      <c r="B2036" s="392" t="n">
        <v>7645</v>
      </c>
      <c r="C2036" s="392" t="n"/>
      <c r="D2036" s="392" t="n">
        <v>63</v>
      </c>
      <c r="E2036" s="392" t="n"/>
      <c r="F2036" s="392" t="n"/>
      <c r="G2036" s="392" t="n">
        <v>20</v>
      </c>
      <c r="H2036" s="446">
        <f>H2035-G2036</f>
        <v/>
      </c>
      <c r="I2036" s="392" t="n"/>
      <c r="J2036" s="392" t="n"/>
      <c r="K2036" s="392" t="n"/>
      <c r="L2036" s="392" t="n"/>
      <c r="M2036" s="392" t="n"/>
    </row>
    <row r="2037">
      <c r="A2037" s="568" t="n">
        <v>44126</v>
      </c>
      <c r="B2037" s="392" t="n">
        <v>7651</v>
      </c>
      <c r="C2037" s="392" t="n"/>
      <c r="D2037" s="392" t="n">
        <v>66</v>
      </c>
      <c r="E2037" s="392" t="n"/>
      <c r="F2037" s="392" t="n"/>
      <c r="G2037" s="392" t="n">
        <v>40</v>
      </c>
      <c r="H2037" s="446">
        <f>H2036-G2037</f>
        <v/>
      </c>
      <c r="I2037" s="392" t="n"/>
      <c r="J2037" s="392" t="n"/>
      <c r="K2037" s="392" t="n"/>
      <c r="L2037" s="392" t="n"/>
      <c r="M2037" s="392" t="n"/>
    </row>
    <row r="2038">
      <c r="A2038" s="568" t="n">
        <v>44132</v>
      </c>
      <c r="B2038" s="392" t="n">
        <v>7652</v>
      </c>
      <c r="C2038" s="392" t="n"/>
      <c r="D2038" s="392" t="n">
        <v>63</v>
      </c>
      <c r="E2038" s="392" t="n"/>
      <c r="F2038" s="392" t="n"/>
      <c r="G2038" s="392" t="n">
        <v>10</v>
      </c>
      <c r="H2038" s="446">
        <f>H2037-G2038</f>
        <v/>
      </c>
      <c r="I2038" s="392" t="n"/>
      <c r="J2038" s="392" t="n"/>
      <c r="K2038" s="392" t="n"/>
      <c r="L2038" s="392" t="n"/>
      <c r="M2038" s="392" t="n"/>
    </row>
    <row r="2039">
      <c r="A2039" s="568" t="n">
        <v>44132</v>
      </c>
      <c r="B2039" s="392" t="n">
        <v>7653</v>
      </c>
      <c r="C2039" s="392" t="n"/>
      <c r="D2039" s="392" t="n">
        <v>63</v>
      </c>
      <c r="E2039" s="392" t="n"/>
      <c r="F2039" s="392" t="n"/>
      <c r="G2039" s="392" t="n">
        <v>30</v>
      </c>
      <c r="H2039" s="446">
        <f>H2038-G2039</f>
        <v/>
      </c>
      <c r="I2039" s="392" t="n"/>
      <c r="J2039" s="392" t="n"/>
      <c r="K2039" s="392" t="n"/>
      <c r="L2039" s="392" t="n"/>
      <c r="M2039" s="392" t="n"/>
    </row>
    <row r="2040">
      <c r="A2040" s="568" t="n">
        <v>44132</v>
      </c>
      <c r="B2040" s="392" t="n">
        <v>7655</v>
      </c>
      <c r="C2040" s="392" t="n"/>
      <c r="D2040" s="392" t="n">
        <v>68</v>
      </c>
      <c r="E2040" s="392" t="n"/>
      <c r="F2040" s="392" t="n"/>
      <c r="G2040" s="392" t="n">
        <v>15</v>
      </c>
      <c r="H2040" s="446">
        <f>H2039-G2040</f>
        <v/>
      </c>
      <c r="I2040" s="392" t="n"/>
      <c r="J2040" s="392" t="n"/>
      <c r="K2040" s="392" t="n"/>
      <c r="L2040" s="392" t="n"/>
      <c r="M2040" s="392" t="n"/>
    </row>
    <row r="2041">
      <c r="A2041" s="568" t="n">
        <v>44132</v>
      </c>
      <c r="B2041" s="392" t="n">
        <v>7657</v>
      </c>
      <c r="C2041" s="392" t="n"/>
      <c r="D2041" s="392" t="n">
        <v>64</v>
      </c>
      <c r="E2041" s="392" t="n"/>
      <c r="F2041" s="392" t="n"/>
      <c r="G2041" s="392" t="n">
        <v>50</v>
      </c>
      <c r="H2041" s="446">
        <f>H2040-G2041</f>
        <v/>
      </c>
      <c r="I2041" s="392" t="n"/>
      <c r="J2041" s="392" t="n"/>
      <c r="K2041" s="392" t="n"/>
      <c r="L2041" s="392" t="n"/>
      <c r="M2041" s="392" t="n"/>
    </row>
    <row r="2042">
      <c r="A2042" s="568" t="n">
        <v>44132</v>
      </c>
      <c r="B2042" s="392" t="n">
        <v>7661</v>
      </c>
      <c r="C2042" s="392" t="n"/>
      <c r="D2042" s="392" t="n">
        <v>64</v>
      </c>
      <c r="E2042" s="392" t="n"/>
      <c r="F2042" s="392" t="n"/>
      <c r="G2042" s="392" t="n">
        <v>32</v>
      </c>
      <c r="H2042" s="446">
        <f>H2041-G2042</f>
        <v/>
      </c>
      <c r="I2042" s="392" t="n"/>
      <c r="J2042" s="392" t="n"/>
      <c r="K2042" s="392" t="n"/>
      <c r="L2042" s="392" t="n"/>
      <c r="M2042" s="392" t="n"/>
    </row>
    <row r="2043">
      <c r="A2043" s="568" t="n">
        <v>44132</v>
      </c>
      <c r="B2043" s="392" t="n">
        <v>7662</v>
      </c>
      <c r="C2043" s="392" t="n"/>
      <c r="D2043" s="392" t="n">
        <v>60</v>
      </c>
      <c r="E2043" s="392" t="n"/>
      <c r="F2043" s="392" t="n"/>
      <c r="G2043" s="392" t="n">
        <v>20</v>
      </c>
      <c r="H2043" s="446">
        <f>H2042-G2043</f>
        <v/>
      </c>
      <c r="I2043" s="392" t="n"/>
      <c r="J2043" s="392" t="n"/>
      <c r="K2043" s="392" t="n"/>
      <c r="L2043" s="392" t="n"/>
      <c r="M2043" s="392" t="n"/>
    </row>
    <row r="2044">
      <c r="A2044" s="568" t="n"/>
      <c r="B2044" s="392" t="n"/>
      <c r="C2044" s="392" t="n"/>
      <c r="D2044" s="392" t="n"/>
      <c r="E2044" s="392" t="n"/>
      <c r="F2044" s="392" t="n"/>
      <c r="G2044" s="392" t="n"/>
      <c r="H2044" s="446">
        <f>H2043-G2044</f>
        <v/>
      </c>
      <c r="I2044" s="392" t="n"/>
      <c r="J2044" s="392" t="n"/>
      <c r="K2044" s="392" t="n"/>
      <c r="L2044" s="392" t="n"/>
      <c r="M2044" s="392" t="n"/>
    </row>
    <row r="2045" ht="15.75" customHeight="1" s="436" thickBot="1">
      <c r="A2045" s="568" t="n"/>
      <c r="B2045" s="392" t="n"/>
      <c r="C2045" s="392" t="n"/>
      <c r="D2045" s="392" t="n"/>
      <c r="E2045" s="392" t="n"/>
      <c r="F2045" s="392" t="n"/>
      <c r="G2045" s="392" t="n"/>
      <c r="H2045" s="446">
        <f>H2044-G2045</f>
        <v/>
      </c>
      <c r="I2045" s="392" t="n"/>
      <c r="J2045" s="392" t="n"/>
      <c r="K2045" s="392" t="n"/>
      <c r="L2045" s="392" t="n"/>
      <c r="M2045" s="392" t="n"/>
    </row>
    <row r="2046" ht="32.25" customHeight="1" s="436" thickBot="1">
      <c r="A2046" s="735" t="inlineStr">
        <is>
          <t>Novembro</t>
        </is>
      </c>
      <c r="B2046" s="697" t="n"/>
      <c r="C2046" s="697" t="n"/>
      <c r="D2046" s="697" t="n"/>
      <c r="E2046" s="697" t="n"/>
      <c r="F2046" s="697" t="n"/>
      <c r="G2046" s="697" t="n"/>
      <c r="H2046" s="697" t="n"/>
      <c r="I2046" s="697" t="n"/>
      <c r="J2046" s="697" t="n"/>
      <c r="K2046" s="697" t="n"/>
      <c r="L2046" s="697" t="n"/>
      <c r="M2046" s="698" t="n"/>
    </row>
    <row r="2047" ht="27" customHeight="1" s="436" thickBot="1">
      <c r="A2047" s="734" t="inlineStr">
        <is>
          <t xml:space="preserve"> FARINHA DE TRIGO TIPO: 1 - 25 KG</t>
        </is>
      </c>
      <c r="B2047" s="706" t="n"/>
      <c r="C2047" s="706" t="n"/>
      <c r="D2047" s="706" t="n"/>
      <c r="E2047" s="706" t="n"/>
      <c r="F2047" s="706" t="n"/>
      <c r="G2047" s="706" t="n"/>
      <c r="H2047" s="706" t="n"/>
      <c r="I2047" s="706" t="n"/>
      <c r="J2047" s="706" t="n"/>
      <c r="K2047" s="706" t="n"/>
      <c r="L2047" s="706" t="n"/>
      <c r="M2047" s="707" t="n"/>
    </row>
    <row r="2048">
      <c r="A2048" s="643" t="inlineStr">
        <is>
          <t>DATA</t>
        </is>
      </c>
      <c r="B2048" s="633" t="inlineStr">
        <is>
          <t>N.F.</t>
        </is>
      </c>
      <c r="C2048" s="633" t="inlineStr">
        <is>
          <t>TIPO</t>
        </is>
      </c>
      <c r="D2048" s="633" t="inlineStr">
        <is>
          <t>PREÇO UNITÁRIO</t>
        </is>
      </c>
      <c r="E2048" s="701" t="n"/>
      <c r="F2048" s="633" t="inlineStr">
        <is>
          <t>QUANTIDADE / KG</t>
        </is>
      </c>
      <c r="H2048" s="701" t="n"/>
      <c r="I2048" s="632" t="inlineStr">
        <is>
          <t>PREÇO</t>
        </is>
      </c>
      <c r="J2048" s="632" t="inlineStr">
        <is>
          <t>VALORES</t>
        </is>
      </c>
      <c r="L2048" s="701" t="n"/>
      <c r="M2048" s="649" t="n"/>
    </row>
    <row r="2049" ht="15.75" customHeight="1" s="436" thickBot="1">
      <c r="A2049" s="703" t="n"/>
      <c r="B2049" s="704" t="n"/>
      <c r="C2049" s="704" t="n"/>
      <c r="D2049" s="703" t="n"/>
      <c r="E2049" s="701" t="n"/>
      <c r="F2049" s="705" t="n"/>
      <c r="G2049" s="706" t="n"/>
      <c r="H2049" s="707" t="n"/>
      <c r="I2049" s="704" t="n"/>
      <c r="J2049" s="703" t="n"/>
      <c r="L2049" s="701" t="n"/>
      <c r="M2049" s="704" t="n"/>
    </row>
    <row r="2050" ht="15.75" customHeight="1" s="436" thickBot="1">
      <c r="A2050" s="703" t="n"/>
      <c r="B2050" s="704" t="n"/>
      <c r="C2050" s="704" t="n"/>
      <c r="D2050" s="705" t="n"/>
      <c r="E2050" s="707" t="n"/>
      <c r="F2050" s="3" t="inlineStr">
        <is>
          <t>ENTRADA</t>
        </is>
      </c>
      <c r="G2050" s="3" t="inlineStr">
        <is>
          <t>SAÍDA</t>
        </is>
      </c>
      <c r="H2050" s="640" t="n"/>
      <c r="I2050" s="633" t="inlineStr">
        <is>
          <t>MÉDIO</t>
        </is>
      </c>
      <c r="J2050" s="652" t="inlineStr">
        <is>
          <t>SALDO EM 30/11/2017</t>
        </is>
      </c>
      <c r="K2050" s="706" t="n"/>
      <c r="L2050" s="17" t="n"/>
      <c r="M2050" s="704" t="n"/>
    </row>
    <row r="2051" ht="18" customHeight="1" s="436" thickBot="1">
      <c r="A2051" s="705" t="n"/>
      <c r="B2051" s="695" t="n"/>
      <c r="C2051" s="695" t="n"/>
      <c r="D2051" s="3" t="inlineStr">
        <is>
          <t>C/ICMS</t>
        </is>
      </c>
      <c r="E2051" s="3" t="inlineStr">
        <is>
          <t>S/ICMS</t>
        </is>
      </c>
      <c r="F2051" s="695" t="n"/>
      <c r="G2051" s="695" t="n"/>
      <c r="H2051" s="84" t="inlineStr">
        <is>
          <t>Saldo em 31/10/2020</t>
        </is>
      </c>
      <c r="I2051" s="695" t="n"/>
      <c r="J2051" s="645" t="inlineStr">
        <is>
          <t>ENTRADA</t>
        </is>
      </c>
      <c r="K2051" s="633" t="inlineStr">
        <is>
          <t>SAÍDA / CMV</t>
        </is>
      </c>
      <c r="L2051" s="643" t="inlineStr">
        <is>
          <t>SALDO</t>
        </is>
      </c>
      <c r="M2051" s="392" t="n"/>
    </row>
    <row r="2052">
      <c r="A2052" s="392" t="n"/>
      <c r="B2052" s="392" t="n"/>
      <c r="C2052" s="392" t="n"/>
      <c r="D2052" s="392" t="n"/>
      <c r="E2052" s="392" t="n"/>
      <c r="F2052" s="392" t="n"/>
      <c r="G2052" s="392" t="n"/>
      <c r="H2052" s="98" t="n">
        <v>3077</v>
      </c>
      <c r="I2052" s="392" t="n"/>
      <c r="J2052" s="392" t="n"/>
      <c r="K2052" s="392" t="n"/>
      <c r="L2052" s="392" t="n"/>
      <c r="M2052" s="392" t="n"/>
    </row>
    <row r="2053">
      <c r="A2053" s="568" t="n">
        <v>44138</v>
      </c>
      <c r="B2053" s="392" t="n">
        <v>7663</v>
      </c>
      <c r="C2053" s="392" t="n"/>
      <c r="D2053" s="392" t="n">
        <v>68</v>
      </c>
      <c r="E2053" s="392" t="n"/>
      <c r="F2053" s="392" t="n"/>
      <c r="G2053" s="392" t="n">
        <v>30</v>
      </c>
      <c r="H2053" s="446">
        <f>H2052-G2053</f>
        <v/>
      </c>
      <c r="I2053" s="392" t="n"/>
      <c r="J2053" s="392" t="n"/>
      <c r="K2053" s="392" t="n"/>
      <c r="L2053" s="392" t="n"/>
      <c r="M2053" s="392" t="n"/>
    </row>
    <row r="2054">
      <c r="A2054" s="568" t="n">
        <v>44138</v>
      </c>
      <c r="B2054" s="392" t="n">
        <v>7664</v>
      </c>
      <c r="C2054" s="392" t="n"/>
      <c r="D2054" s="392" t="n">
        <v>63</v>
      </c>
      <c r="E2054" s="392" t="n"/>
      <c r="F2054" s="392" t="n"/>
      <c r="G2054" s="392" t="n">
        <v>40</v>
      </c>
      <c r="H2054" s="446">
        <f>H2053-G2054</f>
        <v/>
      </c>
      <c r="I2054" s="392" t="n"/>
      <c r="J2054" s="392" t="n"/>
      <c r="K2054" s="392" t="n"/>
      <c r="L2054" s="392" t="n"/>
      <c r="M2054" s="392" t="n"/>
    </row>
    <row r="2055">
      <c r="A2055" s="568" t="n">
        <v>44138</v>
      </c>
      <c r="B2055" s="392" t="n">
        <v>7667</v>
      </c>
      <c r="C2055" s="392" t="n"/>
      <c r="D2055" s="392" t="n">
        <v>66.55</v>
      </c>
      <c r="E2055" s="392" t="n"/>
      <c r="F2055" s="392" t="n"/>
      <c r="G2055" s="392" t="n">
        <v>55</v>
      </c>
      <c r="H2055" s="446">
        <f>H2054-G2055</f>
        <v/>
      </c>
      <c r="I2055" s="392" t="n"/>
      <c r="J2055" s="392" t="n"/>
      <c r="K2055" s="392" t="n"/>
      <c r="L2055" s="392" t="n"/>
      <c r="M2055" s="392" t="n"/>
    </row>
    <row r="2056">
      <c r="A2056" s="568" t="n">
        <v>44138</v>
      </c>
      <c r="B2056" s="392" t="n">
        <v>7669</v>
      </c>
      <c r="C2056" s="392" t="n"/>
      <c r="D2056" s="392" t="n">
        <v>68</v>
      </c>
      <c r="E2056" s="392" t="n"/>
      <c r="F2056" s="392" t="n"/>
      <c r="G2056" s="392" t="n">
        <v>10</v>
      </c>
      <c r="H2056" s="446">
        <f>H2055-G2056</f>
        <v/>
      </c>
      <c r="I2056" s="392" t="n"/>
      <c r="J2056" s="392" t="n"/>
      <c r="K2056" s="392" t="n"/>
      <c r="L2056" s="392" t="n"/>
      <c r="M2056" s="392" t="n"/>
    </row>
    <row r="2057">
      <c r="A2057" s="568" t="n">
        <v>44138</v>
      </c>
      <c r="B2057" s="392" t="n">
        <v>7670</v>
      </c>
      <c r="C2057" s="392" t="n"/>
      <c r="D2057" s="392" t="n">
        <v>65</v>
      </c>
      <c r="E2057" s="392" t="n"/>
      <c r="F2057" s="392" t="n"/>
      <c r="G2057" s="392" t="n">
        <v>30</v>
      </c>
      <c r="H2057" s="446">
        <f>H2056-G2057</f>
        <v/>
      </c>
      <c r="I2057" s="392" t="n"/>
      <c r="J2057" s="392" t="n"/>
      <c r="K2057" s="392" t="n"/>
      <c r="L2057" s="392" t="n"/>
      <c r="M2057" s="392" t="n"/>
    </row>
    <row r="2058">
      <c r="A2058" s="568" t="n">
        <v>44138</v>
      </c>
      <c r="B2058" s="392" t="n">
        <v>7671</v>
      </c>
      <c r="C2058" s="392" t="n"/>
      <c r="D2058" s="392" t="n">
        <v>66</v>
      </c>
      <c r="E2058" s="392" t="n"/>
      <c r="F2058" s="392" t="n"/>
      <c r="G2058" s="392" t="n">
        <v>20</v>
      </c>
      <c r="H2058" s="446">
        <f>H2057-G2058</f>
        <v/>
      </c>
      <c r="I2058" s="392" t="n"/>
      <c r="J2058" s="392" t="n"/>
      <c r="K2058" s="392" t="n"/>
      <c r="L2058" s="392" t="n"/>
      <c r="M2058" s="392" t="n"/>
    </row>
    <row r="2059">
      <c r="A2059" s="568" t="n">
        <v>44138</v>
      </c>
      <c r="B2059" s="392" t="n">
        <v>7672</v>
      </c>
      <c r="C2059" s="392" t="n"/>
      <c r="D2059" s="392" t="n">
        <v>64</v>
      </c>
      <c r="E2059" s="392" t="n"/>
      <c r="F2059" s="392" t="n"/>
      <c r="G2059" s="392" t="n">
        <v>30</v>
      </c>
      <c r="H2059" s="446">
        <f>H2058-G2059</f>
        <v/>
      </c>
      <c r="I2059" s="392" t="n"/>
      <c r="J2059" s="392" t="n"/>
      <c r="K2059" s="392" t="n"/>
      <c r="L2059" s="392" t="n"/>
      <c r="M2059" s="392" t="n"/>
    </row>
    <row r="2060">
      <c r="A2060" s="568" t="n">
        <v>44144</v>
      </c>
      <c r="B2060" s="392" t="n">
        <v>7673</v>
      </c>
      <c r="C2060" s="392" t="n"/>
      <c r="D2060" s="392" t="n">
        <v>66</v>
      </c>
      <c r="E2060" s="392" t="n"/>
      <c r="F2060" s="392" t="n"/>
      <c r="G2060" s="392" t="n">
        <v>30</v>
      </c>
      <c r="H2060" s="446">
        <f>H2059-G2060</f>
        <v/>
      </c>
      <c r="I2060" s="392" t="n"/>
      <c r="J2060" s="392" t="n"/>
      <c r="K2060" s="392" t="n"/>
      <c r="L2060" s="392" t="n"/>
      <c r="M2060" s="392" t="n"/>
    </row>
    <row r="2061">
      <c r="A2061" s="568" t="n">
        <v>44144</v>
      </c>
      <c r="B2061" s="392" t="n">
        <v>7674</v>
      </c>
      <c r="C2061" s="392" t="n"/>
      <c r="D2061" s="392" t="n">
        <v>64</v>
      </c>
      <c r="E2061" s="392" t="n"/>
      <c r="F2061" s="392" t="n"/>
      <c r="G2061" s="392" t="n">
        <v>20</v>
      </c>
      <c r="H2061" s="446">
        <f>H2060-G2061</f>
        <v/>
      </c>
      <c r="I2061" s="392" t="n"/>
      <c r="J2061" s="392" t="n"/>
      <c r="K2061" s="392" t="n"/>
      <c r="L2061" s="392" t="n"/>
      <c r="M2061" s="392" t="n"/>
    </row>
    <row r="2062">
      <c r="A2062" s="568" t="n">
        <v>44144</v>
      </c>
      <c r="B2062" s="392" t="n">
        <v>7675</v>
      </c>
      <c r="C2062" s="392" t="n"/>
      <c r="D2062" s="392" t="n">
        <v>65</v>
      </c>
      <c r="E2062" s="392" t="n"/>
      <c r="F2062" s="392" t="n"/>
      <c r="G2062" s="392" t="n">
        <v>30</v>
      </c>
      <c r="H2062" s="446">
        <f>H2061-G2062</f>
        <v/>
      </c>
      <c r="I2062" s="392" t="n"/>
      <c r="J2062" s="392" t="n"/>
      <c r="K2062" s="392" t="n"/>
      <c r="L2062" s="392" t="n"/>
      <c r="M2062" s="392" t="n"/>
    </row>
    <row r="2063">
      <c r="A2063" s="568" t="n">
        <v>44144</v>
      </c>
      <c r="B2063" s="392" t="n">
        <v>7676</v>
      </c>
      <c r="C2063" s="392" t="n"/>
      <c r="D2063" s="392" t="n">
        <v>68</v>
      </c>
      <c r="E2063" s="392" t="n"/>
      <c r="F2063" s="392" t="n"/>
      <c r="G2063" s="392" t="n">
        <v>100</v>
      </c>
      <c r="H2063" s="446">
        <f>H2062-G2063</f>
        <v/>
      </c>
      <c r="I2063" s="392" t="n"/>
      <c r="J2063" s="392" t="n"/>
      <c r="K2063" s="392" t="n"/>
      <c r="L2063" s="392" t="n"/>
      <c r="M2063" s="392" t="n"/>
    </row>
    <row r="2064">
      <c r="A2064" s="568" t="n">
        <v>44144</v>
      </c>
      <c r="B2064" s="392" t="n">
        <v>7678</v>
      </c>
      <c r="C2064" s="392" t="n"/>
      <c r="D2064" s="392" t="n">
        <v>64</v>
      </c>
      <c r="E2064" s="392" t="n"/>
      <c r="F2064" s="392" t="n"/>
      <c r="G2064" s="392" t="n">
        <v>34</v>
      </c>
      <c r="H2064" s="446">
        <f>H2063-G2064</f>
        <v/>
      </c>
      <c r="I2064" s="392" t="n"/>
      <c r="J2064" s="392" t="n"/>
      <c r="K2064" s="392" t="n"/>
      <c r="L2064" s="392" t="n"/>
      <c r="M2064" s="392" t="n"/>
    </row>
    <row r="2065">
      <c r="A2065" s="568" t="n">
        <v>44145</v>
      </c>
      <c r="B2065" s="392" t="n">
        <v>7679</v>
      </c>
      <c r="C2065" s="392" t="n"/>
      <c r="D2065" s="392" t="n">
        <v>66.29000000000001</v>
      </c>
      <c r="E2065" s="392" t="n"/>
      <c r="F2065" s="392" t="n"/>
      <c r="G2065" s="392" t="n">
        <v>70</v>
      </c>
      <c r="H2065" s="446">
        <f>H2064-G2065</f>
        <v/>
      </c>
      <c r="I2065" s="392" t="n"/>
      <c r="J2065" s="392" t="n"/>
      <c r="K2065" s="392" t="n"/>
      <c r="L2065" s="392" t="n"/>
      <c r="M2065" s="392" t="n"/>
    </row>
    <row r="2066">
      <c r="A2066" s="568" t="n">
        <v>44145</v>
      </c>
      <c r="B2066" s="392" t="n">
        <v>7681</v>
      </c>
      <c r="C2066" s="392" t="n"/>
      <c r="D2066" s="392" t="n">
        <v>68</v>
      </c>
      <c r="E2066" s="392" t="n"/>
      <c r="F2066" s="392" t="n"/>
      <c r="G2066" s="392" t="n">
        <v>30</v>
      </c>
      <c r="H2066" s="446">
        <f>H2065-G2066</f>
        <v/>
      </c>
      <c r="I2066" s="392" t="n"/>
      <c r="J2066" s="392" t="n"/>
      <c r="K2066" s="392" t="n"/>
      <c r="L2066" s="392" t="n"/>
      <c r="M2066" s="392" t="n"/>
    </row>
    <row r="2067">
      <c r="A2067" s="304" t="n">
        <v>44144</v>
      </c>
      <c r="B2067" s="401" t="n">
        <v>37287</v>
      </c>
      <c r="C2067" s="401" t="n"/>
      <c r="D2067" s="401" t="n">
        <v>57</v>
      </c>
      <c r="E2067" s="401" t="n"/>
      <c r="F2067" s="401" t="n">
        <v>300</v>
      </c>
      <c r="G2067" s="401" t="n"/>
      <c r="H2067" s="322" t="n">
        <v>2848</v>
      </c>
      <c r="I2067" s="392" t="n"/>
      <c r="J2067" s="392" t="n"/>
      <c r="K2067" s="392" t="n"/>
      <c r="L2067" s="392" t="n"/>
      <c r="M2067" s="392" t="n"/>
    </row>
    <row r="2068">
      <c r="A2068" s="568" t="n">
        <v>44146</v>
      </c>
      <c r="B2068" s="392" t="n">
        <v>7683</v>
      </c>
      <c r="C2068" s="392" t="n"/>
      <c r="D2068" s="392" t="n">
        <v>68</v>
      </c>
      <c r="E2068" s="392" t="n"/>
      <c r="F2068" s="392" t="n"/>
      <c r="G2068" s="392" t="n">
        <v>30</v>
      </c>
      <c r="H2068" s="446">
        <f>H2067-G2068</f>
        <v/>
      </c>
      <c r="I2068" s="392" t="n"/>
      <c r="J2068" s="392" t="n"/>
      <c r="K2068" s="392" t="n"/>
      <c r="L2068" s="392" t="n"/>
      <c r="M2068" s="392" t="n"/>
    </row>
    <row r="2069">
      <c r="A2069" s="568" t="n">
        <v>44146</v>
      </c>
      <c r="B2069" s="392" t="n">
        <v>7684</v>
      </c>
      <c r="C2069" s="392" t="n"/>
      <c r="D2069" s="392" t="n">
        <v>64.5</v>
      </c>
      <c r="E2069" s="392" t="n"/>
      <c r="F2069" s="392" t="n"/>
      <c r="G2069" s="392" t="n">
        <v>40</v>
      </c>
      <c r="H2069" s="446">
        <f>H2068-G2069</f>
        <v/>
      </c>
      <c r="I2069" s="392" t="n"/>
      <c r="J2069" s="392" t="n"/>
      <c r="K2069" s="392" t="n"/>
      <c r="L2069" s="392" t="n"/>
      <c r="M2069" s="392" t="n"/>
    </row>
    <row r="2070">
      <c r="A2070" s="568" t="n">
        <v>44146</v>
      </c>
      <c r="B2070" s="392" t="n">
        <v>7685</v>
      </c>
      <c r="C2070" s="392" t="n"/>
      <c r="D2070" s="392" t="n">
        <v>64.5</v>
      </c>
      <c r="E2070" s="392" t="n"/>
      <c r="F2070" s="392" t="n"/>
      <c r="G2070" s="392" t="n">
        <v>50</v>
      </c>
      <c r="H2070" s="446">
        <f>H2069-G2070</f>
        <v/>
      </c>
      <c r="I2070" s="392" t="n"/>
      <c r="J2070" s="392" t="n"/>
      <c r="K2070" s="392" t="n"/>
      <c r="L2070" s="392" t="n"/>
      <c r="M2070" s="392" t="n"/>
    </row>
    <row r="2071">
      <c r="A2071" s="568" t="n">
        <v>44146</v>
      </c>
      <c r="B2071" s="392" t="n">
        <v>7690</v>
      </c>
      <c r="C2071" s="392" t="n"/>
      <c r="D2071" s="392" t="n">
        <v>67</v>
      </c>
      <c r="E2071" s="392" t="n"/>
      <c r="F2071" s="392" t="n"/>
      <c r="G2071" s="392" t="n">
        <v>30</v>
      </c>
      <c r="H2071" s="446">
        <f>H2070-G2071</f>
        <v/>
      </c>
      <c r="I2071" s="392" t="n"/>
      <c r="J2071" s="392" t="n"/>
      <c r="K2071" s="392" t="n"/>
      <c r="L2071" s="392" t="n"/>
      <c r="M2071" s="392" t="n"/>
    </row>
    <row r="2072">
      <c r="A2072" s="568" t="n">
        <v>44148</v>
      </c>
      <c r="B2072" s="392" t="n">
        <v>7692</v>
      </c>
      <c r="C2072" s="392" t="n"/>
      <c r="D2072" s="392" t="n">
        <v>63</v>
      </c>
      <c r="E2072" s="392" t="n"/>
      <c r="F2072" s="392" t="n"/>
      <c r="G2072" s="392" t="n">
        <v>100</v>
      </c>
      <c r="H2072" s="446">
        <f>H2071-G2072</f>
        <v/>
      </c>
      <c r="I2072" s="392" t="n"/>
      <c r="J2072" s="392" t="n"/>
      <c r="K2072" s="392" t="n"/>
      <c r="L2072" s="392" t="n"/>
      <c r="M2072" s="392" t="n"/>
    </row>
    <row r="2073">
      <c r="A2073" s="568" t="n">
        <v>44152</v>
      </c>
      <c r="B2073" s="392" t="n">
        <v>7694</v>
      </c>
      <c r="C2073" s="392" t="n"/>
      <c r="D2073" s="392" t="n">
        <v>67.75</v>
      </c>
      <c r="E2073" s="392" t="n"/>
      <c r="F2073" s="392" t="n"/>
      <c r="G2073" s="392" t="n">
        <v>40</v>
      </c>
      <c r="H2073" s="446">
        <f>H2072-G2073</f>
        <v/>
      </c>
      <c r="I2073" s="392" t="n"/>
      <c r="J2073" s="392" t="n"/>
      <c r="K2073" s="392" t="n"/>
      <c r="L2073" s="392" t="n"/>
      <c r="M2073" s="392" t="n"/>
    </row>
    <row r="2074">
      <c r="A2074" s="568" t="n">
        <v>44152</v>
      </c>
      <c r="B2074" s="392" t="n">
        <v>7695</v>
      </c>
      <c r="C2074" s="392" t="n"/>
      <c r="D2074" s="392" t="n">
        <v>60</v>
      </c>
      <c r="E2074" s="392" t="n"/>
      <c r="F2074" s="392" t="n"/>
      <c r="G2074" s="392" t="n">
        <v>20</v>
      </c>
      <c r="H2074" s="446">
        <f>H2073-G2074</f>
        <v/>
      </c>
      <c r="I2074" s="392" t="n"/>
      <c r="J2074" s="392" t="n"/>
      <c r="K2074" s="392" t="n"/>
      <c r="L2074" s="392" t="n"/>
      <c r="M2074" s="392" t="n"/>
    </row>
    <row r="2075">
      <c r="A2075" s="568" t="n">
        <v>44152</v>
      </c>
      <c r="B2075" s="392" t="n">
        <v>7696</v>
      </c>
      <c r="C2075" s="392" t="n"/>
      <c r="D2075" s="392" t="n">
        <v>65</v>
      </c>
      <c r="E2075" s="392" t="n"/>
      <c r="F2075" s="392" t="n"/>
      <c r="G2075" s="392" t="n">
        <v>30</v>
      </c>
      <c r="H2075" s="446">
        <f>H2074-G2075</f>
        <v/>
      </c>
      <c r="I2075" s="392" t="n"/>
      <c r="J2075" s="392" t="n"/>
      <c r="K2075" s="392" t="n"/>
      <c r="L2075" s="392" t="n"/>
      <c r="M2075" s="392" t="n"/>
    </row>
    <row r="2076">
      <c r="A2076" s="568" t="n">
        <v>44152</v>
      </c>
      <c r="B2076" s="392" t="n">
        <v>7697</v>
      </c>
      <c r="C2076" s="392" t="n"/>
      <c r="D2076" s="392" t="n">
        <v>65.5</v>
      </c>
      <c r="E2076" s="392" t="n"/>
      <c r="F2076" s="392" t="n"/>
      <c r="G2076" s="392" t="n">
        <v>40</v>
      </c>
      <c r="H2076" s="446">
        <f>H2075-G2076</f>
        <v/>
      </c>
      <c r="I2076" s="392" t="n"/>
      <c r="J2076" s="392" t="n"/>
      <c r="K2076" s="392" t="n"/>
      <c r="L2076" s="392" t="n"/>
      <c r="M2076" s="392" t="n"/>
    </row>
    <row r="2077">
      <c r="A2077" s="568" t="n">
        <v>44152</v>
      </c>
      <c r="B2077" s="392" t="n">
        <v>7698</v>
      </c>
      <c r="C2077" s="392" t="n"/>
      <c r="D2077" s="392" t="n">
        <v>68</v>
      </c>
      <c r="E2077" s="392" t="n"/>
      <c r="F2077" s="392" t="n"/>
      <c r="G2077" s="392" t="n">
        <v>40</v>
      </c>
      <c r="H2077" s="446">
        <f>H2076-G2077</f>
        <v/>
      </c>
      <c r="I2077" s="392" t="n"/>
      <c r="J2077" s="392" t="n"/>
      <c r="K2077" s="392" t="n"/>
      <c r="L2077" s="392" t="n"/>
      <c r="M2077" s="392" t="n"/>
    </row>
    <row r="2078">
      <c r="A2078" s="568" t="n">
        <v>44152</v>
      </c>
      <c r="B2078" s="392" t="n">
        <v>7700</v>
      </c>
      <c r="C2078" s="392" t="n"/>
      <c r="D2078" s="392" t="n">
        <v>66</v>
      </c>
      <c r="E2078" s="392" t="n"/>
      <c r="F2078" s="392" t="n"/>
      <c r="G2078" s="392" t="n">
        <v>30</v>
      </c>
      <c r="H2078" s="446">
        <f>H2077-G2078</f>
        <v/>
      </c>
      <c r="I2078" s="392" t="n"/>
      <c r="J2078" s="392" t="n"/>
      <c r="K2078" s="392" t="n"/>
      <c r="L2078" s="392" t="n"/>
      <c r="M2078" s="392" t="n"/>
    </row>
    <row r="2079">
      <c r="A2079" s="568" t="n">
        <v>44152</v>
      </c>
      <c r="B2079" s="392" t="n">
        <v>7701</v>
      </c>
      <c r="C2079" s="392" t="n"/>
      <c r="D2079" s="392" t="n">
        <v>64</v>
      </c>
      <c r="E2079" s="392" t="n"/>
      <c r="F2079" s="392" t="n"/>
      <c r="G2079" s="392" t="n">
        <v>30</v>
      </c>
      <c r="H2079" s="446">
        <f>H2078-G2079</f>
        <v/>
      </c>
      <c r="I2079" s="392" t="n"/>
      <c r="J2079" s="392" t="n"/>
      <c r="K2079" s="392" t="n"/>
      <c r="L2079" s="392" t="n"/>
      <c r="M2079" s="392" t="n"/>
    </row>
    <row r="2080">
      <c r="A2080" s="568" t="n">
        <v>44152</v>
      </c>
      <c r="B2080" s="392" t="n">
        <v>7702</v>
      </c>
      <c r="C2080" s="392" t="n"/>
      <c r="D2080" s="392" t="n">
        <v>67</v>
      </c>
      <c r="E2080" s="392" t="n"/>
      <c r="F2080" s="392" t="n"/>
      <c r="G2080" s="392" t="n">
        <v>30</v>
      </c>
      <c r="H2080" s="446">
        <f>H2079-G2080</f>
        <v/>
      </c>
      <c r="I2080" s="392" t="n"/>
      <c r="J2080" s="392" t="n"/>
      <c r="K2080" s="392" t="n"/>
      <c r="L2080" s="392" t="n"/>
      <c r="M2080" s="392" t="n"/>
    </row>
    <row r="2081">
      <c r="A2081" s="304" t="n">
        <v>44153</v>
      </c>
      <c r="B2081" s="401" t="n">
        <v>13497</v>
      </c>
      <c r="C2081" s="401" t="n"/>
      <c r="D2081" s="401" t="n">
        <v>50</v>
      </c>
      <c r="E2081" s="401" t="n"/>
      <c r="F2081" s="401" t="n">
        <v>1120</v>
      </c>
      <c r="G2081" s="401" t="n"/>
      <c r="H2081" s="322" t="n">
        <v>3458</v>
      </c>
      <c r="I2081" s="392" t="n"/>
      <c r="J2081" s="392" t="n"/>
      <c r="K2081" s="392" t="n"/>
      <c r="L2081" s="392" t="n"/>
      <c r="M2081" s="392" t="n"/>
    </row>
    <row r="2082">
      <c r="A2082" s="568" t="n">
        <v>44159</v>
      </c>
      <c r="B2082" s="392" t="n">
        <v>7703</v>
      </c>
      <c r="C2082" s="392" t="n"/>
      <c r="D2082" s="392" t="n">
        <v>66.2</v>
      </c>
      <c r="E2082" s="392" t="n"/>
      <c r="F2082" s="392" t="n"/>
      <c r="G2082" s="392" t="n">
        <v>100</v>
      </c>
      <c r="H2082" s="446">
        <f>H2081-G2082</f>
        <v/>
      </c>
      <c r="I2082" s="392" t="n"/>
      <c r="J2082" s="392" t="n"/>
      <c r="K2082" s="392" t="n"/>
      <c r="L2082" s="392" t="n"/>
      <c r="M2082" s="392" t="n"/>
    </row>
    <row r="2083">
      <c r="A2083" s="568" t="n">
        <v>44159</v>
      </c>
      <c r="B2083" s="392" t="n">
        <v>7704</v>
      </c>
      <c r="C2083" s="392" t="n"/>
      <c r="D2083" s="392" t="n">
        <v>65</v>
      </c>
      <c r="E2083" s="392" t="n"/>
      <c r="F2083" s="392" t="n"/>
      <c r="G2083" s="392" t="n">
        <v>30</v>
      </c>
      <c r="H2083" s="446">
        <f>H2082-G2083</f>
        <v/>
      </c>
      <c r="I2083" s="392" t="n"/>
      <c r="J2083" s="392" t="n"/>
      <c r="K2083" s="392" t="n"/>
      <c r="L2083" s="392" t="n"/>
      <c r="M2083" s="392" t="n"/>
    </row>
    <row r="2084">
      <c r="A2084" s="568" t="n">
        <v>44159</v>
      </c>
      <c r="B2084" s="392" t="n">
        <v>7705</v>
      </c>
      <c r="C2084" s="392" t="n"/>
      <c r="D2084" s="392" t="n">
        <v>67</v>
      </c>
      <c r="E2084" s="392" t="n"/>
      <c r="F2084" s="392" t="n"/>
      <c r="G2084" s="392" t="n">
        <v>60</v>
      </c>
      <c r="H2084" s="446">
        <f>H2083-G2084</f>
        <v/>
      </c>
      <c r="I2084" s="392" t="n"/>
      <c r="J2084" s="392" t="n"/>
      <c r="K2084" s="392" t="n"/>
      <c r="L2084" s="392" t="n"/>
      <c r="M2084" s="392" t="n"/>
    </row>
    <row r="2085">
      <c r="A2085" s="568" t="n">
        <v>44159</v>
      </c>
      <c r="B2085" s="392" t="n">
        <v>7706</v>
      </c>
      <c r="C2085" s="392" t="n"/>
      <c r="D2085" s="392" t="n">
        <v>63.5</v>
      </c>
      <c r="E2085" s="392" t="n"/>
      <c r="F2085" s="392" t="n"/>
      <c r="G2085" s="392" t="n">
        <v>50</v>
      </c>
      <c r="H2085" s="446">
        <f>H2084-G2085</f>
        <v/>
      </c>
      <c r="I2085" s="392" t="n"/>
      <c r="J2085" s="392" t="n"/>
      <c r="K2085" s="392" t="n"/>
      <c r="L2085" s="392" t="n"/>
      <c r="M2085" s="392" t="n"/>
    </row>
    <row r="2086">
      <c r="A2086" s="568" t="n">
        <v>44159</v>
      </c>
      <c r="B2086" s="392" t="n">
        <v>7707</v>
      </c>
      <c r="C2086" s="392" t="n"/>
      <c r="D2086" s="392" t="n">
        <v>60</v>
      </c>
      <c r="E2086" s="392" t="n"/>
      <c r="F2086" s="392" t="n"/>
      <c r="G2086" s="392" t="n">
        <v>20</v>
      </c>
      <c r="H2086" s="446">
        <f>H2085-G2086</f>
        <v/>
      </c>
      <c r="I2086" s="392" t="n"/>
      <c r="J2086" s="392" t="n"/>
      <c r="K2086" s="392" t="n"/>
      <c r="L2086" s="392" t="n"/>
      <c r="M2086" s="392" t="n"/>
    </row>
    <row r="2087">
      <c r="A2087" s="568" t="n">
        <v>44159</v>
      </c>
      <c r="B2087" s="392" t="n">
        <v>7709</v>
      </c>
      <c r="C2087" s="392" t="n"/>
      <c r="D2087" s="392" t="n">
        <v>63</v>
      </c>
      <c r="E2087" s="392" t="n"/>
      <c r="F2087" s="392" t="n"/>
      <c r="G2087" s="392" t="n">
        <v>15</v>
      </c>
      <c r="H2087" s="446">
        <f>H2086-G2087</f>
        <v/>
      </c>
      <c r="I2087" s="392" t="n"/>
      <c r="J2087" s="392" t="n"/>
      <c r="K2087" s="392" t="n"/>
      <c r="L2087" s="392" t="n"/>
      <c r="M2087" s="392" t="n"/>
    </row>
    <row r="2088">
      <c r="A2088" s="568" t="n">
        <v>44159</v>
      </c>
      <c r="B2088" s="392" t="n">
        <v>7710</v>
      </c>
      <c r="C2088" s="392" t="n"/>
      <c r="D2088" s="392" t="n">
        <v>66.40000000000001</v>
      </c>
      <c r="E2088" s="392" t="n"/>
      <c r="F2088" s="392" t="n"/>
      <c r="G2088" s="392" t="n">
        <v>10</v>
      </c>
      <c r="H2088" s="446">
        <f>H2087-G2088</f>
        <v/>
      </c>
      <c r="I2088" s="392" t="n"/>
      <c r="J2088" s="392" t="n"/>
      <c r="K2088" s="392" t="n"/>
      <c r="L2088" s="392" t="n"/>
      <c r="M2088" s="392" t="n"/>
    </row>
    <row r="2089">
      <c r="A2089" s="568" t="n">
        <v>44163</v>
      </c>
      <c r="B2089" s="392" t="n">
        <v>7711</v>
      </c>
      <c r="C2089" s="392" t="n"/>
      <c r="D2089" s="392" t="n">
        <v>65</v>
      </c>
      <c r="E2089" s="392" t="n"/>
      <c r="F2089" s="392" t="n"/>
      <c r="G2089" s="392" t="n">
        <v>20</v>
      </c>
      <c r="H2089" s="446">
        <f>H2088-G2089</f>
        <v/>
      </c>
      <c r="I2089" s="392" t="n"/>
      <c r="J2089" s="392" t="n"/>
      <c r="K2089" s="392" t="n"/>
      <c r="L2089" s="392" t="n"/>
      <c r="M2089" s="392" t="n"/>
    </row>
    <row r="2090">
      <c r="A2090" s="568" t="n">
        <v>44163</v>
      </c>
      <c r="B2090" s="392" t="n">
        <v>7712</v>
      </c>
      <c r="C2090" s="392" t="n"/>
      <c r="D2090" s="392" t="n">
        <v>67</v>
      </c>
      <c r="E2090" s="392" t="n"/>
      <c r="F2090" s="392" t="n"/>
      <c r="G2090" s="392" t="n">
        <v>30</v>
      </c>
      <c r="H2090" s="446">
        <f>H2089-G2090</f>
        <v/>
      </c>
      <c r="I2090" s="392" t="n"/>
      <c r="J2090" s="392" t="n"/>
      <c r="K2090" s="392" t="n"/>
      <c r="L2090" s="392" t="n"/>
      <c r="M2090" s="392" t="n"/>
    </row>
    <row r="2091">
      <c r="A2091" s="568" t="n">
        <v>44163</v>
      </c>
      <c r="B2091" s="392" t="n">
        <v>7713</v>
      </c>
      <c r="C2091" s="392" t="n"/>
      <c r="D2091" s="392" t="n">
        <v>67</v>
      </c>
      <c r="E2091" s="392" t="n"/>
      <c r="F2091" s="392" t="n"/>
      <c r="G2091" s="392" t="n">
        <v>30</v>
      </c>
      <c r="H2091" s="446">
        <f>H2090-G2091</f>
        <v/>
      </c>
      <c r="I2091" s="392" t="n"/>
      <c r="J2091" s="392" t="n"/>
      <c r="K2091" s="392" t="n"/>
      <c r="L2091" s="392" t="n"/>
      <c r="M2091" s="392" t="n"/>
    </row>
    <row r="2092">
      <c r="A2092" s="568" t="n">
        <v>44163</v>
      </c>
      <c r="B2092" s="392" t="n">
        <v>7714</v>
      </c>
      <c r="C2092" s="392" t="n"/>
      <c r="D2092" s="392" t="n">
        <v>64.5</v>
      </c>
      <c r="E2092" s="392" t="n"/>
      <c r="F2092" s="392" t="n"/>
      <c r="G2092" s="392" t="n">
        <v>50</v>
      </c>
      <c r="H2092" s="446">
        <f>H2091-G2092</f>
        <v/>
      </c>
      <c r="I2092" s="392" t="n"/>
      <c r="J2092" s="392" t="n"/>
      <c r="K2092" s="392" t="n"/>
      <c r="L2092" s="392" t="n"/>
      <c r="M2092" s="392" t="n"/>
    </row>
    <row r="2093">
      <c r="A2093" s="568" t="n">
        <v>44163</v>
      </c>
      <c r="B2093" s="392" t="n">
        <v>7715</v>
      </c>
      <c r="C2093" s="392" t="n"/>
      <c r="D2093" s="392" t="n">
        <v>65</v>
      </c>
      <c r="E2093" s="392" t="n"/>
      <c r="F2093" s="392" t="n"/>
      <c r="G2093" s="392" t="n">
        <v>20</v>
      </c>
      <c r="H2093" s="446">
        <f>H2092-G2093</f>
        <v/>
      </c>
      <c r="I2093" s="392" t="n"/>
      <c r="J2093" s="392" t="n"/>
      <c r="K2093" s="392" t="n"/>
      <c r="L2093" s="392" t="n"/>
      <c r="M2093" s="392" t="n"/>
    </row>
    <row r="2094">
      <c r="A2094" s="568" t="n">
        <v>44163</v>
      </c>
      <c r="B2094" s="392" t="n">
        <v>7717</v>
      </c>
      <c r="C2094" s="392" t="n"/>
      <c r="D2094" s="392" t="n">
        <v>68</v>
      </c>
      <c r="E2094" s="392" t="n"/>
      <c r="F2094" s="392" t="n"/>
      <c r="G2094" s="392" t="n">
        <v>20</v>
      </c>
      <c r="H2094" s="446">
        <f>H2093-G2094</f>
        <v/>
      </c>
      <c r="I2094" s="392" t="n"/>
      <c r="J2094" s="392" t="n"/>
      <c r="K2094" s="392" t="n"/>
      <c r="L2094" s="392" t="n"/>
      <c r="M2094" s="392" t="n"/>
    </row>
    <row r="2095">
      <c r="A2095" s="568" t="n">
        <v>44163</v>
      </c>
      <c r="B2095" s="392" t="n">
        <v>7718</v>
      </c>
      <c r="C2095" s="392" t="n"/>
      <c r="D2095" s="392" t="n">
        <v>68</v>
      </c>
      <c r="E2095" s="392" t="n"/>
      <c r="F2095" s="392" t="n"/>
      <c r="G2095" s="392" t="n">
        <v>50</v>
      </c>
      <c r="H2095" s="446">
        <f>H2094-G2095</f>
        <v/>
      </c>
      <c r="I2095" s="392" t="n"/>
      <c r="J2095" s="392" t="n"/>
      <c r="K2095" s="392" t="n"/>
      <c r="L2095" s="392" t="n"/>
      <c r="M2095" s="392" t="n"/>
    </row>
    <row r="2096">
      <c r="A2096" s="568" t="n">
        <v>44164</v>
      </c>
      <c r="B2096" s="392" t="n">
        <v>7719</v>
      </c>
      <c r="C2096" s="392" t="n"/>
      <c r="D2096" s="392" t="n">
        <v>67</v>
      </c>
      <c r="E2096" s="392" t="n"/>
      <c r="F2096" s="392" t="n"/>
      <c r="G2096" s="392" t="n">
        <v>20</v>
      </c>
      <c r="H2096" s="446">
        <f>H2095-G2096</f>
        <v/>
      </c>
      <c r="I2096" s="392" t="n"/>
      <c r="J2096" s="392" t="n"/>
      <c r="K2096" s="392" t="n"/>
      <c r="L2096" s="392" t="n"/>
      <c r="M2096" s="392" t="n"/>
    </row>
    <row r="2097">
      <c r="A2097" s="568" t="n"/>
      <c r="B2097" s="392" t="n"/>
      <c r="C2097" s="392" t="n"/>
      <c r="D2097" s="392" t="n"/>
      <c r="E2097" s="392" t="n"/>
      <c r="F2097" s="392" t="n"/>
      <c r="G2097" s="392" t="n"/>
      <c r="H2097" s="446">
        <f>H2096-G2097</f>
        <v/>
      </c>
      <c r="I2097" s="392" t="n"/>
      <c r="J2097" s="392" t="n"/>
      <c r="K2097" s="392" t="n"/>
      <c r="L2097" s="392" t="n"/>
      <c r="M2097" s="392" t="n"/>
    </row>
    <row r="2098">
      <c r="A2098" s="568" t="n"/>
      <c r="B2098" s="392" t="n"/>
      <c r="C2098" s="392" t="n"/>
      <c r="D2098" s="392" t="n"/>
      <c r="E2098" s="392" t="n"/>
      <c r="F2098" s="392" t="n"/>
      <c r="G2098" s="392" t="n"/>
      <c r="H2098" s="446">
        <f>H2097-G2098</f>
        <v/>
      </c>
      <c r="I2098" s="392" t="n"/>
      <c r="J2098" s="392" t="n"/>
      <c r="K2098" s="392" t="n"/>
      <c r="L2098" s="392" t="n"/>
      <c r="M2098" s="392" t="n"/>
    </row>
    <row r="2099" ht="15.75" customHeight="1" s="436" thickBot="1"/>
    <row r="2100" ht="32.25" customHeight="1" s="436" thickBot="1">
      <c r="A2100" s="735" t="inlineStr">
        <is>
          <t>Dezembro</t>
        </is>
      </c>
      <c r="B2100" s="697" t="n"/>
      <c r="C2100" s="697" t="n"/>
      <c r="D2100" s="697" t="n"/>
      <c r="E2100" s="697" t="n"/>
      <c r="F2100" s="697" t="n"/>
      <c r="G2100" s="697" t="n"/>
      <c r="H2100" s="697" t="n"/>
      <c r="I2100" s="697" t="n"/>
      <c r="J2100" s="697" t="n"/>
      <c r="K2100" s="697" t="n"/>
      <c r="L2100" s="697" t="n"/>
      <c r="M2100" s="698" t="n"/>
    </row>
    <row r="2101" ht="27" customHeight="1" s="436" thickBot="1">
      <c r="A2101" s="734" t="inlineStr">
        <is>
          <t xml:space="preserve"> FARINHA DE TRIGO TIPO: 1 - 25 KG</t>
        </is>
      </c>
      <c r="B2101" s="706" t="n"/>
      <c r="C2101" s="706" t="n"/>
      <c r="D2101" s="706" t="n"/>
      <c r="E2101" s="706" t="n"/>
      <c r="F2101" s="706" t="n"/>
      <c r="G2101" s="706" t="n"/>
      <c r="H2101" s="706" t="n"/>
      <c r="I2101" s="706" t="n"/>
      <c r="J2101" s="706" t="n"/>
      <c r="K2101" s="706" t="n"/>
      <c r="L2101" s="706" t="n"/>
      <c r="M2101" s="707" t="n"/>
    </row>
    <row r="2102">
      <c r="A2102" s="643" t="inlineStr">
        <is>
          <t>DATA</t>
        </is>
      </c>
      <c r="B2102" s="633" t="inlineStr">
        <is>
          <t>N.F.</t>
        </is>
      </c>
      <c r="C2102" s="633" t="inlineStr">
        <is>
          <t>TIPO</t>
        </is>
      </c>
      <c r="D2102" s="633" t="inlineStr">
        <is>
          <t>PREÇO UNITÁRIO</t>
        </is>
      </c>
      <c r="E2102" s="701" t="n"/>
      <c r="F2102" s="633" t="inlineStr">
        <is>
          <t>QUANTIDADE / KG</t>
        </is>
      </c>
      <c r="H2102" s="701" t="n"/>
      <c r="I2102" s="632" t="inlineStr">
        <is>
          <t>PREÇO</t>
        </is>
      </c>
      <c r="J2102" s="632" t="inlineStr">
        <is>
          <t>VALORES</t>
        </is>
      </c>
      <c r="L2102" s="701" t="n"/>
      <c r="M2102" s="649" t="n"/>
    </row>
    <row r="2103" ht="15.75" customHeight="1" s="436" thickBot="1">
      <c r="A2103" s="703" t="n"/>
      <c r="B2103" s="704" t="n"/>
      <c r="C2103" s="704" t="n"/>
      <c r="D2103" s="703" t="n"/>
      <c r="E2103" s="701" t="n"/>
      <c r="F2103" s="705" t="n"/>
      <c r="G2103" s="706" t="n"/>
      <c r="H2103" s="707" t="n"/>
      <c r="I2103" s="704" t="n"/>
      <c r="J2103" s="703" t="n"/>
      <c r="L2103" s="701" t="n"/>
      <c r="M2103" s="704" t="n"/>
    </row>
    <row r="2104" ht="15.75" customHeight="1" s="436" thickBot="1">
      <c r="A2104" s="703" t="n"/>
      <c r="B2104" s="704" t="n"/>
      <c r="C2104" s="704" t="n"/>
      <c r="D2104" s="705" t="n"/>
      <c r="E2104" s="707" t="n"/>
      <c r="F2104" s="3" t="inlineStr">
        <is>
          <t>ENTRADA</t>
        </is>
      </c>
      <c r="G2104" s="3" t="inlineStr">
        <is>
          <t>SAÍDA</t>
        </is>
      </c>
      <c r="H2104" s="640" t="n"/>
      <c r="I2104" s="633" t="inlineStr">
        <is>
          <t>MÉDIO</t>
        </is>
      </c>
      <c r="J2104" s="652" t="inlineStr">
        <is>
          <t>SALDO EM 30/11/2017</t>
        </is>
      </c>
      <c r="K2104" s="706" t="n"/>
      <c r="L2104" s="17" t="n"/>
      <c r="M2104" s="704" t="n"/>
    </row>
    <row r="2105" ht="18" customHeight="1" s="436" thickBot="1">
      <c r="A2105" s="705" t="n"/>
      <c r="B2105" s="695" t="n"/>
      <c r="C2105" s="695" t="n"/>
      <c r="D2105" s="3" t="inlineStr">
        <is>
          <t>C/ICMS</t>
        </is>
      </c>
      <c r="E2105" s="3" t="inlineStr">
        <is>
          <t>S/ICMS</t>
        </is>
      </c>
      <c r="F2105" s="695" t="n"/>
      <c r="G2105" s="695" t="n"/>
      <c r="H2105" s="84" t="inlineStr">
        <is>
          <t>Saldo em 30/11/2020</t>
        </is>
      </c>
      <c r="I2105" s="695" t="n"/>
      <c r="J2105" s="645" t="inlineStr">
        <is>
          <t>ENTRADA</t>
        </is>
      </c>
      <c r="K2105" s="633" t="inlineStr">
        <is>
          <t>SAÍDA / CMV</t>
        </is>
      </c>
      <c r="L2105" s="643" t="inlineStr">
        <is>
          <t>SALDO</t>
        </is>
      </c>
      <c r="M2105" s="392" t="n"/>
    </row>
    <row r="2106">
      <c r="A2106" s="392" t="n"/>
      <c r="B2106" s="392" t="n"/>
      <c r="C2106" s="392" t="n"/>
      <c r="D2106" s="392" t="n"/>
      <c r="E2106" s="392" t="n"/>
      <c r="F2106" s="392" t="n"/>
      <c r="G2106" s="392" t="n"/>
      <c r="H2106" s="98" t="n">
        <v>2933</v>
      </c>
      <c r="I2106" s="392" t="n"/>
      <c r="J2106" s="392" t="n"/>
      <c r="K2106" s="392" t="n"/>
      <c r="L2106" s="392" t="n"/>
      <c r="M2106" s="392" t="n"/>
    </row>
    <row r="2107">
      <c r="A2107" s="568" t="n">
        <v>44167</v>
      </c>
      <c r="B2107" s="392" t="n">
        <v>7722</v>
      </c>
      <c r="C2107" s="392" t="n"/>
      <c r="D2107" s="392" t="n">
        <v>66</v>
      </c>
      <c r="E2107" s="392" t="n"/>
      <c r="F2107" s="392" t="n"/>
      <c r="G2107" s="392" t="n">
        <v>30</v>
      </c>
      <c r="H2107" s="446">
        <f>H2106-G2107</f>
        <v/>
      </c>
      <c r="I2107" s="392" t="n"/>
      <c r="J2107" s="392" t="n"/>
      <c r="K2107" s="392" t="n"/>
      <c r="L2107" s="392" t="n"/>
      <c r="M2107" s="392" t="n"/>
    </row>
    <row r="2108">
      <c r="A2108" s="568" t="n">
        <v>44167</v>
      </c>
      <c r="B2108" s="392" t="n">
        <v>7723</v>
      </c>
      <c r="C2108" s="392" t="n"/>
      <c r="D2108" s="392" t="n">
        <v>67</v>
      </c>
      <c r="E2108" s="392" t="n"/>
      <c r="F2108" s="392" t="n"/>
      <c r="G2108" s="392" t="n">
        <v>30</v>
      </c>
      <c r="H2108" s="446">
        <f>H2107-G2108</f>
        <v/>
      </c>
      <c r="I2108" s="392" t="n"/>
      <c r="J2108" s="392" t="n"/>
      <c r="K2108" s="392" t="n"/>
      <c r="L2108" s="392" t="n"/>
      <c r="M2108" s="392" t="n"/>
    </row>
    <row r="2109">
      <c r="A2109" s="568" t="n">
        <v>44167</v>
      </c>
      <c r="B2109" s="392" t="n">
        <v>7724</v>
      </c>
      <c r="C2109" s="392" t="n"/>
      <c r="D2109" s="392" t="n">
        <v>67</v>
      </c>
      <c r="E2109" s="392" t="n"/>
      <c r="F2109" s="392" t="n"/>
      <c r="G2109" s="392" t="n">
        <v>20</v>
      </c>
      <c r="H2109" s="446">
        <f>H2108-G2109</f>
        <v/>
      </c>
      <c r="I2109" s="392" t="n"/>
      <c r="J2109" s="392" t="n"/>
      <c r="K2109" s="392" t="n"/>
      <c r="L2109" s="392" t="n"/>
      <c r="M2109" s="392" t="n"/>
    </row>
    <row r="2110">
      <c r="A2110" s="568" t="n">
        <v>44167</v>
      </c>
      <c r="B2110" s="392" t="n">
        <v>7725</v>
      </c>
      <c r="C2110" s="392" t="n"/>
      <c r="D2110" s="392" t="n">
        <v>63.89</v>
      </c>
      <c r="E2110" s="392" t="n"/>
      <c r="F2110" s="392" t="n"/>
      <c r="G2110" s="392" t="n">
        <v>53</v>
      </c>
      <c r="H2110" s="446">
        <f>H2109-G2110</f>
        <v/>
      </c>
      <c r="I2110" s="392" t="n"/>
      <c r="J2110" s="392" t="n"/>
      <c r="K2110" s="392" t="n"/>
      <c r="L2110" s="392" t="n"/>
      <c r="M2110" s="392" t="n"/>
    </row>
    <row r="2111">
      <c r="A2111" s="568" t="n">
        <v>44167</v>
      </c>
      <c r="B2111" s="392" t="n">
        <v>7726</v>
      </c>
      <c r="C2111" s="392" t="n"/>
      <c r="D2111" s="392" t="n">
        <v>69</v>
      </c>
      <c r="E2111" s="392" t="n"/>
      <c r="F2111" s="392" t="n"/>
      <c r="G2111" s="392" t="n">
        <v>15</v>
      </c>
      <c r="H2111" s="446">
        <f>H2110-G2111</f>
        <v/>
      </c>
      <c r="I2111" s="392" t="n"/>
      <c r="J2111" s="392" t="n"/>
      <c r="K2111" s="392" t="n"/>
      <c r="L2111" s="392" t="n"/>
      <c r="M2111" s="392" t="n"/>
    </row>
    <row r="2112">
      <c r="A2112" s="568" t="n">
        <v>44167</v>
      </c>
      <c r="B2112" s="392" t="n">
        <v>7727</v>
      </c>
      <c r="C2112" s="392" t="n"/>
      <c r="D2112" s="392" t="n">
        <v>57.5</v>
      </c>
      <c r="E2112" s="392" t="n"/>
      <c r="F2112" s="392" t="n"/>
      <c r="G2112" s="392" t="n">
        <v>50</v>
      </c>
      <c r="H2112" s="446">
        <f>H2111-G2112</f>
        <v/>
      </c>
      <c r="I2112" s="392" t="n"/>
      <c r="J2112" s="392" t="n"/>
      <c r="K2112" s="392" t="n"/>
      <c r="L2112" s="392" t="n"/>
      <c r="M2112" s="392" t="n"/>
    </row>
    <row r="2113">
      <c r="A2113" s="568" t="n">
        <v>44167</v>
      </c>
      <c r="B2113" s="392" t="n">
        <v>7728</v>
      </c>
      <c r="C2113" s="392" t="n"/>
      <c r="D2113" s="392" t="n">
        <v>62</v>
      </c>
      <c r="E2113" s="392" t="n"/>
      <c r="F2113" s="392" t="n"/>
      <c r="G2113" s="392" t="n">
        <v>10</v>
      </c>
      <c r="H2113" s="446">
        <f>H2112-G2113</f>
        <v/>
      </c>
      <c r="I2113" s="392" t="n"/>
      <c r="J2113" s="392" t="n"/>
      <c r="K2113" s="392" t="n"/>
      <c r="L2113" s="392" t="n"/>
      <c r="M2113" s="392" t="n"/>
    </row>
    <row r="2114">
      <c r="A2114" s="568" t="n">
        <v>44167</v>
      </c>
      <c r="B2114" s="392" t="n">
        <v>7729</v>
      </c>
      <c r="C2114" s="392" t="n"/>
      <c r="D2114" s="392" t="n">
        <v>59</v>
      </c>
      <c r="E2114" s="392" t="n"/>
      <c r="F2114" s="392" t="n"/>
      <c r="G2114" s="392" t="n">
        <v>5</v>
      </c>
      <c r="H2114" s="446">
        <f>H2113-G2114</f>
        <v/>
      </c>
      <c r="I2114" s="392" t="n"/>
      <c r="J2114" s="392" t="n"/>
      <c r="K2114" s="392" t="n"/>
      <c r="L2114" s="392" t="n"/>
      <c r="M2114" s="392" t="n"/>
    </row>
    <row r="2115">
      <c r="A2115" s="568" t="n">
        <v>44167</v>
      </c>
      <c r="B2115" s="392" t="n">
        <v>7730</v>
      </c>
      <c r="C2115" s="392" t="n"/>
      <c r="D2115" s="392" t="n">
        <v>64</v>
      </c>
      <c r="E2115" s="392" t="n"/>
      <c r="F2115" s="392" t="n"/>
      <c r="G2115" s="392" t="n">
        <v>10</v>
      </c>
      <c r="H2115" s="446">
        <f>H2114-G2115</f>
        <v/>
      </c>
      <c r="I2115" s="392" t="n"/>
      <c r="J2115" s="392" t="n"/>
      <c r="K2115" s="392" t="n"/>
      <c r="L2115" s="392" t="n"/>
      <c r="M2115" s="392" t="n"/>
    </row>
    <row r="2116">
      <c r="A2116" s="568" t="n">
        <v>44167</v>
      </c>
      <c r="B2116" s="392" t="n">
        <v>7731</v>
      </c>
      <c r="C2116" s="392" t="n"/>
      <c r="D2116" s="392" t="n">
        <v>62</v>
      </c>
      <c r="E2116" s="392" t="n"/>
      <c r="F2116" s="392" t="n"/>
      <c r="G2116" s="392" t="n">
        <v>20</v>
      </c>
      <c r="H2116" s="446">
        <f>H2115-G2116</f>
        <v/>
      </c>
      <c r="I2116" s="392" t="n"/>
      <c r="J2116" s="392" t="n"/>
      <c r="K2116" s="392" t="n"/>
      <c r="L2116" s="392" t="n"/>
      <c r="M2116" s="392" t="n"/>
    </row>
    <row r="2117">
      <c r="A2117" s="304" t="n">
        <v>44535</v>
      </c>
      <c r="B2117" s="401" t="n">
        <v>37293</v>
      </c>
      <c r="C2117" s="401" t="n"/>
      <c r="D2117" s="401" t="n">
        <v>57</v>
      </c>
      <c r="E2117" s="401" t="n"/>
      <c r="F2117" s="401" t="n">
        <v>520</v>
      </c>
      <c r="G2117" s="401" t="n"/>
      <c r="H2117" s="322" t="n">
        <v>3210</v>
      </c>
      <c r="I2117" s="392" t="n"/>
      <c r="J2117" s="392" t="n"/>
      <c r="K2117" s="392" t="n"/>
      <c r="L2117" s="392" t="n"/>
      <c r="M2117" s="392" t="n"/>
    </row>
    <row r="2118">
      <c r="A2118" s="568" t="n">
        <v>44173</v>
      </c>
      <c r="B2118" s="392" t="n">
        <v>7732</v>
      </c>
      <c r="C2118" s="392" t="n"/>
      <c r="D2118" s="392" t="n">
        <v>69</v>
      </c>
      <c r="E2118" s="392" t="n"/>
      <c r="F2118" s="392" t="n"/>
      <c r="G2118" s="392" t="n">
        <v>20</v>
      </c>
      <c r="H2118" s="446">
        <f>H2117-G2118</f>
        <v/>
      </c>
      <c r="I2118" s="392" t="n"/>
      <c r="J2118" s="392" t="n"/>
      <c r="K2118" s="392" t="n"/>
      <c r="L2118" s="392" t="n"/>
      <c r="M2118" s="392" t="n"/>
    </row>
    <row r="2119">
      <c r="A2119" s="568" t="n">
        <v>44173</v>
      </c>
      <c r="B2119" s="392" t="n">
        <v>7733</v>
      </c>
      <c r="C2119" s="392" t="n"/>
      <c r="D2119" s="392" t="n">
        <v>68</v>
      </c>
      <c r="E2119" s="392" t="n"/>
      <c r="F2119" s="392" t="n"/>
      <c r="G2119" s="392" t="n">
        <v>45</v>
      </c>
      <c r="H2119" s="446">
        <f>H2118-G2119</f>
        <v/>
      </c>
      <c r="I2119" s="392" t="n"/>
      <c r="J2119" s="392" t="n"/>
      <c r="K2119" s="392" t="n"/>
      <c r="L2119" s="392" t="n"/>
      <c r="M2119" s="392" t="n"/>
    </row>
    <row r="2120">
      <c r="A2120" s="568" t="n">
        <v>44173</v>
      </c>
      <c r="B2120" s="392" t="n">
        <v>7734</v>
      </c>
      <c r="C2120" s="392" t="n"/>
      <c r="D2120" s="392" t="n">
        <v>69</v>
      </c>
      <c r="E2120" s="392" t="n"/>
      <c r="F2120" s="392" t="n"/>
      <c r="G2120" s="392" t="n">
        <v>30</v>
      </c>
      <c r="H2120" s="446">
        <f>H2119-G2120</f>
        <v/>
      </c>
      <c r="I2120" s="392" t="n"/>
      <c r="J2120" s="392" t="n"/>
      <c r="K2120" s="392" t="n"/>
      <c r="L2120" s="392" t="n"/>
      <c r="M2120" s="392" t="n"/>
    </row>
    <row r="2121">
      <c r="A2121" s="568" t="n">
        <v>44173</v>
      </c>
      <c r="B2121" s="392" t="n">
        <v>7735</v>
      </c>
      <c r="C2121" s="392" t="n"/>
      <c r="D2121" s="392" t="n">
        <v>67.06</v>
      </c>
      <c r="E2121" s="392" t="n"/>
      <c r="F2121" s="392" t="n"/>
      <c r="G2121" s="392" t="n">
        <v>51</v>
      </c>
      <c r="H2121" s="446">
        <f>H2120-G2121</f>
        <v/>
      </c>
      <c r="I2121" s="392" t="n"/>
      <c r="J2121" s="392" t="n"/>
      <c r="K2121" s="392" t="n"/>
      <c r="L2121" s="392" t="n"/>
      <c r="M2121" s="392" t="n"/>
    </row>
    <row r="2122">
      <c r="A2122" s="568" t="n">
        <v>44173</v>
      </c>
      <c r="B2122" s="392" t="n">
        <v>7736</v>
      </c>
      <c r="C2122" s="392" t="n"/>
      <c r="D2122" s="392" t="n">
        <v>67.63</v>
      </c>
      <c r="E2122" s="392" t="n"/>
      <c r="F2122" s="392" t="n"/>
      <c r="G2122" s="392" t="n">
        <v>40</v>
      </c>
      <c r="H2122" s="446">
        <f>H2121-G2122</f>
        <v/>
      </c>
      <c r="I2122" s="392" t="n"/>
      <c r="J2122" s="392" t="n"/>
      <c r="K2122" s="392" t="n"/>
      <c r="L2122" s="392" t="n"/>
      <c r="M2122" s="392" t="n"/>
    </row>
    <row r="2123">
      <c r="A2123" s="568" t="n">
        <v>44173</v>
      </c>
      <c r="B2123" s="392" t="n">
        <v>7737</v>
      </c>
      <c r="C2123" s="392" t="n"/>
      <c r="D2123" s="392" t="n">
        <v>68</v>
      </c>
      <c r="E2123" s="392" t="n"/>
      <c r="F2123" s="392" t="n"/>
      <c r="G2123" s="392" t="n">
        <v>30</v>
      </c>
      <c r="H2123" s="446">
        <f>H2122-G2123</f>
        <v/>
      </c>
      <c r="I2123" s="392" t="n"/>
      <c r="J2123" s="392" t="n"/>
      <c r="K2123" s="392" t="n"/>
      <c r="L2123" s="392" t="n"/>
      <c r="M2123" s="392" t="n"/>
    </row>
    <row r="2124">
      <c r="A2124" s="568" t="n">
        <v>44173</v>
      </c>
      <c r="B2124" s="392" t="n">
        <v>7738</v>
      </c>
      <c r="C2124" s="392" t="n"/>
      <c r="D2124" s="392" t="n">
        <v>69</v>
      </c>
      <c r="E2124" s="392" t="n"/>
      <c r="F2124" s="392" t="n"/>
      <c r="G2124" s="392" t="n">
        <v>15</v>
      </c>
      <c r="H2124" s="446">
        <f>H2123-G2124</f>
        <v/>
      </c>
      <c r="I2124" s="392" t="n"/>
      <c r="J2124" s="392" t="n"/>
      <c r="K2124" s="392" t="n"/>
      <c r="L2124" s="392" t="n"/>
      <c r="M2124" s="392" t="n"/>
    </row>
    <row r="2125">
      <c r="A2125" s="568" t="n">
        <v>44173</v>
      </c>
      <c r="B2125" s="392" t="n">
        <v>7740</v>
      </c>
      <c r="C2125" s="392" t="n"/>
      <c r="D2125" s="392" t="n">
        <v>62</v>
      </c>
      <c r="E2125" s="392" t="n"/>
      <c r="F2125" s="392" t="n"/>
      <c r="G2125" s="392" t="n">
        <v>10</v>
      </c>
      <c r="H2125" s="446">
        <f>H2124-G2125</f>
        <v/>
      </c>
      <c r="I2125" s="392" t="n"/>
      <c r="J2125" s="392" t="n"/>
      <c r="K2125" s="392" t="n"/>
      <c r="L2125" s="392" t="n"/>
      <c r="M2125" s="392" t="n"/>
    </row>
    <row r="2126">
      <c r="A2126" s="568" t="n">
        <v>44173</v>
      </c>
      <c r="B2126" s="392" t="n">
        <v>7741</v>
      </c>
      <c r="C2126" s="392" t="n"/>
      <c r="D2126" s="392" t="n">
        <v>63.67</v>
      </c>
      <c r="E2126" s="392" t="n"/>
      <c r="F2126" s="392" t="n"/>
      <c r="G2126" s="392" t="n">
        <v>15</v>
      </c>
      <c r="H2126" s="446">
        <f>H2125-G2126</f>
        <v/>
      </c>
      <c r="I2126" s="392" t="n"/>
      <c r="J2126" s="392" t="n"/>
      <c r="K2126" s="392" t="n"/>
      <c r="L2126" s="392" t="n"/>
      <c r="M2126" s="392" t="n"/>
    </row>
    <row r="2127">
      <c r="A2127" s="568" t="n">
        <v>44173</v>
      </c>
      <c r="B2127" s="392" t="n">
        <v>7742</v>
      </c>
      <c r="C2127" s="392" t="n"/>
      <c r="D2127" s="392" t="n">
        <v>69</v>
      </c>
      <c r="E2127" s="392" t="n"/>
      <c r="F2127" s="392" t="n"/>
      <c r="G2127" s="392" t="n">
        <v>20</v>
      </c>
      <c r="H2127" s="446">
        <f>H2126-G2127</f>
        <v/>
      </c>
      <c r="I2127" s="392" t="n"/>
      <c r="J2127" s="392" t="n"/>
      <c r="K2127" s="392" t="n"/>
      <c r="L2127" s="392" t="n"/>
      <c r="M2127" s="392" t="n"/>
    </row>
    <row r="2128">
      <c r="A2128" s="568" t="n">
        <v>44175</v>
      </c>
      <c r="B2128" s="392" t="n">
        <v>7743</v>
      </c>
      <c r="C2128" s="392" t="n"/>
      <c r="D2128" s="392" t="n">
        <v>65</v>
      </c>
      <c r="E2128" s="392" t="n"/>
      <c r="F2128" s="392" t="n"/>
      <c r="G2128" s="392" t="n">
        <v>30</v>
      </c>
      <c r="H2128" s="446">
        <f>H2127-G2128</f>
        <v/>
      </c>
      <c r="I2128" s="392" t="n"/>
      <c r="J2128" s="392" t="n"/>
      <c r="K2128" s="392" t="n"/>
      <c r="L2128" s="392" t="n"/>
      <c r="M2128" s="392" t="n"/>
    </row>
    <row r="2129">
      <c r="A2129" s="568" t="n">
        <v>44175</v>
      </c>
      <c r="B2129" s="392" t="n">
        <v>7744</v>
      </c>
      <c r="C2129" s="392" t="n"/>
      <c r="D2129" s="392" t="n">
        <v>64</v>
      </c>
      <c r="E2129" s="392" t="n"/>
      <c r="F2129" s="392" t="n"/>
      <c r="G2129" s="392" t="n">
        <v>50</v>
      </c>
      <c r="H2129" s="446">
        <f>H2128-G2129</f>
        <v/>
      </c>
      <c r="I2129" s="392" t="n"/>
      <c r="J2129" s="392" t="n"/>
      <c r="K2129" s="392" t="n"/>
      <c r="L2129" s="392" t="n"/>
      <c r="M2129" s="392" t="n"/>
    </row>
    <row r="2130">
      <c r="A2130" s="568" t="n">
        <v>44175</v>
      </c>
      <c r="B2130" s="392" t="n">
        <v>7745</v>
      </c>
      <c r="C2130" s="392" t="n"/>
      <c r="D2130" s="392" t="n">
        <v>57.5</v>
      </c>
      <c r="E2130" s="392" t="n"/>
      <c r="F2130" s="392" t="n"/>
      <c r="G2130" s="392" t="n">
        <v>100</v>
      </c>
      <c r="H2130" s="446">
        <f>H2129-G2130</f>
        <v/>
      </c>
      <c r="I2130" s="392" t="n"/>
      <c r="J2130" s="392" t="n"/>
      <c r="K2130" s="392" t="n"/>
      <c r="L2130" s="392" t="n"/>
      <c r="M2130" s="392" t="n"/>
    </row>
    <row r="2131">
      <c r="A2131" s="568" t="n">
        <v>44179</v>
      </c>
      <c r="B2131" s="392" t="n">
        <v>7746</v>
      </c>
      <c r="C2131" s="392" t="n"/>
      <c r="D2131" s="392" t="n">
        <v>64.5</v>
      </c>
      <c r="E2131" s="392" t="n"/>
      <c r="F2131" s="392" t="n"/>
      <c r="G2131" s="392" t="n">
        <v>100</v>
      </c>
      <c r="H2131" s="446">
        <f>H2130-G2131</f>
        <v/>
      </c>
      <c r="I2131" s="392" t="n"/>
      <c r="J2131" s="392" t="n"/>
      <c r="K2131" s="392" t="n"/>
      <c r="L2131" s="392" t="n"/>
      <c r="M2131" s="392" t="n"/>
    </row>
    <row r="2132">
      <c r="A2132" s="568" t="n">
        <v>44179</v>
      </c>
      <c r="B2132" s="392" t="n">
        <v>7747</v>
      </c>
      <c r="C2132" s="392" t="n"/>
      <c r="D2132" s="392" t="n">
        <v>62</v>
      </c>
      <c r="E2132" s="392" t="n"/>
      <c r="F2132" s="392" t="n"/>
      <c r="G2132" s="392" t="n">
        <v>20</v>
      </c>
      <c r="H2132" s="446">
        <f>H2131-G2132</f>
        <v/>
      </c>
      <c r="I2132" s="392" t="n"/>
      <c r="J2132" s="392" t="n"/>
      <c r="K2132" s="392" t="n"/>
      <c r="L2132" s="392" t="n"/>
      <c r="M2132" s="392" t="n"/>
    </row>
    <row r="2133">
      <c r="A2133" s="568" t="n">
        <v>44179</v>
      </c>
      <c r="B2133" s="392" t="n">
        <v>7748</v>
      </c>
      <c r="C2133" s="392" t="n"/>
      <c r="D2133" s="392" t="n">
        <v>67</v>
      </c>
      <c r="E2133" s="392" t="n"/>
      <c r="F2133" s="392" t="n"/>
      <c r="G2133" s="392" t="n">
        <v>30</v>
      </c>
      <c r="H2133" s="446">
        <f>H2132-G2133</f>
        <v/>
      </c>
      <c r="I2133" s="392" t="n"/>
      <c r="J2133" s="392" t="n"/>
      <c r="K2133" s="392" t="n"/>
      <c r="L2133" s="392" t="n"/>
      <c r="M2133" s="392" t="n"/>
    </row>
    <row r="2134">
      <c r="A2134" s="568" t="n">
        <v>44179</v>
      </c>
      <c r="B2134" s="392" t="n">
        <v>7751</v>
      </c>
      <c r="C2134" s="392" t="n"/>
      <c r="D2134" s="392" t="n">
        <v>67</v>
      </c>
      <c r="E2134" s="392" t="n"/>
      <c r="F2134" s="392" t="n"/>
      <c r="G2134" s="392" t="n">
        <v>30</v>
      </c>
      <c r="H2134" s="446">
        <f>H2133-G2134</f>
        <v/>
      </c>
      <c r="I2134" s="392" t="n"/>
      <c r="J2134" s="392" t="n"/>
      <c r="K2134" s="392" t="n"/>
      <c r="L2134" s="392" t="n"/>
      <c r="M2134" s="392" t="n"/>
    </row>
    <row r="2135">
      <c r="A2135" s="568" t="n">
        <v>44179</v>
      </c>
      <c r="B2135" s="392" t="n">
        <v>7752</v>
      </c>
      <c r="C2135" s="392" t="n"/>
      <c r="D2135" s="392" t="n">
        <v>62</v>
      </c>
      <c r="E2135" s="392" t="n"/>
      <c r="F2135" s="392" t="n"/>
      <c r="G2135" s="392" t="n">
        <v>20</v>
      </c>
      <c r="H2135" s="446">
        <f>H2134-G2135</f>
        <v/>
      </c>
      <c r="I2135" s="392" t="n"/>
      <c r="J2135" s="392" t="n"/>
      <c r="K2135" s="392" t="n"/>
      <c r="L2135" s="392" t="n"/>
      <c r="M2135" s="392" t="n"/>
    </row>
    <row r="2136">
      <c r="A2136" s="568" t="n">
        <v>44179</v>
      </c>
      <c r="B2136" s="392" t="n">
        <v>7753</v>
      </c>
      <c r="C2136" s="392" t="n"/>
      <c r="D2136" s="392" t="n">
        <v>63.34</v>
      </c>
      <c r="E2136" s="392" t="n"/>
      <c r="F2136" s="392" t="n"/>
      <c r="G2136" s="392" t="n">
        <v>30</v>
      </c>
      <c r="H2136" s="446">
        <f>H2135-G2136</f>
        <v/>
      </c>
      <c r="I2136" s="392" t="n"/>
      <c r="J2136" s="392" t="n"/>
      <c r="K2136" s="392" t="n"/>
      <c r="L2136" s="392" t="n"/>
      <c r="M2136" s="392" t="n"/>
    </row>
    <row r="2137">
      <c r="A2137" s="568" t="n">
        <v>44180</v>
      </c>
      <c r="B2137" s="392" t="n">
        <v>7754</v>
      </c>
      <c r="C2137" s="392" t="n"/>
      <c r="D2137" s="392" t="n">
        <v>57.5</v>
      </c>
      <c r="E2137" s="392" t="n"/>
      <c r="F2137" s="392" t="n"/>
      <c r="G2137" s="392" t="n">
        <v>150</v>
      </c>
      <c r="H2137" s="446">
        <f>H2136-G2137</f>
        <v/>
      </c>
      <c r="I2137" s="392" t="n"/>
      <c r="J2137" s="392" t="n"/>
      <c r="K2137" s="392" t="n"/>
      <c r="L2137" s="392" t="n"/>
      <c r="M2137" s="392" t="n"/>
    </row>
    <row r="2138">
      <c r="A2138" s="568" t="n">
        <v>44181</v>
      </c>
      <c r="B2138" s="392" t="n">
        <v>7755</v>
      </c>
      <c r="C2138" s="392" t="n"/>
      <c r="D2138" s="392" t="n">
        <v>67</v>
      </c>
      <c r="E2138" s="392" t="n"/>
      <c r="F2138" s="392" t="n"/>
      <c r="G2138" s="392" t="n">
        <v>30</v>
      </c>
      <c r="H2138" s="446">
        <f>H2137-G2138</f>
        <v/>
      </c>
      <c r="I2138" s="392" t="n"/>
      <c r="J2138" s="392" t="n"/>
      <c r="K2138" s="392" t="n"/>
      <c r="L2138" s="392" t="n"/>
      <c r="M2138" s="392" t="n"/>
    </row>
    <row r="2139">
      <c r="A2139" s="568" t="n">
        <v>44181</v>
      </c>
      <c r="B2139" s="392" t="n">
        <v>7756</v>
      </c>
      <c r="C2139" s="392" t="n"/>
      <c r="D2139" s="392" t="n">
        <v>67</v>
      </c>
      <c r="E2139" s="392" t="n"/>
      <c r="F2139" s="392" t="n"/>
      <c r="G2139" s="392" t="n">
        <v>30</v>
      </c>
      <c r="H2139" s="446">
        <f>H2138-G2139</f>
        <v/>
      </c>
      <c r="I2139" s="392" t="n"/>
      <c r="J2139" s="392" t="n"/>
      <c r="K2139" s="392" t="n"/>
      <c r="L2139" s="392" t="n"/>
      <c r="M2139" s="392" t="n"/>
    </row>
    <row r="2140">
      <c r="A2140" s="568" t="n">
        <v>44181</v>
      </c>
      <c r="B2140" s="392" t="n">
        <v>7758</v>
      </c>
      <c r="C2140" s="392" t="n"/>
      <c r="D2140" s="392" t="n">
        <v>67</v>
      </c>
      <c r="E2140" s="392" t="n"/>
      <c r="F2140" s="392" t="n"/>
      <c r="G2140" s="392" t="n">
        <v>30</v>
      </c>
      <c r="H2140" s="446">
        <f>H2139-G2140</f>
        <v/>
      </c>
      <c r="I2140" s="392" t="n"/>
      <c r="J2140" s="392" t="n"/>
      <c r="K2140" s="392" t="n"/>
      <c r="L2140" s="392" t="n"/>
      <c r="M2140" s="392" t="n"/>
    </row>
    <row r="2141">
      <c r="A2141" s="568" t="n">
        <v>44181</v>
      </c>
      <c r="B2141" s="392" t="n">
        <v>7759</v>
      </c>
      <c r="C2141" s="392" t="n"/>
      <c r="D2141" s="392" t="n">
        <v>65</v>
      </c>
      <c r="E2141" s="392" t="n"/>
      <c r="F2141" s="392" t="n"/>
      <c r="G2141" s="392" t="n">
        <v>30</v>
      </c>
      <c r="H2141" s="446">
        <f>H2140-G2141</f>
        <v/>
      </c>
      <c r="I2141" s="392" t="n"/>
      <c r="J2141" s="392" t="n"/>
      <c r="K2141" s="392" t="n"/>
      <c r="L2141" s="392" t="n"/>
      <c r="M2141" s="392" t="n"/>
    </row>
    <row r="2142">
      <c r="A2142" s="568" t="n">
        <v>44181</v>
      </c>
      <c r="B2142" s="392" t="n">
        <v>7760</v>
      </c>
      <c r="C2142" s="392" t="n"/>
      <c r="D2142" s="392" t="n">
        <v>63</v>
      </c>
      <c r="E2142" s="392" t="n"/>
      <c r="F2142" s="392" t="n"/>
      <c r="G2142" s="392" t="n">
        <v>30</v>
      </c>
      <c r="H2142" s="446">
        <f>H2141-G2142</f>
        <v/>
      </c>
      <c r="I2142" s="392" t="n"/>
      <c r="J2142" s="392" t="n"/>
      <c r="K2142" s="392" t="n"/>
      <c r="L2142" s="392" t="n"/>
      <c r="M2142" s="392" t="n"/>
    </row>
    <row r="2143">
      <c r="A2143" s="568" t="n">
        <v>44181</v>
      </c>
      <c r="B2143" s="392" t="n">
        <v>7761</v>
      </c>
      <c r="C2143" s="392" t="n"/>
      <c r="D2143" s="392" t="n">
        <v>68</v>
      </c>
      <c r="E2143" s="392" t="n"/>
      <c r="F2143" s="392" t="n"/>
      <c r="G2143" s="392" t="n">
        <v>45</v>
      </c>
      <c r="H2143" s="446">
        <f>H2142-G2143</f>
        <v/>
      </c>
      <c r="I2143" s="392" t="n"/>
      <c r="J2143" s="392" t="n"/>
      <c r="K2143" s="392" t="n"/>
      <c r="L2143" s="392" t="n"/>
      <c r="M2143" s="392" t="n"/>
    </row>
    <row r="2144">
      <c r="A2144" s="568" t="n">
        <v>44181</v>
      </c>
      <c r="B2144" s="392" t="n">
        <v>7762</v>
      </c>
      <c r="C2144" s="392" t="n"/>
      <c r="D2144" s="392" t="n">
        <v>65</v>
      </c>
      <c r="E2144" s="392" t="n"/>
      <c r="F2144" s="392" t="n"/>
      <c r="G2144" s="392" t="n">
        <v>20</v>
      </c>
      <c r="H2144" s="446">
        <f>H2143-G2144</f>
        <v/>
      </c>
      <c r="I2144" s="392" t="n"/>
      <c r="J2144" s="392" t="n"/>
      <c r="K2144" s="392" t="n"/>
      <c r="L2144" s="392" t="n"/>
      <c r="M2144" s="392" t="n"/>
    </row>
    <row r="2145">
      <c r="A2145" s="568" t="n">
        <v>44181</v>
      </c>
      <c r="B2145" s="392" t="n">
        <v>7763</v>
      </c>
      <c r="C2145" s="392" t="n"/>
      <c r="D2145" s="392" t="n">
        <v>60</v>
      </c>
      <c r="E2145" s="392" t="n"/>
      <c r="F2145" s="392" t="n"/>
      <c r="G2145" s="392" t="n">
        <v>5</v>
      </c>
      <c r="H2145" s="446">
        <f>H2144-G2145</f>
        <v/>
      </c>
      <c r="I2145" s="392" t="n"/>
      <c r="J2145" s="392" t="n"/>
      <c r="K2145" s="392" t="n"/>
      <c r="L2145" s="392" t="n"/>
      <c r="M2145" s="392" t="n"/>
    </row>
    <row r="2146">
      <c r="A2146" s="568" t="n">
        <v>44181</v>
      </c>
      <c r="B2146" s="392" t="n">
        <v>7764</v>
      </c>
      <c r="C2146" s="392" t="n"/>
      <c r="D2146" s="392" t="n">
        <v>69</v>
      </c>
      <c r="E2146" s="392" t="n"/>
      <c r="F2146" s="392" t="n"/>
      <c r="G2146" s="392" t="n">
        <v>15</v>
      </c>
      <c r="H2146" s="446">
        <f>H2145-G2146</f>
        <v/>
      </c>
      <c r="I2146" s="392" t="n"/>
      <c r="J2146" s="392" t="n"/>
      <c r="K2146" s="392" t="n"/>
      <c r="L2146" s="392" t="n"/>
      <c r="M2146" s="392" t="n"/>
    </row>
    <row r="2147">
      <c r="A2147" s="568" t="n">
        <v>44181</v>
      </c>
      <c r="B2147" s="392" t="n">
        <v>7765</v>
      </c>
      <c r="C2147" s="392" t="n"/>
      <c r="D2147" s="392" t="n">
        <v>65</v>
      </c>
      <c r="E2147" s="392" t="n"/>
      <c r="F2147" s="392" t="n"/>
      <c r="G2147" s="392" t="n">
        <v>60</v>
      </c>
      <c r="H2147" s="446">
        <f>H2146-G2147</f>
        <v/>
      </c>
      <c r="I2147" s="392" t="n"/>
      <c r="J2147" s="392" t="n"/>
      <c r="K2147" s="392" t="n"/>
      <c r="L2147" s="392" t="n"/>
      <c r="M2147" s="392" t="n"/>
    </row>
    <row r="2148">
      <c r="A2148" s="568" t="n">
        <v>44181</v>
      </c>
      <c r="B2148" s="392" t="n">
        <v>7766</v>
      </c>
      <c r="C2148" s="392" t="n"/>
      <c r="D2148" s="392" t="n">
        <v>68</v>
      </c>
      <c r="E2148" s="392" t="n"/>
      <c r="F2148" s="392" t="n"/>
      <c r="G2148" s="392" t="n">
        <v>10</v>
      </c>
      <c r="H2148" s="446">
        <f>H2147-G2148</f>
        <v/>
      </c>
      <c r="I2148" s="392" t="n"/>
      <c r="J2148" s="392" t="n"/>
      <c r="K2148" s="392" t="n"/>
      <c r="L2148" s="392" t="n"/>
      <c r="M2148" s="392" t="n"/>
    </row>
    <row r="2149">
      <c r="A2149" s="568" t="n">
        <v>44556</v>
      </c>
      <c r="B2149" s="392" t="n">
        <v>7767</v>
      </c>
      <c r="C2149" s="392" t="n"/>
      <c r="D2149" s="392" t="n">
        <v>63.5</v>
      </c>
      <c r="E2149" s="392" t="n"/>
      <c r="F2149" s="392" t="n"/>
      <c r="G2149" s="392" t="n">
        <v>250</v>
      </c>
      <c r="H2149" s="446">
        <f>H2148-G2149</f>
        <v/>
      </c>
      <c r="I2149" s="392" t="n"/>
      <c r="J2149" s="392" t="n"/>
      <c r="K2149" s="392" t="n"/>
      <c r="L2149" s="392" t="n"/>
      <c r="M2149" s="392" t="n"/>
    </row>
    <row r="2150">
      <c r="A2150" s="568" t="n">
        <v>44556</v>
      </c>
      <c r="B2150" s="392" t="n">
        <v>7768</v>
      </c>
      <c r="C2150" s="392" t="n"/>
      <c r="D2150" s="392" t="n">
        <v>65.5</v>
      </c>
      <c r="E2150" s="392" t="n"/>
      <c r="F2150" s="392" t="n"/>
      <c r="G2150" s="392" t="n">
        <v>20</v>
      </c>
      <c r="H2150" s="446">
        <f>H2149-G2150</f>
        <v/>
      </c>
      <c r="I2150" s="392" t="n"/>
      <c r="J2150" s="392" t="n"/>
      <c r="K2150" s="392" t="n"/>
      <c r="L2150" s="392" t="n"/>
      <c r="M2150" s="392" t="n"/>
    </row>
    <row r="2151">
      <c r="A2151" s="568" t="n"/>
      <c r="B2151" s="392" t="n"/>
      <c r="C2151" s="392" t="n"/>
      <c r="D2151" s="392" t="n"/>
      <c r="E2151" s="392" t="n"/>
      <c r="F2151" s="392" t="n"/>
      <c r="G2151" s="392" t="n"/>
      <c r="H2151" s="446">
        <f>H2150-G2151</f>
        <v/>
      </c>
      <c r="I2151" s="392" t="n"/>
      <c r="J2151" s="392" t="n"/>
      <c r="K2151" s="392" t="n"/>
      <c r="L2151" s="392" t="n"/>
      <c r="M2151" s="392" t="n"/>
    </row>
    <row r="2152">
      <c r="A2152" s="392" t="n"/>
      <c r="B2152" s="392" t="n"/>
      <c r="C2152" s="392" t="n"/>
      <c r="D2152" s="392" t="n"/>
      <c r="E2152" s="392" t="n"/>
      <c r="F2152" s="392" t="n"/>
      <c r="G2152" s="392" t="n"/>
      <c r="H2152" s="446">
        <f>H2151-G2152</f>
        <v/>
      </c>
      <c r="I2152" s="392" t="n"/>
      <c r="J2152" s="392" t="n"/>
      <c r="K2152" s="392" t="n"/>
      <c r="L2152" s="392" t="n"/>
      <c r="M2152" s="392" t="n"/>
    </row>
    <row r="2153" ht="15.75" customHeight="1" s="436" thickBot="1">
      <c r="A2153" s="392" t="n"/>
      <c r="B2153" s="392" t="n"/>
      <c r="C2153" s="392" t="n"/>
      <c r="D2153" s="392" t="n"/>
      <c r="E2153" s="392" t="n"/>
      <c r="F2153" s="392" t="n"/>
      <c r="G2153" s="392" t="n"/>
      <c r="H2153" s="446">
        <f>H2152-G2153</f>
        <v/>
      </c>
      <c r="I2153" s="392" t="n"/>
      <c r="J2153" s="392" t="n"/>
      <c r="K2153" s="392" t="n"/>
      <c r="L2153" s="392" t="n"/>
      <c r="M2153" s="392" t="n"/>
    </row>
    <row r="2154" ht="32.25" customHeight="1" s="436" thickBot="1">
      <c r="A2154" s="735" t="inlineStr">
        <is>
          <t>Janeiro</t>
        </is>
      </c>
      <c r="B2154" s="697" t="n"/>
      <c r="C2154" s="697" t="n"/>
      <c r="D2154" s="697" t="n"/>
      <c r="E2154" s="697" t="n"/>
      <c r="F2154" s="697" t="n"/>
      <c r="G2154" s="697" t="n"/>
      <c r="H2154" s="697" t="n"/>
      <c r="I2154" s="697" t="n"/>
      <c r="J2154" s="697" t="n"/>
      <c r="K2154" s="697" t="n"/>
      <c r="L2154" s="697" t="n"/>
      <c r="M2154" s="698" t="n"/>
    </row>
    <row r="2155" ht="27" customHeight="1" s="436" thickBot="1">
      <c r="A2155" s="734" t="inlineStr">
        <is>
          <t xml:space="preserve"> FARINHA DE TRIGO TIPO: 1 - 25 KG</t>
        </is>
      </c>
      <c r="B2155" s="706" t="n"/>
      <c r="C2155" s="706" t="n"/>
      <c r="D2155" s="706" t="n"/>
      <c r="E2155" s="706" t="n"/>
      <c r="F2155" s="706" t="n"/>
      <c r="G2155" s="706" t="n"/>
      <c r="H2155" s="706" t="n"/>
      <c r="I2155" s="706" t="n"/>
      <c r="J2155" s="706" t="n"/>
      <c r="K2155" s="706" t="n"/>
      <c r="L2155" s="706" t="n"/>
      <c r="M2155" s="707" t="n"/>
    </row>
    <row r="2156">
      <c r="A2156" s="643" t="inlineStr">
        <is>
          <t>DATA</t>
        </is>
      </c>
      <c r="B2156" s="633" t="inlineStr">
        <is>
          <t>N.F.</t>
        </is>
      </c>
      <c r="C2156" s="633" t="inlineStr">
        <is>
          <t>TIPO</t>
        </is>
      </c>
      <c r="D2156" s="633" t="inlineStr">
        <is>
          <t>PREÇO UNITÁRIO</t>
        </is>
      </c>
      <c r="E2156" s="701" t="n"/>
      <c r="F2156" s="633" t="inlineStr">
        <is>
          <t>QUANTIDADE / KG</t>
        </is>
      </c>
      <c r="H2156" s="701" t="n"/>
      <c r="I2156" s="632" t="inlineStr">
        <is>
          <t>PREÇO</t>
        </is>
      </c>
      <c r="J2156" s="632" t="inlineStr">
        <is>
          <t>VALORES</t>
        </is>
      </c>
      <c r="L2156" s="701" t="n"/>
      <c r="M2156" s="649" t="n"/>
    </row>
    <row r="2157" ht="15.75" customHeight="1" s="436" thickBot="1">
      <c r="A2157" s="703" t="n"/>
      <c r="B2157" s="704" t="n"/>
      <c r="C2157" s="704" t="n"/>
      <c r="D2157" s="703" t="n"/>
      <c r="E2157" s="701" t="n"/>
      <c r="F2157" s="705" t="n"/>
      <c r="G2157" s="706" t="n"/>
      <c r="H2157" s="707" t="n"/>
      <c r="I2157" s="704" t="n"/>
      <c r="J2157" s="703" t="n"/>
      <c r="L2157" s="701" t="n"/>
      <c r="M2157" s="704" t="n"/>
    </row>
    <row r="2158" ht="15.75" customHeight="1" s="436" thickBot="1">
      <c r="A2158" s="703" t="n"/>
      <c r="B2158" s="704" t="n"/>
      <c r="C2158" s="704" t="n"/>
      <c r="D2158" s="705" t="n"/>
      <c r="E2158" s="707" t="n"/>
      <c r="F2158" s="3" t="inlineStr">
        <is>
          <t>ENTRADA</t>
        </is>
      </c>
      <c r="G2158" s="3" t="inlineStr">
        <is>
          <t>SAÍDA</t>
        </is>
      </c>
      <c r="H2158" s="640" t="n"/>
      <c r="I2158" s="633" t="inlineStr">
        <is>
          <t>MÉDIO</t>
        </is>
      </c>
      <c r="J2158" s="652" t="inlineStr">
        <is>
          <t>SALDO EM 30/11/2017</t>
        </is>
      </c>
      <c r="K2158" s="706" t="n"/>
      <c r="L2158" s="17" t="n"/>
      <c r="M2158" s="704" t="n"/>
    </row>
    <row r="2159" ht="18" customHeight="1" s="436" thickBot="1">
      <c r="A2159" s="705" t="n"/>
      <c r="B2159" s="695" t="n"/>
      <c r="C2159" s="695" t="n"/>
      <c r="D2159" s="3" t="inlineStr">
        <is>
          <t>C/ICMS</t>
        </is>
      </c>
      <c r="E2159" s="3" t="inlineStr">
        <is>
          <t>S/ICMS</t>
        </is>
      </c>
      <c r="F2159" s="695" t="n"/>
      <c r="G2159" s="695" t="n"/>
      <c r="H2159" s="84" t="inlineStr">
        <is>
          <t>Saldo em 31/12/2020</t>
        </is>
      </c>
      <c r="I2159" s="695" t="n"/>
      <c r="J2159" s="645" t="inlineStr">
        <is>
          <t>ENTRADA</t>
        </is>
      </c>
      <c r="K2159" s="633" t="inlineStr">
        <is>
          <t>SAÍDA / CMV</t>
        </is>
      </c>
      <c r="L2159" s="643" t="inlineStr">
        <is>
          <t>SALDO</t>
        </is>
      </c>
      <c r="M2159" s="392" t="n"/>
    </row>
    <row r="2160">
      <c r="A2160" s="392" t="n"/>
      <c r="B2160" s="392" t="n"/>
      <c r="C2160" s="392" t="n"/>
      <c r="D2160" s="392" t="n"/>
      <c r="E2160" s="392" t="n"/>
      <c r="F2160" s="392" t="n"/>
      <c r="G2160" s="392" t="n"/>
      <c r="H2160" s="98" t="n">
        <v>1799</v>
      </c>
      <c r="I2160" s="392" t="n"/>
      <c r="J2160" s="392" t="n"/>
      <c r="K2160" s="392" t="n"/>
      <c r="L2160" s="392" t="n"/>
      <c r="M2160" s="392" t="n"/>
    </row>
    <row r="2161">
      <c r="A2161" s="568" t="n">
        <v>44200</v>
      </c>
      <c r="B2161" s="392" t="n">
        <v>7770</v>
      </c>
      <c r="C2161" s="392" t="n">
        <v>67</v>
      </c>
      <c r="D2161" s="392" t="n"/>
      <c r="E2161" s="392" t="n"/>
      <c r="F2161" s="392" t="n"/>
      <c r="G2161" s="392" t="n">
        <v>20</v>
      </c>
      <c r="H2161" s="446">
        <f>H2160-G2161</f>
        <v/>
      </c>
      <c r="I2161" s="392" t="n"/>
      <c r="J2161" s="392" t="n"/>
      <c r="K2161" s="392" t="n"/>
      <c r="L2161" s="392" t="n"/>
      <c r="M2161" s="392" t="n"/>
    </row>
    <row r="2162">
      <c r="A2162" s="568" t="n">
        <v>44200</v>
      </c>
      <c r="B2162" s="392" t="n">
        <v>7771</v>
      </c>
      <c r="C2162" s="392" t="n">
        <v>66</v>
      </c>
      <c r="D2162" s="392" t="n"/>
      <c r="E2162" s="392" t="n"/>
      <c r="F2162" s="392" t="n"/>
      <c r="G2162" s="392" t="n">
        <v>15</v>
      </c>
      <c r="H2162" s="446">
        <f>H2161-G2162</f>
        <v/>
      </c>
      <c r="I2162" s="392" t="n"/>
      <c r="J2162" s="392" t="n"/>
      <c r="K2162" s="392" t="n"/>
      <c r="L2162" s="392" t="n"/>
      <c r="M2162" s="392" t="n"/>
    </row>
    <row r="2163">
      <c r="A2163" s="568" t="n">
        <v>44200</v>
      </c>
      <c r="B2163" s="392" t="n">
        <v>7772</v>
      </c>
      <c r="C2163" s="392" t="n">
        <v>67</v>
      </c>
      <c r="D2163" s="392" t="n"/>
      <c r="E2163" s="392" t="n"/>
      <c r="F2163" s="392" t="n"/>
      <c r="G2163" s="392" t="n">
        <v>40</v>
      </c>
      <c r="H2163" s="446">
        <f>H2162-G2163</f>
        <v/>
      </c>
      <c r="I2163" s="392" t="n"/>
      <c r="J2163" s="392" t="n"/>
      <c r="K2163" s="392" t="n"/>
      <c r="L2163" s="392" t="n"/>
      <c r="M2163" s="392" t="n"/>
    </row>
    <row r="2164">
      <c r="A2164" s="568" t="n">
        <v>44200</v>
      </c>
      <c r="B2164" s="392" t="n">
        <v>7773</v>
      </c>
      <c r="C2164" s="392" t="n">
        <v>69</v>
      </c>
      <c r="D2164" s="392" t="n"/>
      <c r="E2164" s="392" t="n"/>
      <c r="F2164" s="392" t="n"/>
      <c r="G2164" s="392" t="n">
        <v>20</v>
      </c>
      <c r="H2164" s="446">
        <f>H2163-G2164</f>
        <v/>
      </c>
      <c r="I2164" s="392" t="n"/>
      <c r="J2164" s="392" t="n"/>
      <c r="K2164" s="392" t="n"/>
      <c r="L2164" s="392" t="n"/>
      <c r="M2164" s="392" t="n"/>
    </row>
    <row r="2165">
      <c r="A2165" s="568" t="n">
        <v>44200</v>
      </c>
      <c r="B2165" s="392" t="n">
        <v>7774</v>
      </c>
      <c r="C2165" s="392" t="n">
        <v>64.5</v>
      </c>
      <c r="D2165" s="392" t="n"/>
      <c r="E2165" s="392" t="n"/>
      <c r="F2165" s="392" t="n"/>
      <c r="G2165" s="392" t="n">
        <v>40</v>
      </c>
      <c r="H2165" s="446">
        <f>H2164-G2165</f>
        <v/>
      </c>
      <c r="I2165" s="392" t="n"/>
      <c r="J2165" s="392" t="n"/>
      <c r="K2165" s="392" t="n"/>
      <c r="L2165" s="392" t="n"/>
      <c r="M2165" s="392" t="n"/>
    </row>
    <row r="2166">
      <c r="A2166" s="568" t="n">
        <v>44201</v>
      </c>
      <c r="B2166" s="392" t="n">
        <v>7778</v>
      </c>
      <c r="C2166" s="392" t="n">
        <v>67</v>
      </c>
      <c r="D2166" s="392" t="n"/>
      <c r="E2166" s="392" t="n"/>
      <c r="F2166" s="392" t="n"/>
      <c r="G2166" s="392" t="n">
        <v>50</v>
      </c>
      <c r="H2166" s="446">
        <f>H2165-G2166</f>
        <v/>
      </c>
      <c r="I2166" s="392" t="n"/>
      <c r="J2166" s="392" t="n"/>
      <c r="K2166" s="392" t="n"/>
      <c r="L2166" s="392" t="n"/>
      <c r="M2166" s="392" t="n"/>
    </row>
    <row r="2167">
      <c r="A2167" s="568" t="n">
        <v>44201</v>
      </c>
      <c r="B2167" s="392" t="n">
        <v>7779</v>
      </c>
      <c r="C2167" s="392" t="n">
        <v>65</v>
      </c>
      <c r="D2167" s="392" t="n"/>
      <c r="E2167" s="392" t="n"/>
      <c r="F2167" s="392" t="n"/>
      <c r="G2167" s="392" t="n">
        <v>10</v>
      </c>
      <c r="H2167" s="446">
        <f>H2166-G2167</f>
        <v/>
      </c>
      <c r="I2167" s="392" t="n"/>
      <c r="J2167" s="392" t="n"/>
      <c r="K2167" s="392" t="n"/>
      <c r="L2167" s="392" t="n"/>
      <c r="M2167" s="392" t="n"/>
    </row>
    <row r="2168">
      <c r="A2168" s="568" t="n">
        <v>44201</v>
      </c>
      <c r="B2168" s="392" t="n">
        <v>7780</v>
      </c>
      <c r="C2168" s="392" t="n">
        <v>63</v>
      </c>
      <c r="D2168" s="392" t="n"/>
      <c r="E2168" s="392" t="n"/>
      <c r="F2168" s="392" t="n"/>
      <c r="G2168" s="392" t="n">
        <v>15</v>
      </c>
      <c r="H2168" s="446">
        <f>H2167-G2168</f>
        <v/>
      </c>
      <c r="I2168" s="392" t="n"/>
      <c r="J2168" s="392" t="n"/>
      <c r="K2168" s="392" t="n"/>
      <c r="L2168" s="392" t="n"/>
      <c r="M2168" s="392" t="n"/>
    </row>
    <row r="2169">
      <c r="A2169" s="568" t="n">
        <v>44201</v>
      </c>
      <c r="B2169" s="392" t="n">
        <v>7781</v>
      </c>
      <c r="C2169" s="392" t="n">
        <v>67.3</v>
      </c>
      <c r="D2169" s="392" t="n"/>
      <c r="E2169" s="392" t="n"/>
      <c r="F2169" s="392" t="n"/>
      <c r="G2169" s="392" t="n">
        <v>30</v>
      </c>
      <c r="H2169" s="446">
        <f>H2168-G2169</f>
        <v/>
      </c>
      <c r="I2169" s="392" t="n"/>
      <c r="J2169" s="392" t="n"/>
      <c r="K2169" s="392" t="n"/>
      <c r="L2169" s="392" t="n"/>
      <c r="M2169" s="392" t="n"/>
    </row>
    <row r="2170">
      <c r="A2170" s="568" t="n">
        <v>44202</v>
      </c>
      <c r="B2170" s="392" t="n">
        <v>7782</v>
      </c>
      <c r="C2170" s="392" t="n">
        <v>69.09</v>
      </c>
      <c r="D2170" s="392" t="n"/>
      <c r="E2170" s="392" t="n"/>
      <c r="F2170" s="392" t="n"/>
      <c r="G2170" s="392" t="n">
        <v>23</v>
      </c>
      <c r="H2170" s="446">
        <f>H2169-G2170</f>
        <v/>
      </c>
      <c r="I2170" s="392" t="n"/>
      <c r="J2170" s="392" t="n"/>
      <c r="K2170" s="392" t="n"/>
      <c r="L2170" s="392" t="n"/>
      <c r="M2170" s="392" t="n"/>
    </row>
    <row r="2171">
      <c r="A2171" s="568" t="n">
        <v>44202</v>
      </c>
      <c r="B2171" s="392" t="n">
        <v>7783</v>
      </c>
      <c r="C2171" s="392" t="n">
        <v>67</v>
      </c>
      <c r="D2171" s="392" t="n"/>
      <c r="E2171" s="392" t="n"/>
      <c r="F2171" s="392" t="n"/>
      <c r="G2171" s="392" t="n">
        <v>50</v>
      </c>
      <c r="H2171" s="446">
        <f>H2170-G2171</f>
        <v/>
      </c>
      <c r="I2171" s="392" t="n"/>
      <c r="J2171" s="392" t="n"/>
      <c r="K2171" s="392" t="n"/>
      <c r="L2171" s="392" t="n"/>
      <c r="M2171" s="392" t="n"/>
    </row>
    <row r="2172">
      <c r="A2172" s="568" t="n">
        <v>44202</v>
      </c>
      <c r="B2172" s="392" t="n">
        <v>7785</v>
      </c>
      <c r="C2172" s="392" t="n">
        <v>65</v>
      </c>
      <c r="D2172" s="392" t="n"/>
      <c r="E2172" s="392" t="n"/>
      <c r="F2172" s="392" t="n"/>
      <c r="G2172" s="392" t="n">
        <v>30</v>
      </c>
      <c r="H2172" s="446">
        <f>H2171-G2172</f>
        <v/>
      </c>
      <c r="I2172" s="392" t="n"/>
      <c r="J2172" s="392" t="n"/>
      <c r="K2172" s="392" t="n"/>
      <c r="L2172" s="392" t="n"/>
      <c r="M2172" s="392" t="n"/>
    </row>
    <row r="2173">
      <c r="A2173" s="304" t="n">
        <v>44205</v>
      </c>
      <c r="B2173" s="401" t="n">
        <v>37312</v>
      </c>
      <c r="C2173" s="401" t="n">
        <v>57</v>
      </c>
      <c r="D2173" s="401" t="n"/>
      <c r="E2173" s="401" t="n"/>
      <c r="F2173" s="401" t="n">
        <v>340</v>
      </c>
      <c r="G2173" s="401" t="n"/>
      <c r="H2173" s="322" t="n">
        <v>1796</v>
      </c>
      <c r="I2173" s="392" t="n"/>
      <c r="J2173" s="392" t="n"/>
      <c r="K2173" s="392" t="n"/>
      <c r="L2173" s="392" t="n"/>
      <c r="M2173" s="392" t="n"/>
    </row>
    <row r="2174">
      <c r="A2174" s="568" t="n">
        <v>44207</v>
      </c>
      <c r="B2174" s="392" t="n">
        <v>7786</v>
      </c>
      <c r="C2174" s="392" t="n">
        <v>68</v>
      </c>
      <c r="D2174" s="392" t="n"/>
      <c r="E2174" s="392" t="n"/>
      <c r="F2174" s="392" t="n"/>
      <c r="G2174" s="392" t="n">
        <v>30</v>
      </c>
      <c r="H2174" s="446">
        <f>H2173-G2174</f>
        <v/>
      </c>
      <c r="I2174" s="392" t="n"/>
      <c r="J2174" s="392" t="n"/>
      <c r="K2174" s="392" t="n"/>
      <c r="L2174" s="392" t="n"/>
      <c r="M2174" s="392" t="n"/>
    </row>
    <row r="2175">
      <c r="A2175" s="568" t="n">
        <v>44207</v>
      </c>
      <c r="B2175" s="392" t="n">
        <v>7787</v>
      </c>
      <c r="C2175" s="392" t="n">
        <v>70</v>
      </c>
      <c r="D2175" s="392" t="n"/>
      <c r="E2175" s="392" t="n"/>
      <c r="F2175" s="392" t="n"/>
      <c r="G2175" s="392" t="n">
        <v>10</v>
      </c>
      <c r="H2175" s="446">
        <f>H2174-G2175</f>
        <v/>
      </c>
      <c r="I2175" s="392" t="n"/>
      <c r="J2175" s="392" t="n"/>
      <c r="K2175" s="392" t="n"/>
      <c r="L2175" s="392" t="n"/>
      <c r="M2175" s="392" t="n"/>
    </row>
    <row r="2176">
      <c r="A2176" s="568" t="n">
        <v>44207</v>
      </c>
      <c r="B2176" s="392" t="n">
        <v>7788</v>
      </c>
      <c r="C2176" s="392" t="n">
        <v>68</v>
      </c>
      <c r="D2176" s="392" t="n"/>
      <c r="E2176" s="392" t="n"/>
      <c r="F2176" s="392" t="n"/>
      <c r="G2176" s="392" t="n">
        <v>20</v>
      </c>
      <c r="H2176" s="446">
        <f>H2175-G2176</f>
        <v/>
      </c>
      <c r="I2176" s="392" t="n"/>
      <c r="J2176" s="392" t="n"/>
      <c r="K2176" s="392" t="n"/>
      <c r="L2176" s="392" t="n"/>
      <c r="M2176" s="392" t="n"/>
    </row>
    <row r="2177">
      <c r="A2177" s="568" t="n">
        <v>44207</v>
      </c>
      <c r="B2177" s="392" t="n">
        <v>7789</v>
      </c>
      <c r="C2177" s="392" t="n">
        <v>69</v>
      </c>
      <c r="D2177" s="392" t="n"/>
      <c r="E2177" s="392" t="n"/>
      <c r="F2177" s="392" t="n"/>
      <c r="G2177" s="392" t="n">
        <v>12</v>
      </c>
      <c r="H2177" s="446">
        <f>H2176-G2177</f>
        <v/>
      </c>
      <c r="I2177" s="392" t="n"/>
      <c r="J2177" s="392" t="n"/>
      <c r="K2177" s="392" t="n"/>
      <c r="L2177" s="392" t="n"/>
      <c r="M2177" s="392" t="n"/>
    </row>
    <row r="2178">
      <c r="A2178" s="568" t="n">
        <v>44207</v>
      </c>
      <c r="B2178" s="392" t="n">
        <v>7791</v>
      </c>
      <c r="C2178" s="392" t="n">
        <v>68.81999999999999</v>
      </c>
      <c r="D2178" s="392" t="n"/>
      <c r="E2178" s="392" t="n"/>
      <c r="F2178" s="392" t="n"/>
      <c r="G2178" s="392" t="n">
        <v>22</v>
      </c>
      <c r="H2178" s="446">
        <f>H2177-G2178</f>
        <v/>
      </c>
      <c r="I2178" s="392" t="n"/>
      <c r="J2178" s="392" t="n"/>
      <c r="K2178" s="392" t="n"/>
      <c r="L2178" s="392" t="n"/>
      <c r="M2178" s="392" t="n"/>
    </row>
    <row r="2179">
      <c r="A2179" s="568" t="n">
        <v>44207</v>
      </c>
      <c r="B2179" s="392" t="n">
        <v>7793</v>
      </c>
      <c r="C2179" s="392" t="n">
        <v>65</v>
      </c>
      <c r="D2179" s="392" t="n"/>
      <c r="E2179" s="392" t="n"/>
      <c r="F2179" s="392" t="n"/>
      <c r="G2179" s="392" t="n">
        <v>10</v>
      </c>
      <c r="H2179" s="446">
        <f>H2178-G2179</f>
        <v/>
      </c>
      <c r="I2179" s="392" t="n"/>
      <c r="J2179" s="392" t="n"/>
      <c r="K2179" s="392" t="n"/>
      <c r="L2179" s="392" t="n"/>
      <c r="M2179" s="392" t="n"/>
    </row>
    <row r="2180">
      <c r="A2180" s="568" t="n">
        <v>44207</v>
      </c>
      <c r="B2180" s="392" t="n">
        <v>7794</v>
      </c>
      <c r="C2180" s="392" t="n">
        <v>67</v>
      </c>
      <c r="D2180" s="392" t="n"/>
      <c r="E2180" s="392" t="n"/>
      <c r="F2180" s="392" t="n"/>
      <c r="G2180" s="392" t="n">
        <v>30</v>
      </c>
      <c r="H2180" s="446">
        <f>H2179-G2180</f>
        <v/>
      </c>
      <c r="I2180" s="392" t="n"/>
      <c r="J2180" s="392" t="n"/>
      <c r="K2180" s="392" t="n"/>
      <c r="L2180" s="392" t="n"/>
      <c r="M2180" s="392" t="n"/>
    </row>
    <row r="2181">
      <c r="A2181" s="568" t="n">
        <v>44207</v>
      </c>
      <c r="B2181" s="392" t="n">
        <v>7795</v>
      </c>
      <c r="C2181" s="392" t="n">
        <v>67</v>
      </c>
      <c r="D2181" s="392" t="n"/>
      <c r="E2181" s="392" t="n"/>
      <c r="F2181" s="392" t="n"/>
      <c r="G2181" s="392" t="n">
        <v>40</v>
      </c>
      <c r="H2181" s="446">
        <f>H2180-G2181</f>
        <v/>
      </c>
      <c r="I2181" s="392" t="n"/>
      <c r="J2181" s="392" t="n"/>
      <c r="K2181" s="392" t="n"/>
      <c r="L2181" s="392" t="n"/>
      <c r="M2181" s="392" t="n"/>
    </row>
    <row r="2182">
      <c r="A2182" s="568" t="n">
        <v>44207</v>
      </c>
      <c r="B2182" s="392" t="n">
        <v>7796</v>
      </c>
      <c r="C2182" s="392" t="n">
        <v>67</v>
      </c>
      <c r="D2182" s="392" t="n"/>
      <c r="E2182" s="392" t="n"/>
      <c r="F2182" s="392" t="n"/>
      <c r="G2182" s="392" t="n">
        <v>30</v>
      </c>
      <c r="H2182" s="446">
        <f>H2181-G2182</f>
        <v/>
      </c>
      <c r="I2182" s="392" t="n"/>
      <c r="J2182" s="392" t="n"/>
      <c r="K2182" s="392" t="n"/>
      <c r="L2182" s="392" t="n"/>
      <c r="M2182" s="392" t="n"/>
    </row>
    <row r="2183">
      <c r="A2183" s="568" t="n">
        <v>44207</v>
      </c>
      <c r="B2183" s="392" t="n">
        <v>7797</v>
      </c>
      <c r="C2183" s="392" t="n">
        <v>67</v>
      </c>
      <c r="D2183" s="392" t="n"/>
      <c r="E2183" s="392" t="n"/>
      <c r="F2183" s="392" t="n"/>
      <c r="G2183" s="392" t="n">
        <v>20</v>
      </c>
      <c r="H2183" s="446">
        <f>H2182-G2183</f>
        <v/>
      </c>
      <c r="I2183" s="392" t="n"/>
      <c r="J2183" s="392" t="n"/>
      <c r="K2183" s="392" t="n"/>
      <c r="L2183" s="392" t="n"/>
      <c r="M2183" s="392" t="n"/>
    </row>
    <row r="2184">
      <c r="A2184" s="568" t="n">
        <v>44209</v>
      </c>
      <c r="B2184" s="392" t="n">
        <v>7798</v>
      </c>
      <c r="C2184" s="392" t="n">
        <v>67</v>
      </c>
      <c r="D2184" s="392" t="n"/>
      <c r="E2184" s="392" t="n"/>
      <c r="F2184" s="392" t="n"/>
      <c r="G2184" s="392" t="n">
        <v>30</v>
      </c>
      <c r="H2184" s="446">
        <f>H2183-G2184</f>
        <v/>
      </c>
      <c r="I2184" s="392" t="n"/>
      <c r="J2184" s="392" t="n"/>
      <c r="K2184" s="392" t="n"/>
      <c r="L2184" s="392" t="n"/>
      <c r="M2184" s="392" t="n"/>
    </row>
    <row r="2185">
      <c r="A2185" s="568" t="n">
        <v>44209</v>
      </c>
      <c r="B2185" s="392" t="n">
        <v>7799</v>
      </c>
      <c r="C2185" s="392" t="n">
        <v>62</v>
      </c>
      <c r="D2185" s="392" t="n"/>
      <c r="E2185" s="392" t="n"/>
      <c r="F2185" s="392" t="n"/>
      <c r="G2185" s="392" t="n">
        <v>20</v>
      </c>
      <c r="H2185" s="446">
        <f>H2184-G2185</f>
        <v/>
      </c>
      <c r="I2185" s="392" t="n"/>
      <c r="J2185" s="392" t="n"/>
      <c r="K2185" s="392" t="n"/>
      <c r="L2185" s="392" t="n"/>
      <c r="M2185" s="392" t="n"/>
    </row>
    <row r="2186">
      <c r="A2186" s="304" t="n">
        <v>44210</v>
      </c>
      <c r="B2186" s="401" t="n">
        <v>157436</v>
      </c>
      <c r="C2186" s="401" t="n">
        <v>54</v>
      </c>
      <c r="D2186" s="401" t="n"/>
      <c r="E2186" s="401" t="n"/>
      <c r="F2186" s="401" t="n">
        <v>250</v>
      </c>
      <c r="G2186" s="401" t="n"/>
      <c r="H2186" s="322" t="n">
        <v>1772</v>
      </c>
      <c r="I2186" s="392" t="n"/>
      <c r="J2186" s="392" t="n"/>
      <c r="K2186" s="392" t="n"/>
      <c r="L2186" s="392" t="n"/>
      <c r="M2186" s="392" t="n"/>
    </row>
    <row r="2187">
      <c r="A2187" s="304" t="n">
        <v>44210</v>
      </c>
      <c r="B2187" s="401" t="n">
        <v>157436</v>
      </c>
      <c r="C2187" s="401" t="n">
        <v>53</v>
      </c>
      <c r="D2187" s="401" t="n"/>
      <c r="E2187" s="401" t="n"/>
      <c r="F2187" s="401" t="n">
        <v>250</v>
      </c>
      <c r="G2187" s="401" t="n"/>
      <c r="H2187" s="322" t="n">
        <v>2022</v>
      </c>
      <c r="I2187" s="392" t="n"/>
      <c r="J2187" s="392" t="n"/>
      <c r="K2187" s="392" t="n"/>
      <c r="L2187" s="392" t="n"/>
      <c r="M2187" s="392" t="n"/>
    </row>
    <row r="2188">
      <c r="A2188" s="568" t="n">
        <v>44214</v>
      </c>
      <c r="B2188" s="392" t="n">
        <v>7801</v>
      </c>
      <c r="C2188" s="392" t="n">
        <v>65</v>
      </c>
      <c r="D2188" s="392" t="n"/>
      <c r="E2188" s="392" t="n"/>
      <c r="F2188" s="392" t="n"/>
      <c r="G2188" s="392" t="n">
        <v>10</v>
      </c>
      <c r="H2188" s="446">
        <f>H2187-G2188</f>
        <v/>
      </c>
      <c r="I2188" s="392" t="n"/>
      <c r="J2188" s="392" t="n"/>
      <c r="K2188" s="392" t="n"/>
      <c r="L2188" s="392" t="n"/>
      <c r="M2188" s="392" t="n"/>
    </row>
    <row r="2189">
      <c r="A2189" s="568" t="n">
        <v>44214</v>
      </c>
      <c r="B2189" s="392" t="n">
        <v>7802</v>
      </c>
      <c r="C2189" s="392" t="n">
        <v>66</v>
      </c>
      <c r="D2189" s="392" t="n"/>
      <c r="E2189" s="392" t="n"/>
      <c r="F2189" s="392" t="n"/>
      <c r="G2189" s="392" t="n">
        <v>30</v>
      </c>
      <c r="H2189" s="446">
        <f>H2188-G2189</f>
        <v/>
      </c>
      <c r="I2189" s="392" t="n"/>
      <c r="J2189" s="392" t="n"/>
      <c r="K2189" s="392" t="n"/>
      <c r="L2189" s="392" t="n"/>
      <c r="M2189" s="392" t="n"/>
    </row>
    <row r="2190">
      <c r="A2190" s="568" t="n">
        <v>44214</v>
      </c>
      <c r="B2190" s="392" t="n">
        <v>7804</v>
      </c>
      <c r="C2190" s="392" t="n">
        <v>67</v>
      </c>
      <c r="D2190" s="392" t="n"/>
      <c r="E2190" s="392" t="n"/>
      <c r="F2190" s="392" t="n"/>
      <c r="G2190" s="392" t="n">
        <v>30</v>
      </c>
      <c r="H2190" s="446">
        <f>H2189-G2190</f>
        <v/>
      </c>
      <c r="I2190" s="392" t="n"/>
      <c r="J2190" s="392" t="n"/>
      <c r="K2190" s="392" t="n"/>
      <c r="L2190" s="392" t="n"/>
      <c r="M2190" s="392" t="n"/>
    </row>
    <row r="2191">
      <c r="A2191" s="568" t="n">
        <v>44214</v>
      </c>
      <c r="B2191" s="392" t="n">
        <v>7806</v>
      </c>
      <c r="C2191" s="392" t="n">
        <v>67</v>
      </c>
      <c r="D2191" s="392" t="n"/>
      <c r="E2191" s="392" t="n"/>
      <c r="F2191" s="392" t="n"/>
      <c r="G2191" s="392" t="n">
        <v>40</v>
      </c>
      <c r="H2191" s="446">
        <f>H2190-G2191</f>
        <v/>
      </c>
      <c r="I2191" s="392" t="n"/>
      <c r="J2191" s="392" t="n"/>
      <c r="K2191" s="392" t="n"/>
      <c r="L2191" s="392" t="n"/>
      <c r="M2191" s="392" t="n"/>
    </row>
    <row r="2192">
      <c r="A2192" s="568" t="n">
        <v>44214</v>
      </c>
      <c r="B2192" s="392" t="n">
        <v>7807</v>
      </c>
      <c r="C2192" s="392" t="n">
        <v>67</v>
      </c>
      <c r="D2192" s="392" t="n"/>
      <c r="E2192" s="392" t="n"/>
      <c r="F2192" s="392" t="n"/>
      <c r="G2192" s="392" t="n">
        <v>30</v>
      </c>
      <c r="H2192" s="446">
        <f>H2191-G2192</f>
        <v/>
      </c>
      <c r="I2192" s="392" t="n"/>
      <c r="J2192" s="392" t="n"/>
      <c r="K2192" s="392" t="n"/>
      <c r="L2192" s="392" t="n"/>
      <c r="M2192" s="392" t="n"/>
    </row>
    <row r="2193">
      <c r="A2193" s="568" t="n">
        <v>44214</v>
      </c>
      <c r="B2193" s="392" t="n">
        <v>7808</v>
      </c>
      <c r="C2193" s="392" t="n">
        <v>64.67</v>
      </c>
      <c r="D2193" s="392" t="n"/>
      <c r="E2193" s="392" t="n"/>
      <c r="F2193" s="392" t="n"/>
      <c r="G2193" s="392" t="n">
        <v>15</v>
      </c>
      <c r="H2193" s="446">
        <f>H2192-G2193</f>
        <v/>
      </c>
      <c r="I2193" s="392" t="n"/>
      <c r="J2193" s="392" t="n"/>
      <c r="K2193" s="392" t="n"/>
      <c r="L2193" s="392" t="n"/>
      <c r="M2193" s="392" t="n"/>
    </row>
    <row r="2194">
      <c r="A2194" s="568" t="n">
        <v>44214</v>
      </c>
      <c r="B2194" s="392" t="n">
        <v>7809</v>
      </c>
      <c r="C2194" s="392" t="n">
        <v>64.5</v>
      </c>
      <c r="D2194" s="392" t="n"/>
      <c r="E2194" s="392" t="n"/>
      <c r="F2194" s="392" t="n"/>
      <c r="G2194" s="392" t="n">
        <v>40</v>
      </c>
      <c r="H2194" s="446">
        <f>H2193-G2194</f>
        <v/>
      </c>
      <c r="I2194" s="392" t="n"/>
      <c r="J2194" s="392" t="n"/>
      <c r="K2194" s="392" t="n"/>
      <c r="L2194" s="392" t="n"/>
      <c r="M2194" s="392" t="n"/>
    </row>
    <row r="2195">
      <c r="A2195" s="568" t="n">
        <v>44214</v>
      </c>
      <c r="B2195" s="392" t="n">
        <v>7810</v>
      </c>
      <c r="C2195" s="392" t="n">
        <v>69</v>
      </c>
      <c r="D2195" s="392" t="n"/>
      <c r="E2195" s="392" t="n"/>
      <c r="F2195" s="392" t="n"/>
      <c r="G2195" s="392" t="n">
        <v>60</v>
      </c>
      <c r="H2195" s="446">
        <f>H2194-G2195</f>
        <v/>
      </c>
      <c r="I2195" s="392" t="n"/>
      <c r="J2195" s="392" t="n"/>
      <c r="K2195" s="392" t="n"/>
      <c r="L2195" s="392" t="n"/>
      <c r="M2195" s="392" t="n"/>
    </row>
    <row r="2196">
      <c r="A2196" s="568" t="n">
        <v>44216</v>
      </c>
      <c r="B2196" s="392" t="n">
        <v>7811</v>
      </c>
      <c r="C2196" s="392" t="n">
        <v>64</v>
      </c>
      <c r="D2196" s="392" t="n"/>
      <c r="E2196" s="392" t="n"/>
      <c r="F2196" s="392" t="n"/>
      <c r="G2196" s="392" t="n">
        <v>40</v>
      </c>
      <c r="H2196" s="446">
        <f>H2195-G2196</f>
        <v/>
      </c>
      <c r="I2196" s="392" t="n"/>
      <c r="J2196" s="392" t="n"/>
      <c r="K2196" s="392" t="n"/>
      <c r="L2196" s="392" t="n"/>
      <c r="M2196" s="392" t="n"/>
    </row>
    <row r="2197">
      <c r="A2197" s="568" t="n">
        <v>44216</v>
      </c>
      <c r="B2197" s="392" t="n">
        <v>7812</v>
      </c>
      <c r="C2197" s="392" t="n">
        <v>60</v>
      </c>
      <c r="D2197" s="392" t="n"/>
      <c r="E2197" s="392" t="n"/>
      <c r="F2197" s="392" t="n"/>
      <c r="G2197" s="392" t="n">
        <v>20</v>
      </c>
      <c r="H2197" s="446">
        <f>H2196-G2197</f>
        <v/>
      </c>
      <c r="I2197" s="392" t="n"/>
      <c r="J2197" s="392" t="n"/>
      <c r="K2197" s="392" t="n"/>
      <c r="L2197" s="392" t="n"/>
      <c r="M2197" s="392" t="n"/>
    </row>
    <row r="2198">
      <c r="A2198" s="568" t="n">
        <v>44216</v>
      </c>
      <c r="B2198" s="392" t="n">
        <v>7813</v>
      </c>
      <c r="C2198" s="392" t="n">
        <v>65</v>
      </c>
      <c r="D2198" s="392" t="n"/>
      <c r="E2198" s="392" t="n"/>
      <c r="F2198" s="392" t="n"/>
      <c r="G2198" s="392" t="n">
        <v>40</v>
      </c>
      <c r="H2198" s="446">
        <f>H2197-G2198</f>
        <v/>
      </c>
      <c r="I2198" s="392" t="n"/>
      <c r="J2198" s="392" t="n"/>
      <c r="K2198" s="392" t="n"/>
      <c r="L2198" s="392" t="n"/>
      <c r="M2198" s="392" t="n"/>
    </row>
    <row r="2199">
      <c r="A2199" s="568" t="n">
        <v>44216</v>
      </c>
      <c r="B2199" s="392" t="n">
        <v>7814</v>
      </c>
      <c r="C2199" s="392" t="n">
        <v>63.5</v>
      </c>
      <c r="D2199" s="392" t="n"/>
      <c r="E2199" s="392" t="n"/>
      <c r="F2199" s="392" t="n"/>
      <c r="G2199" s="392" t="n">
        <v>50</v>
      </c>
      <c r="H2199" s="446">
        <f>H2198-G2199</f>
        <v/>
      </c>
      <c r="I2199" s="392" t="n"/>
      <c r="J2199" s="392" t="n"/>
      <c r="K2199" s="392" t="n"/>
      <c r="L2199" s="392" t="n"/>
      <c r="M2199" s="392" t="n"/>
    </row>
    <row r="2200">
      <c r="A2200" s="568" t="n">
        <v>44216</v>
      </c>
      <c r="B2200" s="392" t="n">
        <v>7815</v>
      </c>
      <c r="C2200" s="392" t="n">
        <v>65</v>
      </c>
      <c r="D2200" s="392" t="n"/>
      <c r="E2200" s="392" t="n"/>
      <c r="F2200" s="392" t="n"/>
      <c r="G2200" s="392" t="n">
        <v>30</v>
      </c>
      <c r="H2200" s="446">
        <f>H2199-G2200</f>
        <v/>
      </c>
      <c r="I2200" s="392" t="n"/>
      <c r="J2200" s="392" t="n"/>
      <c r="K2200" s="392" t="n"/>
      <c r="L2200" s="392" t="n"/>
      <c r="M2200" s="392" t="n"/>
    </row>
    <row r="2201">
      <c r="A2201" s="568" t="n">
        <v>44223</v>
      </c>
      <c r="B2201" s="392" t="n">
        <v>7817</v>
      </c>
      <c r="C2201" s="392" t="n">
        <v>63</v>
      </c>
      <c r="D2201" s="392" t="n"/>
      <c r="E2201" s="392" t="n"/>
      <c r="F2201" s="392" t="n"/>
      <c r="G2201" s="392" t="n">
        <v>15</v>
      </c>
      <c r="H2201" s="446">
        <f>H2200-G2201</f>
        <v/>
      </c>
      <c r="I2201" s="392" t="n"/>
      <c r="J2201" s="392" t="n"/>
      <c r="K2201" s="392" t="n"/>
      <c r="L2201" s="392" t="n"/>
      <c r="M2201" s="392" t="n"/>
    </row>
    <row r="2202">
      <c r="A2202" s="568" t="n">
        <v>44223</v>
      </c>
      <c r="B2202" s="392" t="n">
        <v>7818</v>
      </c>
      <c r="C2202" s="392" t="n">
        <v>65.67</v>
      </c>
      <c r="D2202" s="392" t="n"/>
      <c r="E2202" s="392" t="n"/>
      <c r="F2202" s="392" t="n"/>
      <c r="G2202" s="392" t="n">
        <v>15</v>
      </c>
      <c r="H2202" s="446">
        <f>H2201-G2202</f>
        <v/>
      </c>
      <c r="I2202" s="392" t="n"/>
      <c r="J2202" s="392" t="n"/>
      <c r="K2202" s="392" t="n"/>
      <c r="L2202" s="392" t="n"/>
      <c r="M2202" s="392" t="n"/>
    </row>
    <row r="2203">
      <c r="A2203" s="568" t="n">
        <v>44223</v>
      </c>
      <c r="B2203" s="392" t="n">
        <v>7820</v>
      </c>
      <c r="C2203" s="392" t="n">
        <v>69</v>
      </c>
      <c r="D2203" s="392" t="n"/>
      <c r="E2203" s="392" t="n"/>
      <c r="F2203" s="392" t="n"/>
      <c r="G2203" s="392" t="n">
        <v>20</v>
      </c>
      <c r="H2203" s="446">
        <f>H2202-G2203</f>
        <v/>
      </c>
      <c r="I2203" s="392" t="n"/>
      <c r="J2203" s="392" t="n"/>
      <c r="K2203" s="392" t="n"/>
      <c r="L2203" s="392" t="n"/>
      <c r="M2203" s="392" t="n"/>
    </row>
    <row r="2204">
      <c r="A2204" s="568" t="n">
        <v>44223</v>
      </c>
      <c r="B2204" s="392" t="n">
        <v>7823</v>
      </c>
      <c r="C2204" s="392" t="n">
        <v>67</v>
      </c>
      <c r="D2204" s="392" t="n"/>
      <c r="E2204" s="392" t="n"/>
      <c r="F2204" s="392" t="n"/>
      <c r="G2204" s="392" t="n">
        <v>30</v>
      </c>
      <c r="H2204" s="446">
        <f>H2203-G2204</f>
        <v/>
      </c>
      <c r="I2204" s="392" t="n"/>
      <c r="J2204" s="392" t="n"/>
      <c r="K2204" s="392" t="n"/>
      <c r="L2204" s="392" t="n"/>
      <c r="M2204" s="392" t="n"/>
    </row>
    <row r="2205">
      <c r="A2205" s="568" t="n">
        <v>44223</v>
      </c>
      <c r="B2205" s="392" t="n">
        <v>7824</v>
      </c>
      <c r="C2205" s="392" t="n">
        <v>68</v>
      </c>
      <c r="D2205" s="392" t="n"/>
      <c r="E2205" s="392" t="n"/>
      <c r="F2205" s="392" t="n"/>
      <c r="G2205" s="392" t="n">
        <v>30</v>
      </c>
      <c r="H2205" s="446">
        <f>H2204-G2205</f>
        <v/>
      </c>
      <c r="I2205" s="392" t="n"/>
      <c r="J2205" s="392" t="n"/>
      <c r="K2205" s="392" t="n"/>
      <c r="L2205" s="392" t="n"/>
      <c r="M2205" s="392" t="n"/>
    </row>
    <row r="2206">
      <c r="A2206" s="568" t="n">
        <v>44223</v>
      </c>
      <c r="B2206" s="392" t="n">
        <v>7826</v>
      </c>
      <c r="C2206" s="392" t="n">
        <v>67</v>
      </c>
      <c r="D2206" s="392" t="n"/>
      <c r="E2206" s="392" t="n"/>
      <c r="F2206" s="392" t="n"/>
      <c r="G2206" s="392" t="n">
        <v>20</v>
      </c>
      <c r="H2206" s="446">
        <f>H2205-G2206</f>
        <v/>
      </c>
      <c r="I2206" s="392" t="n"/>
      <c r="J2206" s="392" t="n"/>
      <c r="K2206" s="392" t="n"/>
      <c r="L2206" s="392" t="n"/>
      <c r="M2206" s="392" t="n"/>
    </row>
    <row r="2207">
      <c r="A2207" s="568" t="n">
        <v>44223</v>
      </c>
      <c r="B2207" s="392" t="n">
        <v>7827</v>
      </c>
      <c r="C2207" s="392" t="n">
        <v>68.5</v>
      </c>
      <c r="D2207" s="392" t="n"/>
      <c r="E2207" s="392" t="n"/>
      <c r="F2207" s="392" t="n"/>
      <c r="G2207" s="392" t="n">
        <v>20</v>
      </c>
      <c r="H2207" s="446">
        <f>H2206-G2207</f>
        <v/>
      </c>
      <c r="I2207" s="392" t="n"/>
      <c r="J2207" s="392" t="n"/>
      <c r="K2207" s="392" t="n"/>
      <c r="L2207" s="392" t="n"/>
      <c r="M2207" s="392" t="n"/>
    </row>
    <row r="2208">
      <c r="A2208" s="568" t="n">
        <v>44223</v>
      </c>
      <c r="B2208" s="392" t="n">
        <v>7828</v>
      </c>
      <c r="C2208" s="392" t="n">
        <v>67</v>
      </c>
      <c r="D2208" s="392" t="n"/>
      <c r="E2208" s="392" t="n"/>
      <c r="F2208" s="392" t="n"/>
      <c r="G2208" s="392" t="n">
        <v>30</v>
      </c>
      <c r="H2208" s="446">
        <f>H2185-G2208</f>
        <v/>
      </c>
      <c r="I2208" s="392" t="n"/>
      <c r="J2208" s="392" t="n"/>
      <c r="K2208" s="392" t="n"/>
      <c r="L2208" s="392" t="n"/>
      <c r="M2208" s="392" t="n"/>
    </row>
    <row r="2209">
      <c r="A2209" s="568" t="n">
        <v>44223</v>
      </c>
      <c r="B2209" s="392" t="n">
        <v>7829</v>
      </c>
      <c r="C2209" s="392" t="n">
        <v>66.5</v>
      </c>
      <c r="D2209" s="392" t="n"/>
      <c r="E2209" s="392" t="n"/>
      <c r="F2209" s="392" t="n"/>
      <c r="G2209" s="392" t="n">
        <v>20</v>
      </c>
      <c r="H2209" s="446">
        <f>H2208-G2209</f>
        <v/>
      </c>
      <c r="I2209" s="392" t="n"/>
      <c r="J2209" s="392" t="n"/>
      <c r="K2209" s="392" t="n"/>
      <c r="L2209" s="392" t="n"/>
      <c r="M2209" s="392" t="n"/>
    </row>
    <row r="2210">
      <c r="A2210" s="414" t="n">
        <v>44223</v>
      </c>
      <c r="B2210" s="352" t="n">
        <v>7830</v>
      </c>
      <c r="C2210" s="352" t="n">
        <v>67</v>
      </c>
      <c r="G2210" s="352" t="n">
        <v>20</v>
      </c>
      <c r="H2210" s="446">
        <f>H2209-G2210</f>
        <v/>
      </c>
    </row>
    <row r="2211" ht="15.75" customHeight="1" s="436" thickBot="1"/>
    <row r="2212" ht="32.25" customHeight="1" s="436" thickBot="1">
      <c r="A2212" s="735" t="inlineStr">
        <is>
          <t>Fevereiro</t>
        </is>
      </c>
      <c r="B2212" s="697" t="n"/>
      <c r="C2212" s="697" t="n"/>
      <c r="D2212" s="697" t="n"/>
      <c r="E2212" s="697" t="n"/>
      <c r="F2212" s="697" t="n"/>
      <c r="G2212" s="697" t="n"/>
      <c r="H2212" s="697" t="n"/>
      <c r="I2212" s="697" t="n"/>
      <c r="J2212" s="697" t="n"/>
      <c r="K2212" s="697" t="n"/>
      <c r="L2212" s="697" t="n"/>
      <c r="M2212" s="698" t="n"/>
    </row>
    <row r="2213" ht="27" customHeight="1" s="436" thickBot="1">
      <c r="A2213" s="734" t="inlineStr">
        <is>
          <t xml:space="preserve"> FARINHA DE TRIGO TIPO: 1 - 25 KG</t>
        </is>
      </c>
      <c r="B2213" s="706" t="n"/>
      <c r="C2213" s="706" t="n"/>
      <c r="D2213" s="706" t="n"/>
      <c r="E2213" s="706" t="n"/>
      <c r="F2213" s="706" t="n"/>
      <c r="G2213" s="706" t="n"/>
      <c r="H2213" s="706" t="n"/>
      <c r="I2213" s="706" t="n"/>
      <c r="J2213" s="706" t="n"/>
      <c r="K2213" s="706" t="n"/>
      <c r="L2213" s="706" t="n"/>
      <c r="M2213" s="707" t="n"/>
    </row>
    <row r="2214">
      <c r="A2214" s="643" t="inlineStr">
        <is>
          <t>DATA</t>
        </is>
      </c>
      <c r="B2214" s="633" t="inlineStr">
        <is>
          <t>N.F.</t>
        </is>
      </c>
      <c r="C2214" s="633" t="inlineStr">
        <is>
          <t>TIPO</t>
        </is>
      </c>
      <c r="D2214" s="633" t="inlineStr">
        <is>
          <t>PREÇO UNITÁRIO</t>
        </is>
      </c>
      <c r="E2214" s="701" t="n"/>
      <c r="F2214" s="633" t="inlineStr">
        <is>
          <t>QUANTIDADE / KG</t>
        </is>
      </c>
      <c r="H2214" s="701" t="n"/>
      <c r="I2214" s="632" t="inlineStr">
        <is>
          <t>PREÇO</t>
        </is>
      </c>
      <c r="J2214" s="632" t="inlineStr">
        <is>
          <t>VALORES</t>
        </is>
      </c>
      <c r="L2214" s="701" t="n"/>
      <c r="M2214" s="649" t="n"/>
    </row>
    <row r="2215" ht="15.75" customHeight="1" s="436" thickBot="1">
      <c r="A2215" s="703" t="n"/>
      <c r="B2215" s="704" t="n"/>
      <c r="C2215" s="704" t="n"/>
      <c r="D2215" s="703" t="n"/>
      <c r="E2215" s="701" t="n"/>
      <c r="F2215" s="705" t="n"/>
      <c r="G2215" s="706" t="n"/>
      <c r="H2215" s="707" t="n"/>
      <c r="I2215" s="704" t="n"/>
      <c r="J2215" s="703" t="n"/>
      <c r="L2215" s="701" t="n"/>
      <c r="M2215" s="704" t="n"/>
    </row>
    <row r="2216" ht="15.75" customHeight="1" s="436" thickBot="1">
      <c r="A2216" s="703" t="n"/>
      <c r="B2216" s="704" t="n"/>
      <c r="C2216" s="704" t="n"/>
      <c r="D2216" s="705" t="n"/>
      <c r="E2216" s="707" t="n"/>
      <c r="F2216" s="3" t="inlineStr">
        <is>
          <t>ENTRADA</t>
        </is>
      </c>
      <c r="G2216" s="3" t="inlineStr">
        <is>
          <t>SAÍDA</t>
        </is>
      </c>
      <c r="H2216" s="640" t="n"/>
      <c r="I2216" s="633" t="inlineStr">
        <is>
          <t>MÉDIO</t>
        </is>
      </c>
      <c r="J2216" s="652" t="inlineStr">
        <is>
          <t>SALDO EM 30/11/2017</t>
        </is>
      </c>
      <c r="K2216" s="706" t="n"/>
      <c r="L2216" s="17" t="n"/>
      <c r="M2216" s="704" t="n"/>
    </row>
    <row r="2217" ht="18" customHeight="1" s="436" thickBot="1">
      <c r="A2217" s="705" t="n"/>
      <c r="B2217" s="695" t="n"/>
      <c r="C2217" s="695" t="n"/>
      <c r="D2217" s="3" t="inlineStr">
        <is>
          <t>C/ICMS</t>
        </is>
      </c>
      <c r="E2217" s="3" t="inlineStr">
        <is>
          <t>S/ICMS</t>
        </is>
      </c>
      <c r="F2217" s="695" t="n"/>
      <c r="G2217" s="695" t="n"/>
      <c r="H2217" s="84" t="inlineStr">
        <is>
          <t>Saldo em 31/12/2020</t>
        </is>
      </c>
      <c r="I2217" s="695" t="n"/>
      <c r="J2217" s="645" t="inlineStr">
        <is>
          <t>ENTRADA</t>
        </is>
      </c>
      <c r="K2217" s="633" t="inlineStr">
        <is>
          <t>SAÍDA / CMV</t>
        </is>
      </c>
      <c r="L2217" s="643" t="inlineStr">
        <is>
          <t>SALDO</t>
        </is>
      </c>
      <c r="M2217" s="392" t="n"/>
    </row>
    <row r="2218">
      <c r="A2218" s="392" t="n"/>
      <c r="B2218" s="392" t="n"/>
      <c r="C2218" s="392" t="n"/>
      <c r="D2218" s="392" t="n"/>
      <c r="E2218" s="392" t="n"/>
      <c r="F2218" s="392" t="n"/>
      <c r="G2218" s="392" t="n"/>
      <c r="H2218" s="98" t="n">
        <v>1452</v>
      </c>
      <c r="I2218" s="392" t="n"/>
      <c r="J2218" s="392" t="n"/>
      <c r="K2218" s="392" t="n"/>
      <c r="L2218" s="392" t="n"/>
      <c r="M2218" s="392" t="n"/>
    </row>
    <row r="2219">
      <c r="A2219" s="568" t="n">
        <v>44229</v>
      </c>
      <c r="B2219" s="392" t="n">
        <v>7832</v>
      </c>
      <c r="C2219" s="392" t="n">
        <v>63.5</v>
      </c>
      <c r="D2219" s="392" t="n"/>
      <c r="E2219" s="392" t="n"/>
      <c r="F2219" s="392" t="n"/>
      <c r="G2219" s="392" t="n">
        <v>150</v>
      </c>
      <c r="H2219" s="446">
        <f>H2218-G2219</f>
        <v/>
      </c>
      <c r="I2219" s="392" t="n"/>
      <c r="J2219" s="392" t="n"/>
      <c r="K2219" s="392" t="n"/>
      <c r="L2219" s="392" t="n"/>
      <c r="M2219" s="392" t="n"/>
    </row>
    <row r="2220">
      <c r="A2220" s="568" t="n">
        <v>44230</v>
      </c>
      <c r="B2220" s="392" t="n">
        <v>7835</v>
      </c>
      <c r="C2220" s="392" t="n">
        <v>62</v>
      </c>
      <c r="D2220" s="392" t="n"/>
      <c r="E2220" s="392" t="n"/>
      <c r="F2220" s="392" t="n"/>
      <c r="G2220" s="392" t="n">
        <v>20</v>
      </c>
      <c r="H2220" s="446">
        <f>H2219-G2220</f>
        <v/>
      </c>
      <c r="I2220" s="392" t="n"/>
      <c r="J2220" s="392" t="n"/>
      <c r="K2220" s="392" t="n"/>
      <c r="L2220" s="392" t="n"/>
      <c r="M2220" s="392" t="n"/>
    </row>
    <row r="2221">
      <c r="A2221" s="568" t="n">
        <v>44230</v>
      </c>
      <c r="B2221" s="392" t="n">
        <v>7838</v>
      </c>
      <c r="C2221" s="392" t="n">
        <v>64</v>
      </c>
      <c r="D2221" s="392" t="n"/>
      <c r="E2221" s="392" t="n"/>
      <c r="F2221" s="392" t="n"/>
      <c r="G2221" s="392" t="n">
        <v>10</v>
      </c>
      <c r="H2221" s="446">
        <f>H2220-G2221</f>
        <v/>
      </c>
      <c r="I2221" s="392" t="n"/>
      <c r="J2221" s="392" t="n"/>
      <c r="K2221" s="392" t="n"/>
      <c r="L2221" s="392" t="n"/>
      <c r="M2221" s="392" t="n"/>
    </row>
    <row r="2222">
      <c r="A2222" s="568" t="n">
        <v>44230</v>
      </c>
      <c r="B2222" s="392" t="n">
        <v>7839</v>
      </c>
      <c r="C2222" s="392" t="n">
        <v>70</v>
      </c>
      <c r="D2222" s="392" t="n"/>
      <c r="E2222" s="392" t="n"/>
      <c r="F2222" s="392" t="n"/>
      <c r="G2222" s="392" t="n">
        <v>10</v>
      </c>
      <c r="H2222" s="446">
        <f>H2221-G2222</f>
        <v/>
      </c>
      <c r="I2222" s="392" t="n"/>
      <c r="J2222" s="392" t="n"/>
      <c r="K2222" s="392" t="n"/>
      <c r="L2222" s="392" t="n"/>
      <c r="M2222" s="392" t="n"/>
    </row>
    <row r="2223">
      <c r="A2223" s="568" t="n">
        <v>44230</v>
      </c>
      <c r="B2223" s="392" t="n">
        <v>7843</v>
      </c>
      <c r="C2223" s="392" t="n">
        <v>65</v>
      </c>
      <c r="D2223" s="392" t="n"/>
      <c r="E2223" s="392" t="n"/>
      <c r="F2223" s="392" t="n"/>
      <c r="G2223" s="392" t="n">
        <v>10</v>
      </c>
      <c r="H2223" s="446">
        <f>H2222-G2223</f>
        <v/>
      </c>
      <c r="I2223" s="392" t="n"/>
      <c r="J2223" s="392" t="n"/>
      <c r="K2223" s="392" t="n"/>
      <c r="L2223" s="392" t="n"/>
      <c r="M2223" s="392" t="n"/>
    </row>
    <row r="2224">
      <c r="A2224" s="568" t="n">
        <v>44230</v>
      </c>
      <c r="B2224" s="392" t="n">
        <v>7844</v>
      </c>
      <c r="C2224" s="392" t="n">
        <v>67.34</v>
      </c>
      <c r="D2224" s="392" t="n"/>
      <c r="E2224" s="392" t="n"/>
      <c r="F2224" s="392" t="n"/>
      <c r="G2224" s="392" t="n">
        <v>30</v>
      </c>
      <c r="H2224" s="446">
        <f>H2223-G2224</f>
        <v/>
      </c>
      <c r="I2224" s="392" t="n"/>
      <c r="J2224" s="392" t="n"/>
      <c r="K2224" s="392" t="n"/>
      <c r="L2224" s="392" t="n"/>
      <c r="M2224" s="392" t="n"/>
    </row>
    <row r="2225">
      <c r="A2225" s="304" t="n">
        <v>44231</v>
      </c>
      <c r="B2225" s="401" t="n">
        <v>159038</v>
      </c>
      <c r="C2225" s="401" t="n">
        <v>53</v>
      </c>
      <c r="D2225" s="401" t="n"/>
      <c r="E2225" s="401" t="n"/>
      <c r="F2225" s="401" t="n">
        <v>100</v>
      </c>
      <c r="G2225" s="401" t="n"/>
      <c r="H2225" s="322" t="n">
        <v>1322</v>
      </c>
      <c r="I2225" s="392" t="n"/>
      <c r="J2225" s="392" t="n"/>
      <c r="K2225" s="392" t="n"/>
      <c r="L2225" s="392" t="n"/>
      <c r="M2225" s="392" t="n"/>
    </row>
    <row r="2226">
      <c r="A2226" s="304" t="n">
        <v>44231</v>
      </c>
      <c r="B2226" s="401" t="n">
        <v>159038</v>
      </c>
      <c r="C2226" s="401" t="n">
        <v>54</v>
      </c>
      <c r="D2226" s="401" t="n"/>
      <c r="E2226" s="401" t="n"/>
      <c r="F2226" s="401" t="n">
        <v>300</v>
      </c>
      <c r="G2226" s="401" t="n"/>
      <c r="H2226" s="322" t="n">
        <v>1622</v>
      </c>
      <c r="I2226" s="392" t="n"/>
      <c r="J2226" s="392" t="n"/>
      <c r="K2226" s="392" t="n"/>
      <c r="L2226" s="392" t="n"/>
      <c r="M2226" s="392" t="n"/>
    </row>
    <row r="2227">
      <c r="A2227" s="568" t="n">
        <v>44236</v>
      </c>
      <c r="B2227" s="392" t="n">
        <v>7846</v>
      </c>
      <c r="C2227" s="392" t="n">
        <v>67</v>
      </c>
      <c r="D2227" s="392" t="n"/>
      <c r="E2227" s="392" t="n"/>
      <c r="F2227" s="392" t="n"/>
      <c r="G2227" s="392" t="n">
        <v>30</v>
      </c>
      <c r="H2227" s="446">
        <f>H2226-G2227</f>
        <v/>
      </c>
      <c r="I2227" s="392" t="n"/>
      <c r="J2227" s="392" t="n"/>
      <c r="K2227" s="392" t="n"/>
      <c r="L2227" s="392" t="n"/>
      <c r="M2227" s="392" t="n"/>
    </row>
    <row r="2228">
      <c r="A2228" s="568" t="n">
        <v>44236</v>
      </c>
      <c r="B2228" s="392" t="n">
        <v>7847</v>
      </c>
      <c r="C2228" s="392" t="n">
        <v>60</v>
      </c>
      <c r="D2228" s="392" t="n"/>
      <c r="E2228" s="392" t="n"/>
      <c r="F2228" s="392" t="n"/>
      <c r="G2228" s="392" t="n">
        <v>30</v>
      </c>
      <c r="H2228" s="446">
        <f>H2227-G2228</f>
        <v/>
      </c>
      <c r="I2228" s="392" t="n"/>
      <c r="J2228" s="392" t="n"/>
      <c r="K2228" s="392" t="n"/>
      <c r="L2228" s="392" t="n"/>
      <c r="M2228" s="392" t="n"/>
    </row>
    <row r="2229">
      <c r="A2229" s="568" t="n">
        <v>44236</v>
      </c>
      <c r="B2229" s="392" t="n">
        <v>7848</v>
      </c>
      <c r="C2229" s="392" t="n">
        <v>65</v>
      </c>
      <c r="D2229" s="392" t="n"/>
      <c r="E2229" s="392" t="n"/>
      <c r="F2229" s="392" t="n"/>
      <c r="G2229" s="392" t="n">
        <v>30</v>
      </c>
      <c r="H2229" s="446">
        <f>H2228-G2229</f>
        <v/>
      </c>
      <c r="I2229" s="392" t="n"/>
      <c r="J2229" s="392" t="n"/>
      <c r="K2229" s="392" t="n"/>
      <c r="L2229" s="392" t="n"/>
      <c r="M2229" s="392" t="n"/>
    </row>
    <row r="2230">
      <c r="A2230" s="568" t="n">
        <v>44236</v>
      </c>
      <c r="B2230" s="392" t="n">
        <v>7851</v>
      </c>
      <c r="C2230" s="392" t="n">
        <v>65</v>
      </c>
      <c r="D2230" s="392" t="n"/>
      <c r="E2230" s="392" t="n"/>
      <c r="F2230" s="392" t="n"/>
      <c r="G2230" s="392" t="n">
        <v>20</v>
      </c>
      <c r="H2230" s="446">
        <f>H2229-G2230</f>
        <v/>
      </c>
      <c r="I2230" s="392" t="n"/>
      <c r="J2230" s="392" t="n"/>
      <c r="K2230" s="392" t="n"/>
      <c r="L2230" s="392" t="n"/>
      <c r="M2230" s="392" t="n"/>
    </row>
    <row r="2231">
      <c r="A2231" s="568" t="n">
        <v>44236</v>
      </c>
      <c r="B2231" s="392" t="n">
        <v>7852</v>
      </c>
      <c r="C2231" s="392" t="n">
        <v>64</v>
      </c>
      <c r="D2231" s="392" t="n"/>
      <c r="E2231" s="392" t="n"/>
      <c r="F2231" s="392" t="n"/>
      <c r="G2231" s="392" t="n">
        <v>10</v>
      </c>
      <c r="H2231" s="446">
        <f>H2230-G2231</f>
        <v/>
      </c>
      <c r="I2231" s="392" t="n"/>
      <c r="J2231" s="392" t="n"/>
      <c r="K2231" s="392" t="n"/>
      <c r="L2231" s="392" t="n"/>
      <c r="M2231" s="392" t="n"/>
    </row>
    <row r="2232">
      <c r="A2232" s="568" t="n">
        <v>44236</v>
      </c>
      <c r="B2232" s="392" t="n">
        <v>7853</v>
      </c>
      <c r="C2232" s="392" t="n">
        <v>67.75</v>
      </c>
      <c r="D2232" s="392" t="n"/>
      <c r="E2232" s="392" t="n"/>
      <c r="F2232" s="392" t="n"/>
      <c r="G2232" s="392" t="n">
        <v>40</v>
      </c>
      <c r="H2232" s="446">
        <f>H2231-G2232</f>
        <v/>
      </c>
      <c r="I2232" s="392" t="n"/>
      <c r="J2232" s="392" t="n"/>
      <c r="K2232" s="392" t="n"/>
      <c r="L2232" s="392" t="n"/>
      <c r="M2232" s="392" t="n"/>
    </row>
    <row r="2233">
      <c r="A2233" s="568" t="n">
        <v>44236</v>
      </c>
      <c r="B2233" s="392" t="n">
        <v>7854</v>
      </c>
      <c r="C2233" s="392" t="n">
        <v>69</v>
      </c>
      <c r="D2233" s="392" t="n"/>
      <c r="E2233" s="392" t="n"/>
      <c r="F2233" s="392" t="n"/>
      <c r="G2233" s="392" t="n">
        <v>20</v>
      </c>
      <c r="H2233" s="446">
        <f>H2232-G2233</f>
        <v/>
      </c>
      <c r="I2233" s="392" t="n"/>
      <c r="J2233" s="392" t="n"/>
      <c r="K2233" s="392" t="n"/>
      <c r="L2233" s="392" t="n"/>
      <c r="M2233" s="392" t="n"/>
    </row>
    <row r="2234">
      <c r="A2234" s="568" t="n">
        <v>44236</v>
      </c>
      <c r="B2234" s="392" t="n">
        <v>7855</v>
      </c>
      <c r="C2234" s="392" t="n">
        <v>68</v>
      </c>
      <c r="D2234" s="392" t="n"/>
      <c r="E2234" s="392" t="n"/>
      <c r="F2234" s="392" t="n"/>
      <c r="G2234" s="392" t="n">
        <v>30</v>
      </c>
      <c r="H2234" s="446">
        <f>H2233-G2234</f>
        <v/>
      </c>
      <c r="I2234" s="392" t="n"/>
      <c r="J2234" s="392" t="n"/>
      <c r="K2234" s="392" t="n"/>
      <c r="L2234" s="392" t="n"/>
      <c r="M2234" s="392" t="n"/>
    </row>
    <row r="2235">
      <c r="A2235" s="568" t="n">
        <v>44236</v>
      </c>
      <c r="B2235" s="392" t="n">
        <v>7856</v>
      </c>
      <c r="C2235" s="392" t="n">
        <v>64.67</v>
      </c>
      <c r="D2235" s="392" t="n"/>
      <c r="E2235" s="392" t="n"/>
      <c r="F2235" s="392" t="n"/>
      <c r="G2235" s="392" t="n">
        <v>15</v>
      </c>
      <c r="H2235" s="446">
        <f>H2234-G2235</f>
        <v/>
      </c>
      <c r="I2235" s="392" t="n"/>
      <c r="J2235" s="392" t="n"/>
      <c r="K2235" s="392" t="n"/>
      <c r="L2235" s="392" t="n"/>
      <c r="M2235" s="392" t="n"/>
    </row>
    <row r="2236">
      <c r="A2236" s="568" t="n">
        <v>44236</v>
      </c>
      <c r="B2236" s="392" t="n">
        <v>7857</v>
      </c>
      <c r="C2236" s="392" t="n">
        <v>66</v>
      </c>
      <c r="D2236" s="392" t="n"/>
      <c r="E2236" s="392" t="n"/>
      <c r="F2236" s="392" t="n"/>
      <c r="G2236" s="392" t="n">
        <v>25</v>
      </c>
      <c r="H2236" s="446">
        <f>H2235-G2236</f>
        <v/>
      </c>
      <c r="I2236" s="392" t="n"/>
      <c r="J2236" s="392" t="n"/>
      <c r="K2236" s="392" t="n"/>
      <c r="L2236" s="392" t="n"/>
      <c r="M2236" s="392" t="n"/>
    </row>
    <row r="2237">
      <c r="A2237" s="568" t="n">
        <v>44236</v>
      </c>
      <c r="B2237" s="392" t="n">
        <v>7858</v>
      </c>
      <c r="C2237" s="392" t="n">
        <v>67</v>
      </c>
      <c r="D2237" s="392" t="n"/>
      <c r="E2237" s="392" t="n"/>
      <c r="F2237" s="392" t="n"/>
      <c r="G2237" s="392" t="n">
        <v>40</v>
      </c>
      <c r="H2237" s="446">
        <f>H2236-G2237</f>
        <v/>
      </c>
      <c r="I2237" s="392" t="n"/>
      <c r="J2237" s="392" t="n"/>
      <c r="K2237" s="392" t="n"/>
      <c r="L2237" s="392" t="n"/>
      <c r="M2237" s="392" t="n"/>
    </row>
    <row r="2238">
      <c r="A2238" s="568" t="n">
        <v>44236</v>
      </c>
      <c r="B2238" s="392" t="n">
        <v>7860</v>
      </c>
      <c r="C2238" s="392" t="n">
        <v>65</v>
      </c>
      <c r="D2238" s="392" t="n"/>
      <c r="E2238" s="392" t="n"/>
      <c r="F2238" s="392" t="n"/>
      <c r="G2238" s="392" t="n">
        <v>20</v>
      </c>
      <c r="H2238" s="446">
        <f>H2237-G2238</f>
        <v/>
      </c>
      <c r="I2238" s="392" t="n"/>
      <c r="J2238" s="392" t="n"/>
      <c r="K2238" s="392" t="n"/>
      <c r="L2238" s="392" t="n"/>
      <c r="M2238" s="392" t="n"/>
    </row>
    <row r="2239">
      <c r="A2239" s="568" t="n">
        <v>44236</v>
      </c>
      <c r="B2239" s="392" t="n">
        <v>7861</v>
      </c>
      <c r="C2239" s="392" t="n">
        <v>66.5</v>
      </c>
      <c r="D2239" s="392" t="n"/>
      <c r="E2239" s="392" t="n"/>
      <c r="F2239" s="392" t="n"/>
      <c r="G2239" s="392" t="n">
        <v>20</v>
      </c>
      <c r="H2239" s="446">
        <f>H2238-G2239</f>
        <v/>
      </c>
      <c r="I2239" s="392" t="n"/>
      <c r="J2239" s="392" t="n"/>
      <c r="K2239" s="392" t="n"/>
      <c r="L2239" s="392" t="n"/>
      <c r="M2239" s="392" t="n"/>
    </row>
    <row r="2240">
      <c r="A2240" s="304" t="n">
        <v>44237</v>
      </c>
      <c r="B2240" s="401" t="n">
        <v>14808</v>
      </c>
      <c r="C2240" s="401" t="n">
        <v>52.1</v>
      </c>
      <c r="D2240" s="401" t="n"/>
      <c r="E2240" s="401" t="n"/>
      <c r="F2240" s="401" t="n">
        <v>1120</v>
      </c>
      <c r="G2240" s="401" t="n"/>
      <c r="H2240" s="322" t="n">
        <v>2412</v>
      </c>
      <c r="I2240" s="392" t="n"/>
      <c r="J2240" s="392" t="n"/>
      <c r="K2240" s="392" t="n"/>
      <c r="L2240" s="392" t="n"/>
      <c r="M2240" s="392" t="n"/>
    </row>
    <row r="2241">
      <c r="A2241" s="568" t="n">
        <v>44243</v>
      </c>
      <c r="B2241" s="392" t="n">
        <v>7862</v>
      </c>
      <c r="C2241" s="392" t="n">
        <v>68.67</v>
      </c>
      <c r="D2241" s="392" t="n"/>
      <c r="E2241" s="392" t="n"/>
      <c r="F2241" s="392" t="n"/>
      <c r="G2241" s="392" t="n">
        <v>30</v>
      </c>
      <c r="H2241" s="446">
        <f>H2240-G2241</f>
        <v/>
      </c>
      <c r="I2241" s="392" t="n"/>
      <c r="J2241" s="392" t="n"/>
      <c r="K2241" s="392" t="n"/>
      <c r="L2241" s="392" t="n"/>
      <c r="M2241" s="392" t="n"/>
    </row>
    <row r="2242">
      <c r="A2242" s="568" t="n">
        <v>44243</v>
      </c>
      <c r="B2242" s="392" t="n">
        <v>7863</v>
      </c>
      <c r="C2242" s="392" t="n">
        <v>67</v>
      </c>
      <c r="D2242" s="392" t="n"/>
      <c r="E2242" s="392" t="n"/>
      <c r="F2242" s="392" t="n"/>
      <c r="G2242" s="392" t="n">
        <v>30</v>
      </c>
      <c r="H2242" s="446">
        <f>H2241-G2242</f>
        <v/>
      </c>
      <c r="I2242" s="392" t="n"/>
      <c r="J2242" s="392" t="n"/>
      <c r="K2242" s="392" t="n"/>
      <c r="L2242" s="392" t="n"/>
      <c r="M2242" s="392" t="n"/>
    </row>
    <row r="2243">
      <c r="A2243" s="568" t="n">
        <v>44243</v>
      </c>
      <c r="B2243" s="392" t="n">
        <v>7864</v>
      </c>
      <c r="C2243" s="392" t="n">
        <v>64.5</v>
      </c>
      <c r="D2243" s="392" t="n"/>
      <c r="E2243" s="392" t="n"/>
      <c r="F2243" s="392" t="n"/>
      <c r="G2243" s="392" t="n">
        <v>40</v>
      </c>
      <c r="H2243" s="446">
        <f>H2242-G2243</f>
        <v/>
      </c>
      <c r="I2243" s="392" t="n"/>
      <c r="J2243" s="392" t="n"/>
      <c r="K2243" s="392" t="n"/>
      <c r="L2243" s="392" t="n"/>
      <c r="M2243" s="392" t="n"/>
    </row>
    <row r="2244">
      <c r="A2244" s="568" t="n">
        <v>44243</v>
      </c>
      <c r="B2244" s="392" t="n">
        <v>7865</v>
      </c>
      <c r="C2244" s="392" t="n">
        <v>66.34</v>
      </c>
      <c r="D2244" s="392" t="n"/>
      <c r="E2244" s="392" t="n"/>
      <c r="F2244" s="392" t="n"/>
      <c r="G2244" s="392" t="n">
        <v>30</v>
      </c>
      <c r="H2244" s="446">
        <f>H2243-G2244</f>
        <v/>
      </c>
      <c r="I2244" s="392" t="n"/>
      <c r="J2244" s="392" t="n"/>
      <c r="K2244" s="392" t="n"/>
      <c r="L2244" s="392" t="n"/>
      <c r="M2244" s="392" t="n"/>
    </row>
    <row r="2245">
      <c r="A2245" s="568" t="n">
        <v>44243</v>
      </c>
      <c r="B2245" s="392" t="n">
        <v>7866</v>
      </c>
      <c r="C2245" s="392" t="n">
        <v>67</v>
      </c>
      <c r="D2245" s="392" t="n"/>
      <c r="E2245" s="392" t="n"/>
      <c r="F2245" s="392" t="n"/>
      <c r="G2245" s="392" t="n">
        <v>30</v>
      </c>
      <c r="H2245" s="446">
        <f>H2244-G2245</f>
        <v/>
      </c>
      <c r="I2245" s="392" t="n"/>
      <c r="J2245" s="392" t="n"/>
      <c r="K2245" s="392" t="n"/>
      <c r="L2245" s="392" t="n"/>
      <c r="M2245" s="392" t="n"/>
    </row>
    <row r="2246">
      <c r="A2246" s="568" t="n">
        <v>44243</v>
      </c>
      <c r="B2246" s="392" t="n">
        <v>7867</v>
      </c>
      <c r="C2246" s="392" t="n">
        <v>65</v>
      </c>
      <c r="D2246" s="392" t="n"/>
      <c r="E2246" s="392" t="n"/>
      <c r="F2246" s="392" t="n"/>
      <c r="G2246" s="392" t="n">
        <v>40</v>
      </c>
      <c r="H2246" s="446">
        <f>H2245-G2246</f>
        <v/>
      </c>
      <c r="I2246" s="392" t="n"/>
      <c r="J2246" s="392" t="n"/>
      <c r="K2246" s="392" t="n"/>
      <c r="L2246" s="392" t="n"/>
      <c r="M2246" s="392" t="n"/>
    </row>
    <row r="2247">
      <c r="A2247" s="568" t="n">
        <v>44243</v>
      </c>
      <c r="B2247" s="392" t="n">
        <v>7868</v>
      </c>
      <c r="C2247" s="392" t="n">
        <v>63.5</v>
      </c>
      <c r="D2247" s="392" t="n"/>
      <c r="E2247" s="392" t="n"/>
      <c r="F2247" s="392" t="n"/>
      <c r="G2247" s="392" t="n">
        <v>200</v>
      </c>
      <c r="H2247" s="446">
        <f>H2246-G2247</f>
        <v/>
      </c>
      <c r="I2247" s="392" t="n"/>
      <c r="J2247" s="392" t="n"/>
      <c r="K2247" s="392" t="n"/>
      <c r="L2247" s="392" t="n"/>
      <c r="M2247" s="392" t="n"/>
    </row>
    <row r="2248">
      <c r="A2248" s="568" t="n">
        <v>44244</v>
      </c>
      <c r="B2248" s="392" t="n">
        <v>7869</v>
      </c>
      <c r="C2248" s="392" t="n">
        <v>62</v>
      </c>
      <c r="D2248" s="392" t="n"/>
      <c r="E2248" s="392" t="n"/>
      <c r="F2248" s="392" t="n"/>
      <c r="G2248" s="392" t="n">
        <v>150</v>
      </c>
      <c r="H2248" s="446">
        <f>H2247-G2248</f>
        <v/>
      </c>
      <c r="I2248" s="392" t="n"/>
      <c r="J2248" s="392" t="n"/>
      <c r="K2248" s="392" t="n"/>
      <c r="L2248" s="392" t="n"/>
      <c r="M2248" s="392" t="n"/>
    </row>
    <row r="2249">
      <c r="A2249" s="568" t="n">
        <v>44244</v>
      </c>
      <c r="B2249" s="392" t="n">
        <v>7870</v>
      </c>
      <c r="C2249" s="392" t="n">
        <v>64</v>
      </c>
      <c r="D2249" s="392" t="n"/>
      <c r="E2249" s="392" t="n"/>
      <c r="F2249" s="392" t="n"/>
      <c r="G2249" s="392" t="n">
        <v>10</v>
      </c>
      <c r="H2249" s="446">
        <f>H2248-G2249</f>
        <v/>
      </c>
      <c r="I2249" s="392" t="n"/>
      <c r="J2249" s="392" t="n"/>
      <c r="K2249" s="392" t="n"/>
      <c r="L2249" s="392" t="n"/>
      <c r="M2249" s="392" t="n"/>
    </row>
    <row r="2250">
      <c r="A2250" s="568" t="n">
        <v>44244</v>
      </c>
      <c r="B2250" s="392" t="n">
        <v>7871</v>
      </c>
      <c r="C2250" s="392" t="n">
        <v>67.5</v>
      </c>
      <c r="D2250" s="392" t="n"/>
      <c r="E2250" s="392" t="n"/>
      <c r="F2250" s="392" t="n"/>
      <c r="G2250" s="392" t="n">
        <v>20</v>
      </c>
      <c r="H2250" s="446">
        <f>H2249-G2250</f>
        <v/>
      </c>
      <c r="I2250" s="392" t="n"/>
      <c r="J2250" s="392" t="n"/>
      <c r="K2250" s="392" t="n"/>
      <c r="L2250" s="392" t="n"/>
      <c r="M2250" s="392" t="n"/>
    </row>
    <row r="2251">
      <c r="A2251" s="568" t="n">
        <v>44244</v>
      </c>
      <c r="B2251" s="392" t="n">
        <v>7872</v>
      </c>
      <c r="C2251" s="392" t="n">
        <v>60</v>
      </c>
      <c r="D2251" s="392" t="n"/>
      <c r="E2251" s="392" t="n"/>
      <c r="F2251" s="392" t="n"/>
      <c r="G2251" s="392" t="n">
        <v>10</v>
      </c>
      <c r="H2251" s="446">
        <f>H2250-G2251</f>
        <v/>
      </c>
      <c r="I2251" s="392" t="n"/>
      <c r="J2251" s="392" t="n"/>
      <c r="K2251" s="392" t="n"/>
      <c r="L2251" s="392" t="n"/>
      <c r="M2251" s="392" t="n"/>
    </row>
    <row r="2252">
      <c r="A2252" s="568" t="n">
        <v>44244</v>
      </c>
      <c r="B2252" s="392" t="n">
        <v>7873</v>
      </c>
      <c r="C2252" s="392" t="n">
        <v>65</v>
      </c>
      <c r="D2252" s="392" t="n"/>
      <c r="E2252" s="392" t="n"/>
      <c r="F2252" s="392" t="n"/>
      <c r="G2252" s="392" t="n">
        <v>15</v>
      </c>
      <c r="H2252" s="446">
        <f>H2251-G2252</f>
        <v/>
      </c>
      <c r="I2252" s="392" t="n"/>
      <c r="J2252" s="392" t="n"/>
      <c r="K2252" s="392" t="n"/>
      <c r="L2252" s="392" t="n"/>
      <c r="M2252" s="392" t="n"/>
    </row>
    <row r="2253">
      <c r="A2253" s="568" t="n">
        <v>44244</v>
      </c>
      <c r="B2253" s="392" t="n">
        <v>7874</v>
      </c>
      <c r="C2253" s="392" t="n">
        <v>68</v>
      </c>
      <c r="D2253" s="392" t="n"/>
      <c r="E2253" s="392" t="n"/>
      <c r="F2253" s="392" t="n"/>
      <c r="G2253" s="392" t="n">
        <v>10</v>
      </c>
      <c r="H2253" s="446">
        <f>H2252-G2253</f>
        <v/>
      </c>
      <c r="I2253" s="392" t="n"/>
      <c r="J2253" s="392" t="n"/>
      <c r="K2253" s="392" t="n"/>
      <c r="L2253" s="392" t="n"/>
      <c r="M2253" s="392" t="n"/>
    </row>
    <row r="2254">
      <c r="A2254" s="568" t="n">
        <v>44244</v>
      </c>
      <c r="B2254" s="392" t="n">
        <v>7875</v>
      </c>
      <c r="C2254" s="392" t="n">
        <v>60</v>
      </c>
      <c r="D2254" s="392" t="n"/>
      <c r="E2254" s="392" t="n"/>
      <c r="F2254" s="392" t="n"/>
      <c r="G2254" s="392" t="n">
        <v>100</v>
      </c>
      <c r="H2254" s="446">
        <f>H2253-G2254</f>
        <v/>
      </c>
      <c r="I2254" s="392" t="n"/>
      <c r="J2254" s="392" t="n"/>
      <c r="K2254" s="392" t="n"/>
      <c r="L2254" s="392" t="n"/>
      <c r="M2254" s="392" t="n"/>
    </row>
    <row r="2255">
      <c r="A2255" s="568" t="n">
        <v>44251</v>
      </c>
      <c r="B2255" s="392" t="n">
        <v>7877</v>
      </c>
      <c r="C2255" s="392" t="n">
        <v>65</v>
      </c>
      <c r="D2255" s="392" t="n"/>
      <c r="E2255" s="392" t="n"/>
      <c r="F2255" s="392" t="n"/>
      <c r="G2255" s="392" t="n">
        <v>10</v>
      </c>
      <c r="H2255" s="446">
        <f>H2254-G2255</f>
        <v/>
      </c>
      <c r="I2255" s="392" t="n"/>
      <c r="J2255" s="392" t="n"/>
      <c r="K2255" s="392" t="n"/>
      <c r="L2255" s="392" t="n"/>
      <c r="M2255" s="392" t="n"/>
    </row>
    <row r="2256">
      <c r="A2256" s="568" t="n">
        <v>44251</v>
      </c>
      <c r="B2256" s="392" t="n">
        <v>7878</v>
      </c>
      <c r="C2256" s="392" t="n">
        <v>68</v>
      </c>
      <c r="D2256" s="392" t="n"/>
      <c r="E2256" s="392" t="n"/>
      <c r="F2256" s="392" t="n"/>
      <c r="G2256" s="392" t="n">
        <v>30</v>
      </c>
      <c r="H2256" s="446">
        <f>H2255-G2256</f>
        <v/>
      </c>
      <c r="I2256" s="392" t="n"/>
      <c r="J2256" s="392" t="n"/>
      <c r="K2256" s="392" t="n"/>
      <c r="L2256" s="392" t="n"/>
      <c r="M2256" s="392" t="n"/>
    </row>
    <row r="2257">
      <c r="A2257" s="568" t="n">
        <v>44251</v>
      </c>
      <c r="B2257" s="392" t="n">
        <v>7880</v>
      </c>
      <c r="C2257" s="392" t="n">
        <v>65</v>
      </c>
      <c r="D2257" s="392" t="n"/>
      <c r="E2257" s="392" t="n"/>
      <c r="F2257" s="392" t="n"/>
      <c r="G2257" s="392" t="n">
        <v>30</v>
      </c>
      <c r="H2257" s="446">
        <f>H2256-G2257</f>
        <v/>
      </c>
      <c r="I2257" s="392" t="n"/>
      <c r="J2257" s="392" t="n"/>
      <c r="K2257" s="392" t="n"/>
      <c r="L2257" s="392" t="n"/>
      <c r="M2257" s="392" t="n"/>
    </row>
    <row r="2258">
      <c r="A2258" s="568" t="n">
        <v>44251</v>
      </c>
      <c r="B2258" s="392" t="n">
        <v>7881</v>
      </c>
      <c r="C2258" s="392" t="n">
        <v>68</v>
      </c>
      <c r="D2258" s="392" t="n"/>
      <c r="E2258" s="392" t="n"/>
      <c r="F2258" s="392" t="n"/>
      <c r="G2258" s="392" t="n">
        <v>20</v>
      </c>
      <c r="H2258" s="446">
        <f>H2257-G2258</f>
        <v/>
      </c>
      <c r="I2258" s="392" t="n"/>
      <c r="J2258" s="392" t="n"/>
      <c r="K2258" s="392" t="n"/>
      <c r="L2258" s="392" t="n"/>
      <c r="M2258" s="392" t="n"/>
    </row>
    <row r="2259">
      <c r="A2259" s="568" t="n">
        <v>44251</v>
      </c>
      <c r="B2259" s="392" t="n">
        <v>7882</v>
      </c>
      <c r="C2259" s="392" t="n">
        <v>64</v>
      </c>
      <c r="D2259" s="392" t="n"/>
      <c r="E2259" s="392" t="n"/>
      <c r="F2259" s="392" t="n"/>
      <c r="G2259" s="392" t="n">
        <v>20</v>
      </c>
      <c r="H2259" s="446">
        <f>H2258-G2259</f>
        <v/>
      </c>
      <c r="I2259" s="392" t="n"/>
      <c r="J2259" s="392" t="n"/>
      <c r="K2259" s="392" t="n"/>
      <c r="L2259" s="392" t="n"/>
      <c r="M2259" s="392" t="n"/>
    </row>
    <row r="2260">
      <c r="A2260" s="568" t="n">
        <v>44251</v>
      </c>
      <c r="B2260" s="392" t="n">
        <v>7883</v>
      </c>
      <c r="C2260" s="392" t="n">
        <v>66</v>
      </c>
      <c r="D2260" s="392" t="n"/>
      <c r="E2260" s="392" t="n"/>
      <c r="F2260" s="392" t="n"/>
      <c r="G2260" s="392" t="n">
        <v>30</v>
      </c>
      <c r="H2260" s="446">
        <f>H2259-G2260</f>
        <v/>
      </c>
      <c r="I2260" s="392" t="n"/>
      <c r="J2260" s="392" t="n"/>
      <c r="K2260" s="392" t="n"/>
      <c r="L2260" s="392" t="n"/>
      <c r="M2260" s="392" t="n"/>
    </row>
    <row r="2261">
      <c r="A2261" s="568" t="n">
        <v>44251</v>
      </c>
      <c r="B2261" s="392" t="n">
        <v>7884</v>
      </c>
      <c r="C2261" s="392" t="n">
        <v>68</v>
      </c>
      <c r="D2261" s="392" t="n"/>
      <c r="E2261" s="392" t="n"/>
      <c r="F2261" s="392" t="n"/>
      <c r="G2261" s="392" t="n">
        <v>30</v>
      </c>
      <c r="H2261" s="446">
        <f>H2260-G2261</f>
        <v/>
      </c>
      <c r="I2261" s="392" t="n"/>
      <c r="J2261" s="392" t="n"/>
      <c r="K2261" s="392" t="n"/>
      <c r="L2261" s="392" t="n"/>
      <c r="M2261" s="392" t="n"/>
    </row>
    <row r="2262">
      <c r="A2262" s="568" t="n">
        <v>44251</v>
      </c>
      <c r="B2262" s="392" t="n">
        <v>7885</v>
      </c>
      <c r="C2262" s="392" t="n">
        <v>68</v>
      </c>
      <c r="D2262" s="392" t="n"/>
      <c r="E2262" s="392" t="n"/>
      <c r="F2262" s="392" t="n"/>
      <c r="G2262" s="392" t="n">
        <v>30</v>
      </c>
      <c r="H2262" s="446">
        <f>H2261-G2262</f>
        <v/>
      </c>
      <c r="I2262" s="392" t="n"/>
      <c r="J2262" s="392" t="n"/>
      <c r="K2262" s="392" t="n"/>
      <c r="L2262" s="392" t="n"/>
      <c r="M2262" s="392" t="n"/>
    </row>
    <row r="2263">
      <c r="A2263" s="568" t="n">
        <v>44251</v>
      </c>
      <c r="B2263" s="392" t="n">
        <v>7886</v>
      </c>
      <c r="C2263" s="392" t="n">
        <v>68.67</v>
      </c>
      <c r="D2263" s="392" t="n"/>
      <c r="E2263" s="392" t="n"/>
      <c r="F2263" s="392" t="n"/>
      <c r="G2263" s="392" t="n">
        <v>30</v>
      </c>
      <c r="H2263" s="446">
        <f>H2262-G2263</f>
        <v/>
      </c>
      <c r="I2263" s="392" t="n"/>
      <c r="J2263" s="392" t="n"/>
      <c r="K2263" s="392" t="n"/>
      <c r="L2263" s="392" t="n"/>
      <c r="M2263" s="392" t="n"/>
    </row>
    <row r="2264">
      <c r="A2264" s="568" t="n">
        <v>44251</v>
      </c>
      <c r="B2264" s="392" t="n">
        <v>7887</v>
      </c>
      <c r="C2264" s="392" t="n">
        <v>66</v>
      </c>
      <c r="D2264" s="392" t="n"/>
      <c r="E2264" s="392" t="n"/>
      <c r="F2264" s="392" t="n"/>
      <c r="G2264" s="392" t="n">
        <v>25</v>
      </c>
      <c r="H2264" s="446">
        <f>H2263-G2264</f>
        <v/>
      </c>
      <c r="I2264" s="392" t="n"/>
      <c r="J2264" s="392" t="n"/>
      <c r="K2264" s="392" t="n"/>
      <c r="L2264" s="392" t="n"/>
      <c r="M2264" s="392" t="n"/>
    </row>
    <row r="2265">
      <c r="A2265" s="568" t="n">
        <v>44251</v>
      </c>
      <c r="B2265" s="392" t="n">
        <v>7888</v>
      </c>
      <c r="C2265" s="392" t="n">
        <v>68</v>
      </c>
      <c r="D2265" s="392" t="n"/>
      <c r="E2265" s="392" t="n"/>
      <c r="F2265" s="392" t="n"/>
      <c r="G2265" s="392" t="n">
        <v>50</v>
      </c>
      <c r="H2265" s="446">
        <f>H2264-G2265</f>
        <v/>
      </c>
      <c r="I2265" s="392" t="n"/>
      <c r="J2265" s="392" t="n"/>
      <c r="K2265" s="392" t="n"/>
      <c r="L2265" s="392" t="n"/>
      <c r="M2265" s="392" t="n"/>
    </row>
    <row r="2266">
      <c r="A2266" s="568" t="n">
        <v>44251</v>
      </c>
      <c r="B2266" s="392" t="n">
        <v>7889</v>
      </c>
      <c r="C2266" s="392" t="n">
        <v>64</v>
      </c>
      <c r="D2266" s="392" t="n"/>
      <c r="E2266" s="392" t="n"/>
      <c r="F2266" s="392" t="n"/>
      <c r="G2266" s="392" t="n">
        <v>50</v>
      </c>
      <c r="H2266" s="446">
        <f>H2265-G2266</f>
        <v/>
      </c>
      <c r="I2266" s="392" t="n"/>
      <c r="J2266" s="392" t="n"/>
      <c r="K2266" s="392" t="n"/>
      <c r="L2266" s="392" t="n"/>
      <c r="M2266" s="392" t="n"/>
    </row>
    <row r="2267">
      <c r="A2267" s="568" t="n">
        <v>44251</v>
      </c>
      <c r="B2267" s="392" t="n">
        <v>7890</v>
      </c>
      <c r="C2267" s="392" t="n">
        <v>67</v>
      </c>
      <c r="D2267" s="392" t="n"/>
      <c r="E2267" s="392" t="n"/>
      <c r="F2267" s="392" t="n"/>
      <c r="G2267" s="392" t="n">
        <v>20</v>
      </c>
      <c r="H2267" s="446">
        <f>H2266-G2267</f>
        <v/>
      </c>
      <c r="I2267" s="392" t="n"/>
      <c r="J2267" s="392" t="n"/>
      <c r="K2267" s="392" t="n"/>
      <c r="L2267" s="392" t="n"/>
      <c r="M2267" s="392" t="n"/>
    </row>
    <row r="2268">
      <c r="A2268" s="568" t="n">
        <v>44251</v>
      </c>
      <c r="B2268" s="392" t="n">
        <v>7892</v>
      </c>
      <c r="C2268" s="392" t="n">
        <v>70</v>
      </c>
      <c r="D2268" s="392" t="n"/>
      <c r="E2268" s="392" t="n"/>
      <c r="F2268" s="392" t="n"/>
      <c r="G2268" s="392" t="n">
        <v>10</v>
      </c>
      <c r="H2268" s="446">
        <f>H2267-G2268</f>
        <v/>
      </c>
      <c r="I2268" s="392" t="n"/>
      <c r="J2268" s="392" t="n"/>
      <c r="K2268" s="392" t="n"/>
      <c r="L2268" s="392" t="n"/>
      <c r="M2268" s="392" t="n"/>
    </row>
    <row r="2269">
      <c r="A2269" s="304" t="n">
        <v>44252</v>
      </c>
      <c r="B2269" s="401" t="n">
        <v>160527</v>
      </c>
      <c r="C2269" s="401" t="n">
        <v>55</v>
      </c>
      <c r="D2269" s="401" t="n"/>
      <c r="E2269" s="401" t="n"/>
      <c r="F2269" s="401" t="n">
        <v>390</v>
      </c>
      <c r="G2269" s="401" t="n"/>
      <c r="H2269" s="322" t="n">
        <v>1702</v>
      </c>
      <c r="I2269" s="392" t="n"/>
      <c r="J2269" s="392" t="n"/>
      <c r="K2269" s="392" t="n"/>
      <c r="L2269" s="392" t="n"/>
      <c r="M2269" s="392" t="n"/>
    </row>
    <row r="2270">
      <c r="A2270" s="304" t="n">
        <v>44252</v>
      </c>
      <c r="B2270" s="401" t="n">
        <v>160527</v>
      </c>
      <c r="C2270" s="401" t="n">
        <v>56</v>
      </c>
      <c r="D2270" s="401" t="n"/>
      <c r="E2270" s="401" t="n"/>
      <c r="F2270" s="401" t="n">
        <v>600</v>
      </c>
      <c r="G2270" s="401" t="n"/>
      <c r="H2270" s="322" t="n">
        <v>2302</v>
      </c>
      <c r="I2270" s="392" t="n"/>
      <c r="J2270" s="392" t="n"/>
      <c r="K2270" s="392" t="n"/>
      <c r="L2270" s="392" t="n"/>
      <c r="M2270" s="392" t="n"/>
    </row>
    <row r="2271">
      <c r="A2271" s="568" t="n"/>
      <c r="B2271" s="392" t="n"/>
      <c r="C2271" s="392" t="n"/>
      <c r="D2271" s="392" t="n"/>
      <c r="E2271" s="392" t="n"/>
      <c r="F2271" s="392" t="n"/>
      <c r="G2271" s="392" t="n"/>
      <c r="H2271" s="446">
        <f>H2270-G2271</f>
        <v/>
      </c>
      <c r="I2271" s="392" t="n"/>
      <c r="J2271" s="392" t="n"/>
      <c r="K2271" s="392" t="n"/>
      <c r="L2271" s="392" t="n"/>
      <c r="M2271" s="392" t="n"/>
    </row>
    <row r="2272">
      <c r="A2272" s="568" t="n"/>
      <c r="B2272" s="392" t="n"/>
      <c r="C2272" s="392" t="n"/>
      <c r="D2272" s="392" t="n"/>
      <c r="E2272" s="392" t="n"/>
      <c r="F2272" s="392" t="n"/>
      <c r="G2272" s="392" t="n"/>
      <c r="H2272" s="446">
        <f>H2271-G2272</f>
        <v/>
      </c>
      <c r="I2272" s="392" t="n"/>
      <c r="J2272" s="392" t="n"/>
      <c r="K2272" s="392" t="n"/>
      <c r="L2272" s="392" t="n"/>
      <c r="M2272" s="392" t="n"/>
    </row>
    <row r="2273" ht="15.75" customHeight="1" s="436" thickBot="1">
      <c r="A2273" s="568" t="n"/>
      <c r="B2273" s="392" t="n"/>
      <c r="C2273" s="392" t="n"/>
      <c r="D2273" s="392" t="n"/>
      <c r="E2273" s="392" t="n"/>
      <c r="F2273" s="392" t="n"/>
      <c r="G2273" s="392" t="n"/>
      <c r="H2273" s="446">
        <f>H2272-G2273</f>
        <v/>
      </c>
      <c r="I2273" s="392" t="n"/>
      <c r="J2273" s="392" t="n"/>
      <c r="K2273" s="392" t="n"/>
      <c r="L2273" s="392" t="n"/>
      <c r="M2273" s="392" t="n"/>
    </row>
    <row r="2274" ht="32.25" customHeight="1" s="436" thickBot="1">
      <c r="A2274" s="735" t="inlineStr">
        <is>
          <t>Março</t>
        </is>
      </c>
      <c r="B2274" s="697" t="n"/>
      <c r="C2274" s="697" t="n"/>
      <c r="D2274" s="697" t="n"/>
      <c r="E2274" s="697" t="n"/>
      <c r="F2274" s="697" t="n"/>
      <c r="G2274" s="697" t="n"/>
      <c r="H2274" s="697" t="n"/>
      <c r="I2274" s="697" t="n"/>
      <c r="J2274" s="697" t="n"/>
      <c r="K2274" s="697" t="n"/>
      <c r="L2274" s="697" t="n"/>
      <c r="M2274" s="698" t="n"/>
    </row>
    <row r="2275" ht="27" customHeight="1" s="436" thickBot="1">
      <c r="A2275" s="734" t="inlineStr">
        <is>
          <t xml:space="preserve"> FARINHA DE TRIGO TIPO: 1 - 25 KG</t>
        </is>
      </c>
      <c r="B2275" s="706" t="n"/>
      <c r="C2275" s="706" t="n"/>
      <c r="D2275" s="706" t="n"/>
      <c r="E2275" s="706" t="n"/>
      <c r="F2275" s="706" t="n"/>
      <c r="G2275" s="706" t="n"/>
      <c r="H2275" s="706" t="n"/>
      <c r="I2275" s="706" t="n"/>
      <c r="J2275" s="706" t="n"/>
      <c r="K2275" s="706" t="n"/>
      <c r="L2275" s="706" t="n"/>
      <c r="M2275" s="707" t="n"/>
    </row>
    <row r="2276">
      <c r="A2276" s="643" t="inlineStr">
        <is>
          <t>DATA</t>
        </is>
      </c>
      <c r="B2276" s="633" t="inlineStr">
        <is>
          <t>N.F.</t>
        </is>
      </c>
      <c r="C2276" s="633" t="inlineStr">
        <is>
          <t>TIPO</t>
        </is>
      </c>
      <c r="D2276" s="633" t="inlineStr">
        <is>
          <t>PREÇO UNITÁRIO</t>
        </is>
      </c>
      <c r="E2276" s="701" t="n"/>
      <c r="F2276" s="633" t="inlineStr">
        <is>
          <t>QUANTIDADE / KG</t>
        </is>
      </c>
      <c r="H2276" s="701" t="n"/>
      <c r="I2276" s="632" t="inlineStr">
        <is>
          <t>PREÇO</t>
        </is>
      </c>
      <c r="J2276" s="632" t="inlineStr">
        <is>
          <t>VALORES</t>
        </is>
      </c>
      <c r="L2276" s="701" t="n"/>
      <c r="M2276" s="649" t="n"/>
    </row>
    <row r="2277" ht="15.75" customHeight="1" s="436" thickBot="1">
      <c r="A2277" s="703" t="n"/>
      <c r="B2277" s="704" t="n"/>
      <c r="C2277" s="704" t="n"/>
      <c r="D2277" s="703" t="n"/>
      <c r="E2277" s="701" t="n"/>
      <c r="F2277" s="705" t="n"/>
      <c r="G2277" s="706" t="n"/>
      <c r="H2277" s="707" t="n"/>
      <c r="I2277" s="704" t="n"/>
      <c r="J2277" s="703" t="n"/>
      <c r="L2277" s="701" t="n"/>
      <c r="M2277" s="704" t="n"/>
    </row>
    <row r="2278" ht="15.75" customHeight="1" s="436" thickBot="1">
      <c r="A2278" s="703" t="n"/>
      <c r="B2278" s="704" t="n"/>
      <c r="C2278" s="704" t="n"/>
      <c r="D2278" s="705" t="n"/>
      <c r="E2278" s="707" t="n"/>
      <c r="F2278" s="3" t="inlineStr">
        <is>
          <t>ENTRADA</t>
        </is>
      </c>
      <c r="G2278" s="3" t="inlineStr">
        <is>
          <t>SAÍDA</t>
        </is>
      </c>
      <c r="H2278" s="640" t="n"/>
      <c r="I2278" s="633" t="inlineStr">
        <is>
          <t>MÉDIO</t>
        </is>
      </c>
      <c r="J2278" s="652" t="inlineStr">
        <is>
          <t>SALDO EM 30/11/2017</t>
        </is>
      </c>
      <c r="K2278" s="706" t="n"/>
      <c r="L2278" s="17" t="n"/>
      <c r="M2278" s="704" t="n"/>
    </row>
    <row r="2279" ht="18" customHeight="1" s="436" thickBot="1">
      <c r="A2279" s="705" t="n"/>
      <c r="B2279" s="695" t="n"/>
      <c r="C2279" s="695" t="n"/>
      <c r="D2279" s="3" t="inlineStr">
        <is>
          <t>C/ICMS</t>
        </is>
      </c>
      <c r="E2279" s="3" t="inlineStr">
        <is>
          <t>S/ICMS</t>
        </is>
      </c>
      <c r="F2279" s="695" t="n"/>
      <c r="G2279" s="695" t="n"/>
      <c r="H2279" s="84" t="inlineStr">
        <is>
          <t>Saldo em 28/02/21</t>
        </is>
      </c>
      <c r="I2279" s="695" t="n"/>
      <c r="J2279" s="645" t="inlineStr">
        <is>
          <t>ENTRADA</t>
        </is>
      </c>
      <c r="K2279" s="633" t="inlineStr">
        <is>
          <t>SAÍDA / CMV</t>
        </is>
      </c>
      <c r="L2279" s="643" t="inlineStr">
        <is>
          <t>SALDO</t>
        </is>
      </c>
      <c r="M2279" s="392" t="n"/>
    </row>
    <row r="2280">
      <c r="A2280" s="392" t="n"/>
      <c r="B2280" s="392" t="n"/>
      <c r="C2280" s="392" t="n"/>
      <c r="D2280" s="392" t="n"/>
      <c r="E2280" s="392" t="n"/>
      <c r="F2280" s="392" t="n"/>
      <c r="G2280" s="392" t="n"/>
      <c r="H2280" s="98" t="n">
        <v>2302</v>
      </c>
      <c r="I2280" s="392" t="n"/>
      <c r="J2280" s="392" t="n"/>
      <c r="K2280" s="392" t="n"/>
      <c r="L2280" s="392" t="n"/>
      <c r="M2280" s="392" t="n"/>
    </row>
    <row r="2281">
      <c r="A2281" s="568" t="n">
        <v>44258</v>
      </c>
      <c r="B2281" s="392" t="n">
        <v>7898</v>
      </c>
      <c r="C2281" s="392" t="n">
        <v>68</v>
      </c>
      <c r="D2281" s="392" t="n"/>
      <c r="E2281" s="392" t="n"/>
      <c r="F2281" s="392" t="n"/>
      <c r="G2281" s="392" t="n">
        <v>20</v>
      </c>
      <c r="H2281" s="446">
        <f>H2280-G2281</f>
        <v/>
      </c>
      <c r="I2281" s="392" t="n"/>
      <c r="J2281" s="392" t="n"/>
      <c r="K2281" s="392" t="n"/>
      <c r="L2281" s="392" t="n"/>
      <c r="M2281" s="392" t="n"/>
    </row>
    <row r="2282">
      <c r="A2282" s="568" t="n">
        <v>44258</v>
      </c>
      <c r="B2282" s="392" t="n">
        <v>7894</v>
      </c>
      <c r="C2282" s="392" t="n">
        <v>66.67</v>
      </c>
      <c r="D2282" s="392" t="n"/>
      <c r="E2282" s="392" t="n"/>
      <c r="F2282" s="392" t="n"/>
      <c r="G2282" s="392" t="n">
        <v>30</v>
      </c>
      <c r="H2282" s="446">
        <f>H2281-G2282</f>
        <v/>
      </c>
      <c r="I2282" s="392" t="n"/>
      <c r="J2282" s="392" t="n"/>
      <c r="K2282" s="392" t="n"/>
      <c r="L2282" s="392" t="n"/>
      <c r="M2282" s="392" t="n"/>
    </row>
    <row r="2283">
      <c r="A2283" s="568" t="n">
        <v>44258</v>
      </c>
      <c r="B2283" s="392" t="n">
        <v>7895</v>
      </c>
      <c r="C2283" s="392" t="n">
        <v>69.43000000000001</v>
      </c>
      <c r="D2283" s="392" t="n"/>
      <c r="E2283" s="392" t="n"/>
      <c r="F2283" s="392" t="n"/>
      <c r="G2283" s="392" t="n">
        <v>70</v>
      </c>
      <c r="H2283" s="446">
        <f>H2282-G2283</f>
        <v/>
      </c>
      <c r="I2283" s="392" t="n"/>
      <c r="J2283" s="392" t="n"/>
      <c r="K2283" s="392" t="n"/>
      <c r="L2283" s="392" t="n"/>
      <c r="M2283" s="392" t="n"/>
    </row>
    <row r="2284">
      <c r="A2284" s="568" t="n">
        <v>44258</v>
      </c>
      <c r="B2284" s="392" t="n">
        <v>7896</v>
      </c>
      <c r="C2284" s="392" t="n">
        <v>72</v>
      </c>
      <c r="D2284" s="392" t="n"/>
      <c r="E2284" s="392" t="n"/>
      <c r="F2284" s="392" t="n"/>
      <c r="G2284" s="392" t="n">
        <v>20</v>
      </c>
      <c r="H2284" s="446">
        <f>H2283-G2284</f>
        <v/>
      </c>
      <c r="I2284" s="392" t="n"/>
      <c r="J2284" s="392" t="n"/>
      <c r="K2284" s="392" t="n"/>
      <c r="L2284" s="392" t="n"/>
      <c r="M2284" s="392" t="n"/>
    </row>
    <row r="2285">
      <c r="A2285" s="568" t="n">
        <v>44258</v>
      </c>
      <c r="B2285" s="392" t="n">
        <v>7897</v>
      </c>
      <c r="C2285" s="392" t="n">
        <v>67</v>
      </c>
      <c r="D2285" s="392" t="n"/>
      <c r="E2285" s="392" t="n"/>
      <c r="F2285" s="392" t="n"/>
      <c r="G2285" s="392" t="n">
        <v>20</v>
      </c>
      <c r="H2285" s="446">
        <f>H2284-G2285</f>
        <v/>
      </c>
      <c r="I2285" s="392" t="n"/>
      <c r="J2285" s="392" t="n"/>
      <c r="K2285" s="392" t="n"/>
      <c r="L2285" s="392" t="n"/>
      <c r="M2285" s="392" t="n"/>
    </row>
    <row r="2286">
      <c r="A2286" s="568" t="n">
        <v>44258</v>
      </c>
      <c r="B2286" s="392" t="n">
        <v>7900</v>
      </c>
      <c r="C2286" s="392" t="n">
        <v>68</v>
      </c>
      <c r="D2286" s="392" t="n"/>
      <c r="E2286" s="392" t="n"/>
      <c r="F2286" s="392" t="n"/>
      <c r="G2286" s="392" t="n">
        <v>50</v>
      </c>
      <c r="H2286" s="446">
        <f>H2285-G2286</f>
        <v/>
      </c>
      <c r="I2286" s="392" t="n"/>
      <c r="J2286" s="392" t="n"/>
      <c r="K2286" s="392" t="n"/>
      <c r="L2286" s="392" t="n"/>
      <c r="M2286" s="392" t="n"/>
    </row>
    <row r="2287">
      <c r="A2287" s="568" t="n">
        <v>44258</v>
      </c>
      <c r="B2287" s="392" t="n">
        <v>7901</v>
      </c>
      <c r="C2287" s="392" t="n">
        <v>64.8</v>
      </c>
      <c r="D2287" s="392" t="n"/>
      <c r="E2287" s="392" t="n"/>
      <c r="F2287" s="392" t="n"/>
      <c r="G2287" s="392" t="n">
        <v>10</v>
      </c>
      <c r="H2287" s="446">
        <f>H2286-G2287</f>
        <v/>
      </c>
      <c r="I2287" s="392" t="n"/>
      <c r="J2287" s="392" t="n"/>
      <c r="K2287" s="392" t="n"/>
      <c r="L2287" s="392" t="n"/>
      <c r="M2287" s="392" t="n"/>
    </row>
    <row r="2288">
      <c r="A2288" s="568" t="n">
        <v>44258</v>
      </c>
      <c r="B2288" s="392" t="n">
        <v>7902</v>
      </c>
      <c r="C2288" s="392" t="n">
        <v>62</v>
      </c>
      <c r="D2288" s="392" t="n"/>
      <c r="E2288" s="392" t="n"/>
      <c r="F2288" s="392" t="n"/>
      <c r="G2288" s="392" t="n">
        <v>100</v>
      </c>
      <c r="H2288" s="446">
        <f>H2287-G2288</f>
        <v/>
      </c>
      <c r="I2288" s="392" t="n"/>
      <c r="J2288" s="392" t="n"/>
      <c r="K2288" s="392" t="n"/>
      <c r="L2288" s="392" t="n"/>
      <c r="M2288" s="392" t="n"/>
    </row>
    <row r="2289">
      <c r="A2289" s="568" t="n">
        <v>44258</v>
      </c>
      <c r="B2289" s="392" t="n">
        <v>7904</v>
      </c>
      <c r="C2289" s="392" t="n">
        <v>67</v>
      </c>
      <c r="D2289" s="392" t="n"/>
      <c r="E2289" s="392" t="n"/>
      <c r="F2289" s="392" t="n"/>
      <c r="G2289" s="392" t="n">
        <v>30</v>
      </c>
      <c r="H2289" s="446">
        <f>H2288-G2289</f>
        <v/>
      </c>
      <c r="I2289" s="392" t="n"/>
      <c r="J2289" s="392" t="n"/>
      <c r="K2289" s="392" t="n"/>
      <c r="L2289" s="392" t="n"/>
      <c r="M2289" s="392" t="n"/>
    </row>
    <row r="2290">
      <c r="A2290" s="568" t="n">
        <v>44258</v>
      </c>
      <c r="B2290" s="392" t="n">
        <v>7906</v>
      </c>
      <c r="C2290" s="392" t="n">
        <v>65</v>
      </c>
      <c r="D2290" s="392" t="n"/>
      <c r="E2290" s="392" t="n"/>
      <c r="F2290" s="392" t="n"/>
      <c r="G2290" s="392" t="n">
        <v>20</v>
      </c>
      <c r="H2290" s="446">
        <f>H2289-G2290</f>
        <v/>
      </c>
      <c r="I2290" s="392" t="n"/>
      <c r="J2290" s="392" t="n"/>
      <c r="K2290" s="392" t="n"/>
      <c r="L2290" s="392" t="n"/>
      <c r="M2290" s="392" t="n"/>
    </row>
    <row r="2291">
      <c r="A2291" s="568" t="n">
        <v>44258</v>
      </c>
      <c r="B2291" s="392" t="n">
        <v>7908</v>
      </c>
      <c r="C2291" s="392" t="n">
        <v>67</v>
      </c>
      <c r="D2291" s="392" t="n"/>
      <c r="E2291" s="392" t="n"/>
      <c r="F2291" s="392" t="n"/>
      <c r="G2291" s="392" t="n">
        <v>30</v>
      </c>
      <c r="H2291" s="446">
        <f>H2290-G2291</f>
        <v/>
      </c>
      <c r="I2291" s="392" t="n"/>
      <c r="J2291" s="392" t="n"/>
      <c r="K2291" s="392" t="n"/>
      <c r="L2291" s="392" t="n"/>
      <c r="M2291" s="392" t="n"/>
    </row>
    <row r="2292">
      <c r="A2292" s="568" t="n">
        <v>44258</v>
      </c>
      <c r="B2292" s="392" t="n">
        <v>7909</v>
      </c>
      <c r="C2292" s="392" t="n">
        <v>65.5</v>
      </c>
      <c r="D2292" s="392" t="n"/>
      <c r="E2292" s="392" t="n"/>
      <c r="F2292" s="392" t="n"/>
      <c r="G2292" s="392" t="n">
        <v>20</v>
      </c>
      <c r="H2292" s="446">
        <f>H2291-G2292</f>
        <v/>
      </c>
      <c r="I2292" s="392" t="n"/>
      <c r="J2292" s="392" t="n"/>
      <c r="K2292" s="392" t="n"/>
      <c r="L2292" s="392" t="n"/>
      <c r="M2292" s="392" t="n"/>
    </row>
    <row r="2293">
      <c r="A2293" s="568" t="n">
        <v>44258</v>
      </c>
      <c r="B2293" s="392" t="n">
        <v>7910</v>
      </c>
      <c r="C2293" s="392" t="n">
        <v>65</v>
      </c>
      <c r="D2293" s="392" t="n"/>
      <c r="E2293" s="392" t="n"/>
      <c r="F2293" s="392" t="n"/>
      <c r="G2293" s="392" t="n">
        <v>10</v>
      </c>
      <c r="H2293" s="446">
        <f>H2292-G2293</f>
        <v/>
      </c>
      <c r="I2293" s="392" t="n"/>
      <c r="J2293" s="392" t="n"/>
      <c r="K2293" s="392" t="n"/>
      <c r="L2293" s="392" t="n"/>
      <c r="M2293" s="392" t="n"/>
    </row>
    <row r="2294">
      <c r="A2294" s="568" t="n">
        <v>44258</v>
      </c>
      <c r="B2294" s="392" t="n">
        <v>7911</v>
      </c>
      <c r="C2294" s="392" t="n">
        <v>68</v>
      </c>
      <c r="D2294" s="392" t="n"/>
      <c r="E2294" s="392" t="n"/>
      <c r="F2294" s="392" t="n"/>
      <c r="G2294" s="392" t="n">
        <v>30</v>
      </c>
      <c r="H2294" s="446">
        <f>H2293-G2294</f>
        <v/>
      </c>
      <c r="I2294" s="392" t="n"/>
      <c r="J2294" s="392" t="n"/>
      <c r="K2294" s="392" t="n"/>
      <c r="L2294" s="392" t="n"/>
      <c r="M2294" s="392" t="n"/>
    </row>
    <row r="2295">
      <c r="A2295" s="568" t="n">
        <v>44269</v>
      </c>
      <c r="B2295" s="392" t="n">
        <v>7915</v>
      </c>
      <c r="C2295" s="392" t="n">
        <v>69.25</v>
      </c>
      <c r="D2295" s="392" t="n"/>
      <c r="E2295" s="392" t="n"/>
      <c r="F2295" s="392" t="n"/>
      <c r="G2295" s="392" t="n">
        <v>30</v>
      </c>
      <c r="H2295" s="446">
        <f>H2294-G2295</f>
        <v/>
      </c>
      <c r="I2295" s="392" t="n"/>
      <c r="J2295" s="392" t="n"/>
      <c r="K2295" s="392" t="n"/>
      <c r="L2295" s="392" t="n"/>
      <c r="M2295" s="392" t="n"/>
    </row>
    <row r="2296">
      <c r="A2296" s="568" t="n">
        <v>44269</v>
      </c>
      <c r="B2296" s="392" t="n">
        <v>7916</v>
      </c>
      <c r="C2296" s="392" t="n">
        <v>64</v>
      </c>
      <c r="D2296" s="392" t="n"/>
      <c r="E2296" s="392" t="n"/>
      <c r="F2296" s="392" t="n"/>
      <c r="G2296" s="392" t="n">
        <v>150</v>
      </c>
      <c r="H2296" s="446">
        <f>H2295-G2296</f>
        <v/>
      </c>
      <c r="I2296" s="392" t="n"/>
      <c r="J2296" s="392" t="n"/>
      <c r="K2296" s="392" t="n"/>
      <c r="L2296" s="392" t="n"/>
      <c r="M2296" s="392" t="n"/>
    </row>
    <row r="2297">
      <c r="A2297" s="568" t="n">
        <v>44269</v>
      </c>
      <c r="B2297" s="392" t="n">
        <v>7917</v>
      </c>
      <c r="C2297" s="392" t="n">
        <v>69</v>
      </c>
      <c r="D2297" s="392" t="n"/>
      <c r="E2297" s="392" t="n"/>
      <c r="F2297" s="392" t="n"/>
      <c r="G2297" s="392" t="n">
        <v>50</v>
      </c>
      <c r="H2297" s="446">
        <f>H2296-G2297</f>
        <v/>
      </c>
      <c r="I2297" s="392" t="n"/>
      <c r="J2297" s="392" t="n"/>
      <c r="K2297" s="392" t="n"/>
      <c r="L2297" s="392" t="n"/>
      <c r="M2297" s="392" t="n"/>
    </row>
    <row r="2298">
      <c r="A2298" s="568" t="n">
        <v>44269</v>
      </c>
      <c r="B2298" s="392" t="n">
        <v>7918</v>
      </c>
      <c r="C2298" s="392" t="n">
        <v>69</v>
      </c>
      <c r="D2298" s="392" t="n"/>
      <c r="E2298" s="392" t="n"/>
      <c r="F2298" s="392" t="n"/>
      <c r="G2298" s="392" t="n">
        <v>15</v>
      </c>
      <c r="H2298" s="446">
        <f>H2297-G2298</f>
        <v/>
      </c>
      <c r="I2298" s="392" t="n"/>
      <c r="J2298" s="392" t="n"/>
      <c r="K2298" s="392" t="n"/>
      <c r="L2298" s="392" t="n"/>
      <c r="M2298" s="392" t="n"/>
    </row>
    <row r="2299">
      <c r="A2299" s="568" t="n">
        <v>44269</v>
      </c>
      <c r="B2299" s="392" t="n">
        <v>7919</v>
      </c>
      <c r="C2299" s="392" t="n">
        <v>67.5</v>
      </c>
      <c r="D2299" s="392" t="n"/>
      <c r="E2299" s="392" t="n"/>
      <c r="F2299" s="392" t="n"/>
      <c r="G2299" s="392" t="n">
        <v>20</v>
      </c>
      <c r="H2299" s="446">
        <f>H2298-G2299</f>
        <v/>
      </c>
      <c r="I2299" s="392" t="n"/>
      <c r="J2299" s="392" t="n"/>
      <c r="K2299" s="392" t="n"/>
      <c r="L2299" s="392" t="n"/>
      <c r="M2299" s="392" t="n"/>
    </row>
    <row r="2300">
      <c r="A2300" s="568" t="n">
        <v>44269</v>
      </c>
      <c r="B2300" s="392" t="n">
        <v>7920</v>
      </c>
      <c r="C2300" s="392" t="n">
        <v>66.5</v>
      </c>
      <c r="D2300" s="392" t="n"/>
      <c r="E2300" s="392" t="n"/>
      <c r="F2300" s="392" t="n"/>
      <c r="G2300" s="392" t="n">
        <v>40</v>
      </c>
      <c r="H2300" s="446">
        <f>H2299-G2300</f>
        <v/>
      </c>
      <c r="I2300" s="392" t="n"/>
      <c r="J2300" s="392" t="n"/>
      <c r="K2300" s="392" t="n"/>
      <c r="L2300" s="392" t="n"/>
      <c r="M2300" s="392" t="n"/>
    </row>
    <row r="2301">
      <c r="A2301" s="568" t="n">
        <v>44272</v>
      </c>
      <c r="B2301" s="392" t="n">
        <v>7922</v>
      </c>
      <c r="C2301" s="392" t="n">
        <v>69</v>
      </c>
      <c r="D2301" s="392" t="n"/>
      <c r="E2301" s="392" t="n"/>
      <c r="F2301" s="392" t="n"/>
      <c r="G2301" s="392" t="n">
        <v>30</v>
      </c>
      <c r="H2301" s="446">
        <f>H2300-G2301</f>
        <v/>
      </c>
      <c r="I2301" s="392" t="n"/>
      <c r="J2301" s="392" t="n"/>
      <c r="K2301" s="392" t="n"/>
      <c r="L2301" s="392" t="n"/>
      <c r="M2301" s="392" t="n"/>
    </row>
    <row r="2302">
      <c r="A2302" s="568" t="n">
        <v>44272</v>
      </c>
      <c r="B2302" s="392" t="n">
        <v>7923</v>
      </c>
      <c r="C2302" s="392" t="n">
        <v>70</v>
      </c>
      <c r="D2302" s="392" t="n"/>
      <c r="E2302" s="392" t="n"/>
      <c r="F2302" s="392" t="n"/>
      <c r="G2302" s="392" t="n">
        <v>30</v>
      </c>
      <c r="H2302" s="446">
        <f>H2301-G2302</f>
        <v/>
      </c>
      <c r="I2302" s="392" t="n"/>
      <c r="J2302" s="392" t="n"/>
      <c r="K2302" s="392" t="n"/>
      <c r="L2302" s="392" t="n"/>
      <c r="M2302" s="392" t="n"/>
    </row>
    <row r="2303">
      <c r="A2303" s="568" t="n">
        <v>44272</v>
      </c>
      <c r="B2303" s="392" t="n">
        <v>7930</v>
      </c>
      <c r="C2303" s="392" t="n">
        <v>67</v>
      </c>
      <c r="D2303" s="392" t="n"/>
      <c r="E2303" s="392" t="n"/>
      <c r="F2303" s="392" t="n"/>
      <c r="G2303" s="392" t="n">
        <v>40</v>
      </c>
      <c r="H2303" s="446">
        <f>H2302-G2303</f>
        <v/>
      </c>
      <c r="I2303" s="392" t="n"/>
      <c r="J2303" s="392" t="n"/>
      <c r="K2303" s="392" t="n"/>
      <c r="L2303" s="392" t="n"/>
      <c r="M2303" s="392" t="n"/>
    </row>
    <row r="2304">
      <c r="A2304" s="568" t="n">
        <v>44272</v>
      </c>
      <c r="B2304" s="392" t="n">
        <v>7932</v>
      </c>
      <c r="C2304" s="392" t="n">
        <v>64.5</v>
      </c>
      <c r="D2304" s="392" t="n"/>
      <c r="E2304" s="392" t="n"/>
      <c r="F2304" s="392" t="n"/>
      <c r="G2304" s="392" t="n">
        <v>10</v>
      </c>
      <c r="H2304" s="446">
        <f>H2303-G2304</f>
        <v/>
      </c>
      <c r="I2304" s="392" t="n"/>
      <c r="J2304" s="392" t="n"/>
      <c r="K2304" s="392" t="n"/>
      <c r="L2304" s="392" t="n"/>
      <c r="M2304" s="392" t="n"/>
    </row>
    <row r="2305">
      <c r="A2305" s="568" t="n">
        <v>44272</v>
      </c>
      <c r="B2305" s="392" t="n">
        <v>7933</v>
      </c>
      <c r="C2305" s="392" t="n">
        <v>69</v>
      </c>
      <c r="D2305" s="392" t="n"/>
      <c r="E2305" s="392" t="n"/>
      <c r="F2305" s="392" t="n"/>
      <c r="G2305" s="392" t="n">
        <v>10</v>
      </c>
      <c r="H2305" s="446">
        <f>H2304-G2305</f>
        <v/>
      </c>
      <c r="I2305" s="392" t="n"/>
      <c r="J2305" s="392" t="n"/>
      <c r="K2305" s="392" t="n"/>
      <c r="L2305" s="392" t="n"/>
      <c r="M2305" s="392" t="n"/>
    </row>
    <row r="2306">
      <c r="A2306" s="568" t="n">
        <v>44272</v>
      </c>
      <c r="B2306" s="392" t="n">
        <v>7934</v>
      </c>
      <c r="C2306" s="392" t="n">
        <v>69.34</v>
      </c>
      <c r="D2306" s="392" t="n"/>
      <c r="E2306" s="392" t="n"/>
      <c r="F2306" s="392" t="n"/>
      <c r="G2306" s="392" t="n">
        <v>30</v>
      </c>
      <c r="H2306" s="446">
        <f>H2305-G2306</f>
        <v/>
      </c>
      <c r="I2306" s="392" t="n"/>
      <c r="J2306" s="392" t="n"/>
      <c r="K2306" s="392" t="n"/>
      <c r="L2306" s="392" t="n"/>
      <c r="M2306" s="392" t="n"/>
    </row>
    <row r="2307">
      <c r="A2307" s="568" t="n">
        <v>44272</v>
      </c>
      <c r="B2307" s="392" t="n">
        <v>7935</v>
      </c>
      <c r="C2307" s="392" t="n">
        <v>67</v>
      </c>
      <c r="D2307" s="392" t="n"/>
      <c r="E2307" s="392" t="n"/>
      <c r="F2307" s="392" t="n"/>
      <c r="G2307" s="392" t="n">
        <v>15</v>
      </c>
      <c r="H2307" s="446">
        <f>H2306-G2307</f>
        <v/>
      </c>
      <c r="I2307" s="392" t="n"/>
      <c r="J2307" s="392" t="n"/>
      <c r="K2307" s="392" t="n"/>
      <c r="L2307" s="392" t="n"/>
      <c r="M2307" s="392" t="n"/>
    </row>
    <row r="2308">
      <c r="A2308" s="568" t="n">
        <v>44272</v>
      </c>
      <c r="B2308" s="392" t="n">
        <v>7936</v>
      </c>
      <c r="C2308" s="392" t="n">
        <v>64</v>
      </c>
      <c r="D2308" s="392" t="n"/>
      <c r="E2308" s="392" t="n"/>
      <c r="F2308" s="392" t="n"/>
      <c r="G2308" s="392" t="n">
        <v>30</v>
      </c>
      <c r="H2308" s="446">
        <f>H2307-G2308</f>
        <v/>
      </c>
      <c r="I2308" s="392" t="n"/>
      <c r="J2308" s="392" t="n"/>
      <c r="K2308" s="392" t="n"/>
      <c r="L2308" s="392" t="n"/>
      <c r="M2308" s="392" t="n"/>
    </row>
    <row r="2309">
      <c r="A2309" s="304" t="n">
        <v>44272</v>
      </c>
      <c r="B2309" s="401" t="n">
        <v>15299</v>
      </c>
      <c r="C2309" s="401" t="n">
        <v>53</v>
      </c>
      <c r="D2309" s="401" t="n">
        <v>400</v>
      </c>
      <c r="E2309" s="401" t="n"/>
      <c r="F2309" s="401" t="n"/>
      <c r="G2309" s="401" t="n"/>
      <c r="H2309" s="322" t="n">
        <v>1742</v>
      </c>
      <c r="I2309" s="392" t="n"/>
      <c r="J2309" s="392" t="n"/>
      <c r="K2309" s="392" t="n"/>
      <c r="L2309" s="392" t="n"/>
      <c r="M2309" s="392" t="n"/>
    </row>
    <row r="2310">
      <c r="A2310" s="304" t="n">
        <v>44272</v>
      </c>
      <c r="B2310" s="401" t="n">
        <v>15299</v>
      </c>
      <c r="C2310" s="401" t="n">
        <v>57</v>
      </c>
      <c r="D2310" s="401" t="n">
        <v>720</v>
      </c>
      <c r="E2310" s="401" t="n"/>
      <c r="F2310" s="401" t="n"/>
      <c r="G2310" s="401" t="n"/>
      <c r="H2310" s="322" t="n">
        <v>2462</v>
      </c>
      <c r="I2310" s="392" t="n"/>
      <c r="J2310" s="392" t="n"/>
      <c r="K2310" s="392" t="n"/>
      <c r="L2310" s="392" t="n"/>
      <c r="M2310" s="392" t="n"/>
    </row>
    <row r="2311">
      <c r="A2311" s="568" t="n">
        <v>44273</v>
      </c>
      <c r="B2311" s="392" t="n">
        <v>7937</v>
      </c>
      <c r="C2311" s="392" t="n">
        <v>63.5</v>
      </c>
      <c r="D2311" s="392" t="n"/>
      <c r="E2311" s="392" t="n"/>
      <c r="F2311" s="392" t="n"/>
      <c r="G2311" s="392" t="n">
        <v>100</v>
      </c>
      <c r="H2311" s="446">
        <f>H2310-G2311</f>
        <v/>
      </c>
      <c r="I2311" s="392" t="n"/>
      <c r="J2311" s="392" t="n"/>
      <c r="K2311" s="392" t="n"/>
      <c r="L2311" s="392" t="n"/>
      <c r="M2311" s="392" t="n"/>
    </row>
    <row r="2312">
      <c r="A2312" s="568" t="n">
        <v>44273</v>
      </c>
      <c r="B2312" s="392" t="n">
        <v>7940</v>
      </c>
      <c r="C2312" s="392" t="n">
        <v>67</v>
      </c>
      <c r="D2312" s="392" t="n"/>
      <c r="E2312" s="392" t="n"/>
      <c r="F2312" s="392" t="n"/>
      <c r="G2312" s="392" t="n">
        <v>15</v>
      </c>
      <c r="H2312" s="446">
        <f>H2311-G2312</f>
        <v/>
      </c>
      <c r="I2312" s="392" t="n"/>
      <c r="J2312" s="392" t="n"/>
      <c r="K2312" s="392" t="n"/>
      <c r="L2312" s="392" t="n"/>
      <c r="M2312" s="392" t="n"/>
    </row>
    <row r="2313">
      <c r="A2313" s="568" t="n">
        <v>44273</v>
      </c>
      <c r="B2313" s="392" t="n">
        <v>7941</v>
      </c>
      <c r="C2313" s="392" t="n">
        <v>69.2</v>
      </c>
      <c r="D2313" s="392" t="n"/>
      <c r="E2313" s="392" t="n"/>
      <c r="F2313" s="392" t="n"/>
      <c r="G2313" s="392" t="n">
        <v>31</v>
      </c>
      <c r="H2313" s="446">
        <f>H2312-G2313</f>
        <v/>
      </c>
      <c r="I2313" s="392" t="n"/>
      <c r="J2313" s="392" t="n"/>
      <c r="K2313" s="392" t="n"/>
      <c r="L2313" s="392" t="n"/>
      <c r="M2313" s="392" t="n"/>
    </row>
    <row r="2314">
      <c r="A2314" s="568" t="n">
        <v>44273</v>
      </c>
      <c r="B2314" s="392" t="n">
        <v>7944</v>
      </c>
      <c r="C2314" s="392" t="n">
        <v>60</v>
      </c>
      <c r="D2314" s="392" t="n"/>
      <c r="E2314" s="392" t="n"/>
      <c r="F2314" s="392" t="n"/>
      <c r="G2314" s="392" t="n">
        <v>100</v>
      </c>
      <c r="H2314" s="446">
        <f>H2313-G2314</f>
        <v/>
      </c>
      <c r="I2314" s="392" t="n"/>
      <c r="J2314" s="392" t="n"/>
      <c r="K2314" s="392" t="n"/>
      <c r="L2314" s="392" t="n"/>
      <c r="M2314" s="392" t="n"/>
    </row>
    <row r="2315">
      <c r="A2315" s="568" t="n">
        <v>44279</v>
      </c>
      <c r="B2315" s="392" t="n">
        <v>7945</v>
      </c>
      <c r="C2315" s="392" t="n">
        <v>67</v>
      </c>
      <c r="D2315" s="392" t="n"/>
      <c r="E2315" s="392" t="n"/>
      <c r="F2315" s="392" t="n"/>
      <c r="G2315" s="392" t="n">
        <v>10</v>
      </c>
      <c r="H2315" s="446">
        <f>H2314-G2315</f>
        <v/>
      </c>
      <c r="I2315" s="392" t="n"/>
      <c r="J2315" s="392" t="n"/>
      <c r="K2315" s="392" t="n"/>
      <c r="L2315" s="392" t="n"/>
      <c r="M2315" s="392" t="n"/>
    </row>
    <row r="2316">
      <c r="A2316" s="568" t="n">
        <v>44279</v>
      </c>
      <c r="B2316" s="392" t="n">
        <v>7947</v>
      </c>
      <c r="C2316" s="392" t="n">
        <v>60</v>
      </c>
      <c r="D2316" s="392" t="n"/>
      <c r="E2316" s="392" t="n"/>
      <c r="F2316" s="392" t="n"/>
      <c r="G2316" s="392" t="n">
        <v>30</v>
      </c>
      <c r="H2316" s="446">
        <f>H2315-G2316</f>
        <v/>
      </c>
      <c r="I2316" s="392" t="n"/>
      <c r="J2316" s="392" t="n"/>
      <c r="K2316" s="392" t="n"/>
      <c r="L2316" s="392" t="n"/>
      <c r="M2316" s="392" t="n"/>
    </row>
    <row r="2317">
      <c r="A2317" s="568" t="n">
        <v>44371</v>
      </c>
      <c r="B2317" s="392" t="n">
        <v>7950</v>
      </c>
      <c r="C2317" s="392" t="n">
        <v>67</v>
      </c>
      <c r="D2317" s="392" t="n"/>
      <c r="E2317" s="392" t="n"/>
      <c r="F2317" s="392" t="n"/>
      <c r="G2317" s="392" t="n">
        <v>10</v>
      </c>
      <c r="H2317" s="446">
        <f>H2316-G2317</f>
        <v/>
      </c>
      <c r="I2317" s="392" t="n"/>
      <c r="J2317" s="392" t="n"/>
      <c r="K2317" s="392" t="n"/>
      <c r="L2317" s="392" t="n"/>
      <c r="M2317" s="392" t="n"/>
    </row>
    <row r="2318">
      <c r="A2318" s="568" t="n">
        <v>44279</v>
      </c>
      <c r="B2318" s="392" t="n">
        <v>7952</v>
      </c>
      <c r="C2318" s="392" t="n">
        <v>67</v>
      </c>
      <c r="D2318" s="392" t="n"/>
      <c r="E2318" s="392" t="n"/>
      <c r="F2318" s="392" t="n"/>
      <c r="G2318" s="392" t="n">
        <v>10</v>
      </c>
      <c r="H2318" s="446">
        <f>H2317-G2318</f>
        <v/>
      </c>
      <c r="I2318" s="392" t="n"/>
      <c r="J2318" s="392" t="n"/>
      <c r="K2318" s="392" t="n"/>
      <c r="L2318" s="392" t="n"/>
      <c r="M2318" s="392" t="n"/>
    </row>
    <row r="2319">
      <c r="A2319" s="568" t="n">
        <v>44279</v>
      </c>
      <c r="B2319" s="392" t="n">
        <v>7953</v>
      </c>
      <c r="C2319" s="392" t="n">
        <v>68.2</v>
      </c>
      <c r="D2319" s="392" t="n"/>
      <c r="E2319" s="392" t="n"/>
      <c r="F2319" s="392" t="n"/>
      <c r="G2319" s="392" t="n">
        <v>50</v>
      </c>
      <c r="H2319" s="446">
        <f>H2318-G2319</f>
        <v/>
      </c>
      <c r="I2319" s="392" t="n"/>
      <c r="J2319" s="392" t="n"/>
      <c r="K2319" s="392" t="n"/>
      <c r="L2319" s="392" t="n"/>
      <c r="M2319" s="392" t="n"/>
    </row>
    <row r="2320">
      <c r="A2320" s="568" t="n">
        <v>44283</v>
      </c>
      <c r="B2320" s="392" t="n">
        <v>7954</v>
      </c>
      <c r="C2320" s="392" t="n">
        <v>69</v>
      </c>
      <c r="D2320" s="392" t="n"/>
      <c r="E2320" s="392" t="n"/>
      <c r="F2320" s="392" t="n"/>
      <c r="G2320" s="392" t="n">
        <v>30</v>
      </c>
      <c r="H2320" s="446">
        <f>H2319-G2320</f>
        <v/>
      </c>
      <c r="I2320" s="392" t="n"/>
      <c r="J2320" s="392" t="n"/>
      <c r="K2320" s="392" t="n"/>
      <c r="L2320" s="392" t="n"/>
      <c r="M2320" s="392" t="n"/>
    </row>
    <row r="2321">
      <c r="A2321" s="568" t="n">
        <v>44283</v>
      </c>
      <c r="B2321" s="392" t="n">
        <v>7955</v>
      </c>
      <c r="C2321" s="392" t="n">
        <v>66.5</v>
      </c>
      <c r="D2321" s="392" t="n"/>
      <c r="E2321" s="392" t="n"/>
      <c r="F2321" s="392" t="n"/>
      <c r="G2321" s="392" t="n">
        <v>50</v>
      </c>
      <c r="H2321" s="446">
        <f>H2320-G2321</f>
        <v/>
      </c>
      <c r="I2321" s="392" t="n"/>
      <c r="J2321" s="392" t="n"/>
      <c r="K2321" s="392" t="n"/>
      <c r="L2321" s="392" t="n"/>
      <c r="M2321" s="392" t="n"/>
    </row>
    <row r="2322">
      <c r="A2322" s="568" t="n">
        <v>44283</v>
      </c>
      <c r="B2322" s="392" t="n">
        <v>7956</v>
      </c>
      <c r="C2322" s="392" t="n">
        <v>70.8</v>
      </c>
      <c r="D2322" s="392" t="n"/>
      <c r="E2322" s="392" t="n"/>
      <c r="F2322" s="392" t="n"/>
      <c r="G2322" s="392" t="n">
        <v>25</v>
      </c>
      <c r="H2322" s="446">
        <f>H2321-G2322</f>
        <v/>
      </c>
      <c r="I2322" s="392" t="n"/>
      <c r="J2322" s="392" t="n"/>
      <c r="K2322" s="392" t="n"/>
      <c r="L2322" s="392" t="n"/>
      <c r="M2322" s="392" t="n"/>
    </row>
    <row r="2323">
      <c r="A2323" s="568" t="n">
        <v>44283</v>
      </c>
      <c r="B2323" s="392" t="n">
        <v>7957</v>
      </c>
      <c r="C2323" s="392" t="n">
        <v>65</v>
      </c>
      <c r="D2323" s="392" t="n"/>
      <c r="E2323" s="392" t="n"/>
      <c r="F2323" s="392" t="n"/>
      <c r="G2323" s="392" t="n">
        <v>100</v>
      </c>
      <c r="H2323" s="446">
        <f>H2322-G2323</f>
        <v/>
      </c>
      <c r="I2323" s="392" t="n"/>
      <c r="J2323" s="392" t="n"/>
      <c r="K2323" s="392" t="n"/>
      <c r="L2323" s="392" t="n"/>
      <c r="M2323" s="392" t="n"/>
    </row>
    <row r="2324">
      <c r="A2324" s="568" t="n">
        <v>44283</v>
      </c>
      <c r="B2324" s="392" t="n">
        <v>7958</v>
      </c>
      <c r="C2324" s="392" t="n">
        <v>69</v>
      </c>
      <c r="D2324" s="392" t="n"/>
      <c r="E2324" s="392" t="n"/>
      <c r="F2324" s="392" t="n"/>
      <c r="G2324" s="392" t="n">
        <v>40</v>
      </c>
      <c r="H2324" s="446">
        <f>H2323-G2324</f>
        <v/>
      </c>
      <c r="I2324" s="392" t="n"/>
      <c r="J2324" s="392" t="n"/>
      <c r="K2324" s="392" t="n"/>
      <c r="L2324" s="392" t="n"/>
      <c r="M2324" s="392" t="n"/>
    </row>
    <row r="2325">
      <c r="A2325" s="568" t="n">
        <v>44283</v>
      </c>
      <c r="B2325" s="392" t="n">
        <v>7960</v>
      </c>
      <c r="C2325" s="392" t="n">
        <v>69</v>
      </c>
      <c r="D2325" s="392" t="n"/>
      <c r="E2325" s="392" t="n"/>
      <c r="F2325" s="392" t="n"/>
      <c r="G2325" s="392" t="n">
        <v>15</v>
      </c>
      <c r="H2325" s="446">
        <f>H2324-G2325</f>
        <v/>
      </c>
      <c r="I2325" s="392" t="n"/>
      <c r="J2325" s="392" t="n"/>
      <c r="K2325" s="392" t="n"/>
      <c r="L2325" s="392" t="n"/>
      <c r="M2325" s="392" t="n"/>
    </row>
    <row r="2326">
      <c r="A2326" s="568" t="n">
        <v>44283</v>
      </c>
      <c r="B2326" s="392" t="n">
        <v>7962</v>
      </c>
      <c r="C2326" s="392" t="n">
        <v>66.94</v>
      </c>
      <c r="D2326" s="392" t="n"/>
      <c r="E2326" s="392" t="n"/>
      <c r="F2326" s="392" t="n"/>
      <c r="G2326" s="392" t="n">
        <v>31</v>
      </c>
      <c r="H2326" s="446">
        <f>H2325-G2326</f>
        <v/>
      </c>
      <c r="I2326" s="392" t="n"/>
      <c r="J2326" s="392" t="n"/>
      <c r="K2326" s="392" t="n"/>
      <c r="L2326" s="392" t="n"/>
      <c r="M2326" s="392" t="n"/>
    </row>
    <row r="2327">
      <c r="A2327" s="304" t="n">
        <v>44284</v>
      </c>
      <c r="B2327" s="401" t="n">
        <v>1622539</v>
      </c>
      <c r="C2327" s="401" t="n">
        <v>150</v>
      </c>
      <c r="D2327" s="401" t="n">
        <v>55</v>
      </c>
      <c r="E2327" s="401" t="n"/>
      <c r="F2327" s="401" t="n"/>
      <c r="G2327" s="401" t="n"/>
      <c r="H2327" s="322" t="n">
        <v>1965</v>
      </c>
      <c r="I2327" s="392" t="n"/>
      <c r="J2327" s="392" t="n"/>
      <c r="K2327" s="392" t="n"/>
      <c r="L2327" s="392" t="n"/>
      <c r="M2327" s="392" t="n"/>
    </row>
    <row r="2328">
      <c r="A2328" s="304" t="n">
        <v>44284</v>
      </c>
      <c r="B2328" s="401" t="n">
        <v>162539</v>
      </c>
      <c r="C2328" s="401" t="n">
        <v>130</v>
      </c>
      <c r="D2328" s="401" t="n">
        <v>56</v>
      </c>
      <c r="E2328" s="401" t="n"/>
      <c r="F2328" s="401" t="n"/>
      <c r="G2328" s="401" t="n"/>
      <c r="H2328" s="322" t="n">
        <v>2095</v>
      </c>
      <c r="I2328" s="392" t="n"/>
      <c r="J2328" s="392" t="n"/>
      <c r="K2328" s="392" t="n"/>
      <c r="L2328" s="392" t="n"/>
      <c r="M2328" s="392" t="n"/>
    </row>
    <row r="2329">
      <c r="A2329" s="568" t="n">
        <v>44285</v>
      </c>
      <c r="B2329" s="392" t="n">
        <v>7963</v>
      </c>
      <c r="C2329" s="392" t="n">
        <v>74</v>
      </c>
      <c r="D2329" s="392" t="n"/>
      <c r="E2329" s="392" t="n"/>
      <c r="F2329" s="392" t="n"/>
      <c r="G2329" s="392" t="n">
        <v>20</v>
      </c>
      <c r="H2329" s="446">
        <f>H2328-G2329</f>
        <v/>
      </c>
      <c r="I2329" s="392" t="n"/>
      <c r="J2329" s="392" t="n"/>
      <c r="K2329" s="392" t="n"/>
      <c r="L2329" s="392" t="n"/>
      <c r="M2329" s="392" t="n"/>
    </row>
    <row r="2330">
      <c r="A2330" s="568" t="n">
        <v>44285</v>
      </c>
      <c r="B2330" s="392" t="n">
        <v>7964</v>
      </c>
      <c r="C2330" s="392" t="n">
        <v>60</v>
      </c>
      <c r="D2330" s="392" t="n"/>
      <c r="E2330" s="392" t="n"/>
      <c r="F2330" s="392" t="n"/>
      <c r="G2330" s="392" t="n">
        <v>50</v>
      </c>
      <c r="H2330" s="446">
        <f>H2329-G2330</f>
        <v/>
      </c>
      <c r="I2330" s="392" t="n"/>
      <c r="J2330" s="392" t="n"/>
      <c r="K2330" s="392" t="n"/>
      <c r="L2330" s="392" t="n"/>
      <c r="M2330" s="392" t="n"/>
    </row>
    <row r="2331">
      <c r="A2331" s="568" t="n">
        <v>44285</v>
      </c>
      <c r="B2331" s="392" t="n">
        <v>7967</v>
      </c>
      <c r="C2331" s="392" t="n">
        <v>69.63</v>
      </c>
      <c r="D2331" s="392" t="n"/>
      <c r="E2331" s="392" t="n"/>
      <c r="F2331" s="392" t="n"/>
      <c r="G2331" s="392" t="n">
        <v>40</v>
      </c>
      <c r="H2331" s="446">
        <f>H2330-G2331</f>
        <v/>
      </c>
      <c r="I2331" s="392" t="n"/>
      <c r="J2331" s="392" t="n"/>
      <c r="K2331" s="392" t="n"/>
      <c r="L2331" s="392" t="n"/>
      <c r="M2331" s="392" t="n"/>
    </row>
    <row r="2332">
      <c r="A2332" s="568" t="n">
        <v>44285</v>
      </c>
      <c r="B2332" s="392" t="n">
        <v>7968</v>
      </c>
      <c r="C2332" s="392" t="n">
        <v>60</v>
      </c>
      <c r="D2332" s="392" t="n"/>
      <c r="E2332" s="392" t="n"/>
      <c r="F2332" s="392" t="n"/>
      <c r="G2332" s="392" t="n">
        <v>20</v>
      </c>
      <c r="H2332" s="446">
        <f>H2331-G2332</f>
        <v/>
      </c>
      <c r="I2332" s="392" t="n"/>
      <c r="J2332" s="392" t="n"/>
      <c r="K2332" s="392" t="n"/>
      <c r="L2332" s="392" t="n"/>
      <c r="M2332" s="392" t="n"/>
    </row>
    <row r="2333">
      <c r="A2333" s="568" t="n">
        <v>44285</v>
      </c>
      <c r="B2333" s="392" t="n">
        <v>7970</v>
      </c>
      <c r="C2333" s="392" t="n">
        <v>66.5</v>
      </c>
      <c r="D2333" s="392" t="n"/>
      <c r="E2333" s="392" t="n"/>
      <c r="F2333" s="392" t="n"/>
      <c r="G2333" s="392" t="n">
        <v>10</v>
      </c>
      <c r="H2333" s="446">
        <f>H2332-G2333</f>
        <v/>
      </c>
      <c r="I2333" s="392" t="n"/>
      <c r="J2333" s="392" t="n"/>
      <c r="K2333" s="392" t="n"/>
      <c r="L2333" s="392" t="n"/>
      <c r="M2333" s="392" t="n"/>
    </row>
    <row r="2334">
      <c r="A2334" s="568" t="n">
        <v>44285</v>
      </c>
      <c r="B2334" s="392" t="n">
        <v>7072</v>
      </c>
      <c r="C2334" s="392" t="n">
        <v>69</v>
      </c>
      <c r="D2334" s="392" t="n"/>
      <c r="E2334" s="392" t="n"/>
      <c r="F2334" s="392" t="n"/>
      <c r="G2334" s="392" t="n">
        <v>15</v>
      </c>
      <c r="H2334" s="446">
        <f>H2333-G2334</f>
        <v/>
      </c>
      <c r="I2334" s="392" t="n"/>
      <c r="J2334" s="392" t="n"/>
      <c r="K2334" s="392" t="n"/>
      <c r="L2334" s="392" t="n"/>
      <c r="M2334" s="392" t="n"/>
    </row>
    <row r="2335">
      <c r="A2335" s="568" t="n">
        <v>44285</v>
      </c>
      <c r="B2335" s="392" t="n">
        <v>7073</v>
      </c>
      <c r="C2335" s="392" t="n">
        <v>68.75</v>
      </c>
      <c r="D2335" s="392" t="n"/>
      <c r="E2335" s="392" t="n"/>
      <c r="F2335" s="392" t="n"/>
      <c r="G2335" s="392" t="n">
        <v>20</v>
      </c>
      <c r="H2335" s="446">
        <f>H2334-G2335</f>
        <v/>
      </c>
      <c r="I2335" s="392" t="n"/>
      <c r="J2335" s="392" t="n"/>
      <c r="K2335" s="392" t="n"/>
      <c r="L2335" s="392" t="n"/>
      <c r="M2335" s="392" t="n"/>
    </row>
    <row r="2336">
      <c r="A2336" s="568" t="n">
        <v>44285</v>
      </c>
      <c r="B2336" s="392" t="n">
        <v>7075</v>
      </c>
      <c r="C2336" s="392" t="n">
        <v>67</v>
      </c>
      <c r="D2336" s="392" t="n"/>
      <c r="E2336" s="392" t="n"/>
      <c r="F2336" s="392" t="n"/>
      <c r="G2336" s="392" t="n">
        <v>40</v>
      </c>
      <c r="H2336" s="446">
        <f>H2335-G2336</f>
        <v/>
      </c>
      <c r="I2336" s="392" t="n"/>
      <c r="J2336" s="392" t="n"/>
      <c r="K2336" s="392" t="n"/>
      <c r="L2336" s="392" t="n"/>
      <c r="M2336" s="392" t="n"/>
    </row>
    <row r="2337">
      <c r="A2337" s="568" t="n">
        <v>44286</v>
      </c>
      <c r="B2337" s="392" t="n">
        <v>7077</v>
      </c>
      <c r="C2337" s="392" t="n">
        <v>60</v>
      </c>
      <c r="D2337" s="392" t="n"/>
      <c r="E2337" s="392" t="n"/>
      <c r="F2337" s="392" t="n"/>
      <c r="G2337" s="392" t="n">
        <v>30</v>
      </c>
      <c r="H2337" s="446">
        <f>H2336-G2337</f>
        <v/>
      </c>
      <c r="I2337" s="392" t="n"/>
      <c r="J2337" s="392" t="n"/>
      <c r="K2337" s="392" t="n"/>
      <c r="L2337" s="392" t="n"/>
      <c r="M2337" s="392" t="n"/>
    </row>
    <row r="2338">
      <c r="A2338" s="568" t="n"/>
      <c r="B2338" s="392" t="n"/>
      <c r="C2338" s="392" t="n"/>
      <c r="D2338" s="392" t="n"/>
      <c r="E2338" s="392" t="n"/>
      <c r="F2338" s="392" t="n"/>
      <c r="G2338" s="392" t="n"/>
      <c r="H2338" s="446">
        <f>H2337-G2338</f>
        <v/>
      </c>
      <c r="I2338" s="392" t="n"/>
      <c r="J2338" s="392" t="n"/>
      <c r="K2338" s="392" t="n"/>
      <c r="L2338" s="392" t="n"/>
      <c r="M2338" s="392" t="n"/>
    </row>
    <row r="2339">
      <c r="A2339" s="568" t="n"/>
      <c r="B2339" s="392" t="n"/>
      <c r="C2339" s="392" t="n"/>
      <c r="D2339" s="392" t="n"/>
      <c r="E2339" s="392" t="n"/>
      <c r="F2339" s="392" t="n"/>
      <c r="G2339" s="392" t="n"/>
      <c r="H2339" s="446">
        <f>H2338-G2339</f>
        <v/>
      </c>
      <c r="I2339" s="392" t="n"/>
      <c r="J2339" s="392" t="n"/>
      <c r="K2339" s="392" t="n"/>
      <c r="L2339" s="392" t="n"/>
      <c r="M2339" s="392" t="n"/>
    </row>
    <row r="2340" ht="15.75" customHeight="1" s="436" thickBot="1"/>
    <row r="2341" ht="32.25" customHeight="1" s="436" thickBot="1">
      <c r="A2341" s="735" t="inlineStr">
        <is>
          <t>Abril</t>
        </is>
      </c>
      <c r="B2341" s="697" t="n"/>
      <c r="C2341" s="697" t="n"/>
      <c r="D2341" s="697" t="n"/>
      <c r="E2341" s="697" t="n"/>
      <c r="F2341" s="697" t="n"/>
      <c r="G2341" s="697" t="n"/>
      <c r="H2341" s="697" t="n"/>
      <c r="I2341" s="697" t="n"/>
      <c r="J2341" s="697" t="n"/>
      <c r="K2341" s="697" t="n"/>
      <c r="L2341" s="697" t="n"/>
      <c r="M2341" s="698" t="n"/>
    </row>
    <row r="2342" ht="27" customHeight="1" s="436" thickBot="1">
      <c r="A2342" s="734" t="inlineStr">
        <is>
          <t xml:space="preserve"> FARINHA DE TRIGO TIPO: 1 - 25 KG</t>
        </is>
      </c>
      <c r="B2342" s="706" t="n"/>
      <c r="C2342" s="706" t="n"/>
      <c r="D2342" s="706" t="n"/>
      <c r="E2342" s="706" t="n"/>
      <c r="F2342" s="706" t="n"/>
      <c r="G2342" s="706" t="n"/>
      <c r="H2342" s="706" t="n"/>
      <c r="I2342" s="706" t="n"/>
      <c r="J2342" s="706" t="n"/>
      <c r="K2342" s="706" t="n"/>
      <c r="L2342" s="706" t="n"/>
      <c r="M2342" s="707" t="n"/>
    </row>
    <row r="2343">
      <c r="A2343" s="643" t="inlineStr">
        <is>
          <t>DATA</t>
        </is>
      </c>
      <c r="B2343" s="633" t="inlineStr">
        <is>
          <t>N.F.</t>
        </is>
      </c>
      <c r="C2343" s="633" t="inlineStr">
        <is>
          <t>TIPO</t>
        </is>
      </c>
      <c r="D2343" s="633" t="inlineStr">
        <is>
          <t>PREÇO UNITÁRIO</t>
        </is>
      </c>
      <c r="E2343" s="701" t="n"/>
      <c r="F2343" s="633" t="inlineStr">
        <is>
          <t>QUANTIDADE / KG</t>
        </is>
      </c>
      <c r="H2343" s="701" t="n"/>
      <c r="I2343" s="632" t="inlineStr">
        <is>
          <t>PREÇO</t>
        </is>
      </c>
      <c r="J2343" s="632" t="inlineStr">
        <is>
          <t>VALORES</t>
        </is>
      </c>
      <c r="L2343" s="701" t="n"/>
      <c r="M2343" s="649" t="n"/>
    </row>
    <row r="2344" ht="15.75" customHeight="1" s="436" thickBot="1">
      <c r="A2344" s="703" t="n"/>
      <c r="B2344" s="704" t="n"/>
      <c r="C2344" s="704" t="n"/>
      <c r="D2344" s="703" t="n"/>
      <c r="E2344" s="701" t="n"/>
      <c r="F2344" s="705" t="n"/>
      <c r="G2344" s="706" t="n"/>
      <c r="H2344" s="707" t="n"/>
      <c r="I2344" s="704" t="n"/>
      <c r="J2344" s="703" t="n"/>
      <c r="L2344" s="701" t="n"/>
      <c r="M2344" s="704" t="n"/>
    </row>
    <row r="2345" ht="15.75" customHeight="1" s="436" thickBot="1">
      <c r="A2345" s="703" t="n"/>
      <c r="B2345" s="704" t="n"/>
      <c r="C2345" s="704" t="n"/>
      <c r="D2345" s="705" t="n"/>
      <c r="E2345" s="707" t="n"/>
      <c r="F2345" s="3" t="inlineStr">
        <is>
          <t>ENTRADA</t>
        </is>
      </c>
      <c r="G2345" s="3" t="inlineStr">
        <is>
          <t>SAÍDA</t>
        </is>
      </c>
      <c r="H2345" s="640" t="n"/>
      <c r="I2345" s="633" t="inlineStr">
        <is>
          <t>MÉDIO</t>
        </is>
      </c>
      <c r="J2345" s="652" t="inlineStr">
        <is>
          <t>SALDO EM 30/11/2017</t>
        </is>
      </c>
      <c r="K2345" s="706" t="n"/>
      <c r="L2345" s="17" t="n"/>
      <c r="M2345" s="704" t="n"/>
    </row>
    <row r="2346" ht="18" customHeight="1" s="436" thickBot="1">
      <c r="A2346" s="705" t="n"/>
      <c r="B2346" s="695" t="n"/>
      <c r="C2346" s="695" t="n"/>
      <c r="D2346" s="3" t="inlineStr">
        <is>
          <t>C/ICMS</t>
        </is>
      </c>
      <c r="E2346" s="3" t="inlineStr">
        <is>
          <t>S/ICMS</t>
        </is>
      </c>
      <c r="F2346" s="695" t="n"/>
      <c r="G2346" s="695" t="n"/>
      <c r="H2346" s="84" t="inlineStr">
        <is>
          <t>Saldo em 30/04/2021</t>
        </is>
      </c>
      <c r="I2346" s="695" t="n"/>
      <c r="J2346" s="645" t="inlineStr">
        <is>
          <t>ENTRADA</t>
        </is>
      </c>
      <c r="K2346" s="633" t="inlineStr">
        <is>
          <t>SAÍDA / CMV</t>
        </is>
      </c>
      <c r="L2346" s="643" t="inlineStr">
        <is>
          <t>SALDO</t>
        </is>
      </c>
      <c r="M2346" s="392" t="n"/>
    </row>
    <row r="2347">
      <c r="A2347" s="392" t="n"/>
      <c r="B2347" s="392" t="n"/>
      <c r="C2347" s="392" t="n"/>
      <c r="D2347" s="392" t="n"/>
      <c r="E2347" s="392" t="n"/>
      <c r="F2347" s="392" t="n"/>
      <c r="G2347" s="392" t="n"/>
      <c r="H2347" s="98" t="n">
        <v>1850</v>
      </c>
      <c r="I2347" s="392" t="n"/>
      <c r="J2347" s="392" t="n"/>
      <c r="K2347" s="392" t="n"/>
      <c r="L2347" s="392" t="n"/>
      <c r="M2347" s="392" t="n"/>
    </row>
    <row r="2348">
      <c r="A2348" s="568" t="n">
        <v>44287</v>
      </c>
      <c r="B2348" s="392" t="n">
        <v>7080</v>
      </c>
      <c r="C2348" s="392" t="n">
        <v>67</v>
      </c>
      <c r="D2348" s="392" t="n"/>
      <c r="E2348" s="392" t="n"/>
      <c r="F2348" s="392" t="n"/>
      <c r="G2348" s="392" t="n">
        <v>20</v>
      </c>
      <c r="H2348" s="446">
        <f>H2347-G2348</f>
        <v/>
      </c>
      <c r="I2348" s="392" t="n"/>
      <c r="J2348" s="392" t="n"/>
      <c r="K2348" s="392" t="n"/>
      <c r="L2348" s="392" t="n"/>
      <c r="M2348" s="392" t="n"/>
    </row>
    <row r="2349">
      <c r="A2349" s="304" t="n">
        <v>44292</v>
      </c>
      <c r="B2349" s="401" t="n">
        <v>15564</v>
      </c>
      <c r="C2349" s="401" t="n">
        <v>52</v>
      </c>
      <c r="D2349" s="401" t="n"/>
      <c r="E2349" s="401" t="n">
        <v>1120</v>
      </c>
      <c r="F2349" s="401" t="n"/>
      <c r="G2349" s="401" t="n"/>
      <c r="H2349" s="322" t="n">
        <v>2950</v>
      </c>
      <c r="I2349" s="392" t="n"/>
      <c r="J2349" s="392" t="n"/>
      <c r="K2349" s="392" t="n"/>
      <c r="L2349" s="392" t="n"/>
      <c r="M2349" s="392" t="n"/>
    </row>
    <row r="2350">
      <c r="A2350" s="568" t="n">
        <v>44292</v>
      </c>
      <c r="B2350" s="392" t="n">
        <v>7082</v>
      </c>
      <c r="C2350" s="392" t="n">
        <v>63.5</v>
      </c>
      <c r="D2350" s="392" t="n"/>
      <c r="E2350" s="392" t="n"/>
      <c r="F2350" s="392" t="n"/>
      <c r="G2350" s="392" t="n">
        <v>150</v>
      </c>
      <c r="H2350" s="446">
        <f>H2349-G2350</f>
        <v/>
      </c>
      <c r="I2350" s="392" t="n"/>
      <c r="J2350" s="392" t="n"/>
      <c r="K2350" s="392" t="n"/>
      <c r="L2350" s="392" t="n"/>
      <c r="M2350" s="392" t="n"/>
    </row>
    <row r="2351">
      <c r="A2351" s="568" t="n">
        <v>44292</v>
      </c>
      <c r="B2351" s="392" t="n">
        <v>7086</v>
      </c>
      <c r="C2351" s="392" t="n">
        <v>66</v>
      </c>
      <c r="D2351" s="392" t="n"/>
      <c r="E2351" s="392" t="n"/>
      <c r="F2351" s="392" t="n"/>
      <c r="G2351" s="392" t="n">
        <v>30</v>
      </c>
      <c r="H2351" s="446">
        <f>H2350-G2351</f>
        <v/>
      </c>
      <c r="I2351" s="392" t="n"/>
      <c r="J2351" s="392" t="n"/>
      <c r="K2351" s="392" t="n"/>
      <c r="L2351" s="392" t="n"/>
      <c r="M2351" s="392" t="n"/>
    </row>
    <row r="2352">
      <c r="A2352" s="568" t="n">
        <v>44292</v>
      </c>
      <c r="B2352" s="392" t="n">
        <v>7087</v>
      </c>
      <c r="C2352" s="392" t="n">
        <v>57</v>
      </c>
      <c r="D2352" s="392" t="n"/>
      <c r="E2352" s="392" t="n"/>
      <c r="F2352" s="392" t="n"/>
      <c r="G2352" s="392" t="n">
        <v>200</v>
      </c>
      <c r="H2352" s="446">
        <f>H2351-G2352</f>
        <v/>
      </c>
      <c r="I2352" s="392" t="n"/>
      <c r="J2352" s="392" t="n"/>
      <c r="K2352" s="392" t="n"/>
      <c r="L2352" s="392" t="n"/>
      <c r="M2352" s="392" t="n"/>
    </row>
    <row r="2353">
      <c r="A2353" s="568" t="n">
        <v>44292</v>
      </c>
      <c r="B2353" s="392" t="n">
        <v>7088</v>
      </c>
      <c r="C2353" s="392" t="n">
        <v>69</v>
      </c>
      <c r="D2353" s="392" t="n"/>
      <c r="E2353" s="392" t="n"/>
      <c r="F2353" s="392" t="n"/>
      <c r="G2353" s="392" t="n">
        <v>15</v>
      </c>
      <c r="H2353" s="446">
        <f>H2352-G2353</f>
        <v/>
      </c>
      <c r="I2353" s="392" t="n"/>
      <c r="J2353" s="392" t="n"/>
      <c r="K2353" s="392" t="n"/>
      <c r="L2353" s="392" t="n"/>
      <c r="M2353" s="392" t="n"/>
    </row>
    <row r="2354">
      <c r="A2354" s="568" t="n">
        <v>44296</v>
      </c>
      <c r="B2354" s="392" t="n">
        <v>7094</v>
      </c>
      <c r="C2354" s="392" t="n">
        <v>58</v>
      </c>
      <c r="D2354" s="392" t="n"/>
      <c r="E2354" s="392" t="n"/>
      <c r="F2354" s="392" t="n"/>
      <c r="G2354" s="392" t="n">
        <v>200</v>
      </c>
      <c r="H2354" s="446">
        <f>H2353-G2354</f>
        <v/>
      </c>
      <c r="I2354" s="392" t="n"/>
      <c r="J2354" s="392" t="n"/>
      <c r="K2354" s="392" t="n"/>
      <c r="L2354" s="392" t="n"/>
      <c r="M2354" s="392" t="n"/>
    </row>
    <row r="2355">
      <c r="A2355" s="568" t="n">
        <v>44296</v>
      </c>
      <c r="B2355" s="392" t="n">
        <v>7095</v>
      </c>
      <c r="C2355" s="392" t="n">
        <v>63.5</v>
      </c>
      <c r="D2355" s="392" t="n"/>
      <c r="E2355" s="392" t="n"/>
      <c r="F2355" s="392" t="n"/>
      <c r="G2355" s="392" t="n">
        <v>150</v>
      </c>
      <c r="H2355" s="446">
        <f>H2354-G2355</f>
        <v/>
      </c>
      <c r="I2355" s="392" t="n"/>
      <c r="J2355" s="392" t="n"/>
      <c r="K2355" s="392" t="n"/>
      <c r="L2355" s="392" t="n"/>
      <c r="M2355" s="392" t="n"/>
    </row>
    <row r="2356">
      <c r="A2356" s="568" t="n">
        <v>44299</v>
      </c>
      <c r="B2356" s="392" t="n">
        <v>8001</v>
      </c>
      <c r="C2356" s="392" t="n">
        <v>66</v>
      </c>
      <c r="D2356" s="392" t="n"/>
      <c r="E2356" s="392" t="n"/>
      <c r="F2356" s="392" t="n"/>
      <c r="G2356" s="392" t="n">
        <v>40</v>
      </c>
      <c r="H2356" s="446">
        <f>H2355-G2356</f>
        <v/>
      </c>
      <c r="I2356" s="392" t="n"/>
      <c r="J2356" s="392" t="n"/>
      <c r="K2356" s="392" t="n"/>
      <c r="L2356" s="392" t="n"/>
      <c r="M2356" s="392" t="n"/>
    </row>
    <row r="2357">
      <c r="A2357" s="568" t="n">
        <v>44299</v>
      </c>
      <c r="B2357" s="392" t="n">
        <v>8002</v>
      </c>
      <c r="C2357" s="392" t="n">
        <v>68</v>
      </c>
      <c r="D2357" s="392" t="n"/>
      <c r="E2357" s="392" t="n"/>
      <c r="F2357" s="392" t="n"/>
      <c r="G2357" s="392" t="n">
        <v>50</v>
      </c>
      <c r="H2357" s="446">
        <f>H2356-G2357</f>
        <v/>
      </c>
      <c r="I2357" s="392" t="n"/>
      <c r="J2357" s="392" t="n"/>
      <c r="K2357" s="392" t="n"/>
      <c r="L2357" s="392" t="n"/>
      <c r="M2357" s="392" t="n"/>
    </row>
    <row r="2358">
      <c r="A2358" s="568" t="n">
        <v>44299</v>
      </c>
      <c r="B2358" s="392" t="n">
        <v>8003</v>
      </c>
      <c r="C2358" s="392" t="n">
        <v>58</v>
      </c>
      <c r="D2358" s="392" t="n"/>
      <c r="E2358" s="392" t="n"/>
      <c r="F2358" s="392" t="n"/>
      <c r="G2358" s="392" t="n">
        <v>200</v>
      </c>
      <c r="H2358" s="446">
        <f>H2357-G2358</f>
        <v/>
      </c>
      <c r="I2358" s="392" t="n"/>
      <c r="J2358" s="392" t="n"/>
      <c r="K2358" s="392" t="n"/>
      <c r="L2358" s="392" t="n"/>
      <c r="M2358" s="392" t="n"/>
    </row>
    <row r="2359">
      <c r="A2359" s="568" t="n">
        <v>44299</v>
      </c>
      <c r="B2359" s="392" t="n">
        <v>8004</v>
      </c>
      <c r="C2359" s="392" t="n">
        <v>69</v>
      </c>
      <c r="D2359" s="392" t="n"/>
      <c r="E2359" s="392" t="n"/>
      <c r="F2359" s="392" t="n"/>
      <c r="G2359" s="392" t="n">
        <v>30</v>
      </c>
      <c r="H2359" s="446">
        <f>H2358-G2359</f>
        <v/>
      </c>
      <c r="I2359" s="392" t="n"/>
      <c r="J2359" s="392" t="n"/>
      <c r="K2359" s="392" t="n"/>
      <c r="L2359" s="392" t="n"/>
      <c r="M2359" s="392" t="n"/>
    </row>
    <row r="2360">
      <c r="A2360" s="568" t="n">
        <v>44299</v>
      </c>
      <c r="B2360" s="392" t="n">
        <v>8005</v>
      </c>
      <c r="C2360" s="392" t="n">
        <v>69</v>
      </c>
      <c r="D2360" s="392" t="n"/>
      <c r="E2360" s="392" t="n"/>
      <c r="F2360" s="392" t="n"/>
      <c r="G2360" s="392" t="n">
        <v>30</v>
      </c>
      <c r="H2360" s="446">
        <f>H2359-G2360</f>
        <v/>
      </c>
      <c r="I2360" s="392" t="n"/>
      <c r="J2360" s="392" t="n"/>
      <c r="K2360" s="392" t="n"/>
      <c r="L2360" s="392" t="n"/>
      <c r="M2360" s="392" t="n"/>
    </row>
    <row r="2361">
      <c r="A2361" s="304" t="n">
        <v>44300</v>
      </c>
      <c r="B2361" s="401" t="n">
        <v>163583</v>
      </c>
      <c r="C2361" s="401" t="n">
        <v>57</v>
      </c>
      <c r="D2361" s="401" t="n"/>
      <c r="E2361" s="401" t="n">
        <v>250</v>
      </c>
      <c r="F2361" s="401" t="n"/>
      <c r="G2361" s="401" t="n"/>
      <c r="H2361" s="322" t="n">
        <v>2105</v>
      </c>
      <c r="I2361" s="392" t="n"/>
      <c r="J2361" s="392" t="n"/>
      <c r="K2361" s="392" t="n"/>
      <c r="L2361" s="392" t="n"/>
      <c r="M2361" s="392" t="n"/>
    </row>
    <row r="2362">
      <c r="A2362" s="304" t="n">
        <v>44300</v>
      </c>
      <c r="B2362" s="401" t="n">
        <v>163583</v>
      </c>
      <c r="C2362" s="401" t="n">
        <v>58</v>
      </c>
      <c r="D2362" s="401" t="n"/>
      <c r="E2362" s="401" t="n">
        <v>500</v>
      </c>
      <c r="F2362" s="401" t="n"/>
      <c r="G2362" s="401" t="n"/>
      <c r="H2362" s="322" t="n">
        <v>2605</v>
      </c>
      <c r="I2362" s="392" t="n"/>
      <c r="J2362" s="392" t="n"/>
      <c r="K2362" s="392" t="n"/>
      <c r="L2362" s="392" t="n"/>
      <c r="M2362" s="392" t="n"/>
    </row>
    <row r="2363">
      <c r="A2363" s="568" t="n">
        <v>44300</v>
      </c>
      <c r="B2363" s="392" t="n">
        <v>8006</v>
      </c>
      <c r="C2363" s="392" t="n">
        <v>66</v>
      </c>
      <c r="D2363" s="392" t="n"/>
      <c r="E2363" s="392" t="n"/>
      <c r="F2363" s="392" t="n"/>
      <c r="G2363" s="392" t="n">
        <v>60</v>
      </c>
      <c r="H2363" s="446">
        <f>H2362-G2363</f>
        <v/>
      </c>
      <c r="I2363" s="392" t="n"/>
      <c r="J2363" s="392" t="n"/>
      <c r="K2363" s="392" t="n"/>
      <c r="L2363" s="392" t="n"/>
      <c r="M2363" s="392" t="n"/>
    </row>
    <row r="2364">
      <c r="A2364" s="568" t="n">
        <v>44300</v>
      </c>
      <c r="B2364" s="392" t="n">
        <v>8007</v>
      </c>
      <c r="C2364" s="392" t="n">
        <v>64</v>
      </c>
      <c r="D2364" s="392" t="n"/>
      <c r="E2364" s="392" t="n"/>
      <c r="F2364" s="392" t="n"/>
      <c r="G2364" s="392" t="n">
        <v>20</v>
      </c>
      <c r="H2364" s="446">
        <f>H2363-G2364</f>
        <v/>
      </c>
      <c r="I2364" s="392" t="n"/>
      <c r="J2364" s="392" t="n"/>
      <c r="K2364" s="392" t="n"/>
      <c r="L2364" s="392" t="n"/>
      <c r="M2364" s="392" t="n"/>
    </row>
    <row r="2365">
      <c r="A2365" s="568" t="n">
        <v>44300</v>
      </c>
      <c r="B2365" s="392" t="n">
        <v>8009</v>
      </c>
      <c r="C2365" s="392" t="n">
        <v>69</v>
      </c>
      <c r="D2365" s="392" t="n"/>
      <c r="E2365" s="392" t="n"/>
      <c r="F2365" s="392" t="n"/>
      <c r="G2365" s="392" t="n">
        <v>30</v>
      </c>
      <c r="H2365" s="446">
        <f>H2364-G2365</f>
        <v/>
      </c>
      <c r="I2365" s="392" t="n"/>
      <c r="J2365" s="392" t="n"/>
      <c r="K2365" s="392" t="n"/>
      <c r="L2365" s="392" t="n"/>
      <c r="M2365" s="392" t="n"/>
    </row>
    <row r="2366">
      <c r="A2366" s="568" t="n">
        <v>44300</v>
      </c>
      <c r="B2366" s="392" t="n">
        <v>8010</v>
      </c>
      <c r="C2366" s="392" t="n">
        <v>69</v>
      </c>
      <c r="D2366" s="392" t="n"/>
      <c r="E2366" s="392" t="n"/>
      <c r="F2366" s="392" t="n"/>
      <c r="G2366" s="392" t="n">
        <v>15</v>
      </c>
      <c r="H2366" s="446">
        <f>H2365-G2366</f>
        <v/>
      </c>
      <c r="I2366" s="392" t="n"/>
      <c r="J2366" s="392" t="n"/>
      <c r="K2366" s="392" t="n"/>
      <c r="L2366" s="392" t="n"/>
      <c r="M2366" s="392" t="n"/>
    </row>
    <row r="2367">
      <c r="A2367" s="568" t="n">
        <v>44300</v>
      </c>
      <c r="B2367" s="392" t="n">
        <v>8012</v>
      </c>
      <c r="C2367" s="392" t="n">
        <v>69</v>
      </c>
      <c r="D2367" s="392" t="n"/>
      <c r="E2367" s="392" t="n"/>
      <c r="F2367" s="392" t="n"/>
      <c r="G2367" s="392" t="n">
        <v>30</v>
      </c>
      <c r="H2367" s="446">
        <f>H2366-G2367</f>
        <v/>
      </c>
      <c r="I2367" s="392" t="n"/>
      <c r="J2367" s="392" t="n"/>
      <c r="K2367" s="392" t="n"/>
      <c r="L2367" s="392" t="n"/>
      <c r="M2367" s="392" t="n"/>
    </row>
    <row r="2368">
      <c r="A2368" s="568" t="n">
        <v>44300</v>
      </c>
      <c r="B2368" s="392" t="n">
        <v>8013</v>
      </c>
      <c r="C2368" s="392" t="n">
        <v>60</v>
      </c>
      <c r="D2368" s="392" t="n"/>
      <c r="E2368" s="392" t="n"/>
      <c r="F2368" s="392" t="n"/>
      <c r="G2368" s="392" t="n">
        <v>40</v>
      </c>
      <c r="H2368" s="446">
        <f>H2367-G2368</f>
        <v/>
      </c>
      <c r="I2368" s="392" t="n"/>
      <c r="J2368" s="392" t="n"/>
      <c r="K2368" s="392" t="n"/>
      <c r="L2368" s="392" t="n"/>
      <c r="M2368" s="392" t="n"/>
    </row>
    <row r="2369">
      <c r="A2369" s="568" t="n">
        <v>44300</v>
      </c>
      <c r="B2369" s="392" t="n">
        <v>8015</v>
      </c>
      <c r="C2369" s="392" t="n">
        <v>68</v>
      </c>
      <c r="D2369" s="392" t="n"/>
      <c r="E2369" s="392" t="n"/>
      <c r="F2369" s="392" t="n"/>
      <c r="G2369" s="392" t="n">
        <v>30</v>
      </c>
      <c r="H2369" s="446">
        <f>H2368-G2369</f>
        <v/>
      </c>
      <c r="I2369" s="392" t="n"/>
      <c r="J2369" s="392" t="n"/>
      <c r="K2369" s="392" t="n"/>
      <c r="L2369" s="392" t="n"/>
      <c r="M2369" s="392" t="n"/>
    </row>
    <row r="2370">
      <c r="A2370" s="568" t="n">
        <v>44301</v>
      </c>
      <c r="B2370" s="392" t="n">
        <v>8018</v>
      </c>
      <c r="C2370" s="392" t="n">
        <v>69</v>
      </c>
      <c r="D2370" s="392" t="n"/>
      <c r="E2370" s="392" t="n"/>
      <c r="F2370" s="392" t="n"/>
      <c r="G2370" s="392" t="n">
        <v>30</v>
      </c>
      <c r="H2370" s="446">
        <f>H2369-G2370</f>
        <v/>
      </c>
      <c r="I2370" s="392" t="n"/>
      <c r="J2370" s="392" t="n"/>
      <c r="K2370" s="392" t="n"/>
      <c r="L2370" s="392" t="n"/>
      <c r="M2370" s="392" t="n"/>
    </row>
    <row r="2371">
      <c r="A2371" s="568" t="n">
        <v>44306</v>
      </c>
      <c r="B2371" s="392" t="n">
        <v>8019</v>
      </c>
      <c r="C2371" s="392" t="n">
        <v>74</v>
      </c>
      <c r="D2371" s="392" t="n"/>
      <c r="E2371" s="392" t="n"/>
      <c r="F2371" s="392" t="n"/>
      <c r="G2371" s="392" t="n">
        <v>20</v>
      </c>
      <c r="H2371" s="446">
        <f>H2370-G2371</f>
        <v/>
      </c>
      <c r="I2371" s="392" t="n"/>
      <c r="J2371" s="392" t="n"/>
      <c r="K2371" s="392" t="n"/>
      <c r="L2371" s="392" t="n"/>
      <c r="M2371" s="392" t="n"/>
    </row>
    <row r="2372">
      <c r="A2372" s="568" t="n">
        <v>44306</v>
      </c>
      <c r="B2372" s="392" t="n">
        <v>8021</v>
      </c>
      <c r="C2372" s="392" t="n">
        <v>69.17</v>
      </c>
      <c r="D2372" s="392" t="n"/>
      <c r="E2372" s="392" t="n"/>
      <c r="F2372" s="392" t="n"/>
      <c r="G2372" s="392" t="n">
        <v>30</v>
      </c>
      <c r="H2372" s="446">
        <f>H2371-G2372</f>
        <v/>
      </c>
      <c r="I2372" s="392" t="n"/>
      <c r="J2372" s="392" t="n"/>
      <c r="K2372" s="392" t="n"/>
      <c r="L2372" s="392" t="n"/>
      <c r="M2372" s="392" t="n"/>
    </row>
    <row r="2373">
      <c r="A2373" s="568" t="n">
        <v>44306</v>
      </c>
      <c r="B2373" s="392" t="n">
        <v>8022</v>
      </c>
      <c r="C2373" s="392" t="n">
        <v>60</v>
      </c>
      <c r="D2373" s="392" t="n"/>
      <c r="E2373" s="392" t="n"/>
      <c r="F2373" s="392" t="n"/>
      <c r="G2373" s="392" t="n">
        <v>30</v>
      </c>
      <c r="H2373" s="446">
        <f>H2372-G2373</f>
        <v/>
      </c>
      <c r="I2373" s="392" t="n"/>
      <c r="J2373" s="392" t="n"/>
      <c r="K2373" s="392" t="n"/>
      <c r="L2373" s="392" t="n"/>
      <c r="M2373" s="392" t="n"/>
    </row>
    <row r="2374">
      <c r="A2374" s="568" t="n">
        <v>44306</v>
      </c>
      <c r="B2374" s="392" t="n">
        <v>8027</v>
      </c>
      <c r="C2374" s="392" t="n">
        <v>69</v>
      </c>
      <c r="D2374" s="392" t="n"/>
      <c r="E2374" s="392" t="n"/>
      <c r="F2374" s="392" t="n"/>
      <c r="G2374" s="392" t="n">
        <v>10</v>
      </c>
      <c r="H2374" s="446">
        <f>H2373-G2374</f>
        <v/>
      </c>
      <c r="I2374" s="392" t="n"/>
      <c r="J2374" s="392" t="n"/>
      <c r="K2374" s="392" t="n"/>
      <c r="L2374" s="392" t="n"/>
      <c r="M2374" s="392" t="n"/>
    </row>
    <row r="2375">
      <c r="A2375" s="568" t="n">
        <v>44306</v>
      </c>
      <c r="B2375" s="392" t="n">
        <v>8028</v>
      </c>
      <c r="C2375" s="392" t="n">
        <v>66.5</v>
      </c>
      <c r="D2375" s="392" t="n"/>
      <c r="E2375" s="392" t="n"/>
      <c r="F2375" s="392" t="n"/>
      <c r="G2375" s="392" t="n">
        <v>10</v>
      </c>
      <c r="H2375" s="446">
        <f>H2374-G2375</f>
        <v/>
      </c>
      <c r="I2375" s="392" t="n"/>
      <c r="J2375" s="392" t="n"/>
      <c r="K2375" s="392" t="n"/>
      <c r="L2375" s="392" t="n"/>
      <c r="M2375" s="392" t="n"/>
    </row>
    <row r="2376">
      <c r="A2376" s="568" t="n">
        <v>44306</v>
      </c>
      <c r="B2376" s="392" t="n">
        <v>8029</v>
      </c>
      <c r="C2376" s="392" t="n">
        <v>71.67</v>
      </c>
      <c r="D2376" s="392" t="n"/>
      <c r="E2376" s="392" t="n"/>
      <c r="F2376" s="370" t="n"/>
      <c r="G2376" s="392" t="n">
        <v>15</v>
      </c>
      <c r="H2376" s="446">
        <f>H2375-G2376</f>
        <v/>
      </c>
      <c r="I2376" s="392" t="n"/>
      <c r="J2376" s="392" t="n"/>
      <c r="K2376" s="392" t="n"/>
      <c r="L2376" s="392" t="n"/>
      <c r="M2376" s="392" t="n"/>
    </row>
    <row r="2377">
      <c r="A2377" s="568" t="n">
        <v>44308</v>
      </c>
      <c r="B2377" s="392" t="n">
        <v>8030</v>
      </c>
      <c r="C2377" s="392" t="n">
        <v>68</v>
      </c>
      <c r="D2377" s="392" t="n"/>
      <c r="E2377" s="392" t="n"/>
      <c r="F2377" s="392" t="n"/>
      <c r="G2377" s="392" t="n">
        <v>35</v>
      </c>
      <c r="H2377" s="446">
        <f>H2376-G2377</f>
        <v/>
      </c>
      <c r="I2377" s="392" t="n"/>
      <c r="J2377" s="392" t="n"/>
      <c r="K2377" s="392" t="n"/>
      <c r="L2377" s="392" t="n"/>
      <c r="M2377" s="392" t="n"/>
    </row>
    <row r="2378">
      <c r="A2378" s="568" t="n">
        <v>44308</v>
      </c>
      <c r="B2378" s="392" t="n">
        <v>8031</v>
      </c>
      <c r="C2378" s="392" t="n">
        <v>70</v>
      </c>
      <c r="D2378" s="392" t="n"/>
      <c r="E2378" s="392" t="n"/>
      <c r="F2378" s="392" t="n"/>
      <c r="G2378" s="392" t="n">
        <v>20</v>
      </c>
      <c r="H2378" s="446">
        <f>H2377-G2378</f>
        <v/>
      </c>
      <c r="I2378" s="392" t="n"/>
      <c r="J2378" s="392" t="n"/>
      <c r="K2378" s="392" t="n"/>
      <c r="L2378" s="392" t="n"/>
      <c r="M2378" s="392" t="n"/>
    </row>
    <row r="2379">
      <c r="A2379" s="568" t="n">
        <v>44308</v>
      </c>
      <c r="B2379" s="392" t="n">
        <v>8033</v>
      </c>
      <c r="C2379" s="392" t="n">
        <v>65</v>
      </c>
      <c r="D2379" s="392" t="n"/>
      <c r="E2379" s="392" t="n"/>
      <c r="F2379" s="392" t="n"/>
      <c r="G2379" s="392" t="n">
        <v>40</v>
      </c>
      <c r="H2379" s="446">
        <f>H2378-G2379</f>
        <v/>
      </c>
      <c r="I2379" s="392" t="n"/>
      <c r="J2379" s="392" t="n"/>
      <c r="K2379" s="392" t="n"/>
      <c r="L2379" s="392" t="n"/>
      <c r="M2379" s="392" t="n"/>
    </row>
    <row r="2380">
      <c r="A2380" s="568" t="n">
        <v>44308</v>
      </c>
      <c r="B2380" s="392" t="n">
        <v>8034</v>
      </c>
      <c r="C2380" s="392" t="n">
        <v>69</v>
      </c>
      <c r="D2380" s="392" t="n"/>
      <c r="E2380" s="392" t="n"/>
      <c r="F2380" s="392" t="n"/>
      <c r="G2380" s="392" t="n">
        <v>30</v>
      </c>
      <c r="H2380" s="446">
        <f>H2379-G2380</f>
        <v/>
      </c>
      <c r="I2380" s="392" t="n"/>
      <c r="J2380" s="392" t="n"/>
      <c r="K2380" s="392" t="n"/>
      <c r="L2380" s="392" t="n"/>
      <c r="M2380" s="392" t="n"/>
    </row>
    <row r="2381">
      <c r="A2381" s="568" t="n">
        <v>44308</v>
      </c>
      <c r="B2381" s="392" t="n">
        <v>8038</v>
      </c>
      <c r="C2381" s="392" t="n">
        <v>69</v>
      </c>
      <c r="D2381" s="392" t="n"/>
      <c r="E2381" s="392" t="n"/>
      <c r="F2381" s="392" t="n"/>
      <c r="G2381" s="392" t="n">
        <v>30</v>
      </c>
      <c r="H2381" s="446">
        <f>H2380-G2381</f>
        <v/>
      </c>
      <c r="I2381" s="392" t="n"/>
      <c r="J2381" s="392" t="n"/>
      <c r="K2381" s="392" t="n"/>
      <c r="L2381" s="392" t="n"/>
      <c r="M2381" s="392" t="n"/>
    </row>
    <row r="2382">
      <c r="A2382" s="568" t="n">
        <v>44308</v>
      </c>
      <c r="B2382" s="392" t="n">
        <v>8039</v>
      </c>
      <c r="C2382" s="392" t="n">
        <v>69</v>
      </c>
      <c r="D2382" s="392" t="n"/>
      <c r="E2382" s="392" t="n"/>
      <c r="F2382" s="392" t="n"/>
      <c r="G2382" s="392" t="n">
        <v>50</v>
      </c>
      <c r="H2382" s="446">
        <f>H2381-G2382</f>
        <v/>
      </c>
      <c r="I2382" s="392" t="n"/>
      <c r="J2382" s="392" t="n"/>
      <c r="K2382" s="392" t="n"/>
      <c r="L2382" s="392" t="n"/>
      <c r="M2382" s="392" t="n"/>
    </row>
    <row r="2383">
      <c r="A2383" s="568" t="n">
        <v>44313</v>
      </c>
      <c r="B2383" s="392" t="n">
        <v>8044</v>
      </c>
      <c r="C2383" s="392" t="n">
        <v>71.5</v>
      </c>
      <c r="D2383" s="392" t="n"/>
      <c r="E2383" s="392" t="n"/>
      <c r="F2383" s="392" t="n"/>
      <c r="G2383" s="392" t="n">
        <v>30</v>
      </c>
      <c r="H2383" s="446">
        <f>H2382-G2383</f>
        <v/>
      </c>
      <c r="I2383" s="392" t="n"/>
      <c r="J2383" s="392" t="n"/>
      <c r="K2383" s="392" t="n"/>
      <c r="L2383" s="392" t="n"/>
      <c r="M2383" s="392" t="n"/>
    </row>
    <row r="2384">
      <c r="A2384" s="568" t="n">
        <v>44313</v>
      </c>
      <c r="B2384" s="392" t="n">
        <v>8046</v>
      </c>
      <c r="C2384" s="392" t="n">
        <v>70</v>
      </c>
      <c r="D2384" s="392" t="n"/>
      <c r="E2384" s="392" t="n"/>
      <c r="F2384" s="392" t="n"/>
      <c r="G2384" s="392" t="n">
        <v>20</v>
      </c>
      <c r="H2384" s="446">
        <f>H2383-G2384</f>
        <v/>
      </c>
      <c r="I2384" s="392" t="n"/>
      <c r="J2384" s="392" t="n"/>
      <c r="K2384" s="392" t="n"/>
      <c r="L2384" s="392" t="n"/>
      <c r="M2384" s="392" t="n"/>
    </row>
    <row r="2385">
      <c r="A2385" s="568" t="n">
        <v>44313</v>
      </c>
      <c r="B2385" s="392" t="n">
        <v>8047</v>
      </c>
      <c r="C2385" s="392" t="n">
        <v>71.25</v>
      </c>
      <c r="D2385" s="392" t="n"/>
      <c r="E2385" s="392" t="n"/>
      <c r="F2385" s="392" t="n"/>
      <c r="G2385" s="392" t="n">
        <v>40</v>
      </c>
      <c r="H2385" s="446">
        <f>H2384-G2385</f>
        <v/>
      </c>
      <c r="I2385" s="392" t="n"/>
      <c r="J2385" s="392" t="n"/>
      <c r="K2385" s="392" t="n"/>
      <c r="L2385" s="392" t="n"/>
      <c r="M2385" s="392" t="n"/>
    </row>
    <row r="2386">
      <c r="A2386" s="568" t="n">
        <v>44313</v>
      </c>
      <c r="B2386" s="392" t="n">
        <v>8048</v>
      </c>
      <c r="C2386" s="392" t="n">
        <v>68</v>
      </c>
      <c r="D2386" s="392" t="n"/>
      <c r="E2386" s="392" t="n"/>
      <c r="F2386" s="392" t="n"/>
      <c r="G2386" s="392" t="n">
        <v>60</v>
      </c>
      <c r="H2386" s="446">
        <f>H2385-G2386</f>
        <v/>
      </c>
      <c r="I2386" s="392" t="n"/>
      <c r="J2386" s="392" t="n"/>
      <c r="K2386" s="392" t="n"/>
      <c r="L2386" s="392" t="n"/>
      <c r="M2386" s="392" t="n"/>
    </row>
    <row r="2387">
      <c r="A2387" s="568" t="n">
        <v>44313</v>
      </c>
      <c r="B2387" s="392" t="n">
        <v>8049</v>
      </c>
      <c r="C2387" s="392" t="n">
        <v>68</v>
      </c>
      <c r="D2387" s="392" t="n"/>
      <c r="E2387" s="392" t="n"/>
      <c r="F2387" s="392" t="n"/>
      <c r="G2387" s="392" t="n">
        <v>20</v>
      </c>
      <c r="H2387" s="446">
        <f>H2386-G2387</f>
        <v/>
      </c>
      <c r="I2387" s="392" t="n"/>
      <c r="J2387" s="392" t="n"/>
      <c r="K2387" s="392" t="n"/>
      <c r="L2387" s="392" t="n"/>
      <c r="M2387" s="392" t="n"/>
    </row>
    <row r="2388">
      <c r="A2388" s="568" t="n">
        <v>44313</v>
      </c>
      <c r="B2388" s="392" t="n">
        <v>8051</v>
      </c>
      <c r="C2388" s="392" t="n">
        <v>70</v>
      </c>
      <c r="D2388" s="392" t="n"/>
      <c r="E2388" s="392" t="n"/>
      <c r="F2388" s="392" t="n"/>
      <c r="G2388" s="392" t="n">
        <v>15</v>
      </c>
      <c r="H2388" s="446">
        <f>H2387-G2388</f>
        <v/>
      </c>
      <c r="I2388" s="392" t="n"/>
      <c r="J2388" s="392" t="n"/>
      <c r="K2388" s="392" t="n"/>
      <c r="L2388" s="392" t="n"/>
      <c r="M2388" s="392" t="n"/>
    </row>
    <row r="2389">
      <c r="A2389" s="304" t="n">
        <v>44313</v>
      </c>
      <c r="B2389" s="401" t="n">
        <v>15805</v>
      </c>
      <c r="C2389" s="401" t="n">
        <v>56</v>
      </c>
      <c r="D2389" s="401" t="n"/>
      <c r="E2389" s="401" t="n"/>
      <c r="F2389" s="401" t="n">
        <v>1120</v>
      </c>
      <c r="G2389" s="401" t="n"/>
      <c r="H2389" s="322" t="n">
        <v>2965</v>
      </c>
      <c r="I2389" s="392" t="n"/>
      <c r="J2389" s="392" t="n"/>
      <c r="K2389" s="392" t="n"/>
      <c r="L2389" s="392" t="n"/>
      <c r="M2389" s="392" t="n"/>
    </row>
    <row r="2390">
      <c r="A2390" s="304" t="n">
        <v>44316</v>
      </c>
      <c r="B2390" s="401" t="n">
        <v>164627</v>
      </c>
      <c r="C2390" s="401" t="n">
        <v>58.1</v>
      </c>
      <c r="D2390" s="401" t="n"/>
      <c r="E2390" s="401" t="n"/>
      <c r="F2390" s="401" t="n">
        <v>180</v>
      </c>
      <c r="G2390" s="401" t="n"/>
      <c r="H2390" s="322" t="n">
        <v>3145</v>
      </c>
      <c r="I2390" s="392" t="n"/>
      <c r="J2390" s="392" t="n"/>
      <c r="K2390" s="392" t="n"/>
      <c r="L2390" s="392" t="n"/>
      <c r="M2390" s="392" t="n"/>
    </row>
    <row r="2391">
      <c r="A2391" s="568" t="n"/>
      <c r="B2391" s="392" t="n"/>
      <c r="C2391" s="392" t="n"/>
      <c r="D2391" s="392" t="n"/>
      <c r="E2391" s="392" t="n"/>
      <c r="F2391" s="392" t="n"/>
      <c r="G2391" s="392" t="n"/>
      <c r="H2391" s="446">
        <f>H2390-G2391</f>
        <v/>
      </c>
      <c r="I2391" s="392" t="n"/>
      <c r="J2391" s="392" t="n"/>
      <c r="K2391" s="392" t="n"/>
      <c r="L2391" s="392" t="n"/>
      <c r="M2391" s="392" t="n"/>
    </row>
    <row r="2392">
      <c r="A2392" s="568" t="n"/>
      <c r="B2392" s="392" t="n"/>
      <c r="C2392" s="392" t="n"/>
      <c r="D2392" s="392" t="n"/>
      <c r="E2392" s="392" t="n"/>
      <c r="F2392" s="392" t="n"/>
      <c r="G2392" s="392" t="n"/>
      <c r="H2392" s="446">
        <f>H2391-G2392</f>
        <v/>
      </c>
      <c r="I2392" s="392" t="n"/>
      <c r="J2392" s="392" t="n"/>
      <c r="K2392" s="392" t="n"/>
      <c r="L2392" s="392" t="n"/>
      <c r="M2392" s="392" t="n"/>
    </row>
    <row r="2393" ht="15.75" customHeight="1" s="436" thickBot="1">
      <c r="A2393" s="568" t="n"/>
      <c r="B2393" s="392" t="n"/>
      <c r="C2393" s="392" t="n"/>
      <c r="D2393" s="392" t="n"/>
      <c r="E2393" s="392" t="n"/>
      <c r="F2393" s="392" t="n"/>
      <c r="G2393" s="392" t="n"/>
      <c r="H2393" s="446">
        <f>H2392-G2393</f>
        <v/>
      </c>
      <c r="I2393" s="392" t="n"/>
      <c r="J2393" s="392" t="n"/>
      <c r="K2393" s="392" t="n"/>
      <c r="L2393" s="392" t="n"/>
      <c r="M2393" s="392" t="n"/>
    </row>
    <row r="2394" ht="32.25" customHeight="1" s="436" thickBot="1">
      <c r="A2394" s="735" t="inlineStr">
        <is>
          <t>Maio</t>
        </is>
      </c>
      <c r="B2394" s="697" t="n"/>
      <c r="C2394" s="697" t="n"/>
      <c r="D2394" s="697" t="n"/>
      <c r="E2394" s="697" t="n"/>
      <c r="F2394" s="697" t="n"/>
      <c r="G2394" s="697" t="n"/>
      <c r="H2394" s="697" t="n"/>
      <c r="I2394" s="697" t="n"/>
      <c r="J2394" s="697" t="n"/>
      <c r="K2394" s="697" t="n"/>
      <c r="L2394" s="697" t="n"/>
      <c r="M2394" s="698" t="n"/>
    </row>
    <row r="2395" ht="27" customHeight="1" s="436" thickBot="1">
      <c r="A2395" s="734" t="inlineStr">
        <is>
          <t xml:space="preserve"> FARINHA DE TRIGO TIPO: 1 - 25 KG</t>
        </is>
      </c>
      <c r="B2395" s="706" t="n"/>
      <c r="C2395" s="706" t="n"/>
      <c r="D2395" s="706" t="n"/>
      <c r="E2395" s="706" t="n"/>
      <c r="F2395" s="706" t="n"/>
      <c r="G2395" s="706" t="n"/>
      <c r="H2395" s="706" t="n"/>
      <c r="I2395" s="706" t="n"/>
      <c r="J2395" s="706" t="n"/>
      <c r="K2395" s="706" t="n"/>
      <c r="L2395" s="706" t="n"/>
      <c r="M2395" s="707" t="n"/>
    </row>
    <row r="2396">
      <c r="A2396" s="643" t="inlineStr">
        <is>
          <t>DATA</t>
        </is>
      </c>
      <c r="B2396" s="633" t="inlineStr">
        <is>
          <t>N.F.</t>
        </is>
      </c>
      <c r="C2396" s="633" t="inlineStr">
        <is>
          <t>TIPO</t>
        </is>
      </c>
      <c r="D2396" s="633" t="inlineStr">
        <is>
          <t>PREÇO UNITÁRIO</t>
        </is>
      </c>
      <c r="E2396" s="701" t="n"/>
      <c r="F2396" s="633" t="inlineStr">
        <is>
          <t>QUANTIDADE / KG</t>
        </is>
      </c>
      <c r="H2396" s="701" t="n"/>
      <c r="I2396" s="632" t="inlineStr">
        <is>
          <t>PREÇO</t>
        </is>
      </c>
      <c r="J2396" s="632" t="inlineStr">
        <is>
          <t>VALORES</t>
        </is>
      </c>
      <c r="L2396" s="701" t="n"/>
      <c r="M2396" s="649" t="n"/>
    </row>
    <row r="2397" ht="15.75" customHeight="1" s="436" thickBot="1">
      <c r="A2397" s="703" t="n"/>
      <c r="B2397" s="704" t="n"/>
      <c r="C2397" s="704" t="n"/>
      <c r="D2397" s="703" t="n"/>
      <c r="E2397" s="701" t="n"/>
      <c r="F2397" s="705" t="n"/>
      <c r="G2397" s="706" t="n"/>
      <c r="H2397" s="707" t="n"/>
      <c r="I2397" s="704" t="n"/>
      <c r="J2397" s="703" t="n"/>
      <c r="L2397" s="701" t="n"/>
      <c r="M2397" s="704" t="n"/>
    </row>
    <row r="2398" ht="15.75" customHeight="1" s="436" thickBot="1">
      <c r="A2398" s="703" t="n"/>
      <c r="B2398" s="704" t="n"/>
      <c r="C2398" s="704" t="n"/>
      <c r="D2398" s="705" t="n"/>
      <c r="E2398" s="707" t="n"/>
      <c r="F2398" s="3" t="inlineStr">
        <is>
          <t>ENTRADA</t>
        </is>
      </c>
      <c r="G2398" s="3" t="inlineStr">
        <is>
          <t>SAÍDA</t>
        </is>
      </c>
      <c r="H2398" s="640" t="n"/>
      <c r="I2398" s="633" t="inlineStr">
        <is>
          <t>MÉDIO</t>
        </is>
      </c>
      <c r="J2398" s="652" t="inlineStr">
        <is>
          <t>SALDO EM 30/11/2017</t>
        </is>
      </c>
      <c r="K2398" s="706" t="n"/>
      <c r="L2398" s="17" t="n"/>
      <c r="M2398" s="704" t="n"/>
    </row>
    <row r="2399" ht="18" customHeight="1" s="436" thickBot="1">
      <c r="A2399" s="705" t="n"/>
      <c r="B2399" s="695" t="n"/>
      <c r="C2399" s="695" t="n"/>
      <c r="D2399" s="3" t="inlineStr">
        <is>
          <t>C/ICMS</t>
        </is>
      </c>
      <c r="E2399" s="3" t="inlineStr">
        <is>
          <t>S/ICMS</t>
        </is>
      </c>
      <c r="F2399" s="695" t="n"/>
      <c r="G2399" s="695" t="n"/>
      <c r="H2399" s="84" t="inlineStr">
        <is>
          <t>Saldo em 30/04/2021</t>
        </is>
      </c>
      <c r="I2399" s="695" t="n"/>
      <c r="J2399" s="645" t="inlineStr">
        <is>
          <t>ENTRADA</t>
        </is>
      </c>
      <c r="K2399" s="633" t="inlineStr">
        <is>
          <t>SAÍDA / CMV</t>
        </is>
      </c>
      <c r="L2399" s="643" t="inlineStr">
        <is>
          <t>SALDO</t>
        </is>
      </c>
      <c r="M2399" s="392" t="n"/>
    </row>
    <row r="2400">
      <c r="A2400" s="392" t="n"/>
      <c r="B2400" s="392" t="n"/>
      <c r="C2400" s="392" t="n"/>
      <c r="D2400" s="392" t="n"/>
      <c r="E2400" s="392" t="n"/>
      <c r="F2400" s="392" t="n"/>
      <c r="G2400" s="392" t="n"/>
      <c r="H2400" s="98" t="n">
        <v>3145</v>
      </c>
      <c r="I2400" s="392" t="n"/>
      <c r="J2400" s="392" t="n"/>
      <c r="K2400" s="392" t="n"/>
      <c r="L2400" s="392" t="n"/>
      <c r="M2400" s="392" t="n"/>
    </row>
    <row r="2401">
      <c r="A2401" s="568" t="n">
        <v>44320</v>
      </c>
      <c r="B2401" s="392" t="n">
        <v>8054</v>
      </c>
      <c r="C2401" s="392" t="n">
        <v>75</v>
      </c>
      <c r="D2401" s="392" t="n"/>
      <c r="E2401" s="392" t="n"/>
      <c r="F2401" s="392" t="n"/>
      <c r="G2401" s="392" t="n">
        <v>60</v>
      </c>
      <c r="H2401" s="446">
        <f>H2400-G2401</f>
        <v/>
      </c>
      <c r="I2401" s="392" t="n"/>
      <c r="J2401" s="392" t="n"/>
      <c r="K2401" s="392" t="n"/>
      <c r="L2401" s="392" t="n"/>
      <c r="M2401" s="392" t="n"/>
    </row>
    <row r="2402">
      <c r="A2402" s="568" t="n">
        <v>44320</v>
      </c>
      <c r="B2402" s="392" t="n">
        <v>8056</v>
      </c>
      <c r="C2402" s="392" t="n">
        <v>60</v>
      </c>
      <c r="D2402" s="392" t="n"/>
      <c r="E2402" s="392" t="n"/>
      <c r="F2402" s="392" t="n"/>
      <c r="G2402" s="392" t="n">
        <v>20</v>
      </c>
      <c r="H2402" s="446">
        <f>H2401-G2402</f>
        <v/>
      </c>
      <c r="I2402" s="392" t="n"/>
      <c r="J2402" s="392" t="n"/>
      <c r="K2402" s="392" t="n"/>
      <c r="L2402" s="392" t="n"/>
      <c r="M2402" s="392" t="n"/>
    </row>
    <row r="2403">
      <c r="A2403" s="568" t="n">
        <v>44320</v>
      </c>
      <c r="B2403" s="392" t="n">
        <v>8057</v>
      </c>
      <c r="C2403" s="392" t="n">
        <v>70</v>
      </c>
      <c r="D2403" s="392" t="n"/>
      <c r="E2403" s="392" t="n"/>
      <c r="F2403" s="392" t="n"/>
      <c r="G2403" s="392" t="n">
        <v>15</v>
      </c>
      <c r="H2403" s="446">
        <f>H2402-G2403</f>
        <v/>
      </c>
      <c r="I2403" s="392" t="n"/>
      <c r="J2403" s="392" t="n"/>
      <c r="K2403" s="392" t="n"/>
      <c r="L2403" s="392" t="n"/>
      <c r="M2403" s="392" t="n"/>
    </row>
    <row r="2404">
      <c r="A2404" s="568" t="n">
        <v>44320</v>
      </c>
      <c r="B2404" s="392" t="n">
        <v>8058</v>
      </c>
      <c r="C2404" s="392" t="n">
        <v>66</v>
      </c>
      <c r="D2404" s="392" t="n"/>
      <c r="E2404" s="392" t="n"/>
      <c r="F2404" s="392" t="n"/>
      <c r="G2404" s="392" t="n">
        <v>40</v>
      </c>
      <c r="H2404" s="446">
        <f>H2403-G2404</f>
        <v/>
      </c>
      <c r="I2404" s="392" t="n"/>
      <c r="J2404" s="392" t="n"/>
      <c r="K2404" s="392" t="n"/>
      <c r="L2404" s="392" t="n"/>
      <c r="M2404" s="392" t="n"/>
    </row>
    <row r="2405">
      <c r="A2405" s="568" t="n">
        <v>44320</v>
      </c>
      <c r="B2405" s="392" t="n">
        <v>8059</v>
      </c>
      <c r="C2405" s="392" t="n">
        <v>60</v>
      </c>
      <c r="D2405" s="392" t="n"/>
      <c r="E2405" s="392" t="n"/>
      <c r="F2405" s="392" t="n"/>
      <c r="G2405" s="392" t="n">
        <v>30</v>
      </c>
      <c r="H2405" s="446">
        <f>H2404-G2405</f>
        <v/>
      </c>
      <c r="I2405" s="392" t="n"/>
      <c r="J2405" s="392" t="n"/>
      <c r="K2405" s="392" t="n"/>
      <c r="L2405" s="392" t="n"/>
      <c r="M2405" s="392" t="n"/>
    </row>
    <row r="2406">
      <c r="A2406" s="568" t="n">
        <v>44321</v>
      </c>
      <c r="B2406" s="392" t="n">
        <v>8063</v>
      </c>
      <c r="C2406" s="392" t="n">
        <v>65</v>
      </c>
      <c r="D2406" s="392" t="n"/>
      <c r="E2406" s="392" t="n"/>
      <c r="F2406" s="392" t="n"/>
      <c r="G2406" s="392" t="n">
        <v>100</v>
      </c>
      <c r="H2406" s="446">
        <f>H2405-G2406</f>
        <v/>
      </c>
      <c r="I2406" s="392" t="n"/>
      <c r="J2406" s="392" t="n"/>
      <c r="K2406" s="392" t="n"/>
      <c r="L2406" s="392" t="n"/>
      <c r="M2406" s="392" t="n"/>
    </row>
    <row r="2407">
      <c r="A2407" s="568" t="n">
        <v>44321</v>
      </c>
      <c r="B2407" s="392" t="n">
        <v>8067</v>
      </c>
      <c r="C2407" s="392" t="n">
        <v>60</v>
      </c>
      <c r="D2407" s="392" t="n"/>
      <c r="E2407" s="392" t="n"/>
      <c r="F2407" s="392" t="n"/>
      <c r="G2407" s="392" t="n">
        <v>50</v>
      </c>
      <c r="H2407" s="446">
        <f>H2406-G2407</f>
        <v/>
      </c>
      <c r="I2407" s="392" t="n"/>
      <c r="J2407" s="392" t="n"/>
      <c r="K2407" s="392" t="n"/>
      <c r="L2407" s="392" t="n"/>
      <c r="M2407" s="392" t="n"/>
    </row>
    <row r="2408">
      <c r="A2408" s="568" t="n">
        <v>44321</v>
      </c>
      <c r="B2408" s="392" t="n">
        <v>8068</v>
      </c>
      <c r="C2408" s="392" t="n">
        <v>70</v>
      </c>
      <c r="D2408" s="392" t="n"/>
      <c r="E2408" s="392" t="n"/>
      <c r="F2408" s="392" t="n"/>
      <c r="G2408" s="392" t="n">
        <v>30</v>
      </c>
      <c r="H2408" s="446">
        <f>H2407-G2408</f>
        <v/>
      </c>
      <c r="I2408" s="392" t="n"/>
      <c r="J2408" s="392" t="n"/>
      <c r="K2408" s="392" t="n"/>
      <c r="L2408" s="392" t="n"/>
      <c r="M2408" s="392" t="n"/>
    </row>
    <row r="2409">
      <c r="A2409" s="568" t="n">
        <v>44321</v>
      </c>
      <c r="B2409" s="392" t="n">
        <v>8069</v>
      </c>
      <c r="C2409" s="392" t="n">
        <v>69</v>
      </c>
      <c r="D2409" s="392" t="n"/>
      <c r="E2409" s="392" t="n"/>
      <c r="F2409" s="392" t="n"/>
      <c r="G2409" s="392" t="n">
        <v>30</v>
      </c>
      <c r="H2409" s="446">
        <f>H2408-G2409</f>
        <v/>
      </c>
      <c r="I2409" s="392" t="n"/>
      <c r="J2409" s="392" t="n"/>
      <c r="K2409" s="392" t="n"/>
      <c r="L2409" s="392" t="n"/>
      <c r="M2409" s="392" t="n"/>
    </row>
    <row r="2410">
      <c r="A2410" s="568" t="n">
        <v>44321</v>
      </c>
      <c r="B2410" s="392" t="n">
        <v>8070</v>
      </c>
      <c r="C2410" s="392" t="n">
        <v>70</v>
      </c>
      <c r="D2410" s="392" t="n"/>
      <c r="E2410" s="392" t="n"/>
      <c r="F2410" s="392" t="n"/>
      <c r="G2410" s="392" t="n">
        <v>15</v>
      </c>
      <c r="H2410" s="446">
        <f>H2409-G2410</f>
        <v/>
      </c>
      <c r="I2410" s="392" t="n"/>
      <c r="J2410" s="392" t="n"/>
      <c r="K2410" s="392" t="n"/>
      <c r="L2410" s="392" t="n"/>
      <c r="M2410" s="392" t="n"/>
    </row>
    <row r="2411">
      <c r="A2411" s="304" t="n">
        <v>44326</v>
      </c>
      <c r="B2411" s="401" t="n">
        <v>4</v>
      </c>
      <c r="C2411" s="401" t="n">
        <v>58.5</v>
      </c>
      <c r="D2411" s="401" t="n"/>
      <c r="E2411" s="401" t="n"/>
      <c r="F2411" s="401" t="n">
        <v>420</v>
      </c>
      <c r="G2411" s="401" t="n"/>
      <c r="H2411" s="322" t="n">
        <v>3175</v>
      </c>
      <c r="I2411" s="392" t="n"/>
      <c r="J2411" s="392" t="n"/>
      <c r="K2411" s="392" t="n"/>
      <c r="L2411" s="392" t="n"/>
      <c r="M2411" s="392" t="n"/>
    </row>
    <row r="2412">
      <c r="A2412" s="568" t="n">
        <v>44328</v>
      </c>
      <c r="B2412" s="392" t="n">
        <v>8074</v>
      </c>
      <c r="C2412" s="392" t="n">
        <v>66</v>
      </c>
      <c r="D2412" s="392" t="n"/>
      <c r="E2412" s="392" t="n"/>
      <c r="F2412" s="392" t="n"/>
      <c r="G2412" s="392" t="n">
        <v>20</v>
      </c>
      <c r="H2412" s="446">
        <f>H2411-G2412</f>
        <v/>
      </c>
      <c r="I2412" s="392" t="n"/>
      <c r="J2412" s="392" t="n"/>
      <c r="K2412" s="392" t="n"/>
      <c r="L2412" s="392" t="n"/>
      <c r="M2412" s="392" t="n"/>
    </row>
    <row r="2413">
      <c r="A2413" s="568" t="n">
        <v>44328</v>
      </c>
      <c r="B2413" s="392" t="n">
        <v>8075</v>
      </c>
      <c r="C2413" s="392" t="n">
        <v>68.5</v>
      </c>
      <c r="D2413" s="392" t="n"/>
      <c r="E2413" s="392" t="n"/>
      <c r="F2413" s="392" t="n"/>
      <c r="G2413" s="392" t="n">
        <v>40</v>
      </c>
      <c r="H2413" s="446">
        <f>H2412-G2413</f>
        <v/>
      </c>
      <c r="I2413" s="392" t="n"/>
      <c r="J2413" s="392" t="n"/>
      <c r="K2413" s="392" t="n"/>
      <c r="L2413" s="392" t="n"/>
      <c r="M2413" s="392" t="n"/>
    </row>
    <row r="2414">
      <c r="A2414" s="568" t="n">
        <v>44328</v>
      </c>
      <c r="B2414" s="392" t="n">
        <v>8078</v>
      </c>
      <c r="C2414" s="392" t="n">
        <v>71.5</v>
      </c>
      <c r="D2414" s="392" t="n"/>
      <c r="E2414" s="392" t="n"/>
      <c r="F2414" s="392" t="n"/>
      <c r="G2414" s="392" t="n">
        <v>30</v>
      </c>
      <c r="H2414" s="446">
        <f>H2413-G2414</f>
        <v/>
      </c>
      <c r="I2414" s="392" t="n"/>
      <c r="J2414" s="392" t="n"/>
      <c r="K2414" s="392" t="n"/>
      <c r="L2414" s="392" t="n"/>
      <c r="M2414" s="392" t="n"/>
    </row>
    <row r="2415">
      <c r="A2415" s="568" t="n">
        <v>44328</v>
      </c>
      <c r="B2415" s="392" t="n">
        <v>8082</v>
      </c>
      <c r="C2415" s="392" t="n">
        <v>70</v>
      </c>
      <c r="D2415" s="392" t="n"/>
      <c r="E2415" s="392" t="n"/>
      <c r="F2415" s="392" t="n"/>
      <c r="G2415" s="392" t="n">
        <v>20</v>
      </c>
      <c r="H2415" s="446">
        <f>H2414-G2415</f>
        <v/>
      </c>
      <c r="I2415" s="392" t="n"/>
      <c r="J2415" s="392" t="n"/>
      <c r="K2415" s="392" t="n"/>
      <c r="L2415" s="392" t="n"/>
      <c r="M2415" s="392" t="n"/>
    </row>
    <row r="2416">
      <c r="A2416" s="568" t="n">
        <v>44328</v>
      </c>
      <c r="B2416" s="392" t="n">
        <v>8083</v>
      </c>
      <c r="C2416" s="392" t="n">
        <v>68.90000000000001</v>
      </c>
      <c r="D2416" s="392" t="n"/>
      <c r="E2416" s="392" t="n"/>
      <c r="F2416" s="392" t="n"/>
      <c r="G2416" s="392" t="n">
        <v>20</v>
      </c>
      <c r="H2416" s="446">
        <f>H2415-G2416</f>
        <v/>
      </c>
      <c r="I2416" s="392" t="n"/>
      <c r="J2416" s="392" t="n"/>
      <c r="K2416" s="392" t="n"/>
      <c r="L2416" s="392" t="n"/>
      <c r="M2416" s="392" t="n"/>
    </row>
    <row r="2417">
      <c r="A2417" s="568" t="n">
        <v>44328</v>
      </c>
      <c r="B2417" s="392" t="n">
        <v>8084</v>
      </c>
      <c r="C2417" s="392" t="n">
        <v>70</v>
      </c>
      <c r="D2417" s="392" t="n"/>
      <c r="E2417" s="392" t="n"/>
      <c r="F2417" s="392" t="n"/>
      <c r="G2417" s="392" t="n">
        <v>15</v>
      </c>
      <c r="H2417" s="446">
        <f>H2416-G2417</f>
        <v/>
      </c>
      <c r="I2417" s="392" t="n"/>
      <c r="J2417" s="392" t="n"/>
      <c r="K2417" s="392" t="n"/>
      <c r="L2417" s="392" t="n"/>
      <c r="M2417" s="392" t="n"/>
    </row>
    <row r="2418">
      <c r="A2418" s="568" t="n">
        <v>44334</v>
      </c>
      <c r="B2418" s="392" t="n">
        <v>8085</v>
      </c>
      <c r="C2418" s="392" t="n">
        <v>69</v>
      </c>
      <c r="D2418" s="392" t="n"/>
      <c r="E2418" s="392" t="n"/>
      <c r="F2418" s="392" t="n"/>
      <c r="G2418" s="392" t="n">
        <v>20</v>
      </c>
      <c r="H2418" s="446">
        <f>H2417-G2418</f>
        <v/>
      </c>
      <c r="I2418" s="392" t="n"/>
      <c r="J2418" s="392" t="n"/>
      <c r="K2418" s="392" t="n"/>
      <c r="L2418" s="392" t="n"/>
      <c r="M2418" s="392" t="n"/>
    </row>
    <row r="2419">
      <c r="A2419" s="568" t="n">
        <v>44334</v>
      </c>
      <c r="B2419" s="392" t="n">
        <v>8086</v>
      </c>
      <c r="C2419" s="392" t="n">
        <v>67</v>
      </c>
      <c r="D2419" s="392" t="n"/>
      <c r="E2419" s="392" t="n"/>
      <c r="F2419" s="392" t="n"/>
      <c r="G2419" s="392" t="n">
        <v>50</v>
      </c>
      <c r="H2419" s="446">
        <f>H2418-G2419</f>
        <v/>
      </c>
      <c r="I2419" s="392" t="n"/>
      <c r="J2419" s="392" t="n"/>
      <c r="K2419" s="392" t="n"/>
      <c r="L2419" s="392" t="n"/>
      <c r="M2419" s="392" t="n"/>
    </row>
    <row r="2420">
      <c r="A2420" s="568" t="n">
        <v>44334</v>
      </c>
      <c r="B2420" s="392" t="n">
        <v>8087</v>
      </c>
      <c r="C2420" s="392" t="n">
        <v>69.59</v>
      </c>
      <c r="D2420" s="392" t="n"/>
      <c r="E2420" s="392" t="n"/>
      <c r="F2420" s="392" t="n"/>
      <c r="G2420" s="392" t="n">
        <v>60</v>
      </c>
      <c r="H2420" s="446">
        <f>H2419-G2420</f>
        <v/>
      </c>
      <c r="I2420" s="392" t="n"/>
      <c r="J2420" s="392" t="n"/>
      <c r="K2420" s="392" t="n"/>
      <c r="L2420" s="392" t="n"/>
      <c r="M2420" s="392" t="n"/>
    </row>
    <row r="2421">
      <c r="A2421" s="568" t="n">
        <v>44334</v>
      </c>
      <c r="B2421" s="392" t="n">
        <v>8088</v>
      </c>
      <c r="C2421" s="392" t="n">
        <v>69</v>
      </c>
      <c r="D2421" s="392" t="n"/>
      <c r="E2421" s="392" t="n"/>
      <c r="F2421" s="392" t="n"/>
      <c r="G2421" s="392" t="n">
        <v>20</v>
      </c>
      <c r="H2421" s="446">
        <f>H2420-G2421</f>
        <v/>
      </c>
      <c r="I2421" s="392" t="n"/>
      <c r="J2421" s="392" t="n"/>
      <c r="K2421" s="392" t="n"/>
      <c r="L2421" s="392" t="n"/>
      <c r="M2421" s="392" t="n"/>
    </row>
    <row r="2422">
      <c r="A2422" s="568" t="n">
        <v>44334</v>
      </c>
      <c r="B2422" s="392" t="n">
        <v>8089</v>
      </c>
      <c r="C2422" s="392" t="n">
        <v>68</v>
      </c>
      <c r="D2422" s="392" t="n"/>
      <c r="E2422" s="392" t="n"/>
      <c r="F2422" s="392" t="n"/>
      <c r="G2422" s="392" t="n">
        <v>50</v>
      </c>
      <c r="H2422" s="446">
        <f>H2421-G2422</f>
        <v/>
      </c>
      <c r="I2422" s="392" t="n"/>
      <c r="J2422" s="392" t="n"/>
      <c r="K2422" s="392" t="n"/>
      <c r="L2422" s="392" t="n"/>
      <c r="M2422" s="392" t="n"/>
    </row>
    <row r="2423">
      <c r="A2423" s="568" t="n">
        <v>44334</v>
      </c>
      <c r="B2423" s="392" t="n">
        <v>8093</v>
      </c>
      <c r="C2423" s="392" t="n">
        <v>60</v>
      </c>
      <c r="D2423" s="392" t="n"/>
      <c r="E2423" s="392" t="n"/>
      <c r="F2423" s="392" t="n"/>
      <c r="G2423" s="392" t="n">
        <v>20</v>
      </c>
      <c r="H2423" s="446">
        <f>H2422-G2423</f>
        <v/>
      </c>
      <c r="I2423" s="392" t="n"/>
      <c r="J2423" s="392" t="n"/>
      <c r="K2423" s="392" t="n"/>
      <c r="L2423" s="392" t="n"/>
      <c r="M2423" s="392" t="n"/>
    </row>
    <row r="2424">
      <c r="A2424" s="568" t="n">
        <v>44335</v>
      </c>
      <c r="B2424" s="392" t="n">
        <v>8095</v>
      </c>
      <c r="C2424" s="392" t="n">
        <v>66.5</v>
      </c>
      <c r="D2424" s="392" t="n"/>
      <c r="E2424" s="392" t="n"/>
      <c r="F2424" s="392" t="n"/>
      <c r="G2424" s="392" t="n">
        <v>150</v>
      </c>
      <c r="H2424" s="446">
        <f>H2423-G2424</f>
        <v/>
      </c>
      <c r="I2424" s="392" t="n"/>
      <c r="J2424" s="392" t="n"/>
      <c r="K2424" s="392" t="n"/>
      <c r="L2424" s="392" t="n"/>
      <c r="M2424" s="392" t="n"/>
    </row>
    <row r="2425">
      <c r="A2425" s="568" t="n">
        <v>44335</v>
      </c>
      <c r="B2425" s="392" t="n">
        <v>8096</v>
      </c>
      <c r="C2425" s="392" t="n">
        <v>69</v>
      </c>
      <c r="D2425" s="392" t="n"/>
      <c r="E2425" s="392" t="n"/>
      <c r="F2425" s="392" t="n"/>
      <c r="G2425" s="392" t="n">
        <v>60</v>
      </c>
      <c r="H2425" s="446">
        <f>H2424-G2425</f>
        <v/>
      </c>
      <c r="I2425" s="392" t="n"/>
      <c r="J2425" s="392" t="n"/>
      <c r="K2425" s="392" t="n"/>
      <c r="L2425" s="392" t="n"/>
      <c r="M2425" s="392" t="n"/>
    </row>
    <row r="2426">
      <c r="A2426" s="568" t="n">
        <v>44335</v>
      </c>
      <c r="B2426" s="392" t="n">
        <v>8097</v>
      </c>
      <c r="C2426" s="392" t="n">
        <v>70.27</v>
      </c>
      <c r="D2426" s="392" t="n"/>
      <c r="E2426" s="392" t="n"/>
      <c r="F2426" s="392" t="n"/>
      <c r="G2426" s="392" t="n">
        <v>38</v>
      </c>
      <c r="H2426" s="446">
        <f>H2425-G2426</f>
        <v/>
      </c>
      <c r="I2426" s="392" t="n"/>
      <c r="J2426" s="392" t="n"/>
      <c r="K2426" s="392" t="n"/>
      <c r="L2426" s="392" t="n"/>
      <c r="M2426" s="392" t="n"/>
    </row>
    <row r="2427">
      <c r="A2427" s="568" t="n">
        <v>44336</v>
      </c>
      <c r="B2427" s="392" t="n">
        <v>8098</v>
      </c>
      <c r="C2427" s="392" t="n">
        <v>74</v>
      </c>
      <c r="D2427" s="392" t="n"/>
      <c r="E2427" s="392" t="n"/>
      <c r="F2427" s="392" t="n"/>
      <c r="G2427" s="392" t="n">
        <v>10</v>
      </c>
      <c r="H2427" s="446">
        <f>H2426-G2427</f>
        <v/>
      </c>
      <c r="I2427" s="392" t="n"/>
      <c r="J2427" s="392" t="n"/>
      <c r="K2427" s="392" t="n"/>
      <c r="L2427" s="392" t="n"/>
      <c r="M2427" s="392" t="n"/>
    </row>
    <row r="2428">
      <c r="A2428" s="568" t="n">
        <v>44336</v>
      </c>
      <c r="B2428" s="392" t="n">
        <v>8099</v>
      </c>
      <c r="C2428" s="392" t="n">
        <v>70</v>
      </c>
      <c r="D2428" s="392" t="n"/>
      <c r="E2428" s="392" t="n"/>
      <c r="F2428" s="392" t="n"/>
      <c r="G2428" s="392" t="n">
        <v>30</v>
      </c>
      <c r="H2428" s="446">
        <f>H2427-G2428</f>
        <v/>
      </c>
      <c r="I2428" s="392" t="n"/>
      <c r="J2428" s="392" t="n"/>
      <c r="K2428" s="392" t="n"/>
      <c r="L2428" s="392" t="n"/>
      <c r="M2428" s="392" t="n"/>
    </row>
    <row r="2429">
      <c r="A2429" s="568" t="n">
        <v>44336</v>
      </c>
      <c r="B2429" s="392" t="n">
        <v>8102</v>
      </c>
      <c r="C2429" s="392" t="n">
        <v>70</v>
      </c>
      <c r="D2429" s="392" t="n"/>
      <c r="E2429" s="392" t="n"/>
      <c r="F2429" s="392" t="n"/>
      <c r="G2429" s="392" t="n">
        <v>20</v>
      </c>
      <c r="H2429" s="446">
        <f>H2428-G2429</f>
        <v/>
      </c>
      <c r="I2429" s="392" t="n"/>
      <c r="J2429" s="392" t="n"/>
      <c r="K2429" s="392" t="n"/>
      <c r="L2429" s="392" t="n"/>
      <c r="M2429" s="392" t="n"/>
    </row>
    <row r="2430">
      <c r="A2430" s="568" t="n">
        <v>44336</v>
      </c>
      <c r="B2430" s="392" t="n">
        <v>8103</v>
      </c>
      <c r="C2430" s="392" t="n">
        <v>70</v>
      </c>
      <c r="D2430" s="392" t="n"/>
      <c r="E2430" s="392" t="n"/>
      <c r="F2430" s="392" t="n"/>
      <c r="G2430" s="392" t="n">
        <v>10</v>
      </c>
      <c r="H2430" s="446">
        <f>H2429-G2430</f>
        <v/>
      </c>
      <c r="I2430" s="392" t="n"/>
      <c r="J2430" s="392" t="n"/>
      <c r="K2430" s="392" t="n"/>
      <c r="L2430" s="392" t="n"/>
      <c r="M2430" s="392" t="n"/>
    </row>
    <row r="2431">
      <c r="A2431" s="568" t="n">
        <v>44336</v>
      </c>
      <c r="B2431" s="392" t="n">
        <v>8104</v>
      </c>
      <c r="C2431" s="392" t="n">
        <v>70</v>
      </c>
      <c r="D2431" s="392" t="n"/>
      <c r="E2431" s="392" t="n"/>
      <c r="F2431" s="392" t="n"/>
      <c r="G2431" s="392" t="n">
        <v>15</v>
      </c>
      <c r="H2431" s="446">
        <f>H2430-G2431</f>
        <v/>
      </c>
      <c r="I2431" s="392" t="n"/>
      <c r="J2431" s="392" t="n"/>
      <c r="K2431" s="392" t="n"/>
      <c r="L2431" s="392" t="n"/>
      <c r="M2431" s="392" t="n"/>
    </row>
    <row r="2432">
      <c r="A2432" s="568" t="n">
        <v>44340</v>
      </c>
      <c r="B2432" s="392" t="n">
        <v>8105</v>
      </c>
      <c r="C2432" s="392" t="n">
        <v>68</v>
      </c>
      <c r="D2432" s="392" t="n"/>
      <c r="E2432" s="392" t="n"/>
      <c r="F2432" s="392" t="n"/>
      <c r="G2432" s="392" t="n">
        <v>30</v>
      </c>
      <c r="H2432" s="446">
        <f>H2431-G2432</f>
        <v/>
      </c>
      <c r="I2432" s="392" t="n"/>
      <c r="J2432" s="392" t="n"/>
      <c r="K2432" s="392" t="n"/>
      <c r="L2432" s="392" t="n"/>
      <c r="M2432" s="392" t="n"/>
    </row>
    <row r="2433">
      <c r="A2433" s="568" t="n">
        <v>44340</v>
      </c>
      <c r="B2433" s="392" t="n">
        <v>8107</v>
      </c>
      <c r="C2433" s="392" t="n">
        <v>69</v>
      </c>
      <c r="D2433" s="392" t="n"/>
      <c r="E2433" s="392" t="n"/>
      <c r="F2433" s="392" t="n"/>
      <c r="G2433" s="392" t="n">
        <v>30</v>
      </c>
      <c r="H2433" s="446">
        <f>H2432-G2433</f>
        <v/>
      </c>
      <c r="I2433" s="392" t="n"/>
      <c r="J2433" s="392" t="n"/>
      <c r="K2433" s="392" t="n"/>
      <c r="L2433" s="392" t="n"/>
      <c r="M2433" s="392" t="n"/>
    </row>
    <row r="2434">
      <c r="A2434" s="568" t="n">
        <v>44340</v>
      </c>
      <c r="B2434" s="392" t="n">
        <v>8108</v>
      </c>
      <c r="C2434" s="392" t="n">
        <v>70</v>
      </c>
      <c r="D2434" s="392" t="n"/>
      <c r="E2434" s="392" t="n"/>
      <c r="F2434" s="392" t="n"/>
      <c r="G2434" s="392" t="n">
        <v>15</v>
      </c>
      <c r="H2434" s="446">
        <f>H2433-G2434</f>
        <v/>
      </c>
      <c r="I2434" s="392" t="n"/>
      <c r="J2434" s="392" t="n"/>
      <c r="K2434" s="392" t="n"/>
      <c r="L2434" s="392" t="n"/>
      <c r="M2434" s="392" t="n"/>
    </row>
    <row r="2435">
      <c r="A2435" s="568" t="n">
        <v>44340</v>
      </c>
      <c r="B2435" s="392" t="n">
        <v>8109</v>
      </c>
      <c r="C2435" s="392" t="n">
        <v>68</v>
      </c>
      <c r="D2435" s="392" t="n"/>
      <c r="E2435" s="392" t="n"/>
      <c r="F2435" s="392" t="n"/>
      <c r="G2435" s="392" t="n">
        <v>50</v>
      </c>
      <c r="H2435" s="446">
        <f>H2434-G2435</f>
        <v/>
      </c>
      <c r="I2435" s="392" t="n"/>
      <c r="J2435" s="392" t="n"/>
      <c r="K2435" s="392" t="n"/>
      <c r="L2435" s="392" t="n"/>
      <c r="M2435" s="392" t="n"/>
    </row>
    <row r="2436">
      <c r="A2436" s="568" t="n">
        <v>44340</v>
      </c>
      <c r="B2436" s="392" t="n">
        <v>8111</v>
      </c>
      <c r="C2436" s="392" t="n">
        <v>67.5</v>
      </c>
      <c r="D2436" s="392" t="n"/>
      <c r="E2436" s="392" t="n"/>
      <c r="F2436" s="392" t="n"/>
      <c r="G2436" s="392" t="n">
        <v>10</v>
      </c>
      <c r="H2436" s="446">
        <f>H2435-G2436</f>
        <v/>
      </c>
      <c r="I2436" s="392" t="n"/>
      <c r="J2436" s="392" t="n"/>
      <c r="K2436" s="392" t="n"/>
      <c r="L2436" s="392" t="n"/>
      <c r="M2436" s="392" t="n"/>
    </row>
    <row r="2437">
      <c r="A2437" s="568" t="n">
        <v>44340</v>
      </c>
      <c r="B2437" s="392" t="n">
        <v>8112</v>
      </c>
      <c r="C2437" s="392" t="n">
        <v>60</v>
      </c>
      <c r="D2437" s="392" t="n"/>
      <c r="E2437" s="392" t="n"/>
      <c r="F2437" s="392" t="n"/>
      <c r="G2437" s="392" t="n">
        <v>30</v>
      </c>
      <c r="H2437" s="446">
        <f>H2436-G2437</f>
        <v/>
      </c>
      <c r="I2437" s="392" t="n"/>
      <c r="J2437" s="392" t="n"/>
      <c r="K2437" s="392" t="n"/>
      <c r="L2437" s="392" t="n"/>
      <c r="M2437" s="392" t="n"/>
    </row>
    <row r="2438">
      <c r="A2438" s="568" t="n">
        <v>44340</v>
      </c>
      <c r="B2438" s="392" t="n">
        <v>8114</v>
      </c>
      <c r="C2438" s="392" t="n">
        <v>70</v>
      </c>
      <c r="D2438" s="392" t="n"/>
      <c r="E2438" s="392" t="n"/>
      <c r="F2438" s="392" t="n"/>
      <c r="G2438" s="392" t="n">
        <v>15</v>
      </c>
      <c r="H2438" s="446">
        <f>H2437-G2438</f>
        <v/>
      </c>
      <c r="I2438" s="392" t="n"/>
      <c r="J2438" s="392" t="n"/>
      <c r="K2438" s="392" t="n"/>
      <c r="L2438" s="392" t="n"/>
      <c r="M2438" s="392" t="n"/>
    </row>
    <row r="2439">
      <c r="A2439" s="568" t="n">
        <v>44342</v>
      </c>
      <c r="B2439" s="392" t="n">
        <v>8115</v>
      </c>
      <c r="C2439" s="392" t="n">
        <v>66.5</v>
      </c>
      <c r="D2439" s="392" t="n"/>
      <c r="E2439" s="392" t="n"/>
      <c r="F2439" s="392" t="n"/>
      <c r="G2439" s="392" t="n">
        <v>30</v>
      </c>
      <c r="H2439" s="446">
        <f>H2438-G2439</f>
        <v/>
      </c>
      <c r="I2439" s="392" t="n"/>
      <c r="J2439" s="392" t="n"/>
      <c r="K2439" s="392" t="n"/>
      <c r="L2439" s="392" t="n"/>
      <c r="M2439" s="392" t="n"/>
    </row>
    <row r="2440">
      <c r="A2440" s="568" t="n">
        <v>44342</v>
      </c>
      <c r="B2440" s="392" t="n">
        <v>8117</v>
      </c>
      <c r="C2440" s="392" t="n">
        <v>70</v>
      </c>
      <c r="D2440" s="392" t="n"/>
      <c r="E2440" s="392" t="n"/>
      <c r="F2440" s="392" t="n"/>
      <c r="G2440" s="392" t="n">
        <v>30</v>
      </c>
      <c r="H2440" s="446">
        <f>H2439-G2440</f>
        <v/>
      </c>
      <c r="I2440" s="392" t="n"/>
      <c r="J2440" s="392" t="n"/>
      <c r="K2440" s="392" t="n"/>
      <c r="L2440" s="392" t="n"/>
      <c r="M2440" s="392" t="n"/>
    </row>
    <row r="2441">
      <c r="A2441" s="568" t="n">
        <v>44342</v>
      </c>
      <c r="B2441" s="392" t="n">
        <v>8118</v>
      </c>
      <c r="C2441" s="392" t="n">
        <v>70</v>
      </c>
      <c r="D2441" s="392" t="n"/>
      <c r="E2441" s="392" t="n"/>
      <c r="F2441" s="392" t="n"/>
      <c r="G2441" s="392" t="n">
        <v>15</v>
      </c>
      <c r="H2441" s="446">
        <f>H2440-G2441</f>
        <v/>
      </c>
      <c r="I2441" s="392" t="n"/>
      <c r="J2441" s="392" t="n"/>
      <c r="K2441" s="392" t="n"/>
      <c r="L2441" s="392" t="n"/>
      <c r="M2441" s="392" t="n"/>
    </row>
    <row r="2442">
      <c r="A2442" s="568" t="n">
        <v>44342</v>
      </c>
      <c r="B2442" s="392" t="n">
        <v>8121</v>
      </c>
      <c r="C2442" s="392" t="n">
        <v>69.63</v>
      </c>
      <c r="D2442" s="392" t="n"/>
      <c r="E2442" s="392" t="n"/>
      <c r="F2442" s="392" t="n"/>
      <c r="G2442" s="392" t="n">
        <v>40</v>
      </c>
      <c r="H2442" s="446">
        <f>H2441-G2442</f>
        <v/>
      </c>
      <c r="I2442" s="392" t="n"/>
      <c r="J2442" s="392" t="n"/>
      <c r="K2442" s="392" t="n"/>
      <c r="L2442" s="392" t="n"/>
      <c r="M2442" s="392" t="n"/>
    </row>
    <row r="2443">
      <c r="A2443" s="568" t="n">
        <v>44342</v>
      </c>
      <c r="B2443" s="392" t="n">
        <v>8122</v>
      </c>
      <c r="C2443" s="392" t="n">
        <v>75</v>
      </c>
      <c r="D2443" s="392" t="n"/>
      <c r="E2443" s="392" t="n"/>
      <c r="F2443" s="392" t="n"/>
      <c r="G2443" s="392" t="n">
        <v>20</v>
      </c>
      <c r="H2443" s="446">
        <f>H2442-G2443</f>
        <v/>
      </c>
      <c r="I2443" s="392" t="n"/>
      <c r="J2443" s="392" t="n"/>
      <c r="K2443" s="392" t="n"/>
      <c r="L2443" s="392" t="n"/>
      <c r="M2443" s="392" t="n"/>
    </row>
    <row r="2444">
      <c r="A2444" s="568" t="n">
        <v>44342</v>
      </c>
      <c r="B2444" s="392" t="n">
        <v>8124</v>
      </c>
      <c r="C2444" s="392" t="n">
        <v>72</v>
      </c>
      <c r="D2444" s="392" t="n"/>
      <c r="E2444" s="392" t="n"/>
      <c r="F2444" s="392" t="n"/>
      <c r="G2444" s="392" t="n">
        <v>30</v>
      </c>
      <c r="H2444" s="446">
        <f>H2443-G2444</f>
        <v/>
      </c>
      <c r="I2444" s="392" t="n"/>
      <c r="J2444" s="392" t="n"/>
      <c r="K2444" s="392" t="n"/>
      <c r="L2444" s="392" t="n"/>
      <c r="M2444" s="392" t="n"/>
    </row>
    <row r="2445">
      <c r="A2445" s="334" t="n">
        <v>44347</v>
      </c>
      <c r="B2445" s="401" t="n">
        <v>166585</v>
      </c>
      <c r="C2445" s="401" t="n">
        <v>59.5</v>
      </c>
      <c r="D2445" s="401" t="n"/>
      <c r="E2445" s="401" t="n"/>
      <c r="F2445" s="401" t="n">
        <v>400</v>
      </c>
      <c r="G2445" s="401" t="n"/>
      <c r="H2445" s="322" t="n">
        <v>2532</v>
      </c>
      <c r="I2445" s="392" t="n"/>
      <c r="J2445" s="392" t="n"/>
      <c r="K2445" s="392" t="n"/>
      <c r="L2445" s="392" t="n"/>
      <c r="M2445" s="392" t="n"/>
    </row>
    <row r="2446">
      <c r="A2446" s="334" t="n">
        <v>44347</v>
      </c>
      <c r="B2446" s="401" t="n">
        <v>166585</v>
      </c>
      <c r="C2446" s="401" t="n">
        <v>60.5</v>
      </c>
      <c r="D2446" s="401" t="n"/>
      <c r="E2446" s="401" t="n"/>
      <c r="F2446" s="401" t="n">
        <v>400</v>
      </c>
      <c r="G2446" s="401" t="n"/>
      <c r="H2446" s="322" t="n">
        <v>2932</v>
      </c>
      <c r="I2446" s="392" t="n"/>
      <c r="J2446" s="392" t="n"/>
      <c r="K2446" s="392" t="n"/>
      <c r="L2446" s="392" t="n"/>
      <c r="M2446" s="392" t="n"/>
    </row>
    <row r="2447">
      <c r="A2447" s="392" t="n"/>
      <c r="B2447" s="392" t="n"/>
      <c r="C2447" s="392" t="n"/>
      <c r="D2447" s="392" t="n"/>
      <c r="E2447" s="392" t="n"/>
      <c r="F2447" s="392" t="n"/>
      <c r="G2447" s="392" t="n"/>
      <c r="H2447" s="446">
        <f>H2446-G2447</f>
        <v/>
      </c>
      <c r="I2447" s="392" t="n"/>
      <c r="J2447" s="392" t="n"/>
      <c r="K2447" s="392" t="n"/>
      <c r="L2447" s="392" t="n"/>
      <c r="M2447" s="392" t="n"/>
    </row>
    <row r="2448">
      <c r="A2448" s="392" t="n"/>
      <c r="B2448" s="392" t="n"/>
      <c r="C2448" s="392" t="n"/>
      <c r="D2448" s="392" t="n"/>
      <c r="E2448" s="392" t="n"/>
      <c r="F2448" s="392" t="n"/>
      <c r="G2448" s="392" t="n"/>
      <c r="H2448" s="446">
        <f>H2447-G2448</f>
        <v/>
      </c>
      <c r="I2448" s="392" t="n"/>
      <c r="J2448" s="392" t="n"/>
      <c r="K2448" s="392" t="n"/>
      <c r="L2448" s="392" t="n"/>
      <c r="M2448" s="392" t="n"/>
    </row>
    <row r="2449" ht="15.75" customHeight="1" s="436" thickBot="1">
      <c r="A2449" s="392" t="n"/>
      <c r="B2449" s="392" t="n"/>
      <c r="C2449" s="392" t="n"/>
      <c r="D2449" s="392" t="n"/>
      <c r="E2449" s="392" t="n"/>
      <c r="F2449" s="392" t="n"/>
      <c r="G2449" s="392" t="n"/>
      <c r="H2449" s="446">
        <f>H2448-G2449</f>
        <v/>
      </c>
      <c r="I2449" s="392" t="n"/>
      <c r="J2449" s="392" t="n"/>
      <c r="K2449" s="392" t="n"/>
      <c r="L2449" s="392" t="n"/>
      <c r="M2449" s="392" t="n"/>
    </row>
    <row r="2450" ht="32.25" customHeight="1" s="436" thickBot="1">
      <c r="A2450" s="735" t="inlineStr">
        <is>
          <t>Junho</t>
        </is>
      </c>
      <c r="B2450" s="697" t="n"/>
      <c r="C2450" s="697" t="n"/>
      <c r="D2450" s="697" t="n"/>
      <c r="E2450" s="697" t="n"/>
      <c r="F2450" s="697" t="n"/>
      <c r="G2450" s="697" t="n"/>
      <c r="H2450" s="697" t="n"/>
      <c r="I2450" s="697" t="n"/>
      <c r="J2450" s="697" t="n"/>
      <c r="K2450" s="697" t="n"/>
      <c r="L2450" s="697" t="n"/>
      <c r="M2450" s="698" t="n"/>
    </row>
    <row r="2451" ht="27" customHeight="1" s="436" thickBot="1">
      <c r="A2451" s="734" t="inlineStr">
        <is>
          <t xml:space="preserve"> FARINHA DE TRIGO TIPO: 1 - 25 KG</t>
        </is>
      </c>
      <c r="B2451" s="706" t="n"/>
      <c r="C2451" s="706" t="n"/>
      <c r="D2451" s="706" t="n"/>
      <c r="E2451" s="706" t="n"/>
      <c r="F2451" s="706" t="n"/>
      <c r="G2451" s="706" t="n"/>
      <c r="H2451" s="706" t="n"/>
      <c r="I2451" s="706" t="n"/>
      <c r="J2451" s="706" t="n"/>
      <c r="K2451" s="706" t="n"/>
      <c r="L2451" s="706" t="n"/>
      <c r="M2451" s="707" t="n"/>
    </row>
    <row r="2452">
      <c r="A2452" s="643" t="inlineStr">
        <is>
          <t>DATA</t>
        </is>
      </c>
      <c r="B2452" s="633" t="inlineStr">
        <is>
          <t>N.F.</t>
        </is>
      </c>
      <c r="C2452" s="633" t="inlineStr">
        <is>
          <t>TIPO</t>
        </is>
      </c>
      <c r="D2452" s="633" t="inlineStr">
        <is>
          <t>PREÇO UNITÁRIO</t>
        </is>
      </c>
      <c r="E2452" s="701" t="n"/>
      <c r="F2452" s="633" t="inlineStr">
        <is>
          <t>QUANTIDADE / KG</t>
        </is>
      </c>
      <c r="H2452" s="701" t="n"/>
      <c r="I2452" s="632" t="inlineStr">
        <is>
          <t>PREÇO</t>
        </is>
      </c>
      <c r="J2452" s="632" t="inlineStr">
        <is>
          <t>VALORES</t>
        </is>
      </c>
      <c r="L2452" s="701" t="n"/>
      <c r="M2452" s="649" t="n"/>
    </row>
    <row r="2453" ht="15.75" customHeight="1" s="436" thickBot="1">
      <c r="A2453" s="703" t="n"/>
      <c r="B2453" s="704" t="n"/>
      <c r="C2453" s="704" t="n"/>
      <c r="D2453" s="703" t="n"/>
      <c r="E2453" s="701" t="n"/>
      <c r="F2453" s="705" t="n"/>
      <c r="G2453" s="706" t="n"/>
      <c r="H2453" s="707" t="n"/>
      <c r="I2453" s="704" t="n"/>
      <c r="J2453" s="703" t="n"/>
      <c r="L2453" s="701" t="n"/>
      <c r="M2453" s="704" t="n"/>
    </row>
    <row r="2454" ht="15.75" customHeight="1" s="436" thickBot="1">
      <c r="A2454" s="703" t="n"/>
      <c r="B2454" s="704" t="n"/>
      <c r="C2454" s="704" t="n"/>
      <c r="D2454" s="705" t="n"/>
      <c r="E2454" s="707" t="n"/>
      <c r="F2454" s="3" t="inlineStr">
        <is>
          <t>ENTRADA</t>
        </is>
      </c>
      <c r="G2454" s="3" t="inlineStr">
        <is>
          <t>SAÍDA</t>
        </is>
      </c>
      <c r="H2454" s="640" t="n"/>
      <c r="I2454" s="633" t="inlineStr">
        <is>
          <t>MÉDIO</t>
        </is>
      </c>
      <c r="J2454" s="652" t="inlineStr">
        <is>
          <t>SALDO EM 30/11/2017</t>
        </is>
      </c>
      <c r="K2454" s="706" t="n"/>
      <c r="L2454" s="17" t="n"/>
      <c r="M2454" s="704" t="n"/>
    </row>
    <row r="2455" ht="18" customHeight="1" s="436" thickBot="1">
      <c r="A2455" s="705" t="n"/>
      <c r="B2455" s="695" t="n"/>
      <c r="C2455" s="695" t="n"/>
      <c r="D2455" s="3" t="inlineStr">
        <is>
          <t>C/ICMS</t>
        </is>
      </c>
      <c r="E2455" s="3" t="inlineStr">
        <is>
          <t>S/ICMS</t>
        </is>
      </c>
      <c r="F2455" s="695" t="n"/>
      <c r="G2455" s="695" t="n"/>
      <c r="H2455" s="84" t="inlineStr">
        <is>
          <t>Saldo em 30/05/2021</t>
        </is>
      </c>
      <c r="I2455" s="695" t="n"/>
      <c r="J2455" s="645" t="inlineStr">
        <is>
          <t>ENTRADA</t>
        </is>
      </c>
      <c r="K2455" s="633" t="inlineStr">
        <is>
          <t>SAÍDA / CMV</t>
        </is>
      </c>
      <c r="L2455" s="643" t="inlineStr">
        <is>
          <t>SALDO</t>
        </is>
      </c>
      <c r="M2455" s="392" t="n"/>
    </row>
    <row r="2456">
      <c r="A2456" s="392" t="n"/>
      <c r="B2456" s="392" t="n"/>
      <c r="C2456" s="392" t="n"/>
      <c r="D2456" s="392" t="n"/>
      <c r="E2456" s="392" t="n"/>
      <c r="F2456" s="392" t="n"/>
      <c r="G2456" s="392" t="n"/>
      <c r="H2456" s="98" t="n">
        <v>2932</v>
      </c>
      <c r="I2456" s="392" t="n"/>
      <c r="J2456" s="392" t="n"/>
      <c r="K2456" s="392" t="n"/>
      <c r="L2456" s="392" t="n"/>
      <c r="M2456" s="392" t="n"/>
    </row>
    <row r="2457">
      <c r="A2457" s="568" t="n">
        <v>44348</v>
      </c>
      <c r="B2457" s="392" t="n">
        <v>8126</v>
      </c>
      <c r="C2457" s="392" t="n">
        <v>69</v>
      </c>
      <c r="D2457" s="392" t="n"/>
      <c r="E2457" s="392" t="n"/>
      <c r="F2457" s="392" t="n"/>
      <c r="G2457" s="392" t="n">
        <v>10</v>
      </c>
      <c r="H2457" s="446">
        <f>H2456-G2457</f>
        <v/>
      </c>
      <c r="I2457" s="392" t="n"/>
      <c r="J2457" s="392" t="n"/>
      <c r="K2457" s="392" t="n"/>
      <c r="L2457" s="392" t="n"/>
      <c r="M2457" s="392" t="n"/>
    </row>
    <row r="2458">
      <c r="A2458" s="568" t="n">
        <v>44348</v>
      </c>
      <c r="B2458" s="392" t="n">
        <v>8127</v>
      </c>
      <c r="C2458" s="392" t="n">
        <v>59</v>
      </c>
      <c r="D2458" s="392" t="n"/>
      <c r="E2458" s="392" t="n"/>
      <c r="F2458" s="392" t="n"/>
      <c r="G2458" s="392" t="n">
        <v>120</v>
      </c>
      <c r="H2458" s="446">
        <f>H2457-G2458</f>
        <v/>
      </c>
      <c r="I2458" s="392" t="n"/>
      <c r="J2458" s="392" t="n"/>
      <c r="K2458" s="392" t="n"/>
      <c r="L2458" s="392" t="n"/>
      <c r="M2458" s="392" t="n"/>
    </row>
    <row r="2459">
      <c r="A2459" s="568" t="n">
        <v>44348</v>
      </c>
      <c r="B2459" s="392" t="n">
        <v>8128</v>
      </c>
      <c r="C2459" s="392" t="n">
        <v>70</v>
      </c>
      <c r="D2459" s="392" t="n"/>
      <c r="E2459" s="392" t="n"/>
      <c r="F2459" s="392" t="n"/>
      <c r="G2459" s="392" t="n">
        <v>30</v>
      </c>
      <c r="H2459" s="446">
        <f>H2458-G2459</f>
        <v/>
      </c>
      <c r="I2459" s="392" t="n"/>
      <c r="J2459" s="392" t="n"/>
      <c r="K2459" s="392" t="n"/>
      <c r="L2459" s="392" t="n"/>
      <c r="M2459" s="392" t="n"/>
    </row>
    <row r="2460">
      <c r="A2460" s="568" t="n">
        <v>44348</v>
      </c>
      <c r="B2460" s="392" t="n">
        <v>8129</v>
      </c>
      <c r="C2460" s="392" t="n">
        <v>70.27</v>
      </c>
      <c r="D2460" s="392" t="n"/>
      <c r="E2460" s="392" t="n"/>
      <c r="F2460" s="392" t="n"/>
      <c r="G2460" s="392" t="n">
        <v>38</v>
      </c>
      <c r="H2460" s="446">
        <f>H2459-G2460</f>
        <v/>
      </c>
      <c r="I2460" s="392" t="n"/>
      <c r="J2460" s="392" t="n"/>
      <c r="K2460" s="392" t="n"/>
      <c r="L2460" s="392" t="n"/>
      <c r="M2460" s="392" t="n"/>
    </row>
    <row r="2461">
      <c r="A2461" s="568" t="n">
        <v>44348</v>
      </c>
      <c r="B2461" s="392" t="n">
        <v>8132</v>
      </c>
      <c r="C2461" s="392" t="n">
        <v>60</v>
      </c>
      <c r="D2461" s="392" t="n"/>
      <c r="E2461" s="392" t="n"/>
      <c r="F2461" s="392" t="n"/>
      <c r="G2461" s="392" t="n">
        <v>30</v>
      </c>
      <c r="H2461" s="446">
        <f>H2460-G2461</f>
        <v/>
      </c>
      <c r="I2461" s="392" t="n"/>
      <c r="J2461" s="392" t="n"/>
      <c r="K2461" s="392" t="n"/>
      <c r="L2461" s="392" t="n"/>
      <c r="M2461" s="392" t="n"/>
    </row>
    <row r="2462">
      <c r="A2462" s="568" t="n">
        <v>44348</v>
      </c>
      <c r="B2462" s="392" t="n">
        <v>8135</v>
      </c>
      <c r="C2462" s="392" t="n">
        <v>70</v>
      </c>
      <c r="D2462" s="392" t="n"/>
      <c r="E2462" s="392" t="n"/>
      <c r="F2462" s="392" t="n"/>
      <c r="G2462" s="392" t="n">
        <v>40</v>
      </c>
      <c r="H2462" s="446">
        <f>H2461-G2462</f>
        <v/>
      </c>
      <c r="I2462" s="392" t="n"/>
      <c r="J2462" s="392" t="n"/>
      <c r="K2462" s="392" t="n"/>
      <c r="L2462" s="392" t="n"/>
      <c r="M2462" s="392" t="n"/>
    </row>
    <row r="2463">
      <c r="A2463" s="568" t="n">
        <v>44348</v>
      </c>
      <c r="B2463" s="392" t="n">
        <v>8136</v>
      </c>
      <c r="C2463" s="392" t="n">
        <v>70</v>
      </c>
      <c r="D2463" s="392" t="n"/>
      <c r="E2463" s="392" t="n"/>
      <c r="F2463" s="392" t="n"/>
      <c r="G2463" s="392" t="n">
        <v>15</v>
      </c>
      <c r="H2463" s="446">
        <f>H2462-G2463</f>
        <v/>
      </c>
      <c r="I2463" s="392" t="n"/>
      <c r="J2463" s="392" t="n"/>
      <c r="K2463" s="392" t="n"/>
      <c r="L2463" s="392" t="n"/>
      <c r="M2463" s="392" t="n"/>
    </row>
    <row r="2464">
      <c r="A2464" s="568" t="n">
        <v>44349</v>
      </c>
      <c r="B2464" s="392" t="n">
        <v>8138</v>
      </c>
      <c r="C2464" s="392" t="n">
        <v>70</v>
      </c>
      <c r="D2464" s="392" t="n"/>
      <c r="E2464" s="392" t="n"/>
      <c r="F2464" s="392" t="n"/>
      <c r="G2464" s="392" t="n">
        <v>20</v>
      </c>
      <c r="H2464" s="446">
        <f>H2463-G2464</f>
        <v/>
      </c>
      <c r="I2464" s="392" t="n"/>
      <c r="J2464" s="392" t="n"/>
      <c r="K2464" s="392" t="n"/>
      <c r="L2464" s="392" t="n"/>
      <c r="M2464" s="392" t="n"/>
    </row>
    <row r="2465">
      <c r="A2465" s="568" t="n">
        <v>44355</v>
      </c>
      <c r="B2465" s="392" t="n">
        <v>8146</v>
      </c>
      <c r="C2465" s="392" t="n">
        <v>68</v>
      </c>
      <c r="D2465" s="392" t="n"/>
      <c r="E2465" s="392" t="n"/>
      <c r="F2465" s="392" t="n"/>
      <c r="G2465" s="392" t="n">
        <v>50</v>
      </c>
      <c r="H2465" s="446">
        <f>H2464-G2465</f>
        <v/>
      </c>
      <c r="I2465" s="392" t="n"/>
      <c r="J2465" s="392" t="n"/>
      <c r="K2465" s="392" t="n"/>
      <c r="L2465" s="392" t="n"/>
      <c r="M2465" s="392" t="n"/>
    </row>
    <row r="2466">
      <c r="A2466" s="568" t="n">
        <v>44357</v>
      </c>
      <c r="B2466" s="392" t="n">
        <v>8150</v>
      </c>
      <c r="C2466" s="392" t="n">
        <v>70</v>
      </c>
      <c r="D2466" s="392" t="n"/>
      <c r="E2466" s="392" t="n"/>
      <c r="F2466" s="392" t="n"/>
      <c r="G2466" s="392" t="n">
        <v>15</v>
      </c>
      <c r="H2466" s="446">
        <f>H2465-G2466</f>
        <v/>
      </c>
      <c r="I2466" s="392" t="n"/>
      <c r="J2466" s="392" t="n"/>
      <c r="K2466" s="392" t="n"/>
      <c r="L2466" s="392" t="n"/>
      <c r="M2466" s="392" t="n"/>
    </row>
    <row r="2467">
      <c r="A2467" s="568" t="n">
        <v>44357</v>
      </c>
      <c r="B2467" s="392" t="n">
        <v>8151</v>
      </c>
      <c r="C2467" s="392" t="n">
        <v>70</v>
      </c>
      <c r="D2467" s="392" t="n"/>
      <c r="E2467" s="392" t="n"/>
      <c r="F2467" s="392" t="n"/>
      <c r="G2467" s="392" t="n">
        <v>10</v>
      </c>
      <c r="H2467" s="446">
        <f>H2466-G2467</f>
        <v/>
      </c>
      <c r="I2467" s="392" t="n"/>
      <c r="J2467" s="392" t="n"/>
      <c r="K2467" s="392" t="n"/>
      <c r="L2467" s="392" t="n"/>
      <c r="M2467" s="392" t="n"/>
    </row>
    <row r="2468">
      <c r="A2468" s="568" t="n">
        <v>44357</v>
      </c>
      <c r="B2468" s="392" t="n">
        <v>8153</v>
      </c>
      <c r="C2468" s="392" t="n">
        <v>72</v>
      </c>
      <c r="D2468" s="392" t="n"/>
      <c r="E2468" s="392" t="n"/>
      <c r="F2468" s="392" t="n"/>
      <c r="G2468" s="392" t="n">
        <v>30</v>
      </c>
      <c r="H2468" s="446">
        <f>H2467-G2468</f>
        <v/>
      </c>
      <c r="I2468" s="392" t="n"/>
      <c r="J2468" s="392" t="n"/>
      <c r="K2468" s="392" t="n"/>
      <c r="L2468" s="392" t="n"/>
      <c r="M2468" s="392" t="n"/>
    </row>
    <row r="2469">
      <c r="A2469" s="568" t="n">
        <v>44357</v>
      </c>
      <c r="B2469" s="392" t="n">
        <v>8158</v>
      </c>
      <c r="C2469" s="392" t="n">
        <v>70</v>
      </c>
      <c r="D2469" s="392" t="n"/>
      <c r="E2469" s="392" t="n"/>
      <c r="F2469" s="392" t="n"/>
      <c r="G2469" s="392" t="n">
        <v>30</v>
      </c>
      <c r="H2469" s="446">
        <f>H2468-G2469</f>
        <v/>
      </c>
      <c r="I2469" s="392" t="n"/>
      <c r="J2469" s="392" t="n"/>
      <c r="K2469" s="392" t="n"/>
      <c r="L2469" s="392" t="n"/>
      <c r="M2469" s="392" t="n"/>
    </row>
    <row r="2470">
      <c r="A2470" s="568" t="n">
        <v>44357</v>
      </c>
      <c r="B2470" s="392" t="n">
        <v>8159</v>
      </c>
      <c r="C2470" s="392" t="n">
        <v>70.95</v>
      </c>
      <c r="D2470" s="392" t="n"/>
      <c r="E2470" s="392" t="n"/>
      <c r="F2470" s="392" t="n"/>
      <c r="G2470" s="392" t="n">
        <v>20</v>
      </c>
      <c r="H2470" s="446">
        <f>H2469-G2470</f>
        <v/>
      </c>
      <c r="I2470" s="392" t="n"/>
      <c r="J2470" s="392" t="n"/>
      <c r="K2470" s="392" t="n"/>
      <c r="L2470" s="392" t="n"/>
      <c r="M2470" s="392" t="n"/>
    </row>
    <row r="2471">
      <c r="A2471" s="568" t="n">
        <v>44357</v>
      </c>
      <c r="B2471" s="392" t="n">
        <v>8160</v>
      </c>
      <c r="C2471" s="392" t="n">
        <v>70</v>
      </c>
      <c r="D2471" s="392" t="n"/>
      <c r="E2471" s="392" t="n"/>
      <c r="F2471" s="392" t="n"/>
      <c r="G2471" s="392" t="n">
        <v>20</v>
      </c>
      <c r="H2471" s="446">
        <f>H2470-G2471</f>
        <v/>
      </c>
      <c r="I2471" s="392" t="n"/>
      <c r="J2471" s="392" t="n"/>
      <c r="K2471" s="392" t="n"/>
      <c r="L2471" s="392" t="n"/>
      <c r="M2471" s="392" t="n"/>
    </row>
    <row r="2472">
      <c r="A2472" s="568" t="n">
        <v>44357</v>
      </c>
      <c r="B2472" s="392" t="n">
        <v>8162</v>
      </c>
      <c r="C2472" s="392" t="n">
        <v>70</v>
      </c>
      <c r="D2472" s="392" t="n"/>
      <c r="E2472" s="392" t="n"/>
      <c r="F2472" s="392" t="n"/>
      <c r="G2472" s="392" t="n">
        <v>20</v>
      </c>
      <c r="H2472" s="446">
        <f>H2471-G2472</f>
        <v/>
      </c>
      <c r="I2472" s="392" t="n"/>
      <c r="J2472" s="392" t="n"/>
      <c r="K2472" s="392" t="n"/>
      <c r="L2472" s="392" t="n"/>
      <c r="M2472" s="392" t="n"/>
    </row>
    <row r="2473">
      <c r="A2473" s="568" t="n">
        <v>44357</v>
      </c>
      <c r="B2473" s="392" t="n">
        <v>8163</v>
      </c>
      <c r="C2473" s="392" t="n">
        <v>60</v>
      </c>
      <c r="D2473" s="392" t="n"/>
      <c r="E2473" s="392" t="n"/>
      <c r="F2473" s="392" t="n"/>
      <c r="G2473" s="392" t="n">
        <v>30</v>
      </c>
      <c r="H2473" s="446">
        <f>H2472-G2473</f>
        <v/>
      </c>
      <c r="I2473" s="392" t="n"/>
      <c r="J2473" s="392" t="n"/>
      <c r="K2473" s="392" t="n"/>
      <c r="L2473" s="392" t="n"/>
      <c r="M2473" s="392" t="n"/>
    </row>
    <row r="2474">
      <c r="A2474" s="568" t="n">
        <v>44357</v>
      </c>
      <c r="B2474" s="392" t="n">
        <v>8164</v>
      </c>
      <c r="C2474" s="392" t="n">
        <v>60</v>
      </c>
      <c r="D2474" s="392" t="n"/>
      <c r="E2474" s="392" t="n"/>
      <c r="F2474" s="392" t="n"/>
      <c r="G2474" s="392" t="n">
        <v>30</v>
      </c>
      <c r="H2474" s="446">
        <f>H2473-G2474</f>
        <v/>
      </c>
      <c r="I2474" s="392" t="n"/>
      <c r="J2474" s="392" t="n"/>
      <c r="K2474" s="392" t="n"/>
      <c r="L2474" s="392" t="n"/>
      <c r="M2474" s="392" t="n"/>
    </row>
    <row r="2475">
      <c r="A2475" s="568" t="n">
        <v>44357</v>
      </c>
      <c r="B2475" s="392" t="n">
        <v>8165</v>
      </c>
      <c r="C2475" s="392" t="n">
        <v>68</v>
      </c>
      <c r="D2475" s="392" t="n"/>
      <c r="E2475" s="392" t="n"/>
      <c r="F2475" s="392" t="n"/>
      <c r="G2475" s="392" t="n">
        <v>50</v>
      </c>
      <c r="H2475" s="446">
        <f>H2474-G2475</f>
        <v/>
      </c>
      <c r="I2475" s="392" t="n"/>
      <c r="J2475" s="392" t="n"/>
      <c r="K2475" s="392" t="n"/>
      <c r="L2475" s="392" t="n"/>
      <c r="M2475" s="392" t="n"/>
    </row>
    <row r="2476">
      <c r="A2476" s="304" t="n">
        <v>44357</v>
      </c>
      <c r="B2476" s="401" t="n">
        <v>16315</v>
      </c>
      <c r="C2476" s="401" t="n">
        <v>52.6</v>
      </c>
      <c r="D2476" s="401" t="n"/>
      <c r="E2476" s="401" t="n"/>
      <c r="F2476" s="401" t="n">
        <v>1120</v>
      </c>
      <c r="G2476" s="401" t="n"/>
      <c r="H2476" s="322" t="n">
        <v>3444</v>
      </c>
      <c r="I2476" s="392" t="n"/>
      <c r="J2476" s="392" t="n"/>
      <c r="K2476" s="392" t="n"/>
      <c r="L2476" s="392" t="n"/>
      <c r="M2476" s="392" t="n"/>
    </row>
    <row r="2477">
      <c r="A2477" s="568" t="n">
        <v>44362</v>
      </c>
      <c r="B2477" s="392" t="n">
        <v>8167</v>
      </c>
      <c r="C2477" s="392" t="n">
        <v>66.5</v>
      </c>
      <c r="D2477" s="392" t="n"/>
      <c r="E2477" s="392" t="n"/>
      <c r="F2477" s="392" t="n"/>
      <c r="G2477" s="392" t="n">
        <v>100</v>
      </c>
      <c r="H2477" s="446">
        <f>H2476-G2477</f>
        <v/>
      </c>
      <c r="I2477" s="392" t="n"/>
      <c r="J2477" s="392" t="n"/>
      <c r="K2477" s="392" t="n"/>
      <c r="L2477" s="392" t="n"/>
      <c r="M2477" s="392" t="n"/>
    </row>
    <row r="2478">
      <c r="A2478" s="568" t="n">
        <v>44362</v>
      </c>
      <c r="B2478" s="392" t="n">
        <v>8168</v>
      </c>
      <c r="C2478" s="392" t="n">
        <v>75</v>
      </c>
      <c r="D2478" s="392" t="n"/>
      <c r="E2478" s="392" t="n"/>
      <c r="F2478" s="392" t="n"/>
      <c r="G2478" s="392" t="n">
        <v>20</v>
      </c>
      <c r="H2478" s="446">
        <f>H2477-G2478</f>
        <v/>
      </c>
      <c r="I2478" s="392" t="n"/>
      <c r="J2478" s="392" t="n"/>
      <c r="K2478" s="392" t="n"/>
      <c r="L2478" s="392" t="n"/>
      <c r="M2478" s="392" t="n"/>
    </row>
    <row r="2479">
      <c r="A2479" s="568" t="n">
        <v>44362</v>
      </c>
      <c r="B2479" s="392" t="n">
        <v>8169</v>
      </c>
      <c r="C2479" s="392" t="n">
        <v>70</v>
      </c>
      <c r="D2479" s="392" t="n"/>
      <c r="E2479" s="392" t="n"/>
      <c r="F2479" s="392" t="n"/>
      <c r="G2479" s="392" t="n">
        <v>20</v>
      </c>
      <c r="H2479" s="446">
        <f>H2478-G2479</f>
        <v/>
      </c>
      <c r="I2479" s="392" t="n"/>
      <c r="J2479" s="392" t="n"/>
      <c r="K2479" s="392" t="n"/>
      <c r="L2479" s="392" t="n"/>
      <c r="M2479" s="392" t="n"/>
    </row>
    <row r="2480">
      <c r="A2480" s="568" t="n">
        <v>44362</v>
      </c>
      <c r="B2480" s="392" t="n">
        <v>8170</v>
      </c>
      <c r="C2480" s="392" t="n">
        <v>60</v>
      </c>
      <c r="D2480" s="392" t="n"/>
      <c r="E2480" s="392" t="n"/>
      <c r="F2480" s="392" t="n"/>
      <c r="G2480" s="392" t="n">
        <v>300</v>
      </c>
      <c r="H2480" s="446">
        <f>H2479-G2480</f>
        <v/>
      </c>
      <c r="I2480" s="392" t="n"/>
      <c r="J2480" s="392" t="n"/>
      <c r="K2480" s="392" t="n"/>
      <c r="L2480" s="392" t="n"/>
      <c r="M2480" s="392" t="n"/>
    </row>
    <row r="2481">
      <c r="A2481" s="568" t="n">
        <v>44363</v>
      </c>
      <c r="B2481" s="392" t="n">
        <v>8171</v>
      </c>
      <c r="C2481" s="392" t="n">
        <v>60</v>
      </c>
      <c r="D2481" s="392" t="n"/>
      <c r="E2481" s="392" t="n"/>
      <c r="F2481" s="392" t="n"/>
      <c r="G2481" s="392" t="n">
        <v>30</v>
      </c>
      <c r="H2481" s="446">
        <f>H2480-G2481</f>
        <v/>
      </c>
      <c r="I2481" s="392" t="n"/>
      <c r="J2481" s="392" t="n"/>
      <c r="K2481" s="392" t="n"/>
      <c r="L2481" s="392" t="n"/>
      <c r="M2481" s="392" t="n"/>
    </row>
    <row r="2482">
      <c r="A2482" s="568" t="n">
        <v>44363</v>
      </c>
      <c r="B2482" s="392" t="n">
        <v>8172</v>
      </c>
      <c r="C2482" s="392" t="n">
        <v>70</v>
      </c>
      <c r="D2482" s="392" t="n"/>
      <c r="E2482" s="392" t="n"/>
      <c r="F2482" s="392" t="n"/>
      <c r="G2482" s="392" t="n">
        <v>15</v>
      </c>
      <c r="H2482" s="446">
        <f>H2481-G2482</f>
        <v/>
      </c>
      <c r="I2482" s="392" t="n"/>
      <c r="J2482" s="392" t="n"/>
      <c r="K2482" s="392" t="n"/>
      <c r="L2482" s="392" t="n"/>
      <c r="M2482" s="392" t="n"/>
    </row>
    <row r="2483">
      <c r="A2483" s="568" t="n">
        <v>44363</v>
      </c>
      <c r="B2483" s="392" t="n">
        <v>8173</v>
      </c>
      <c r="C2483" s="392" t="n">
        <v>71.40000000000001</v>
      </c>
      <c r="D2483" s="392" t="n"/>
      <c r="E2483" s="392" t="n"/>
      <c r="F2483" s="392" t="n"/>
      <c r="G2483" s="392" t="n">
        <v>45</v>
      </c>
      <c r="H2483" s="446">
        <f>H2482-G2483</f>
        <v/>
      </c>
      <c r="I2483" s="392" t="n"/>
      <c r="J2483" s="392" t="n"/>
      <c r="K2483" s="392" t="n"/>
      <c r="L2483" s="392" t="n"/>
      <c r="M2483" s="392" t="n"/>
    </row>
    <row r="2484">
      <c r="A2484" s="568" t="n">
        <v>44363</v>
      </c>
      <c r="B2484" s="392" t="n">
        <v>8174</v>
      </c>
      <c r="C2484" s="392" t="n">
        <v>69</v>
      </c>
      <c r="D2484" s="392" t="n"/>
      <c r="E2484" s="392" t="n"/>
      <c r="F2484" s="392" t="n"/>
      <c r="G2484" s="392" t="n">
        <v>30</v>
      </c>
      <c r="H2484" s="446">
        <f>H2483-G2484</f>
        <v/>
      </c>
      <c r="I2484" s="392" t="n"/>
      <c r="J2484" s="392" t="n"/>
      <c r="K2484" s="392" t="n"/>
      <c r="L2484" s="392" t="n"/>
      <c r="M2484" s="392" t="n"/>
    </row>
    <row r="2485">
      <c r="A2485" s="568" t="n">
        <v>44363</v>
      </c>
      <c r="B2485" s="392" t="n">
        <v>8175</v>
      </c>
      <c r="C2485" s="392" t="n">
        <v>70</v>
      </c>
      <c r="D2485" s="392" t="n"/>
      <c r="E2485" s="392" t="n"/>
      <c r="F2485" s="392" t="n"/>
      <c r="G2485" s="392" t="n">
        <v>15</v>
      </c>
      <c r="H2485" s="446">
        <f>H2484-G2485</f>
        <v/>
      </c>
      <c r="I2485" s="392" t="n"/>
      <c r="J2485" s="392" t="n"/>
      <c r="K2485" s="392" t="n"/>
      <c r="L2485" s="392" t="n"/>
      <c r="M2485" s="392" t="n"/>
    </row>
    <row r="2486">
      <c r="A2486" s="568" t="n">
        <v>44364</v>
      </c>
      <c r="B2486" s="392" t="n">
        <v>8178</v>
      </c>
      <c r="C2486" s="392" t="n">
        <v>60</v>
      </c>
      <c r="D2486" s="392" t="n"/>
      <c r="E2486" s="392" t="n"/>
      <c r="F2486" s="392" t="n"/>
      <c r="G2486" s="392" t="n">
        <v>30</v>
      </c>
      <c r="H2486" s="446">
        <f>H2485-G2486</f>
        <v/>
      </c>
      <c r="I2486" s="392" t="n"/>
      <c r="J2486" s="392" t="n"/>
      <c r="K2486" s="392" t="n"/>
      <c r="L2486" s="392" t="n"/>
      <c r="M2486" s="392" t="n"/>
    </row>
    <row r="2487">
      <c r="A2487" s="568" t="n">
        <v>44364</v>
      </c>
      <c r="B2487" s="392" t="n">
        <v>8181</v>
      </c>
      <c r="C2487" s="392" t="n">
        <v>70</v>
      </c>
      <c r="D2487" s="392" t="n"/>
      <c r="E2487" s="392" t="n"/>
      <c r="F2487" s="392" t="n"/>
      <c r="G2487" s="392" t="n">
        <v>20</v>
      </c>
      <c r="H2487" s="446">
        <f>H2486-G2487</f>
        <v/>
      </c>
      <c r="I2487" s="392" t="n"/>
      <c r="J2487" s="392" t="n"/>
      <c r="K2487" s="392" t="n"/>
      <c r="L2487" s="392" t="n"/>
      <c r="M2487" s="392" t="n"/>
    </row>
    <row r="2488">
      <c r="A2488" s="568" t="n">
        <v>44364</v>
      </c>
      <c r="B2488" s="392" t="n">
        <v>8182</v>
      </c>
      <c r="C2488" s="392" t="n">
        <v>70</v>
      </c>
      <c r="D2488" s="392" t="n"/>
      <c r="E2488" s="392" t="n"/>
      <c r="F2488" s="392" t="n"/>
      <c r="G2488" s="392" t="n">
        <v>20</v>
      </c>
      <c r="H2488" s="446">
        <f>H2487-G2488</f>
        <v/>
      </c>
      <c r="I2488" s="392" t="n"/>
      <c r="J2488" s="392" t="n"/>
      <c r="K2488" s="392" t="n"/>
      <c r="L2488" s="392" t="n"/>
      <c r="M2488" s="392" t="n"/>
    </row>
    <row r="2489">
      <c r="A2489" s="568" t="n">
        <v>44369</v>
      </c>
      <c r="B2489" s="392" t="n">
        <v>8187</v>
      </c>
      <c r="C2489" s="392" t="n">
        <v>68</v>
      </c>
      <c r="D2489" s="392" t="n"/>
      <c r="E2489" s="392" t="n"/>
      <c r="F2489" s="392" t="n"/>
      <c r="G2489" s="392" t="n">
        <v>50</v>
      </c>
      <c r="H2489" s="446">
        <f>H2488-G2489</f>
        <v/>
      </c>
      <c r="I2489" s="392" t="n"/>
      <c r="J2489" s="392" t="n"/>
      <c r="K2489" s="392" t="n"/>
      <c r="L2489" s="392" t="n"/>
      <c r="M2489" s="392" t="n"/>
    </row>
    <row r="2490">
      <c r="A2490" s="568" t="n">
        <v>44369</v>
      </c>
      <c r="B2490" s="392" t="n">
        <v>8189</v>
      </c>
      <c r="C2490" s="392" t="n">
        <v>70</v>
      </c>
      <c r="D2490" s="392" t="n"/>
      <c r="E2490" s="392" t="n"/>
      <c r="F2490" s="392" t="n"/>
      <c r="G2490" s="392" t="n">
        <v>30</v>
      </c>
      <c r="H2490" s="446">
        <f>H2489-G2490</f>
        <v/>
      </c>
      <c r="I2490" s="392" t="n"/>
      <c r="J2490" s="392" t="n"/>
      <c r="K2490" s="392" t="n"/>
      <c r="L2490" s="392" t="n"/>
      <c r="M2490" s="392" t="n"/>
    </row>
    <row r="2491">
      <c r="A2491" s="568" t="n">
        <v>44369</v>
      </c>
      <c r="B2491" s="392" t="n">
        <v>8192</v>
      </c>
      <c r="C2491" s="392" t="n">
        <v>60</v>
      </c>
      <c r="D2491" s="392" t="n"/>
      <c r="E2491" s="392" t="n"/>
      <c r="F2491" s="392" t="n"/>
      <c r="G2491" s="392" t="n">
        <v>40</v>
      </c>
      <c r="H2491" s="446">
        <f>H2490-G2491</f>
        <v/>
      </c>
      <c r="I2491" s="392" t="n"/>
      <c r="J2491" s="392" t="n"/>
      <c r="K2491" s="392" t="n"/>
      <c r="L2491" s="392" t="n"/>
      <c r="M2491" s="392" t="n"/>
    </row>
    <row r="2492">
      <c r="A2492" s="568" t="n">
        <v>44369</v>
      </c>
      <c r="B2492" s="392" t="n">
        <v>8194</v>
      </c>
      <c r="C2492" s="392" t="n">
        <v>70</v>
      </c>
      <c r="D2492" s="392" t="n"/>
      <c r="E2492" s="392" t="n"/>
      <c r="F2492" s="392" t="n"/>
      <c r="G2492" s="392" t="n">
        <v>20</v>
      </c>
      <c r="H2492" s="446">
        <f>H2491-G2492</f>
        <v/>
      </c>
      <c r="I2492" s="392" t="n"/>
      <c r="J2492" s="392" t="n"/>
      <c r="K2492" s="392" t="n"/>
      <c r="L2492" s="392" t="n"/>
      <c r="M2492" s="392" t="n"/>
    </row>
    <row r="2493">
      <c r="A2493" s="568" t="n">
        <v>44369</v>
      </c>
      <c r="B2493" s="392" t="n">
        <v>8195</v>
      </c>
      <c r="C2493" s="392" t="n">
        <v>70</v>
      </c>
      <c r="D2493" s="392" t="n"/>
      <c r="E2493" s="392" t="n"/>
      <c r="F2493" s="392" t="n"/>
      <c r="G2493" s="392" t="n">
        <v>20</v>
      </c>
      <c r="H2493" s="446">
        <f>H2492-G2493</f>
        <v/>
      </c>
      <c r="I2493" s="392" t="n"/>
      <c r="J2493" s="392" t="n"/>
      <c r="K2493" s="392" t="n"/>
      <c r="L2493" s="392" t="n"/>
      <c r="M2493" s="392" t="n"/>
    </row>
    <row r="2494">
      <c r="A2494" s="304" t="n">
        <v>44375</v>
      </c>
      <c r="B2494" s="401" t="n">
        <v>16509</v>
      </c>
      <c r="C2494" s="401" t="n">
        <v>52.4</v>
      </c>
      <c r="D2494" s="401" t="n"/>
      <c r="E2494" s="401" t="n"/>
      <c r="F2494" s="401" t="n">
        <v>320</v>
      </c>
      <c r="G2494" s="401" t="n"/>
      <c r="H2494" s="322" t="n">
        <v>2959</v>
      </c>
      <c r="I2494" s="392" t="n"/>
      <c r="J2494" s="392" t="n"/>
      <c r="K2494" s="392" t="n"/>
      <c r="L2494" s="392" t="n"/>
      <c r="M2494" s="392" t="n"/>
    </row>
    <row r="2495">
      <c r="A2495" s="304" t="n">
        <v>44375</v>
      </c>
      <c r="B2495" s="401" t="n">
        <v>16509</v>
      </c>
      <c r="C2495" s="401" t="n">
        <v>55.4</v>
      </c>
      <c r="D2495" s="401" t="n"/>
      <c r="E2495" s="401" t="n"/>
      <c r="F2495" s="401" t="n">
        <v>800</v>
      </c>
      <c r="G2495" s="401" t="n"/>
      <c r="H2495" s="322" t="n">
        <v>3759</v>
      </c>
      <c r="I2495" s="392" t="n"/>
      <c r="J2495" s="392" t="n"/>
      <c r="K2495" s="392" t="n"/>
      <c r="L2495" s="392" t="n"/>
      <c r="M2495" s="392" t="n"/>
    </row>
    <row r="2496">
      <c r="A2496" s="568" t="n">
        <v>44376</v>
      </c>
      <c r="B2496" s="392" t="n">
        <v>8199</v>
      </c>
      <c r="C2496" s="392" t="n">
        <v>70</v>
      </c>
      <c r="D2496" s="392" t="n"/>
      <c r="E2496" s="392" t="n"/>
      <c r="F2496" s="392" t="n"/>
      <c r="G2496" s="392" t="n">
        <v>20</v>
      </c>
      <c r="H2496" s="446">
        <f>H2495-G2496</f>
        <v/>
      </c>
      <c r="I2496" s="392" t="n"/>
      <c r="J2496" s="392" t="n"/>
      <c r="K2496" s="392" t="n"/>
      <c r="L2496" s="392" t="n"/>
      <c r="M2496" s="392" t="n"/>
    </row>
    <row r="2497">
      <c r="A2497" s="568" t="n">
        <v>44376</v>
      </c>
      <c r="B2497" s="392" t="n">
        <v>8201</v>
      </c>
      <c r="C2497" s="392" t="n">
        <v>70</v>
      </c>
      <c r="D2497" s="392" t="n"/>
      <c r="E2497" s="392" t="n"/>
      <c r="F2497" s="392" t="n"/>
      <c r="G2497" s="392" t="n">
        <v>40</v>
      </c>
      <c r="H2497" s="446">
        <f>H2496-G2497</f>
        <v/>
      </c>
      <c r="I2497" s="392" t="n"/>
      <c r="J2497" s="392" t="n"/>
      <c r="K2497" s="392" t="n"/>
      <c r="L2497" s="392" t="n"/>
      <c r="M2497" s="392" t="n"/>
    </row>
    <row r="2498">
      <c r="A2498" s="568" t="n">
        <v>44376</v>
      </c>
      <c r="B2498" s="392" t="n">
        <v>8202</v>
      </c>
      <c r="C2498" s="392" t="n">
        <v>68</v>
      </c>
      <c r="D2498" s="392" t="n"/>
      <c r="E2498" s="392" t="n"/>
      <c r="F2498" s="392" t="n"/>
      <c r="G2498" s="392" t="n">
        <v>50</v>
      </c>
      <c r="H2498" s="446">
        <f>H2497-G2498</f>
        <v/>
      </c>
      <c r="I2498" s="392" t="n"/>
      <c r="J2498" s="392" t="n"/>
      <c r="K2498" s="392" t="n"/>
      <c r="L2498" s="392" t="n"/>
      <c r="M2498" s="392" t="n"/>
    </row>
    <row r="2499">
      <c r="A2499" s="568" t="n">
        <v>44376</v>
      </c>
      <c r="B2499" s="392" t="n">
        <v>8204</v>
      </c>
      <c r="C2499" s="392" t="n">
        <v>70</v>
      </c>
      <c r="D2499" s="392" t="n"/>
      <c r="E2499" s="392" t="n"/>
      <c r="F2499" s="392" t="n"/>
      <c r="G2499" s="392" t="n">
        <v>30</v>
      </c>
      <c r="H2499" s="446">
        <f>H2498-G2499</f>
        <v/>
      </c>
      <c r="I2499" s="392" t="n"/>
      <c r="J2499" s="392" t="n"/>
      <c r="K2499" s="392" t="n"/>
      <c r="L2499" s="392" t="n"/>
      <c r="M2499" s="392" t="n"/>
    </row>
    <row r="2500">
      <c r="A2500" s="568" t="n">
        <v>44376</v>
      </c>
      <c r="B2500" s="392" t="n">
        <v>8205</v>
      </c>
      <c r="C2500" s="392" t="n">
        <v>60</v>
      </c>
      <c r="D2500" s="392" t="n"/>
      <c r="E2500" s="392" t="n"/>
      <c r="F2500" s="392" t="n"/>
      <c r="G2500" s="392" t="n">
        <v>30</v>
      </c>
      <c r="H2500" s="446">
        <f>H2499-G2500</f>
        <v/>
      </c>
      <c r="I2500" s="392" t="n"/>
      <c r="J2500" s="392" t="n"/>
      <c r="K2500" s="392" t="n"/>
      <c r="L2500" s="392" t="n"/>
      <c r="M2500" s="392" t="n"/>
    </row>
    <row r="2501">
      <c r="A2501" s="568" t="n">
        <v>44376</v>
      </c>
      <c r="B2501" s="392" t="n">
        <v>8206</v>
      </c>
      <c r="C2501" s="392" t="n">
        <v>71.25</v>
      </c>
      <c r="D2501" s="392" t="n"/>
      <c r="E2501" s="392" t="n"/>
      <c r="F2501" s="392" t="n"/>
      <c r="G2501" s="392" t="n">
        <v>20</v>
      </c>
      <c r="H2501" s="446">
        <f>H2500-G2501</f>
        <v/>
      </c>
      <c r="I2501" s="392" t="n"/>
      <c r="J2501" s="392" t="n"/>
      <c r="K2501" s="392" t="n"/>
      <c r="L2501" s="392" t="n"/>
      <c r="M2501" s="392" t="n"/>
    </row>
    <row r="2502">
      <c r="A2502" s="568" t="n">
        <v>44376</v>
      </c>
      <c r="B2502" s="392" t="n">
        <v>8209</v>
      </c>
      <c r="C2502" s="392" t="n">
        <v>70</v>
      </c>
      <c r="D2502" s="392" t="n"/>
      <c r="E2502" s="392" t="n"/>
      <c r="F2502" s="392" t="n"/>
      <c r="G2502" s="392" t="n">
        <v>15</v>
      </c>
      <c r="H2502" s="446">
        <f>H2501-G2502</f>
        <v/>
      </c>
      <c r="I2502" s="392" t="n"/>
      <c r="J2502" s="392" t="n"/>
      <c r="K2502" s="392" t="n"/>
      <c r="L2502" s="392" t="n"/>
      <c r="M2502" s="392" t="n"/>
    </row>
    <row r="2503">
      <c r="A2503" s="568" t="n">
        <v>44376</v>
      </c>
      <c r="B2503" s="392" t="n">
        <v>8210</v>
      </c>
      <c r="C2503" s="392" t="n">
        <v>72.5</v>
      </c>
      <c r="D2503" s="392" t="n"/>
      <c r="E2503" s="392" t="n"/>
      <c r="F2503" s="392" t="n"/>
      <c r="G2503" s="392" t="n">
        <v>20</v>
      </c>
      <c r="H2503" s="446">
        <f>H2502-G2503</f>
        <v/>
      </c>
      <c r="I2503" s="392" t="n"/>
      <c r="J2503" s="392" t="n"/>
      <c r="K2503" s="392" t="n"/>
      <c r="L2503" s="392" t="n"/>
      <c r="M2503" s="392" t="n"/>
    </row>
    <row r="2504">
      <c r="A2504" s="568" t="n">
        <v>44376</v>
      </c>
      <c r="B2504" s="392" t="n">
        <v>8211</v>
      </c>
      <c r="C2504" s="392" t="n">
        <v>68</v>
      </c>
      <c r="D2504" s="392" t="n"/>
      <c r="E2504" s="392" t="n"/>
      <c r="F2504" s="392" t="n"/>
      <c r="G2504" s="392" t="n">
        <v>20</v>
      </c>
      <c r="H2504" s="446">
        <f>H2503-G2504</f>
        <v/>
      </c>
      <c r="I2504" s="392" t="n"/>
      <c r="J2504" s="392" t="n"/>
      <c r="K2504" s="392" t="n"/>
      <c r="L2504" s="392" t="n"/>
      <c r="M2504" s="392" t="n"/>
    </row>
    <row r="2505">
      <c r="A2505" s="568" t="n">
        <v>44377</v>
      </c>
      <c r="B2505" s="392" t="n">
        <v>8212</v>
      </c>
      <c r="C2505" s="392" t="n">
        <v>58</v>
      </c>
      <c r="D2505" s="392" t="n"/>
      <c r="E2505" s="392" t="n"/>
      <c r="F2505" s="392" t="n"/>
      <c r="G2505" s="392" t="n">
        <v>400</v>
      </c>
      <c r="H2505" s="446">
        <f>H2504-G2505</f>
        <v/>
      </c>
      <c r="I2505" s="392" t="n"/>
      <c r="J2505" s="392" t="n"/>
      <c r="K2505" s="392" t="n"/>
      <c r="L2505" s="392" t="n"/>
      <c r="M2505" s="392" t="n"/>
    </row>
    <row r="2506">
      <c r="A2506" s="568" t="n">
        <v>44377</v>
      </c>
      <c r="B2506" s="392" t="n">
        <v>8213</v>
      </c>
      <c r="C2506" s="392" t="n">
        <v>72</v>
      </c>
      <c r="D2506" s="392" t="n"/>
      <c r="E2506" s="392" t="n"/>
      <c r="F2506" s="392" t="n"/>
      <c r="G2506" s="392" t="n">
        <v>30</v>
      </c>
      <c r="H2506" s="446">
        <f>H2505-G2506</f>
        <v/>
      </c>
      <c r="I2506" s="392" t="n"/>
      <c r="J2506" s="392" t="n"/>
      <c r="K2506" s="392" t="n"/>
      <c r="L2506" s="392" t="n"/>
      <c r="M2506" s="392" t="n"/>
    </row>
    <row r="2507">
      <c r="A2507" s="568" t="n"/>
      <c r="B2507" s="392" t="n"/>
      <c r="C2507" s="392" t="n"/>
      <c r="D2507" s="392" t="n"/>
      <c r="E2507" s="392" t="n"/>
      <c r="F2507" s="392" t="n"/>
      <c r="G2507" s="392" t="n"/>
      <c r="H2507" s="446">
        <f>H2506-G2507</f>
        <v/>
      </c>
      <c r="I2507" s="392" t="n"/>
      <c r="J2507" s="392" t="n"/>
      <c r="K2507" s="392" t="n"/>
      <c r="L2507" s="392" t="n"/>
      <c r="M2507" s="392" t="n"/>
    </row>
    <row r="2508">
      <c r="A2508" s="568" t="n"/>
      <c r="B2508" s="392" t="n"/>
      <c r="C2508" s="392" t="n"/>
      <c r="D2508" s="392" t="n"/>
      <c r="E2508" s="392" t="n"/>
      <c r="F2508" s="392" t="n"/>
      <c r="G2508" s="392" t="n"/>
      <c r="H2508" s="446">
        <f>H2507-G2508</f>
        <v/>
      </c>
      <c r="I2508" s="392" t="n"/>
      <c r="J2508" s="392" t="n"/>
      <c r="K2508" s="392" t="n"/>
      <c r="L2508" s="392" t="n"/>
      <c r="M2508" s="392" t="n"/>
    </row>
    <row r="2509">
      <c r="A2509" s="392" t="n"/>
      <c r="B2509" s="392" t="n"/>
      <c r="C2509" s="392" t="n"/>
      <c r="D2509" s="392" t="n"/>
      <c r="E2509" s="392" t="n"/>
      <c r="F2509" s="392" t="n"/>
      <c r="G2509" s="392" t="n"/>
      <c r="H2509" s="446">
        <f>H2508-G2509</f>
        <v/>
      </c>
      <c r="I2509" s="392" t="n"/>
      <c r="J2509" s="392" t="n"/>
      <c r="K2509" s="392" t="n"/>
      <c r="L2509" s="392" t="n"/>
      <c r="M2509" s="392" t="n"/>
    </row>
    <row r="2510" ht="15.75" customHeight="1" s="436" thickBot="1">
      <c r="A2510" s="392" t="n"/>
      <c r="B2510" s="392" t="n"/>
      <c r="C2510" s="392" t="n"/>
      <c r="D2510" s="392" t="n"/>
      <c r="E2510" s="392" t="n"/>
      <c r="F2510" s="392" t="n"/>
      <c r="G2510" s="392" t="n"/>
      <c r="H2510" s="446">
        <f>H2509-G2510</f>
        <v/>
      </c>
      <c r="I2510" s="392" t="n"/>
      <c r="J2510" s="392" t="n"/>
      <c r="K2510" s="392" t="n"/>
      <c r="L2510" s="392" t="n"/>
      <c r="M2510" s="392" t="n"/>
    </row>
    <row r="2511" ht="32.25" customHeight="1" s="436" thickBot="1">
      <c r="A2511" s="735" t="inlineStr">
        <is>
          <t>Julho</t>
        </is>
      </c>
      <c r="B2511" s="697" t="n"/>
      <c r="C2511" s="697" t="n"/>
      <c r="D2511" s="697" t="n"/>
      <c r="E2511" s="697" t="n"/>
      <c r="F2511" s="697" t="n"/>
      <c r="G2511" s="697" t="n"/>
      <c r="H2511" s="697" t="n"/>
      <c r="I2511" s="697" t="n"/>
      <c r="J2511" s="697" t="n"/>
      <c r="K2511" s="697" t="n"/>
      <c r="L2511" s="697" t="n"/>
      <c r="M2511" s="698" t="n"/>
    </row>
    <row r="2512" ht="27" customHeight="1" s="436" thickBot="1">
      <c r="A2512" s="734" t="inlineStr">
        <is>
          <t xml:space="preserve"> FARINHA DE TRIGO TIPO: 1 - 25 KG</t>
        </is>
      </c>
      <c r="B2512" s="706" t="n"/>
      <c r="C2512" s="706" t="n"/>
      <c r="D2512" s="706" t="n"/>
      <c r="E2512" s="706" t="n"/>
      <c r="F2512" s="706" t="n"/>
      <c r="G2512" s="706" t="n"/>
      <c r="H2512" s="706" t="n"/>
      <c r="I2512" s="706" t="n"/>
      <c r="J2512" s="706" t="n"/>
      <c r="K2512" s="706" t="n"/>
      <c r="L2512" s="706" t="n"/>
      <c r="M2512" s="707" t="n"/>
    </row>
    <row r="2513">
      <c r="A2513" s="643" t="inlineStr">
        <is>
          <t>DATA</t>
        </is>
      </c>
      <c r="B2513" s="633" t="inlineStr">
        <is>
          <t>N.F.</t>
        </is>
      </c>
      <c r="C2513" s="633" t="inlineStr">
        <is>
          <t>TIPO</t>
        </is>
      </c>
      <c r="D2513" s="633" t="inlineStr">
        <is>
          <t>PREÇO UNITÁRIO</t>
        </is>
      </c>
      <c r="E2513" s="701" t="n"/>
      <c r="F2513" s="633" t="inlineStr">
        <is>
          <t>QUANTIDADE / KG</t>
        </is>
      </c>
      <c r="H2513" s="701" t="n"/>
      <c r="I2513" s="632" t="inlineStr">
        <is>
          <t>PREÇO</t>
        </is>
      </c>
      <c r="J2513" s="632" t="inlineStr">
        <is>
          <t>VALORES</t>
        </is>
      </c>
      <c r="L2513" s="701" t="n"/>
      <c r="M2513" s="649" t="n"/>
    </row>
    <row r="2514" ht="15.75" customHeight="1" s="436" thickBot="1">
      <c r="A2514" s="703" t="n"/>
      <c r="B2514" s="704" t="n"/>
      <c r="C2514" s="704" t="n"/>
      <c r="D2514" s="703" t="n"/>
      <c r="E2514" s="701" t="n"/>
      <c r="F2514" s="705" t="n"/>
      <c r="G2514" s="706" t="n"/>
      <c r="H2514" s="707" t="n"/>
      <c r="I2514" s="704" t="n"/>
      <c r="J2514" s="703" t="n"/>
      <c r="L2514" s="701" t="n"/>
      <c r="M2514" s="704" t="n"/>
    </row>
    <row r="2515" ht="15.75" customHeight="1" s="436" thickBot="1">
      <c r="A2515" s="703" t="n"/>
      <c r="B2515" s="704" t="n"/>
      <c r="C2515" s="704" t="n"/>
      <c r="D2515" s="705" t="n"/>
      <c r="E2515" s="707" t="n"/>
      <c r="F2515" s="3" t="inlineStr">
        <is>
          <t>ENTRADA</t>
        </is>
      </c>
      <c r="G2515" s="3" t="inlineStr">
        <is>
          <t>SAÍDA</t>
        </is>
      </c>
      <c r="H2515" s="640" t="n"/>
      <c r="I2515" s="633" t="inlineStr">
        <is>
          <t>MÉDIO</t>
        </is>
      </c>
      <c r="J2515" s="652" t="inlineStr">
        <is>
          <t>SALDO EM 30/11/2017</t>
        </is>
      </c>
      <c r="K2515" s="706" t="n"/>
      <c r="L2515" s="17" t="n"/>
      <c r="M2515" s="704" t="n"/>
    </row>
    <row r="2516" ht="18" customHeight="1" s="436" thickBot="1">
      <c r="A2516" s="705" t="n"/>
      <c r="B2516" s="695" t="n"/>
      <c r="C2516" s="695" t="n"/>
      <c r="D2516" s="3" t="inlineStr">
        <is>
          <t>C/ICMS</t>
        </is>
      </c>
      <c r="E2516" s="3" t="inlineStr">
        <is>
          <t>S/ICMS</t>
        </is>
      </c>
      <c r="F2516" s="695" t="n"/>
      <c r="G2516" s="695" t="n"/>
      <c r="H2516" s="84" t="inlineStr">
        <is>
          <t>Saldo em 30/05/2021</t>
        </is>
      </c>
      <c r="I2516" s="695" t="n"/>
      <c r="J2516" s="645" t="inlineStr">
        <is>
          <t>ENTRADA</t>
        </is>
      </c>
      <c r="K2516" s="633" t="inlineStr">
        <is>
          <t>SAÍDA / CMV</t>
        </is>
      </c>
      <c r="L2516" s="643" t="inlineStr">
        <is>
          <t>SALDO</t>
        </is>
      </c>
      <c r="M2516" s="392" t="n"/>
    </row>
    <row r="2517">
      <c r="A2517" s="392" t="n"/>
      <c r="B2517" s="392" t="n"/>
      <c r="C2517" s="392" t="n"/>
      <c r="D2517" s="392" t="n"/>
      <c r="E2517" s="392" t="n"/>
      <c r="F2517" s="392" t="n"/>
      <c r="G2517" s="392" t="n"/>
      <c r="H2517" s="98" t="n">
        <v>3084</v>
      </c>
      <c r="I2517" s="392" t="n"/>
      <c r="J2517" s="392" t="n"/>
      <c r="K2517" s="392" t="n"/>
      <c r="L2517" s="392" t="n"/>
      <c r="M2517" s="392" t="n"/>
    </row>
    <row r="2518">
      <c r="A2518" s="568" t="n">
        <v>44378</v>
      </c>
      <c r="B2518" s="392" t="n">
        <v>8220</v>
      </c>
      <c r="C2518" s="392" t="n">
        <v>67</v>
      </c>
      <c r="D2518" s="392" t="n"/>
      <c r="E2518" s="392" t="n"/>
      <c r="F2518" s="392" t="n"/>
      <c r="G2518" s="392" t="n">
        <v>60</v>
      </c>
      <c r="H2518" s="446">
        <f>H2517-G2518</f>
        <v/>
      </c>
      <c r="I2518" s="392" t="n"/>
      <c r="J2518" s="392" t="n"/>
      <c r="K2518" s="392" t="n"/>
      <c r="L2518" s="392" t="n"/>
      <c r="M2518" s="392" t="n"/>
    </row>
    <row r="2519">
      <c r="A2519" s="568" t="n">
        <v>44383</v>
      </c>
      <c r="B2519" s="392" t="n">
        <v>8222</v>
      </c>
      <c r="C2519" s="392" t="n">
        <v>60</v>
      </c>
      <c r="D2519" s="392" t="n"/>
      <c r="E2519" s="392" t="n"/>
      <c r="F2519" s="392" t="n"/>
      <c r="G2519" s="392" t="n">
        <v>120</v>
      </c>
      <c r="H2519" s="446">
        <f>H2518-G2519</f>
        <v/>
      </c>
      <c r="I2519" s="392" t="n"/>
      <c r="J2519" s="392" t="n"/>
      <c r="K2519" s="392" t="n"/>
      <c r="L2519" s="392" t="n"/>
      <c r="M2519" s="392" t="n"/>
    </row>
    <row r="2520">
      <c r="A2520" s="568" t="n">
        <v>44383</v>
      </c>
      <c r="B2520" s="392" t="n">
        <v>8226</v>
      </c>
      <c r="C2520" s="392" t="n">
        <v>68</v>
      </c>
      <c r="D2520" s="392" t="n"/>
      <c r="E2520" s="392" t="n"/>
      <c r="F2520" s="392" t="n"/>
      <c r="G2520" s="392" t="n">
        <v>30</v>
      </c>
      <c r="H2520" s="446">
        <f>H2519-G2520</f>
        <v/>
      </c>
      <c r="I2520" s="392" t="n"/>
      <c r="J2520" s="392" t="n"/>
      <c r="K2520" s="392" t="n"/>
      <c r="L2520" s="392" t="n"/>
      <c r="M2520" s="392" t="n"/>
    </row>
    <row r="2521">
      <c r="A2521" s="568" t="n">
        <v>44383</v>
      </c>
      <c r="B2521" s="392" t="n">
        <v>8228</v>
      </c>
      <c r="C2521" s="392" t="n">
        <v>70</v>
      </c>
      <c r="D2521" s="392" t="n"/>
      <c r="E2521" s="392" t="n"/>
      <c r="F2521" s="392" t="n"/>
      <c r="G2521" s="392" t="n">
        <v>50</v>
      </c>
      <c r="H2521" s="446">
        <f>H2520-G2521</f>
        <v/>
      </c>
      <c r="I2521" s="392" t="n"/>
      <c r="J2521" s="392" t="n"/>
      <c r="K2521" s="392" t="n"/>
      <c r="L2521" s="392" t="n"/>
      <c r="M2521" s="392" t="n"/>
    </row>
    <row r="2522">
      <c r="A2522" s="568" t="n">
        <v>44384</v>
      </c>
      <c r="B2522" s="392" t="n">
        <v>8233</v>
      </c>
      <c r="C2522" s="392" t="n">
        <v>70</v>
      </c>
      <c r="D2522" s="392" t="n"/>
      <c r="E2522" s="392" t="n"/>
      <c r="F2522" s="392" t="n"/>
      <c r="G2522" s="392" t="n">
        <v>30</v>
      </c>
      <c r="H2522" s="446">
        <f>H2521-G2522</f>
        <v/>
      </c>
      <c r="I2522" s="392" t="n"/>
      <c r="J2522" s="392" t="n"/>
      <c r="K2522" s="392" t="n"/>
      <c r="L2522" s="392" t="n"/>
      <c r="M2522" s="392" t="n"/>
    </row>
    <row r="2523">
      <c r="A2523" s="333" t="n">
        <v>44384</v>
      </c>
      <c r="B2523" s="392" t="n">
        <v>8234</v>
      </c>
      <c r="C2523" s="392" t="n">
        <v>68</v>
      </c>
      <c r="D2523" s="392" t="n"/>
      <c r="E2523" s="392" t="n"/>
      <c r="F2523" s="392" t="n"/>
      <c r="G2523" s="392" t="n">
        <v>30</v>
      </c>
      <c r="H2523" s="446">
        <f>H2522-G2523</f>
        <v/>
      </c>
      <c r="I2523" s="392" t="n"/>
      <c r="J2523" s="392" t="n"/>
      <c r="K2523" s="392" t="n"/>
      <c r="L2523" s="392" t="n"/>
      <c r="M2523" s="392" t="n"/>
    </row>
    <row r="2524">
      <c r="A2524" s="568" t="n">
        <v>44384</v>
      </c>
      <c r="B2524" s="392" t="n">
        <v>8235</v>
      </c>
      <c r="C2524" s="392" t="n">
        <v>70</v>
      </c>
      <c r="D2524" s="392" t="n"/>
      <c r="E2524" s="392" t="n"/>
      <c r="F2524" s="392" t="n"/>
      <c r="G2524" s="392" t="n">
        <v>60</v>
      </c>
      <c r="H2524" s="446">
        <f>H2523-G2524</f>
        <v/>
      </c>
      <c r="I2524" s="392" t="n"/>
      <c r="J2524" s="392" t="n"/>
      <c r="K2524" s="392" t="n"/>
      <c r="L2524" s="392" t="n"/>
      <c r="M2524" s="392" t="n"/>
    </row>
    <row r="2525">
      <c r="A2525" s="568" t="n">
        <v>44384</v>
      </c>
      <c r="B2525" s="392" t="n">
        <v>8237</v>
      </c>
      <c r="C2525" s="392" t="n">
        <v>70</v>
      </c>
      <c r="D2525" s="392" t="n"/>
      <c r="E2525" s="392" t="n"/>
      <c r="F2525" s="392" t="n"/>
      <c r="G2525" s="392" t="n">
        <v>15</v>
      </c>
      <c r="H2525" s="446">
        <f>H2524-G2525</f>
        <v/>
      </c>
      <c r="I2525" s="392" t="n"/>
      <c r="J2525" s="392" t="n"/>
      <c r="K2525" s="392" t="n"/>
      <c r="L2525" s="392" t="n"/>
      <c r="M2525" s="392" t="n"/>
    </row>
    <row r="2526">
      <c r="A2526" s="568" t="n">
        <v>44384</v>
      </c>
      <c r="B2526" s="392" t="n">
        <v>8238</v>
      </c>
      <c r="C2526" s="392" t="n">
        <v>71.25</v>
      </c>
      <c r="D2526" s="392" t="n"/>
      <c r="E2526" s="392" t="n"/>
      <c r="F2526" s="392" t="n"/>
      <c r="G2526" s="392" t="n">
        <v>15</v>
      </c>
      <c r="H2526" s="446">
        <f>H2525-G2526</f>
        <v/>
      </c>
      <c r="I2526" s="392" t="n"/>
      <c r="J2526" s="392" t="n"/>
      <c r="K2526" s="392" t="n"/>
      <c r="L2526" s="392" t="n"/>
      <c r="M2526" s="392" t="n"/>
    </row>
    <row r="2527">
      <c r="A2527" s="568" t="n">
        <v>44384</v>
      </c>
      <c r="B2527" s="392" t="n">
        <v>8239</v>
      </c>
      <c r="C2527" s="392" t="n">
        <v>70</v>
      </c>
      <c r="D2527" s="392" t="n"/>
      <c r="E2527" s="392" t="n"/>
      <c r="F2527" s="392" t="n"/>
      <c r="G2527" s="392" t="n">
        <v>20</v>
      </c>
      <c r="H2527" s="446">
        <f>H2526-G2527</f>
        <v/>
      </c>
      <c r="I2527" s="392" t="n"/>
      <c r="J2527" s="392" t="n"/>
      <c r="K2527" s="392" t="n"/>
      <c r="L2527" s="392" t="n"/>
      <c r="M2527" s="392" t="n"/>
    </row>
    <row r="2528">
      <c r="A2528" s="568" t="n">
        <v>44384</v>
      </c>
      <c r="B2528" s="392" t="n">
        <v>8240</v>
      </c>
      <c r="C2528" s="392" t="n">
        <v>70</v>
      </c>
      <c r="D2528" s="392" t="n"/>
      <c r="E2528" s="392" t="n"/>
      <c r="F2528" s="392" t="n"/>
      <c r="G2528" s="392" t="n">
        <v>10</v>
      </c>
      <c r="H2528" s="446">
        <f>H2527-G2528</f>
        <v/>
      </c>
      <c r="I2528" s="392" t="n"/>
      <c r="J2528" s="392" t="n"/>
      <c r="K2528" s="392" t="n"/>
      <c r="L2528" s="392" t="n"/>
      <c r="M2528" s="392" t="n"/>
    </row>
    <row r="2529">
      <c r="A2529" s="304" t="n">
        <v>44389</v>
      </c>
      <c r="B2529" s="401" t="n">
        <v>16930</v>
      </c>
      <c r="C2529" s="401" t="n"/>
      <c r="D2529" s="401" t="n"/>
      <c r="E2529" s="401" t="n"/>
      <c r="F2529" s="401" t="n">
        <v>1120</v>
      </c>
      <c r="G2529" s="401" t="n"/>
      <c r="H2529" s="322" t="n">
        <v>3764</v>
      </c>
      <c r="I2529" s="392" t="n"/>
      <c r="J2529" s="392" t="n"/>
      <c r="K2529" s="392" t="n"/>
      <c r="L2529" s="392" t="n"/>
      <c r="M2529" s="392" t="n"/>
    </row>
    <row r="2530">
      <c r="A2530" s="568" t="n">
        <v>44390</v>
      </c>
      <c r="B2530" s="392" t="n">
        <v>8246</v>
      </c>
      <c r="C2530" s="392" t="n">
        <v>78</v>
      </c>
      <c r="D2530" s="392" t="n"/>
      <c r="E2530" s="392" t="n"/>
      <c r="F2530" s="392" t="n"/>
      <c r="G2530" s="392" t="n">
        <v>50</v>
      </c>
      <c r="H2530" s="446">
        <f>H2529-G2530</f>
        <v/>
      </c>
      <c r="I2530" s="392" t="n"/>
      <c r="J2530" s="392" t="n"/>
      <c r="K2530" s="392" t="n"/>
      <c r="L2530" s="392" t="n"/>
      <c r="M2530" s="392" t="n"/>
    </row>
    <row r="2531">
      <c r="A2531" s="568" t="n">
        <v>44390</v>
      </c>
      <c r="B2531" s="392" t="n">
        <v>8247</v>
      </c>
      <c r="C2531" s="392" t="n">
        <v>60</v>
      </c>
      <c r="D2531" s="392" t="n"/>
      <c r="E2531" s="392" t="n"/>
      <c r="F2531" s="392" t="n"/>
      <c r="G2531" s="392" t="n">
        <v>30</v>
      </c>
      <c r="H2531" s="446">
        <f>H2530-G2531</f>
        <v/>
      </c>
      <c r="I2531" s="392" t="n"/>
      <c r="J2531" s="392" t="n"/>
      <c r="K2531" s="392" t="n"/>
      <c r="L2531" s="392" t="n"/>
      <c r="M2531" s="392" t="n"/>
    </row>
    <row r="2532">
      <c r="A2532" s="568" t="n">
        <v>44390</v>
      </c>
      <c r="B2532" s="392" t="n">
        <v>8251</v>
      </c>
      <c r="C2532" s="392" t="n">
        <v>70</v>
      </c>
      <c r="D2532" s="392" t="n"/>
      <c r="E2532" s="392" t="n"/>
      <c r="F2532" s="392" t="n"/>
      <c r="G2532" s="392" t="n">
        <v>15</v>
      </c>
      <c r="H2532" s="446">
        <f>H2531-G2532</f>
        <v/>
      </c>
      <c r="I2532" s="392" t="n"/>
      <c r="J2532" s="392" t="n"/>
      <c r="K2532" s="392" t="n"/>
      <c r="L2532" s="392" t="n"/>
      <c r="M2532" s="392" t="n"/>
    </row>
    <row r="2533">
      <c r="A2533" s="568" t="n">
        <v>44390</v>
      </c>
      <c r="B2533" s="392" t="n">
        <v>8252</v>
      </c>
      <c r="C2533" s="392" t="n">
        <v>71</v>
      </c>
      <c r="D2533" s="392" t="n"/>
      <c r="E2533" s="392" t="n"/>
      <c r="F2533" s="392" t="n"/>
      <c r="G2533" s="392" t="n">
        <v>50</v>
      </c>
      <c r="H2533" s="446">
        <f>H2532-G2533</f>
        <v/>
      </c>
      <c r="I2533" s="392" t="n"/>
      <c r="J2533" s="392" t="n"/>
      <c r="K2533" s="392" t="n"/>
      <c r="L2533" s="392" t="n"/>
      <c r="M2533" s="392" t="n"/>
    </row>
    <row r="2534">
      <c r="A2534" s="568" t="n">
        <v>44390</v>
      </c>
      <c r="B2534" s="392" t="n">
        <v>8253</v>
      </c>
      <c r="C2534" s="392" t="n">
        <v>68</v>
      </c>
      <c r="D2534" s="392" t="n"/>
      <c r="E2534" s="392" t="n"/>
      <c r="F2534" s="392" t="n"/>
      <c r="G2534" s="392" t="n">
        <v>15</v>
      </c>
      <c r="H2534" s="446">
        <f>H2533-G2534</f>
        <v/>
      </c>
      <c r="I2534" s="392" t="n"/>
      <c r="J2534" s="392" t="n"/>
      <c r="K2534" s="392" t="n"/>
      <c r="L2534" s="392" t="n"/>
      <c r="M2534" s="392" t="n"/>
    </row>
    <row r="2535">
      <c r="A2535" s="568" t="n">
        <v>44391</v>
      </c>
      <c r="B2535" s="392" t="n">
        <v>8256</v>
      </c>
      <c r="C2535" s="392" t="n">
        <v>70</v>
      </c>
      <c r="D2535" s="392" t="n"/>
      <c r="E2535" s="392" t="n"/>
      <c r="F2535" s="392" t="n"/>
      <c r="G2535" s="392" t="n">
        <v>20</v>
      </c>
      <c r="H2535" s="446">
        <f>H2534-G2535</f>
        <v/>
      </c>
      <c r="I2535" s="392" t="n"/>
      <c r="J2535" s="392" t="n"/>
      <c r="K2535" s="392" t="n"/>
      <c r="L2535" s="392" t="n"/>
      <c r="M2535" s="392" t="n"/>
    </row>
    <row r="2536">
      <c r="A2536" s="568" t="n">
        <v>44391</v>
      </c>
      <c r="B2536" s="392" t="n">
        <v>8257</v>
      </c>
      <c r="C2536" s="392" t="n">
        <v>70</v>
      </c>
      <c r="D2536" s="392" t="n"/>
      <c r="E2536" s="392" t="n"/>
      <c r="F2536" s="392" t="n"/>
      <c r="G2536" s="392" t="n">
        <v>30</v>
      </c>
      <c r="H2536" s="446">
        <f>H2535-G2536</f>
        <v/>
      </c>
      <c r="I2536" s="392" t="n"/>
      <c r="J2536" s="392" t="n"/>
      <c r="K2536" s="392" t="n"/>
      <c r="L2536" s="392" t="n"/>
      <c r="M2536" s="392" t="n"/>
    </row>
    <row r="2537">
      <c r="A2537" s="568" t="n">
        <v>44393</v>
      </c>
      <c r="B2537" s="392" t="n">
        <v>8259</v>
      </c>
      <c r="C2537" s="392" t="n">
        <v>65</v>
      </c>
      <c r="D2537" s="392" t="n"/>
      <c r="E2537" s="392" t="n"/>
      <c r="F2537" s="392" t="n"/>
      <c r="G2537" s="392" t="n">
        <v>200</v>
      </c>
      <c r="H2537" s="446">
        <f>H2536-G2537</f>
        <v/>
      </c>
      <c r="I2537" s="392" t="n"/>
      <c r="J2537" s="392" t="n"/>
      <c r="K2537" s="392" t="n"/>
      <c r="L2537" s="392" t="n"/>
      <c r="M2537" s="392" t="n"/>
    </row>
    <row r="2538">
      <c r="A2538" s="568" t="n">
        <v>44393</v>
      </c>
      <c r="B2538" s="392" t="n">
        <v>8260</v>
      </c>
      <c r="C2538" s="392" t="n">
        <v>60</v>
      </c>
      <c r="D2538" s="392" t="n"/>
      <c r="E2538" s="392" t="n"/>
      <c r="F2538" s="392" t="n"/>
      <c r="G2538" s="392" t="n">
        <v>200</v>
      </c>
      <c r="H2538" s="446">
        <f>H2537-G2538</f>
        <v/>
      </c>
      <c r="I2538" s="392" t="n"/>
      <c r="J2538" s="392" t="n"/>
      <c r="K2538" s="392" t="n"/>
      <c r="L2538" s="392" t="n"/>
      <c r="M2538" s="392" t="n"/>
    </row>
    <row r="2539">
      <c r="A2539" s="568" t="n">
        <v>44396</v>
      </c>
      <c r="B2539" s="392" t="n">
        <v>8261</v>
      </c>
      <c r="C2539" s="392" t="n">
        <v>60</v>
      </c>
      <c r="D2539" s="392" t="n"/>
      <c r="E2539" s="392" t="n"/>
      <c r="F2539" s="392" t="n"/>
      <c r="G2539" s="392" t="n">
        <v>200</v>
      </c>
      <c r="H2539" s="446">
        <f>H2538-G2539</f>
        <v/>
      </c>
      <c r="I2539" s="392" t="n"/>
      <c r="J2539" s="392" t="n"/>
      <c r="K2539" s="392" t="n"/>
      <c r="L2539" s="392" t="n"/>
      <c r="M2539" s="392" t="n"/>
    </row>
    <row r="2540">
      <c r="A2540" s="568" t="n">
        <v>44396</v>
      </c>
      <c r="B2540" s="392" t="n">
        <v>8262</v>
      </c>
      <c r="C2540" s="392" t="n">
        <v>70</v>
      </c>
      <c r="D2540" s="392" t="n"/>
      <c r="E2540" s="392" t="n"/>
      <c r="F2540" s="392" t="n"/>
      <c r="G2540" s="392" t="n">
        <v>15</v>
      </c>
      <c r="H2540" s="446">
        <f>H2539-G2540</f>
        <v/>
      </c>
      <c r="I2540" s="392" t="n"/>
      <c r="J2540" s="392" t="n"/>
      <c r="K2540" s="392" t="n"/>
      <c r="L2540" s="392" t="n"/>
      <c r="M2540" s="392" t="n"/>
    </row>
    <row r="2541">
      <c r="A2541" s="568" t="n">
        <v>44396</v>
      </c>
      <c r="B2541" s="392" t="n">
        <v>8264</v>
      </c>
      <c r="C2541" s="392" t="n">
        <v>72</v>
      </c>
      <c r="D2541" s="392" t="n"/>
      <c r="E2541" s="392" t="n"/>
      <c r="F2541" s="392" t="n"/>
      <c r="G2541" s="392" t="n">
        <v>10</v>
      </c>
      <c r="H2541" s="446">
        <f>H2540-G2541</f>
        <v/>
      </c>
      <c r="I2541" s="392" t="n"/>
      <c r="J2541" s="392" t="n"/>
      <c r="K2541" s="392" t="n"/>
      <c r="L2541" s="392" t="n"/>
      <c r="M2541" s="392" t="n"/>
    </row>
    <row r="2542">
      <c r="A2542" s="568" t="n">
        <v>44396</v>
      </c>
      <c r="B2542" s="392" t="n">
        <v>8265</v>
      </c>
      <c r="C2542" s="392" t="n">
        <v>68</v>
      </c>
      <c r="D2542" s="392" t="n"/>
      <c r="E2542" s="392" t="n"/>
      <c r="F2542" s="392" t="n"/>
      <c r="G2542" s="392" t="n">
        <v>50</v>
      </c>
      <c r="H2542" s="446">
        <f>H2541-G2542</f>
        <v/>
      </c>
      <c r="I2542" s="392" t="n"/>
      <c r="J2542" s="392" t="n"/>
      <c r="K2542" s="392" t="n"/>
      <c r="L2542" s="392" t="n"/>
      <c r="M2542" s="392" t="n"/>
    </row>
    <row r="2543">
      <c r="A2543" s="568" t="n">
        <v>44396</v>
      </c>
      <c r="B2543" s="392" t="n">
        <v>8266</v>
      </c>
      <c r="C2543" s="392" t="n">
        <v>70</v>
      </c>
      <c r="D2543" s="392" t="n"/>
      <c r="E2543" s="392" t="n"/>
      <c r="F2543" s="392" t="n"/>
      <c r="G2543" s="392" t="n">
        <v>60</v>
      </c>
      <c r="H2543" s="446">
        <f>H2542-G2543</f>
        <v/>
      </c>
      <c r="I2543" s="392" t="n"/>
      <c r="J2543" s="392" t="n"/>
      <c r="K2543" s="392" t="n"/>
      <c r="L2543" s="392" t="n"/>
      <c r="M2543" s="392" t="n"/>
    </row>
    <row r="2544">
      <c r="A2544" s="568" t="n">
        <v>44397</v>
      </c>
      <c r="B2544" s="392" t="n">
        <v>8272</v>
      </c>
      <c r="C2544" s="392" t="n">
        <v>70</v>
      </c>
      <c r="D2544" s="392" t="n"/>
      <c r="E2544" s="392" t="n"/>
      <c r="F2544" s="392" t="n"/>
      <c r="G2544" s="392" t="n">
        <v>20</v>
      </c>
      <c r="H2544" s="446">
        <f>H2543-G2544</f>
        <v/>
      </c>
      <c r="I2544" s="392" t="n"/>
      <c r="J2544" s="392" t="n"/>
      <c r="K2544" s="392" t="n"/>
      <c r="L2544" s="392" t="n"/>
      <c r="M2544" s="392" t="n"/>
    </row>
    <row r="2545">
      <c r="A2545" s="568" t="n">
        <v>44397</v>
      </c>
      <c r="B2545" s="392" t="n">
        <v>8276</v>
      </c>
      <c r="C2545" s="392" t="n">
        <v>70</v>
      </c>
      <c r="D2545" s="392" t="n"/>
      <c r="E2545" s="392" t="n"/>
      <c r="F2545" s="392" t="n"/>
      <c r="G2545" s="392" t="n">
        <v>20</v>
      </c>
      <c r="H2545" s="446">
        <f>H2544-G2545</f>
        <v/>
      </c>
      <c r="I2545" s="392" t="n"/>
      <c r="J2545" s="392" t="n"/>
      <c r="K2545" s="392" t="n"/>
      <c r="L2545" s="392" t="n"/>
      <c r="M2545" s="392" t="n"/>
    </row>
    <row r="2546">
      <c r="A2546" s="568" t="n">
        <v>44397</v>
      </c>
      <c r="B2546" s="392" t="n">
        <v>8278</v>
      </c>
      <c r="C2546" s="392" t="n">
        <v>68</v>
      </c>
      <c r="D2546" s="392" t="n"/>
      <c r="E2546" s="392" t="n"/>
      <c r="F2546" s="392" t="n"/>
      <c r="G2546" s="392" t="n">
        <v>30</v>
      </c>
      <c r="H2546" s="446">
        <f>H2545-G2546</f>
        <v/>
      </c>
      <c r="I2546" s="392" t="n"/>
      <c r="J2546" s="392" t="n"/>
      <c r="K2546" s="392" t="n"/>
      <c r="L2546" s="392" t="n"/>
      <c r="M2546" s="392" t="n"/>
    </row>
    <row r="2547">
      <c r="A2547" s="568" t="n">
        <v>44397</v>
      </c>
      <c r="B2547" s="392" t="n">
        <v>8280</v>
      </c>
      <c r="C2547" s="392" t="n">
        <v>81.67</v>
      </c>
      <c r="D2547" s="392" t="n"/>
      <c r="E2547" s="392" t="n"/>
      <c r="F2547" s="392" t="n"/>
      <c r="G2547" s="392" t="n">
        <v>60</v>
      </c>
      <c r="H2547" s="446">
        <f>H2546-G2547</f>
        <v/>
      </c>
      <c r="I2547" s="392" t="n"/>
      <c r="J2547" s="392" t="n"/>
      <c r="K2547" s="392" t="n"/>
      <c r="L2547" s="392" t="n"/>
      <c r="M2547" s="392" t="n"/>
    </row>
    <row r="2548">
      <c r="A2548" s="568" t="n">
        <v>44398</v>
      </c>
      <c r="B2548" s="392" t="n">
        <v>8281</v>
      </c>
      <c r="C2548" s="392" t="n">
        <v>70.27</v>
      </c>
      <c r="D2548" s="392" t="n"/>
      <c r="E2548" s="392" t="n"/>
      <c r="F2548" s="392" t="n"/>
      <c r="G2548" s="392" t="n">
        <v>38</v>
      </c>
      <c r="H2548" s="446">
        <f>H2547-G2548</f>
        <v/>
      </c>
      <c r="I2548" s="392" t="n"/>
      <c r="J2548" s="392" t="n"/>
      <c r="K2548" s="392" t="n"/>
      <c r="L2548" s="392" t="n"/>
      <c r="M2548" s="392" t="n"/>
    </row>
    <row r="2549">
      <c r="A2549" s="568" t="n">
        <v>44398</v>
      </c>
      <c r="B2549" s="392" t="n">
        <v>8282</v>
      </c>
      <c r="C2549" s="392" t="n">
        <v>70</v>
      </c>
      <c r="D2549" s="392" t="n"/>
      <c r="E2549" s="392" t="n"/>
      <c r="F2549" s="392" t="n"/>
      <c r="G2549" s="392" t="n">
        <v>20</v>
      </c>
      <c r="H2549" s="446">
        <f>H2548-G2549</f>
        <v/>
      </c>
      <c r="I2549" s="392" t="n"/>
      <c r="J2549" s="392" t="n"/>
      <c r="K2549" s="392" t="n"/>
      <c r="L2549" s="392" t="n"/>
      <c r="M2549" s="392" t="n"/>
    </row>
    <row r="2550">
      <c r="A2550" s="304" t="n">
        <v>44400</v>
      </c>
      <c r="B2550" s="401" t="n">
        <v>16884</v>
      </c>
      <c r="C2550" s="401" t="n"/>
      <c r="D2550" s="401" t="n"/>
      <c r="E2550" s="401" t="n"/>
      <c r="F2550" s="401" t="n">
        <v>1120</v>
      </c>
      <c r="G2550" s="401" t="n"/>
      <c r="H2550" s="322" t="n">
        <v>3751</v>
      </c>
      <c r="I2550" s="392" t="n"/>
      <c r="J2550" s="392" t="n"/>
      <c r="K2550" s="392" t="n"/>
      <c r="L2550" s="392" t="n"/>
      <c r="M2550" s="392" t="n"/>
    </row>
    <row r="2551">
      <c r="A2551" s="304" t="n">
        <v>44403</v>
      </c>
      <c r="B2551" s="401" t="n">
        <v>170178</v>
      </c>
      <c r="C2551" s="401" t="n"/>
      <c r="D2551" s="401" t="n"/>
      <c r="E2551" s="401" t="n"/>
      <c r="F2551" s="401" t="n">
        <v>180</v>
      </c>
      <c r="G2551" s="401" t="n"/>
      <c r="H2551" s="322" t="n">
        <v>3931</v>
      </c>
      <c r="I2551" s="392" t="n"/>
      <c r="J2551" s="392" t="n"/>
      <c r="K2551" s="392" t="n"/>
      <c r="L2551" s="392" t="n"/>
      <c r="M2551" s="392" t="n"/>
    </row>
    <row r="2552">
      <c r="A2552" s="568" t="n">
        <v>44403</v>
      </c>
      <c r="B2552" s="392" t="n">
        <v>8283</v>
      </c>
      <c r="C2552" s="392" t="n">
        <v>65</v>
      </c>
      <c r="D2552" s="392" t="n"/>
      <c r="E2552" s="392" t="n"/>
      <c r="F2552" s="392" t="n"/>
      <c r="G2552" s="392" t="n">
        <v>200</v>
      </c>
      <c r="H2552" s="446">
        <f>H2551-G2552</f>
        <v/>
      </c>
      <c r="I2552" s="392" t="n"/>
      <c r="J2552" s="392" t="n"/>
      <c r="K2552" s="392" t="n"/>
      <c r="L2552" s="392" t="n"/>
      <c r="M2552" s="392" t="n"/>
    </row>
    <row r="2553">
      <c r="A2553" s="568" t="n">
        <v>44403</v>
      </c>
      <c r="B2553" s="392" t="n">
        <v>8284</v>
      </c>
      <c r="C2553" s="392" t="n">
        <v>58</v>
      </c>
      <c r="D2553" s="392" t="n"/>
      <c r="E2553" s="392" t="n"/>
      <c r="F2553" s="392" t="n"/>
      <c r="G2553" s="392" t="n">
        <v>300</v>
      </c>
      <c r="H2553" s="446">
        <f>H2552-G2553</f>
        <v/>
      </c>
      <c r="I2553" s="392" t="n"/>
      <c r="J2553" s="392" t="n"/>
      <c r="K2553" s="392" t="n"/>
      <c r="L2553" s="392" t="n"/>
      <c r="M2553" s="392" t="n"/>
    </row>
    <row r="2554">
      <c r="A2554" s="568" t="n">
        <v>44405</v>
      </c>
      <c r="B2554" s="392" t="n">
        <v>8286</v>
      </c>
      <c r="C2554" s="392" t="n">
        <v>70</v>
      </c>
      <c r="D2554" s="392" t="n"/>
      <c r="E2554" s="392" t="n"/>
      <c r="F2554" s="392" t="n"/>
      <c r="G2554" s="392" t="n">
        <v>50</v>
      </c>
      <c r="H2554" s="446">
        <f>H2553-G2554</f>
        <v/>
      </c>
      <c r="I2554" s="392" t="n"/>
      <c r="J2554" s="392" t="n"/>
      <c r="K2554" s="392" t="n"/>
      <c r="L2554" s="392" t="n"/>
      <c r="M2554" s="392" t="n"/>
    </row>
    <row r="2555">
      <c r="A2555" s="568" t="n">
        <v>44405</v>
      </c>
      <c r="B2555" s="392" t="n">
        <v>8288</v>
      </c>
      <c r="C2555" s="392" t="n">
        <v>70</v>
      </c>
      <c r="D2555" s="392" t="n"/>
      <c r="E2555" s="392" t="n"/>
      <c r="F2555" s="392" t="n"/>
      <c r="G2555" s="392" t="n">
        <v>20</v>
      </c>
      <c r="H2555" s="446">
        <f>H2554-G2555</f>
        <v/>
      </c>
      <c r="I2555" s="392" t="n"/>
      <c r="J2555" s="392" t="n"/>
      <c r="K2555" s="392" t="n"/>
      <c r="L2555" s="392" t="n"/>
      <c r="M2555" s="392" t="n"/>
    </row>
    <row r="2556">
      <c r="A2556" s="568" t="n">
        <v>44405</v>
      </c>
      <c r="B2556" s="392" t="n">
        <v>8289</v>
      </c>
      <c r="C2556" s="392" t="n">
        <v>69</v>
      </c>
      <c r="D2556" s="392" t="n"/>
      <c r="E2556" s="392" t="n"/>
      <c r="F2556" s="392" t="n"/>
      <c r="G2556" s="392" t="n">
        <v>50</v>
      </c>
      <c r="H2556" s="446">
        <f>H2555-G2556</f>
        <v/>
      </c>
      <c r="I2556" s="392" t="n"/>
      <c r="J2556" s="392" t="n"/>
      <c r="K2556" s="392" t="n"/>
      <c r="L2556" s="392" t="n"/>
      <c r="M2556" s="392" t="n"/>
    </row>
    <row r="2557">
      <c r="A2557" s="568" t="n">
        <v>44405</v>
      </c>
      <c r="B2557" s="392" t="n">
        <v>8292</v>
      </c>
      <c r="C2557" s="392" t="n">
        <v>70</v>
      </c>
      <c r="D2557" s="392" t="n"/>
      <c r="E2557" s="392" t="n"/>
      <c r="F2557" s="392" t="n"/>
      <c r="G2557" s="392" t="n">
        <v>50</v>
      </c>
      <c r="H2557" s="446">
        <f>H2556-G2557</f>
        <v/>
      </c>
      <c r="I2557" s="392" t="n"/>
      <c r="J2557" s="392" t="n"/>
      <c r="K2557" s="392" t="n"/>
      <c r="L2557" s="392" t="n"/>
      <c r="M2557" s="392" t="n"/>
    </row>
    <row r="2558">
      <c r="A2558" s="568" t="n">
        <v>44405</v>
      </c>
      <c r="B2558" s="392" t="n">
        <v>8295</v>
      </c>
      <c r="C2558" s="392" t="n">
        <v>70</v>
      </c>
      <c r="D2558" s="392" t="n"/>
      <c r="E2558" s="392" t="n"/>
      <c r="F2558" s="392" t="n"/>
      <c r="G2558" s="392" t="n">
        <v>20</v>
      </c>
      <c r="H2558" s="446">
        <f>H2557-G2558</f>
        <v/>
      </c>
      <c r="I2558" s="392" t="n"/>
      <c r="J2558" s="392" t="n"/>
      <c r="K2558" s="392" t="n"/>
      <c r="L2558" s="392" t="n"/>
      <c r="M2558" s="392" t="n"/>
    </row>
    <row r="2559">
      <c r="A2559" s="568" t="n">
        <v>44405</v>
      </c>
      <c r="B2559" s="392" t="n">
        <v>8298</v>
      </c>
      <c r="C2559" s="392" t="n">
        <v>70</v>
      </c>
      <c r="D2559" s="392" t="n"/>
      <c r="E2559" s="392" t="n"/>
      <c r="F2559" s="392" t="n"/>
      <c r="G2559" s="392" t="n">
        <v>50</v>
      </c>
      <c r="H2559" s="446">
        <f>H2558-G2559</f>
        <v/>
      </c>
      <c r="I2559" s="392" t="n"/>
      <c r="J2559" s="392" t="n"/>
      <c r="K2559" s="392" t="n"/>
      <c r="L2559" s="392" t="n"/>
      <c r="M2559" s="392" t="n"/>
    </row>
    <row r="2560">
      <c r="A2560" s="568" t="n">
        <v>44408</v>
      </c>
      <c r="B2560" s="392" t="n">
        <v>8302</v>
      </c>
      <c r="C2560" s="392" t="n">
        <v>60</v>
      </c>
      <c r="D2560" s="392" t="n"/>
      <c r="E2560" s="392" t="n"/>
      <c r="F2560" s="392" t="n"/>
      <c r="G2560" s="392" t="n">
        <v>30</v>
      </c>
      <c r="H2560" s="446">
        <f>H2559-G2560</f>
        <v/>
      </c>
      <c r="I2560" s="392" t="n"/>
      <c r="J2560" s="392" t="n"/>
      <c r="K2560" s="392" t="n"/>
      <c r="L2560" s="392" t="n"/>
      <c r="M2560" s="392" t="n"/>
    </row>
    <row r="2561">
      <c r="B2561" s="392" t="n"/>
      <c r="C2561" s="392" t="n"/>
      <c r="D2561" s="392" t="n"/>
      <c r="E2561" s="392" t="n"/>
      <c r="F2561" s="392" t="n"/>
      <c r="G2561" s="392" t="n"/>
      <c r="H2561" s="446">
        <f>H2560-G2561</f>
        <v/>
      </c>
      <c r="I2561" s="392" t="n"/>
      <c r="J2561" s="392" t="n"/>
      <c r="K2561" s="392" t="n"/>
      <c r="L2561" s="392" t="n"/>
      <c r="M2561" s="392" t="n"/>
    </row>
    <row r="2562">
      <c r="A2562" s="568" t="n">
        <v>44406</v>
      </c>
      <c r="B2562" s="392" t="n"/>
      <c r="C2562" s="392" t="n"/>
      <c r="D2562" s="392" t="n"/>
      <c r="E2562" s="392" t="n"/>
      <c r="F2562" s="392" t="n"/>
      <c r="G2562" s="392" t="n"/>
      <c r="H2562" s="446">
        <f>H2561-G2562</f>
        <v/>
      </c>
      <c r="I2562" s="392" t="n"/>
      <c r="J2562" s="392" t="n"/>
      <c r="K2562" s="392" t="n"/>
      <c r="L2562" s="392" t="n"/>
      <c r="M2562" s="392" t="n"/>
    </row>
    <row r="2563">
      <c r="A2563" s="568" t="n">
        <v>44406</v>
      </c>
      <c r="B2563" s="392" t="n"/>
      <c r="C2563" s="392" t="n"/>
      <c r="D2563" s="392" t="n"/>
      <c r="E2563" s="568" t="n"/>
      <c r="F2563" s="392" t="n"/>
      <c r="G2563" s="392" t="n"/>
      <c r="H2563" s="446">
        <f>H2562-G2563</f>
        <v/>
      </c>
      <c r="I2563" s="392" t="n"/>
      <c r="J2563" s="392" t="n"/>
      <c r="K2563" s="392" t="n"/>
      <c r="L2563" s="392" t="n"/>
      <c r="M2563" s="392" t="n"/>
    </row>
    <row r="2564">
      <c r="A2564" s="568" t="n">
        <v>44406</v>
      </c>
      <c r="B2564" s="392" t="n"/>
      <c r="C2564" s="392" t="n"/>
      <c r="D2564" s="392" t="n"/>
      <c r="E2564" s="392" t="n"/>
      <c r="F2564" s="392" t="n"/>
      <c r="G2564" s="392" t="n"/>
      <c r="H2564" s="446">
        <f>H2563-G2564</f>
        <v/>
      </c>
      <c r="I2564" s="392" t="n"/>
      <c r="J2564" s="392" t="n"/>
      <c r="K2564" s="392" t="n"/>
      <c r="L2564" s="392" t="n"/>
      <c r="M2564" s="392" t="n"/>
    </row>
    <row r="2565">
      <c r="A2565" s="568" t="n">
        <v>44406</v>
      </c>
      <c r="B2565" s="392" t="n"/>
      <c r="C2565" s="392" t="n"/>
      <c r="D2565" s="392" t="n"/>
      <c r="E2565" s="392" t="n"/>
      <c r="F2565" s="392" t="n"/>
      <c r="G2565" s="392" t="n"/>
      <c r="H2565" s="446">
        <f>H2564-G2565</f>
        <v/>
      </c>
      <c r="I2565" s="392" t="n"/>
      <c r="J2565" s="392" t="n"/>
      <c r="K2565" s="392" t="n"/>
      <c r="L2565" s="392" t="n"/>
      <c r="M2565" s="392" t="n"/>
    </row>
    <row r="2566">
      <c r="A2566" s="568" t="n">
        <v>44406</v>
      </c>
      <c r="B2566" s="392" t="n"/>
      <c r="C2566" s="392" t="n"/>
      <c r="D2566" s="392" t="n"/>
      <c r="E2566" s="392" t="n"/>
      <c r="F2566" s="392" t="n"/>
      <c r="G2566" s="392" t="n"/>
      <c r="H2566" s="446">
        <f>H2565-G2566</f>
        <v/>
      </c>
      <c r="I2566" s="392" t="n"/>
      <c r="J2566" s="392" t="n"/>
      <c r="K2566" s="392" t="n"/>
      <c r="L2566" s="392" t="n"/>
      <c r="M2566" s="392" t="n"/>
    </row>
    <row r="2567">
      <c r="A2567" s="568" t="n">
        <v>44406</v>
      </c>
      <c r="B2567" s="392" t="n"/>
      <c r="C2567" s="392" t="n"/>
      <c r="D2567" s="392" t="n"/>
      <c r="E2567" s="392" t="n"/>
      <c r="F2567" s="392" t="n"/>
      <c r="G2567" s="392" t="n"/>
      <c r="H2567" s="446">
        <f>H2566-G2567</f>
        <v/>
      </c>
      <c r="I2567" s="392" t="n"/>
      <c r="J2567" s="392" t="n"/>
      <c r="K2567" s="392" t="n"/>
      <c r="L2567" s="392" t="n"/>
      <c r="M2567" s="392" t="n"/>
    </row>
    <row r="2568">
      <c r="A2568" s="568" t="n">
        <v>44406</v>
      </c>
      <c r="B2568" s="392" t="n"/>
      <c r="C2568" s="392" t="n"/>
      <c r="D2568" s="392" t="n"/>
      <c r="E2568" s="392" t="n"/>
      <c r="F2568" s="392" t="n"/>
      <c r="G2568" s="392" t="n"/>
      <c r="H2568" s="446">
        <f>H2567-G2568</f>
        <v/>
      </c>
      <c r="I2568" s="392" t="n"/>
      <c r="J2568" s="392" t="n"/>
      <c r="K2568" s="392" t="n"/>
      <c r="L2568" s="392" t="n"/>
      <c r="M2568" s="392" t="n"/>
    </row>
    <row r="2569">
      <c r="A2569" s="568" t="n">
        <v>44406</v>
      </c>
      <c r="B2569" s="392" t="n"/>
      <c r="C2569" s="392" t="n"/>
      <c r="D2569" s="392" t="n"/>
      <c r="E2569" s="392" t="n"/>
      <c r="F2569" s="392" t="n"/>
      <c r="G2569" s="392" t="n"/>
      <c r="H2569" s="446">
        <f>H2568-G2569</f>
        <v/>
      </c>
      <c r="I2569" s="392" t="n"/>
      <c r="J2569" s="392" t="n"/>
      <c r="K2569" s="392" t="n"/>
      <c r="L2569" s="392" t="n"/>
      <c r="M2569" s="392" t="n"/>
    </row>
    <row r="2570">
      <c r="A2570" s="568" t="n">
        <v>44406</v>
      </c>
      <c r="B2570" s="392" t="n"/>
      <c r="C2570" s="392" t="n"/>
      <c r="D2570" s="392" t="n"/>
      <c r="E2570" s="392" t="n"/>
      <c r="F2570" s="392" t="n"/>
      <c r="G2570" s="392" t="n"/>
      <c r="H2570" s="446">
        <f>H2569-G2570</f>
        <v/>
      </c>
      <c r="I2570" s="392" t="n"/>
      <c r="J2570" s="392" t="n"/>
      <c r="K2570" s="392" t="n"/>
      <c r="L2570" s="392" t="n"/>
      <c r="M2570" s="392" t="n"/>
    </row>
    <row r="2571">
      <c r="A2571" s="568" t="n">
        <v>44406</v>
      </c>
      <c r="B2571" s="392" t="n"/>
      <c r="C2571" s="392" t="n"/>
      <c r="D2571" s="392" t="n"/>
      <c r="E2571" s="392" t="n"/>
      <c r="F2571" s="392" t="n"/>
      <c r="G2571" s="392" t="n"/>
      <c r="H2571" s="446">
        <f>H2570-G2571</f>
        <v/>
      </c>
      <c r="I2571" s="392" t="n"/>
      <c r="J2571" s="392" t="n"/>
      <c r="K2571" s="392" t="n"/>
      <c r="L2571" s="392" t="n"/>
      <c r="M2571" s="392" t="n"/>
    </row>
    <row r="2572" ht="15.75" customHeight="1" s="436" thickBot="1">
      <c r="A2572" s="392" t="n"/>
      <c r="B2572" s="392" t="n"/>
      <c r="C2572" s="392" t="n"/>
      <c r="D2572" s="392" t="n"/>
      <c r="E2572" s="392" t="n"/>
      <c r="F2572" s="392" t="n"/>
      <c r="G2572" s="392" t="n"/>
      <c r="H2572" s="446">
        <f>H2571-G2572</f>
        <v/>
      </c>
      <c r="I2572" s="392" t="n"/>
      <c r="J2572" s="392" t="n"/>
      <c r="K2572" s="392" t="n"/>
      <c r="L2572" s="392" t="n"/>
      <c r="M2572" s="392" t="n"/>
    </row>
    <row r="2573" ht="32.25" customHeight="1" s="436" thickBot="1">
      <c r="A2573" s="735" t="inlineStr">
        <is>
          <t>Agosto</t>
        </is>
      </c>
      <c r="B2573" s="697" t="n"/>
      <c r="C2573" s="697" t="n"/>
      <c r="D2573" s="697" t="n"/>
      <c r="E2573" s="697" t="n"/>
      <c r="F2573" s="697" t="n"/>
      <c r="G2573" s="697" t="n"/>
      <c r="H2573" s="697" t="n"/>
      <c r="I2573" s="697" t="n"/>
      <c r="J2573" s="697" t="n"/>
      <c r="K2573" s="697" t="n"/>
      <c r="L2573" s="697" t="n"/>
      <c r="M2573" s="698" t="n"/>
    </row>
    <row r="2574" ht="27" customHeight="1" s="436" thickBot="1">
      <c r="A2574" s="734" t="inlineStr">
        <is>
          <t xml:space="preserve"> FARINHA DE TRIGO TIPO: 1 - 25 KG</t>
        </is>
      </c>
      <c r="B2574" s="706" t="n"/>
      <c r="C2574" s="706" t="n"/>
      <c r="D2574" s="706" t="n"/>
      <c r="E2574" s="706" t="n"/>
      <c r="F2574" s="706" t="n"/>
      <c r="G2574" s="706" t="n"/>
      <c r="H2574" s="706" t="n"/>
      <c r="I2574" s="706" t="n"/>
      <c r="J2574" s="706" t="n"/>
      <c r="K2574" s="706" t="n"/>
      <c r="L2574" s="706" t="n"/>
      <c r="M2574" s="707" t="n"/>
    </row>
    <row r="2575">
      <c r="A2575" s="643" t="inlineStr">
        <is>
          <t>DATA</t>
        </is>
      </c>
      <c r="B2575" s="633" t="inlineStr">
        <is>
          <t>N.F.</t>
        </is>
      </c>
      <c r="C2575" s="633" t="inlineStr">
        <is>
          <t>TIPO</t>
        </is>
      </c>
      <c r="D2575" s="633" t="inlineStr">
        <is>
          <t>PREÇO UNITÁRIO</t>
        </is>
      </c>
      <c r="E2575" s="701" t="n"/>
      <c r="F2575" s="633" t="inlineStr">
        <is>
          <t>QUANTIDADE / KG</t>
        </is>
      </c>
      <c r="H2575" s="701" t="n"/>
      <c r="I2575" s="632" t="inlineStr">
        <is>
          <t>PREÇO</t>
        </is>
      </c>
      <c r="J2575" s="632" t="inlineStr">
        <is>
          <t>VALORES</t>
        </is>
      </c>
      <c r="L2575" s="701" t="n"/>
      <c r="M2575" s="649" t="n"/>
    </row>
    <row r="2576" ht="15.75" customHeight="1" s="436" thickBot="1">
      <c r="A2576" s="703" t="n"/>
      <c r="B2576" s="704" t="n"/>
      <c r="C2576" s="704" t="n"/>
      <c r="D2576" s="703" t="n"/>
      <c r="E2576" s="701" t="n"/>
      <c r="F2576" s="705" t="n"/>
      <c r="G2576" s="706" t="n"/>
      <c r="H2576" s="707" t="n"/>
      <c r="I2576" s="704" t="n"/>
      <c r="J2576" s="703" t="n"/>
      <c r="L2576" s="701" t="n"/>
      <c r="M2576" s="704" t="n"/>
    </row>
    <row r="2577" ht="15.75" customHeight="1" s="436" thickBot="1">
      <c r="A2577" s="703" t="n"/>
      <c r="B2577" s="704" t="n"/>
      <c r="C2577" s="704" t="n"/>
      <c r="D2577" s="705" t="n"/>
      <c r="E2577" s="707" t="n"/>
      <c r="F2577" s="3" t="inlineStr">
        <is>
          <t>ENTRADA</t>
        </is>
      </c>
      <c r="G2577" s="3" t="inlineStr">
        <is>
          <t>SAÍDA</t>
        </is>
      </c>
      <c r="H2577" s="640" t="n"/>
      <c r="I2577" s="633" t="inlineStr">
        <is>
          <t>MÉDIO</t>
        </is>
      </c>
      <c r="J2577" s="652" t="inlineStr">
        <is>
          <t>SALDO EM 30/11/2017</t>
        </is>
      </c>
      <c r="K2577" s="706" t="n"/>
      <c r="L2577" s="17" t="n"/>
      <c r="M2577" s="704" t="n"/>
    </row>
    <row r="2578" ht="18" customHeight="1" s="436" thickBot="1">
      <c r="A2578" s="705" t="n"/>
      <c r="B2578" s="695" t="n"/>
      <c r="C2578" s="695" t="n"/>
      <c r="D2578" s="3" t="inlineStr">
        <is>
          <t>C/ICMS</t>
        </is>
      </c>
      <c r="E2578" s="3" t="inlineStr">
        <is>
          <t>S/ICMS</t>
        </is>
      </c>
      <c r="F2578" s="695" t="n"/>
      <c r="G2578" s="695" t="n"/>
      <c r="H2578" s="84" t="inlineStr">
        <is>
          <t>Saldo em 31/07/2021</t>
        </is>
      </c>
      <c r="I2578" s="695" t="n"/>
      <c r="J2578" s="645" t="inlineStr">
        <is>
          <t>ENTRADA</t>
        </is>
      </c>
      <c r="K2578" s="633" t="inlineStr">
        <is>
          <t>SAÍDA / CMV</t>
        </is>
      </c>
      <c r="L2578" s="643" t="inlineStr">
        <is>
          <t>SALDO</t>
        </is>
      </c>
      <c r="M2578" s="392" t="n"/>
    </row>
    <row r="2579">
      <c r="A2579" s="392" t="n"/>
      <c r="B2579" s="392" t="n"/>
      <c r="C2579" s="392" t="n"/>
      <c r="D2579" s="392" t="n"/>
      <c r="E2579" s="392" t="n"/>
      <c r="F2579" s="392" t="n"/>
      <c r="G2579" s="392" t="n"/>
      <c r="H2579" s="446" t="n">
        <v>3161</v>
      </c>
      <c r="I2579" s="392" t="n"/>
      <c r="J2579" s="392" t="n"/>
      <c r="K2579" s="392" t="n"/>
      <c r="L2579" s="392" t="n"/>
      <c r="M2579" s="392" t="n"/>
    </row>
    <row r="2580">
      <c r="A2580" s="568" t="n">
        <v>44410</v>
      </c>
      <c r="B2580" s="392" t="n">
        <v>8305</v>
      </c>
      <c r="C2580" s="392" t="n">
        <v>70</v>
      </c>
      <c r="D2580" s="392" t="n"/>
      <c r="E2580" s="392" t="n"/>
      <c r="F2580" s="392" t="n"/>
      <c r="G2580" s="392" t="n">
        <v>30</v>
      </c>
      <c r="H2580" s="446">
        <f>H2579-G2580</f>
        <v/>
      </c>
      <c r="I2580" s="392" t="n"/>
      <c r="J2580" s="392" t="n"/>
      <c r="K2580" s="392" t="n"/>
      <c r="L2580" s="392" t="n"/>
      <c r="M2580" s="392" t="n"/>
    </row>
    <row r="2581">
      <c r="A2581" s="568" t="n">
        <v>44410</v>
      </c>
      <c r="B2581" s="392" t="n">
        <v>8306</v>
      </c>
      <c r="C2581" s="392" t="n">
        <v>73</v>
      </c>
      <c r="D2581" s="392" t="n"/>
      <c r="E2581" s="392" t="n"/>
      <c r="F2581" s="392" t="n"/>
      <c r="G2581" s="392" t="n">
        <v>30</v>
      </c>
      <c r="H2581" s="446">
        <f>H2580-G2581</f>
        <v/>
      </c>
      <c r="I2581" s="392" t="n"/>
      <c r="J2581" s="392" t="n"/>
      <c r="K2581" s="392" t="n"/>
      <c r="L2581" s="392" t="n"/>
      <c r="M2581" s="392" t="n"/>
    </row>
    <row r="2582">
      <c r="A2582" s="568" t="n">
        <v>44410</v>
      </c>
      <c r="B2582" s="392" t="n">
        <v>8309</v>
      </c>
      <c r="C2582" s="392" t="n">
        <v>72.34</v>
      </c>
      <c r="D2582" s="392" t="n"/>
      <c r="E2582" s="392" t="n"/>
      <c r="F2582" s="392" t="n"/>
      <c r="G2582" s="392" t="n">
        <v>15</v>
      </c>
      <c r="H2582" s="446">
        <f>H2581-G2582</f>
        <v/>
      </c>
      <c r="I2582" s="392" t="n"/>
      <c r="J2582" s="392" t="n"/>
      <c r="K2582" s="392" t="n"/>
      <c r="L2582" s="392" t="n"/>
      <c r="M2582" s="392" t="n"/>
    </row>
    <row r="2583">
      <c r="A2583" s="568" t="n">
        <v>44410</v>
      </c>
      <c r="B2583" s="392" t="n">
        <v>8310</v>
      </c>
      <c r="C2583" s="392" t="n">
        <v>70</v>
      </c>
      <c r="D2583" s="392" t="n"/>
      <c r="E2583" s="392" t="n"/>
      <c r="F2583" s="392" t="n"/>
      <c r="G2583" s="392" t="n">
        <v>40</v>
      </c>
      <c r="H2583" s="446">
        <f>H2582-G2583</f>
        <v/>
      </c>
      <c r="I2583" s="392" t="n"/>
      <c r="J2583" s="392" t="n"/>
      <c r="K2583" s="392" t="n"/>
      <c r="L2583" s="392" t="n"/>
      <c r="M2583" s="392" t="n"/>
    </row>
    <row r="2584">
      <c r="A2584" s="568" t="n">
        <v>44410</v>
      </c>
      <c r="B2584" s="392" t="n">
        <v>8311</v>
      </c>
      <c r="C2584" s="392" t="n">
        <v>70</v>
      </c>
      <c r="D2584" s="392" t="n"/>
      <c r="E2584" s="392" t="n"/>
      <c r="F2584" s="392" t="n"/>
      <c r="G2584" s="392" t="n">
        <v>35</v>
      </c>
      <c r="H2584" s="446">
        <f>H2583-G2584</f>
        <v/>
      </c>
      <c r="I2584" s="392" t="n"/>
      <c r="J2584" s="392" t="n"/>
      <c r="K2584" s="392" t="n"/>
      <c r="L2584" s="392" t="n"/>
      <c r="M2584" s="392" t="n"/>
    </row>
    <row r="2585">
      <c r="A2585" s="568" t="n">
        <v>44410</v>
      </c>
      <c r="B2585" s="392" t="n">
        <v>8312</v>
      </c>
      <c r="C2585" s="392" t="n">
        <v>73</v>
      </c>
      <c r="D2585" s="392" t="n"/>
      <c r="E2585" s="392" t="n"/>
      <c r="F2585" s="392" t="n"/>
      <c r="G2585" s="392" t="n">
        <v>20</v>
      </c>
      <c r="H2585" s="446">
        <f>H2584-G2585</f>
        <v/>
      </c>
      <c r="I2585" s="392" t="n"/>
      <c r="J2585" s="392" t="n"/>
      <c r="K2585" s="392" t="n"/>
      <c r="L2585" s="392" t="n"/>
      <c r="M2585" s="392" t="n"/>
    </row>
    <row r="2586">
      <c r="A2586" s="568" t="n">
        <v>44412</v>
      </c>
      <c r="B2586" s="392" t="n">
        <v>8315</v>
      </c>
      <c r="C2586" s="392" t="n">
        <v>68</v>
      </c>
      <c r="D2586" s="392" t="n"/>
      <c r="E2586" s="392" t="n"/>
      <c r="F2586" s="392" t="n"/>
      <c r="G2586" s="392" t="n">
        <v>30</v>
      </c>
      <c r="H2586" s="446">
        <f>H2585-G2586</f>
        <v/>
      </c>
      <c r="I2586" s="392" t="n"/>
      <c r="J2586" s="392" t="n"/>
      <c r="K2586" s="392" t="n"/>
      <c r="L2586" s="392" t="n"/>
      <c r="M2586" s="392" t="n"/>
    </row>
    <row r="2587">
      <c r="A2587" s="568" t="n">
        <v>44412</v>
      </c>
      <c r="B2587" s="392" t="n">
        <v>8316</v>
      </c>
      <c r="C2587" s="392" t="n">
        <v>70</v>
      </c>
      <c r="D2587" s="392" t="n"/>
      <c r="E2587" s="392" t="n"/>
      <c r="F2587" s="392" t="n"/>
      <c r="G2587" s="392" t="n">
        <v>20</v>
      </c>
      <c r="H2587" s="446">
        <f>H2586-G2587</f>
        <v/>
      </c>
      <c r="I2587" s="392" t="n"/>
      <c r="J2587" s="392" t="n"/>
      <c r="K2587" s="392" t="n"/>
      <c r="L2587" s="392" t="n"/>
      <c r="M2587" s="392" t="n"/>
    </row>
    <row r="2588">
      <c r="A2588" s="568" t="n">
        <v>44412</v>
      </c>
      <c r="B2588" s="392" t="n">
        <v>8318</v>
      </c>
      <c r="C2588" s="392" t="n">
        <v>72</v>
      </c>
      <c r="D2588" s="392" t="n"/>
      <c r="E2588" s="392" t="n"/>
      <c r="F2588" s="392" t="n"/>
      <c r="G2588" s="392" t="n">
        <v>50</v>
      </c>
      <c r="H2588" s="446">
        <f>H2587-G2588</f>
        <v/>
      </c>
      <c r="I2588" s="392" t="n"/>
      <c r="J2588" s="392" t="n"/>
      <c r="K2588" s="392" t="n"/>
      <c r="L2588" s="392" t="n"/>
      <c r="M2588" s="392" t="n"/>
    </row>
    <row r="2589">
      <c r="A2589" s="568" t="n">
        <v>44412</v>
      </c>
      <c r="B2589" s="392" t="n">
        <v>8320</v>
      </c>
      <c r="C2589" s="392" t="n">
        <v>69</v>
      </c>
      <c r="D2589" s="392" t="n"/>
      <c r="E2589" s="392" t="n"/>
      <c r="F2589" s="392" t="n"/>
      <c r="G2589" s="392" t="n">
        <v>15</v>
      </c>
      <c r="H2589" s="446">
        <f>H2588-G2589</f>
        <v/>
      </c>
      <c r="I2589" s="392" t="n"/>
      <c r="J2589" s="392" t="n"/>
      <c r="K2589" s="392" t="n"/>
      <c r="L2589" s="392" t="n"/>
      <c r="M2589" s="392" t="n"/>
    </row>
    <row r="2590">
      <c r="A2590" s="568" t="n">
        <v>44412</v>
      </c>
      <c r="B2590" s="392" t="n">
        <v>8321</v>
      </c>
      <c r="C2590" s="392" t="n">
        <v>70</v>
      </c>
      <c r="D2590" s="392" t="n"/>
      <c r="E2590" s="392" t="n"/>
      <c r="F2590" s="392" t="n"/>
      <c r="G2590" s="392" t="n">
        <v>60</v>
      </c>
      <c r="H2590" s="446">
        <f>H2589-G2590</f>
        <v/>
      </c>
      <c r="I2590" s="392" t="n"/>
      <c r="J2590" s="392" t="n"/>
      <c r="K2590" s="392" t="n"/>
      <c r="L2590" s="392" t="n"/>
      <c r="M2590" s="392" t="n"/>
    </row>
    <row r="2591">
      <c r="A2591" s="568" t="n">
        <v>44413</v>
      </c>
      <c r="B2591" s="392" t="n">
        <v>8325</v>
      </c>
      <c r="C2591" s="392" t="n">
        <v>68</v>
      </c>
      <c r="D2591" s="392" t="n"/>
      <c r="E2591" s="392" t="n"/>
      <c r="F2591" s="392" t="n"/>
      <c r="G2591" s="392" t="n">
        <v>50</v>
      </c>
      <c r="H2591" s="446">
        <f>H2590-G2591</f>
        <v/>
      </c>
      <c r="I2591" s="392" t="n"/>
      <c r="J2591" s="392" t="n"/>
      <c r="K2591" s="392" t="n"/>
      <c r="L2591" s="392" t="n"/>
      <c r="M2591" s="392" t="n"/>
    </row>
    <row r="2592">
      <c r="A2592" s="568" t="n">
        <v>44418</v>
      </c>
      <c r="B2592" s="392" t="n">
        <v>8327</v>
      </c>
      <c r="C2592" s="392" t="n">
        <v>70</v>
      </c>
      <c r="D2592" s="392" t="n"/>
      <c r="E2592" s="392" t="n"/>
      <c r="F2592" s="392" t="n"/>
      <c r="G2592" s="392" t="n">
        <v>20</v>
      </c>
      <c r="H2592" s="446">
        <f>H2591-G2592</f>
        <v/>
      </c>
      <c r="I2592" s="392" t="n"/>
      <c r="J2592" s="392" t="n"/>
      <c r="K2592" s="392" t="n"/>
      <c r="L2592" s="392" t="n"/>
      <c r="M2592" s="392" t="n"/>
    </row>
    <row r="2593">
      <c r="A2593" s="568" t="n">
        <v>44418</v>
      </c>
      <c r="B2593" s="392" t="n">
        <v>8329</v>
      </c>
      <c r="C2593" s="392" t="n">
        <v>69</v>
      </c>
      <c r="D2593" s="392" t="n"/>
      <c r="E2593" s="392" t="n"/>
      <c r="F2593" s="392" t="n"/>
      <c r="G2593" s="392" t="n">
        <v>50</v>
      </c>
      <c r="H2593" s="446">
        <f>H2592-G2593</f>
        <v/>
      </c>
      <c r="I2593" s="392" t="n"/>
      <c r="J2593" s="392" t="n"/>
      <c r="K2593" s="392" t="n"/>
      <c r="L2593" s="392" t="n"/>
      <c r="M2593" s="392" t="n"/>
    </row>
    <row r="2594">
      <c r="A2594" s="568" t="n">
        <v>44418</v>
      </c>
      <c r="B2594" s="392" t="n">
        <v>8330</v>
      </c>
      <c r="C2594" s="392" t="n">
        <v>70</v>
      </c>
      <c r="D2594" s="392" t="n"/>
      <c r="E2594" s="392" t="n"/>
      <c r="F2594" s="392" t="n"/>
      <c r="G2594" s="392" t="n">
        <v>30</v>
      </c>
      <c r="H2594" s="446">
        <f>H2593-G2594</f>
        <v/>
      </c>
      <c r="I2594" s="392" t="n"/>
      <c r="J2594" s="392" t="n"/>
      <c r="K2594" s="392" t="n"/>
      <c r="L2594" s="392" t="n"/>
      <c r="M2594" s="392" t="n"/>
    </row>
    <row r="2595">
      <c r="A2595" s="568" t="n">
        <v>44418</v>
      </c>
      <c r="B2595" s="392" t="n">
        <v>8331</v>
      </c>
      <c r="C2595" s="392" t="n">
        <v>73.3</v>
      </c>
      <c r="D2595" s="392" t="n"/>
      <c r="E2595" s="392" t="n"/>
      <c r="F2595" s="392" t="n"/>
      <c r="G2595" s="392" t="n">
        <v>81</v>
      </c>
      <c r="H2595" s="446">
        <f>H2594-G2595</f>
        <v/>
      </c>
      <c r="I2595" s="392" t="n"/>
      <c r="J2595" s="392" t="n"/>
      <c r="K2595" s="392" t="n"/>
      <c r="L2595" s="392" t="n"/>
      <c r="M2595" s="392" t="n"/>
    </row>
    <row r="2596">
      <c r="A2596" s="568" t="n">
        <v>44418</v>
      </c>
      <c r="B2596" s="392" t="n">
        <v>8332</v>
      </c>
      <c r="C2596" s="392" t="n">
        <v>70</v>
      </c>
      <c r="D2596" s="392" t="n"/>
      <c r="E2596" s="392" t="n"/>
      <c r="F2596" s="392" t="n"/>
      <c r="G2596" s="392" t="n">
        <v>20</v>
      </c>
      <c r="H2596" s="446">
        <f>H2595-G2596</f>
        <v/>
      </c>
      <c r="I2596" s="392" t="n"/>
      <c r="J2596" s="392" t="n"/>
      <c r="K2596" s="392" t="n"/>
      <c r="L2596" s="392" t="n"/>
      <c r="M2596" s="392" t="n"/>
    </row>
    <row r="2597">
      <c r="A2597" s="568" t="n">
        <v>44418</v>
      </c>
      <c r="B2597" s="392" t="n">
        <v>8333</v>
      </c>
      <c r="C2597" s="392" t="n">
        <v>72</v>
      </c>
      <c r="D2597" s="392" t="n"/>
      <c r="E2597" s="392" t="n"/>
      <c r="F2597" s="392" t="n"/>
      <c r="G2597" s="392" t="n">
        <v>30</v>
      </c>
      <c r="H2597" s="446">
        <f>H2596-G2597</f>
        <v/>
      </c>
      <c r="I2597" s="392" t="n"/>
      <c r="J2597" s="392" t="n"/>
      <c r="K2597" s="392" t="n"/>
      <c r="L2597" s="392" t="n"/>
      <c r="M2597" s="392" t="n"/>
    </row>
    <row r="2598">
      <c r="A2598" s="568" t="n">
        <v>44418</v>
      </c>
      <c r="B2598" s="392" t="n">
        <v>8336</v>
      </c>
      <c r="C2598" s="392" t="n">
        <v>73</v>
      </c>
      <c r="D2598" s="392" t="n"/>
      <c r="E2598" s="392" t="n"/>
      <c r="F2598" s="392" t="n"/>
      <c r="G2598" s="392" t="n">
        <v>15</v>
      </c>
      <c r="H2598" s="446">
        <f>H2597-G2598</f>
        <v/>
      </c>
      <c r="I2598" s="392" t="n"/>
      <c r="J2598" s="392" t="n"/>
      <c r="K2598" s="392" t="n"/>
      <c r="L2598" s="392" t="n"/>
      <c r="M2598" s="392" t="n"/>
    </row>
    <row r="2599">
      <c r="A2599" s="568" t="n">
        <v>44418</v>
      </c>
      <c r="B2599" s="392" t="n">
        <v>8337</v>
      </c>
      <c r="C2599" s="392" t="n">
        <v>72</v>
      </c>
      <c r="D2599" s="392" t="n"/>
      <c r="E2599" s="392" t="n"/>
      <c r="F2599" s="392" t="n"/>
      <c r="G2599" s="392" t="n">
        <v>90</v>
      </c>
      <c r="H2599" s="446">
        <f>H2598-G2599</f>
        <v/>
      </c>
      <c r="I2599" s="392" t="n"/>
      <c r="J2599" s="392" t="n"/>
      <c r="K2599" s="392" t="n"/>
      <c r="L2599" s="392" t="n"/>
      <c r="M2599" s="392" t="n"/>
    </row>
    <row r="2600">
      <c r="A2600" s="568" t="n">
        <v>44420</v>
      </c>
      <c r="B2600" s="392" t="n">
        <v>8338</v>
      </c>
      <c r="C2600" s="392" t="n">
        <v>70</v>
      </c>
      <c r="D2600" s="392" t="n"/>
      <c r="E2600" s="392" t="n"/>
      <c r="F2600" s="392" t="n"/>
      <c r="G2600" s="392" t="n">
        <v>50</v>
      </c>
      <c r="H2600" s="446">
        <f>H2599-G2600</f>
        <v/>
      </c>
      <c r="I2600" s="392" t="n"/>
      <c r="J2600" s="392" t="n"/>
      <c r="K2600" s="392" t="n"/>
      <c r="L2600" s="392" t="n"/>
      <c r="M2600" s="392" t="n"/>
    </row>
    <row r="2601">
      <c r="A2601" s="568" t="n">
        <v>44420</v>
      </c>
      <c r="B2601" s="392" t="n">
        <v>8339</v>
      </c>
      <c r="C2601" s="392" t="n">
        <v>73.06</v>
      </c>
      <c r="D2601" s="392" t="n"/>
      <c r="E2601" s="392" t="n"/>
      <c r="F2601" s="392" t="n"/>
      <c r="G2601" s="392" t="n">
        <v>38</v>
      </c>
      <c r="H2601" s="446">
        <f>H2600-G2601</f>
        <v/>
      </c>
      <c r="I2601" s="392" t="n"/>
      <c r="J2601" s="392" t="n"/>
      <c r="K2601" s="392" t="n"/>
      <c r="L2601" s="392" t="n"/>
      <c r="M2601" s="392" t="n"/>
    </row>
    <row r="2602">
      <c r="A2602" s="568" t="n">
        <v>44424</v>
      </c>
      <c r="B2602" s="392" t="n">
        <v>8342</v>
      </c>
      <c r="C2602" s="392" t="n">
        <v>64</v>
      </c>
      <c r="D2602" s="392" t="n"/>
      <c r="E2602" s="392" t="n"/>
      <c r="F2602" s="392" t="n"/>
      <c r="G2602" s="392" t="n">
        <v>100</v>
      </c>
      <c r="H2602" s="446">
        <f>H2601-G2602</f>
        <v/>
      </c>
      <c r="I2602" s="392" t="n"/>
      <c r="J2602" s="392" t="n"/>
      <c r="K2602" s="392" t="n"/>
      <c r="L2602" s="392" t="n"/>
      <c r="M2602" s="392" t="n"/>
    </row>
    <row r="2603">
      <c r="A2603" s="568" t="n">
        <v>44424</v>
      </c>
      <c r="B2603" s="392" t="n">
        <v>8343</v>
      </c>
      <c r="C2603" s="392" t="n">
        <v>72</v>
      </c>
      <c r="D2603" s="392" t="n"/>
      <c r="E2603" s="392" t="n"/>
      <c r="F2603" s="392" t="n"/>
      <c r="G2603" s="392" t="n">
        <v>40</v>
      </c>
      <c r="H2603" s="446">
        <f>H2602-G2603</f>
        <v/>
      </c>
      <c r="I2603" s="392" t="n"/>
      <c r="J2603" s="392" t="n"/>
      <c r="K2603" s="392" t="n"/>
      <c r="L2603" s="392" t="n"/>
      <c r="M2603" s="392" t="n"/>
    </row>
    <row r="2604">
      <c r="A2604" s="568" t="n">
        <v>44424</v>
      </c>
      <c r="B2604" s="392" t="n">
        <v>8344</v>
      </c>
      <c r="C2604" s="392" t="n">
        <v>70</v>
      </c>
      <c r="D2604" s="392" t="n"/>
      <c r="E2604" s="392" t="n"/>
      <c r="F2604" s="392" t="n"/>
      <c r="G2604" s="392" t="n">
        <v>20</v>
      </c>
      <c r="H2604" s="446">
        <f>H2603-G2604</f>
        <v/>
      </c>
      <c r="I2604" s="392" t="n"/>
      <c r="J2604" s="392" t="n"/>
      <c r="K2604" s="392" t="n"/>
      <c r="L2604" s="392" t="n"/>
      <c r="M2604" s="392" t="n"/>
    </row>
    <row r="2605">
      <c r="A2605" s="568" t="n">
        <v>44426</v>
      </c>
      <c r="B2605" s="392" t="n">
        <v>8349</v>
      </c>
      <c r="C2605" s="392" t="n">
        <v>73.3</v>
      </c>
      <c r="D2605" s="392" t="n"/>
      <c r="E2605" s="392" t="n"/>
      <c r="F2605" s="392" t="n"/>
      <c r="G2605" s="392" t="n">
        <v>81</v>
      </c>
      <c r="H2605" s="446">
        <f>H2604-G2605</f>
        <v/>
      </c>
      <c r="I2605" s="392" t="n"/>
      <c r="J2605" s="392" t="n"/>
      <c r="K2605" s="392" t="n"/>
      <c r="L2605" s="392" t="n"/>
      <c r="M2605" s="392" t="n"/>
    </row>
    <row r="2606">
      <c r="A2606" s="568" t="n">
        <v>44426</v>
      </c>
      <c r="B2606" s="392" t="n">
        <v>8350</v>
      </c>
      <c r="C2606" s="392" t="n">
        <v>72</v>
      </c>
      <c r="D2606" s="392" t="n"/>
      <c r="E2606" s="392" t="n"/>
      <c r="F2606" s="392" t="n"/>
      <c r="G2606" s="392" t="n">
        <v>20</v>
      </c>
      <c r="H2606" s="446">
        <f>H2605-G2606</f>
        <v/>
      </c>
      <c r="I2606" s="392" t="n"/>
      <c r="J2606" s="392" t="n"/>
      <c r="K2606" s="392" t="n"/>
      <c r="L2606" s="392" t="n"/>
      <c r="M2606" s="392" t="n"/>
    </row>
    <row r="2607">
      <c r="A2607" s="568" t="n">
        <v>44426</v>
      </c>
      <c r="B2607" s="392" t="n">
        <v>8352</v>
      </c>
      <c r="C2607" s="392" t="n">
        <v>70</v>
      </c>
      <c r="D2607" s="392" t="n"/>
      <c r="E2607" s="392" t="n"/>
      <c r="F2607" s="392" t="n"/>
      <c r="G2607" s="392" t="n">
        <v>15</v>
      </c>
      <c r="H2607" s="446">
        <f>H2606-G2607</f>
        <v/>
      </c>
      <c r="I2607" s="392" t="n"/>
      <c r="J2607" s="392" t="n"/>
      <c r="K2607" s="392" t="n"/>
      <c r="L2607" s="392" t="n"/>
      <c r="M2607" s="392" t="n"/>
    </row>
    <row r="2608">
      <c r="A2608" s="568" t="n">
        <v>44426</v>
      </c>
      <c r="B2608" s="392" t="n">
        <v>8353</v>
      </c>
      <c r="C2608" s="392" t="n">
        <v>69</v>
      </c>
      <c r="D2608" s="392" t="n"/>
      <c r="E2608" s="392" t="n"/>
      <c r="F2608" s="392" t="n"/>
      <c r="G2608" s="392" t="n">
        <v>50</v>
      </c>
      <c r="H2608" s="446">
        <f>H2607-G2608</f>
        <v/>
      </c>
      <c r="I2608" s="392" t="n"/>
      <c r="J2608" s="392" t="n"/>
      <c r="K2608" s="392" t="n"/>
      <c r="L2608" s="392" t="n"/>
      <c r="M2608" s="392" t="n"/>
    </row>
    <row r="2609">
      <c r="A2609" s="568" t="n">
        <v>44426</v>
      </c>
      <c r="B2609" s="392" t="n">
        <v>8354</v>
      </c>
      <c r="C2609" s="392" t="n">
        <v>70</v>
      </c>
      <c r="D2609" s="392" t="n"/>
      <c r="E2609" s="392" t="n"/>
      <c r="F2609" s="392" t="n"/>
      <c r="G2609" s="392" t="n">
        <v>50</v>
      </c>
      <c r="H2609" s="446">
        <f>H2608-G2609</f>
        <v/>
      </c>
      <c r="I2609" s="392" t="n"/>
      <c r="J2609" s="392" t="n"/>
      <c r="K2609" s="392" t="n"/>
      <c r="L2609" s="392" t="n"/>
      <c r="M2609" s="392" t="n"/>
    </row>
    <row r="2610">
      <c r="A2610" s="568" t="n">
        <v>44426</v>
      </c>
      <c r="B2610" s="392" t="n">
        <v>8358</v>
      </c>
      <c r="C2610" s="392" t="n">
        <v>73</v>
      </c>
      <c r="D2610" s="392" t="n"/>
      <c r="E2610" s="392" t="n"/>
      <c r="F2610" s="392" t="n"/>
      <c r="G2610" s="392" t="n">
        <v>20</v>
      </c>
      <c r="H2610" s="446">
        <f>H2609-G2610</f>
        <v/>
      </c>
      <c r="I2610" s="392" t="n"/>
      <c r="J2610" s="392" t="n"/>
      <c r="K2610" s="392" t="n"/>
      <c r="L2610" s="392" t="n"/>
      <c r="M2610" s="392" t="n"/>
    </row>
    <row r="2611">
      <c r="A2611" s="304" t="n">
        <v>44427</v>
      </c>
      <c r="B2611" s="401" t="n">
        <v>171892</v>
      </c>
      <c r="C2611" s="401" t="n">
        <v>61</v>
      </c>
      <c r="D2611" s="401" t="n"/>
      <c r="E2611" s="401" t="n"/>
      <c r="F2611" s="401" t="n">
        <v>150</v>
      </c>
      <c r="G2611" s="401" t="n"/>
      <c r="H2611" s="322" t="n">
        <v>2096</v>
      </c>
      <c r="I2611" s="392" t="n"/>
      <c r="J2611" s="392" t="n"/>
      <c r="K2611" s="392" t="n"/>
      <c r="L2611" s="392" t="n"/>
      <c r="M2611" s="392" t="n"/>
    </row>
    <row r="2612">
      <c r="A2612" s="568" t="n">
        <v>44432</v>
      </c>
      <c r="B2612" s="392" t="n">
        <v>8369</v>
      </c>
      <c r="C2612" s="392" t="n">
        <v>68</v>
      </c>
      <c r="D2612" s="392" t="n"/>
      <c r="E2612" s="392" t="n"/>
      <c r="F2612" s="392" t="n"/>
      <c r="G2612" s="392" t="n">
        <v>30</v>
      </c>
      <c r="H2612" s="446">
        <f>H2611-G2612</f>
        <v/>
      </c>
      <c r="I2612" s="392" t="n"/>
      <c r="J2612" s="392" t="n"/>
      <c r="K2612" s="392" t="n"/>
      <c r="L2612" s="392" t="n"/>
      <c r="M2612" s="392" t="n"/>
    </row>
    <row r="2613">
      <c r="A2613" s="568" t="n">
        <v>44432</v>
      </c>
      <c r="B2613" s="392" t="n">
        <v>8360</v>
      </c>
      <c r="C2613" s="392" t="n">
        <v>72</v>
      </c>
      <c r="D2613" s="392" t="n"/>
      <c r="E2613" s="392" t="n"/>
      <c r="F2613" s="392" t="n"/>
      <c r="G2613" s="392" t="n">
        <v>20</v>
      </c>
      <c r="H2613" s="446">
        <f>H2612-G2613</f>
        <v/>
      </c>
      <c r="I2613" s="392" t="n"/>
      <c r="J2613" s="392" t="n"/>
      <c r="K2613" s="392" t="n"/>
      <c r="L2613" s="392" t="n"/>
      <c r="M2613" s="392" t="n"/>
    </row>
    <row r="2614">
      <c r="A2614" s="568" t="n">
        <v>44432</v>
      </c>
      <c r="B2614" s="392" t="n">
        <v>8361</v>
      </c>
      <c r="C2614" s="392" t="n">
        <v>70</v>
      </c>
      <c r="D2614" s="392" t="n"/>
      <c r="E2614" s="392" t="n"/>
      <c r="F2614" s="392" t="n"/>
      <c r="G2614" s="392" t="n">
        <v>50</v>
      </c>
      <c r="H2614" s="446">
        <f>H2613-G2614</f>
        <v/>
      </c>
      <c r="I2614" s="392" t="n"/>
      <c r="J2614" s="392" t="n"/>
      <c r="K2614" s="392" t="n"/>
      <c r="L2614" s="392" t="n"/>
      <c r="M2614" s="392" t="n"/>
    </row>
    <row r="2615">
      <c r="A2615" s="568" t="n">
        <v>44433</v>
      </c>
      <c r="B2615" s="392" t="n">
        <v>8370</v>
      </c>
      <c r="C2615" s="392" t="n">
        <v>70</v>
      </c>
      <c r="D2615" s="392" t="n"/>
      <c r="E2615" s="392" t="n"/>
      <c r="F2615" s="392" t="n"/>
      <c r="G2615" s="392" t="n">
        <v>40</v>
      </c>
      <c r="H2615" s="446">
        <f>H2614-G2615</f>
        <v/>
      </c>
      <c r="I2615" s="392" t="n"/>
      <c r="J2615" s="392" t="n"/>
      <c r="K2615" s="392" t="n"/>
      <c r="L2615" s="392" t="n"/>
      <c r="M2615" s="392" t="n"/>
    </row>
    <row r="2616">
      <c r="A2616" s="568" t="n">
        <v>44433</v>
      </c>
      <c r="B2616" s="392" t="n">
        <v>8371</v>
      </c>
      <c r="C2616" s="392" t="n">
        <v>70</v>
      </c>
      <c r="D2616" s="392" t="n"/>
      <c r="E2616" s="392" t="n"/>
      <c r="F2616" s="392" t="n"/>
      <c r="G2616" s="392" t="n">
        <v>10</v>
      </c>
      <c r="H2616" s="446">
        <f>H2615-G2616</f>
        <v/>
      </c>
      <c r="I2616" s="392" t="n"/>
      <c r="J2616" s="392" t="n"/>
      <c r="K2616" s="392" t="n"/>
      <c r="L2616" s="392" t="n"/>
      <c r="M2616" s="392" t="n"/>
    </row>
    <row r="2617">
      <c r="A2617" s="568" t="n">
        <v>44433</v>
      </c>
      <c r="B2617" s="392" t="n">
        <v>8373</v>
      </c>
      <c r="C2617" s="392" t="n">
        <v>72</v>
      </c>
      <c r="D2617" s="392" t="n"/>
      <c r="E2617" s="392" t="n"/>
      <c r="F2617" s="392" t="n"/>
      <c r="G2617" s="392" t="n">
        <v>20</v>
      </c>
      <c r="H2617" s="446">
        <f>H2616-G2617</f>
        <v/>
      </c>
      <c r="I2617" s="392" t="n"/>
      <c r="J2617" s="392" t="n"/>
      <c r="K2617" s="392" t="n"/>
      <c r="L2617" s="392" t="n"/>
      <c r="M2617" s="392" t="n"/>
    </row>
    <row r="2618">
      <c r="A2618" s="304" t="n">
        <v>44436</v>
      </c>
      <c r="B2618" s="401" t="n">
        <v>172608</v>
      </c>
      <c r="C2618" s="401" t="n">
        <v>62</v>
      </c>
      <c r="D2618" s="401" t="n"/>
      <c r="E2618" s="401" t="n"/>
      <c r="F2618" s="401" t="n">
        <v>200</v>
      </c>
      <c r="G2618" s="401" t="n"/>
      <c r="H2618" s="322" t="n">
        <v>2126</v>
      </c>
      <c r="I2618" s="392" t="n"/>
      <c r="J2618" s="392" t="n"/>
      <c r="K2618" s="392" t="n"/>
      <c r="L2618" s="392" t="n"/>
      <c r="M2618" s="392" t="n"/>
    </row>
    <row r="2619">
      <c r="A2619" s="568" t="n">
        <v>44438</v>
      </c>
      <c r="B2619" s="392" t="n">
        <v>8375</v>
      </c>
      <c r="C2619" s="392" t="n">
        <v>68</v>
      </c>
      <c r="D2619" s="392" t="n"/>
      <c r="E2619" s="392" t="n"/>
      <c r="F2619" s="392" t="n"/>
      <c r="G2619" s="392" t="n">
        <v>20</v>
      </c>
      <c r="H2619" s="446">
        <f>H2618-G2619</f>
        <v/>
      </c>
      <c r="I2619" s="392" t="n"/>
      <c r="J2619" s="392" t="n"/>
      <c r="K2619" s="392" t="n"/>
      <c r="L2619" s="392" t="n"/>
      <c r="M2619" s="392" t="n"/>
    </row>
    <row r="2620">
      <c r="A2620" s="568" t="n">
        <v>44438</v>
      </c>
      <c r="B2620" s="392" t="n">
        <v>8377</v>
      </c>
      <c r="C2620" s="392" t="n">
        <v>72</v>
      </c>
      <c r="D2620" s="392" t="n"/>
      <c r="E2620" s="392" t="n"/>
      <c r="F2620" s="392" t="n"/>
      <c r="G2620" s="392" t="n">
        <v>30</v>
      </c>
      <c r="H2620" s="446">
        <f>H2619-G2620</f>
        <v/>
      </c>
      <c r="I2620" s="392" t="n"/>
      <c r="J2620" s="392" t="n"/>
      <c r="K2620" s="392" t="n"/>
      <c r="L2620" s="392" t="n"/>
      <c r="M2620" s="392" t="n"/>
    </row>
    <row r="2621">
      <c r="A2621" s="568" t="n">
        <v>44438</v>
      </c>
      <c r="B2621" s="392" t="n">
        <v>8379</v>
      </c>
      <c r="C2621" s="392" t="n">
        <v>70</v>
      </c>
      <c r="D2621" s="392" t="n"/>
      <c r="E2621" s="392" t="n"/>
      <c r="F2621" s="392" t="n"/>
      <c r="G2621" s="392" t="n">
        <v>30</v>
      </c>
      <c r="H2621" s="446">
        <f>H2620-G2621</f>
        <v/>
      </c>
      <c r="I2621" s="392" t="n"/>
      <c r="J2621" s="392" t="n"/>
      <c r="K2621" s="392" t="n"/>
      <c r="L2621" s="392" t="n"/>
      <c r="M2621" s="392" t="n"/>
    </row>
    <row r="2622">
      <c r="A2622" s="568" t="n">
        <v>44438</v>
      </c>
      <c r="B2622" s="392" t="n">
        <v>8380</v>
      </c>
      <c r="C2622" s="392" t="n">
        <v>72</v>
      </c>
      <c r="D2622" s="392" t="n"/>
      <c r="E2622" s="392" t="n"/>
      <c r="F2622" s="392" t="n"/>
      <c r="G2622" s="392" t="n">
        <v>50</v>
      </c>
      <c r="H2622" s="446">
        <f>H2621-G2622</f>
        <v/>
      </c>
      <c r="I2622" s="392" t="n"/>
      <c r="J2622" s="392" t="n"/>
      <c r="K2622" s="392" t="n"/>
      <c r="L2622" s="392" t="n"/>
      <c r="M2622" s="392" t="n"/>
    </row>
    <row r="2623">
      <c r="A2623" s="568" t="n">
        <v>44438</v>
      </c>
      <c r="B2623" s="392" t="n">
        <v>8381</v>
      </c>
      <c r="C2623" s="392" t="n">
        <v>68</v>
      </c>
      <c r="D2623" s="392" t="n"/>
      <c r="E2623" s="392" t="n"/>
      <c r="F2623" s="392" t="n"/>
      <c r="G2623" s="392" t="n">
        <v>15</v>
      </c>
      <c r="H2623" s="446">
        <f>H2622-G2623</f>
        <v/>
      </c>
      <c r="I2623" s="392" t="n"/>
      <c r="J2623" s="392" t="n"/>
      <c r="K2623" s="392" t="n"/>
      <c r="L2623" s="392" t="n"/>
      <c r="M2623" s="392" t="n"/>
    </row>
    <row r="2624">
      <c r="A2624" s="568" t="n">
        <v>44438</v>
      </c>
      <c r="B2624" s="392" t="n">
        <v>8385</v>
      </c>
      <c r="C2624" s="392" t="n">
        <v>73</v>
      </c>
      <c r="D2624" s="392" t="n"/>
      <c r="E2624" s="392" t="n"/>
      <c r="F2624" s="392" t="n"/>
      <c r="G2624" s="392" t="n">
        <v>20</v>
      </c>
      <c r="H2624" s="446">
        <f>H2623-G2624</f>
        <v/>
      </c>
      <c r="I2624" s="392" t="n"/>
      <c r="J2624" s="392" t="n"/>
      <c r="K2624" s="392" t="n"/>
      <c r="L2624" s="392" t="n"/>
      <c r="M2624" s="392" t="n"/>
    </row>
    <row r="2625">
      <c r="A2625" s="568" t="n">
        <v>44438</v>
      </c>
      <c r="B2625" s="392" t="n">
        <v>8386</v>
      </c>
      <c r="C2625" s="392" t="n">
        <v>73.5</v>
      </c>
      <c r="D2625" s="392" t="n"/>
      <c r="E2625" s="392" t="n"/>
      <c r="F2625" s="392" t="n"/>
      <c r="G2625" s="392" t="n">
        <v>20</v>
      </c>
      <c r="H2625" s="446">
        <f>H2624-G2625</f>
        <v/>
      </c>
      <c r="I2625" s="392" t="n"/>
      <c r="J2625" s="392" t="n"/>
      <c r="K2625" s="392" t="n"/>
      <c r="L2625" s="392" t="n"/>
      <c r="M2625" s="392" t="n"/>
    </row>
    <row r="2626">
      <c r="A2626" s="568" t="n">
        <v>44438</v>
      </c>
      <c r="B2626" s="392" t="n">
        <v>8388</v>
      </c>
      <c r="C2626" s="392" t="n">
        <v>70</v>
      </c>
      <c r="D2626" s="392" t="n"/>
      <c r="E2626" s="392" t="n"/>
      <c r="F2626" s="392" t="n"/>
      <c r="G2626" s="392" t="n">
        <v>15</v>
      </c>
      <c r="H2626" s="446">
        <f>H2625-G2626</f>
        <v/>
      </c>
      <c r="I2626" s="392" t="n"/>
      <c r="J2626" s="392" t="n"/>
      <c r="K2626" s="392" t="n"/>
      <c r="L2626" s="392" t="n"/>
      <c r="M2626" s="392" t="n"/>
    </row>
    <row r="2627">
      <c r="A2627" s="568" t="n">
        <v>44439</v>
      </c>
      <c r="B2627" s="392" t="n">
        <v>8390</v>
      </c>
      <c r="C2627" s="392" t="n">
        <v>55</v>
      </c>
      <c r="D2627" s="392" t="n"/>
      <c r="E2627" s="392" t="n"/>
      <c r="F2627" s="392" t="n"/>
      <c r="G2627" s="392" t="n">
        <v>400</v>
      </c>
      <c r="H2627" s="446">
        <f>H2626-G2627</f>
        <v/>
      </c>
      <c r="I2627" s="392" t="n"/>
      <c r="J2627" s="392" t="n"/>
      <c r="K2627" s="392" t="n"/>
      <c r="L2627" s="392" t="n"/>
      <c r="M2627" s="392" t="n"/>
    </row>
    <row r="2628">
      <c r="A2628" s="568" t="n">
        <v>44439</v>
      </c>
      <c r="B2628" s="392" t="n">
        <v>8391</v>
      </c>
      <c r="C2628" s="392" t="n">
        <v>70</v>
      </c>
      <c r="D2628" s="392" t="n"/>
      <c r="E2628" s="392" t="n"/>
      <c r="F2628" s="392" t="n"/>
      <c r="G2628" s="392" t="n">
        <v>35</v>
      </c>
      <c r="H2628" s="446">
        <f>H2627-G2628</f>
        <v/>
      </c>
      <c r="I2628" s="392" t="n"/>
      <c r="J2628" s="392" t="n"/>
      <c r="K2628" s="392" t="n"/>
      <c r="L2628" s="392" t="n"/>
      <c r="M2628" s="392" t="n"/>
    </row>
    <row r="2629">
      <c r="A2629" s="568" t="n">
        <v>44439</v>
      </c>
      <c r="B2629" s="392" t="n">
        <v>8392</v>
      </c>
      <c r="C2629" s="392" t="n">
        <v>69</v>
      </c>
      <c r="D2629" s="392" t="n"/>
      <c r="E2629" s="392" t="n"/>
      <c r="F2629" s="392" t="n"/>
      <c r="G2629" s="392" t="n">
        <v>50</v>
      </c>
      <c r="H2629" s="446">
        <f>H2628-G2629</f>
        <v/>
      </c>
      <c r="I2629" s="392" t="n"/>
      <c r="J2629" s="392" t="n"/>
      <c r="K2629" s="392" t="n"/>
      <c r="L2629" s="392" t="n"/>
      <c r="M2629" s="392" t="n"/>
    </row>
    <row r="2630">
      <c r="A2630" s="568" t="n">
        <v>44439</v>
      </c>
      <c r="B2630" s="392" t="n">
        <v>8394</v>
      </c>
      <c r="C2630" s="392" t="n">
        <v>70</v>
      </c>
      <c r="D2630" s="392" t="n"/>
      <c r="E2630" s="392" t="n"/>
      <c r="F2630" s="392" t="n"/>
      <c r="G2630" s="392" t="n">
        <v>20</v>
      </c>
      <c r="H2630" s="446">
        <f>H2629-G2630</f>
        <v/>
      </c>
      <c r="I2630" s="392" t="n"/>
      <c r="J2630" s="392" t="n"/>
      <c r="K2630" s="392" t="n"/>
      <c r="L2630" s="392" t="n"/>
      <c r="M2630" s="392" t="n"/>
    </row>
    <row r="2631">
      <c r="A2631" s="568" t="n">
        <v>44439</v>
      </c>
      <c r="B2631" s="392" t="n">
        <v>8395</v>
      </c>
      <c r="C2631" s="392" t="n">
        <v>72.15000000000001</v>
      </c>
      <c r="D2631" s="392" t="n"/>
      <c r="E2631" s="392" t="n"/>
      <c r="F2631" s="392" t="n"/>
      <c r="G2631" s="392" t="n">
        <v>35</v>
      </c>
      <c r="H2631" s="446">
        <f>H2630-G2631</f>
        <v/>
      </c>
      <c r="I2631" s="392" t="n"/>
      <c r="J2631" s="392" t="n"/>
      <c r="K2631" s="392" t="n"/>
      <c r="L2631" s="392" t="n"/>
      <c r="M2631" s="392" t="n"/>
    </row>
    <row r="2632">
      <c r="A2632" s="568" t="n">
        <v>44439</v>
      </c>
      <c r="B2632" s="392" t="n">
        <v>8398</v>
      </c>
      <c r="C2632" s="392" t="n">
        <v>70</v>
      </c>
      <c r="D2632" s="392" t="n"/>
      <c r="E2632" s="392" t="n"/>
      <c r="F2632" s="392" t="n"/>
      <c r="G2632" s="392" t="n">
        <v>30</v>
      </c>
      <c r="H2632" s="446">
        <f>H2631-G2632</f>
        <v/>
      </c>
      <c r="I2632" s="392" t="n"/>
      <c r="J2632" s="392" t="n"/>
      <c r="K2632" s="392" t="n"/>
      <c r="L2632" s="392" t="n"/>
      <c r="M2632" s="392" t="n"/>
    </row>
    <row r="2633">
      <c r="A2633" s="392" t="n"/>
      <c r="B2633" s="392" t="n"/>
      <c r="C2633" s="392" t="n"/>
      <c r="D2633" s="392" t="n"/>
      <c r="E2633" s="392" t="n"/>
      <c r="F2633" s="392" t="n"/>
      <c r="G2633" s="392" t="n"/>
      <c r="H2633" s="446">
        <f>H2632-G2633</f>
        <v/>
      </c>
      <c r="I2633" s="392" t="n"/>
      <c r="J2633" s="392" t="n"/>
      <c r="K2633" s="392" t="n"/>
      <c r="L2633" s="392" t="n"/>
      <c r="M2633" s="392" t="n"/>
    </row>
    <row r="2634">
      <c r="A2634" s="392" t="n"/>
      <c r="B2634" s="392" t="n"/>
      <c r="C2634" s="392" t="n"/>
      <c r="D2634" s="392" t="n"/>
      <c r="E2634" s="392" t="n"/>
      <c r="F2634" s="392" t="n"/>
      <c r="G2634" s="392" t="n"/>
      <c r="H2634" s="446">
        <f>H2633-G2634</f>
        <v/>
      </c>
      <c r="I2634" s="392" t="n"/>
      <c r="J2634" s="392" t="n"/>
      <c r="K2634" s="392" t="n"/>
      <c r="L2634" s="392" t="n"/>
      <c r="M2634" s="392" t="n"/>
    </row>
    <row r="2635" ht="15.75" customHeight="1" s="436" thickBot="1">
      <c r="H2635" s="390" t="n"/>
    </row>
    <row r="2636" ht="32.25" customHeight="1" s="436" thickBot="1">
      <c r="A2636" s="735" t="inlineStr">
        <is>
          <t>SETEMBRO</t>
        </is>
      </c>
      <c r="B2636" s="697" t="n"/>
      <c r="C2636" s="697" t="n"/>
      <c r="D2636" s="697" t="n"/>
      <c r="E2636" s="697" t="n"/>
      <c r="F2636" s="697" t="n"/>
      <c r="G2636" s="697" t="n"/>
      <c r="H2636" s="697" t="n"/>
      <c r="I2636" s="697" t="n"/>
      <c r="J2636" s="697" t="n"/>
      <c r="K2636" s="697" t="n"/>
      <c r="L2636" s="697" t="n"/>
      <c r="M2636" s="698" t="n"/>
    </row>
    <row r="2637" ht="27" customHeight="1" s="436" thickBot="1">
      <c r="A2637" s="720" t="inlineStr">
        <is>
          <t xml:space="preserve"> FARINHA DE TRIGO TIPO: 1 - 25 KG</t>
        </is>
      </c>
      <c r="B2637" s="697" t="n"/>
      <c r="C2637" s="697" t="n"/>
      <c r="D2637" s="697" t="n"/>
      <c r="E2637" s="697" t="n"/>
      <c r="F2637" s="697" t="n"/>
      <c r="G2637" s="697" t="n"/>
      <c r="H2637" s="697" t="n"/>
      <c r="I2637" s="697" t="n"/>
      <c r="J2637" s="697" t="n"/>
      <c r="K2637" s="697" t="n"/>
      <c r="L2637" s="697" t="n"/>
      <c r="M2637" s="698" t="n"/>
    </row>
    <row r="2638">
      <c r="A2638" s="643" t="inlineStr">
        <is>
          <t>DATA</t>
        </is>
      </c>
      <c r="B2638" s="633" t="inlineStr">
        <is>
          <t>N.F.</t>
        </is>
      </c>
      <c r="C2638" s="633" t="inlineStr">
        <is>
          <t>TIPO</t>
        </is>
      </c>
      <c r="D2638" s="633" t="inlineStr">
        <is>
          <t>PREÇO UNITÁRIO</t>
        </is>
      </c>
      <c r="E2638" s="701" t="n"/>
      <c r="F2638" s="633" t="inlineStr">
        <is>
          <t>QUANTIDADE / KG</t>
        </is>
      </c>
      <c r="H2638" s="701" t="n"/>
      <c r="I2638" s="632" t="inlineStr">
        <is>
          <t>PREÇO</t>
        </is>
      </c>
      <c r="J2638" s="632" t="inlineStr">
        <is>
          <t>VALORES</t>
        </is>
      </c>
      <c r="L2638" s="701" t="n"/>
      <c r="M2638" s="649" t="n"/>
    </row>
    <row r="2639" ht="15.75" customHeight="1" s="436" thickBot="1">
      <c r="A2639" s="703" t="n"/>
      <c r="B2639" s="704" t="n"/>
      <c r="C2639" s="704" t="n"/>
      <c r="D2639" s="703" t="n"/>
      <c r="E2639" s="701" t="n"/>
      <c r="F2639" s="705" t="n"/>
      <c r="G2639" s="706" t="n"/>
      <c r="H2639" s="707" t="n"/>
      <c r="I2639" s="704" t="n"/>
      <c r="J2639" s="703" t="n"/>
      <c r="L2639" s="701" t="n"/>
      <c r="M2639" s="704" t="n"/>
    </row>
    <row r="2640" ht="15.75" customHeight="1" s="436" thickBot="1">
      <c r="A2640" s="703" t="n"/>
      <c r="B2640" s="704" t="n"/>
      <c r="C2640" s="704" t="n"/>
      <c r="D2640" s="705" t="n"/>
      <c r="E2640" s="707" t="n"/>
      <c r="F2640" s="3" t="inlineStr">
        <is>
          <t>ENTRADA</t>
        </is>
      </c>
      <c r="G2640" s="3" t="inlineStr">
        <is>
          <t>SAÍDA</t>
        </is>
      </c>
      <c r="H2640" s="640" t="n"/>
      <c r="I2640" s="633" t="inlineStr">
        <is>
          <t>MÉDIO</t>
        </is>
      </c>
      <c r="J2640" s="652" t="inlineStr">
        <is>
          <t>SALDO EM 30/11/2017</t>
        </is>
      </c>
      <c r="K2640" s="706" t="n"/>
      <c r="L2640" s="17" t="n"/>
      <c r="M2640" s="704" t="n"/>
    </row>
    <row r="2641" ht="18" customHeight="1" s="436" thickBot="1">
      <c r="A2641" s="705" t="n"/>
      <c r="B2641" s="695" t="n"/>
      <c r="C2641" s="695" t="n"/>
      <c r="D2641" s="3" t="inlineStr">
        <is>
          <t>C/ICMS</t>
        </is>
      </c>
      <c r="E2641" s="3" t="inlineStr">
        <is>
          <t>S/ICMS</t>
        </is>
      </c>
      <c r="F2641" s="695" t="n"/>
      <c r="G2641" s="695" t="n"/>
      <c r="H2641" s="84" t="inlineStr">
        <is>
          <t>Saldo  em 31/08/2021</t>
        </is>
      </c>
      <c r="I2641" s="695" t="n"/>
      <c r="J2641" s="645" t="inlineStr">
        <is>
          <t>ENTRADA</t>
        </is>
      </c>
      <c r="K2641" s="633" t="inlineStr">
        <is>
          <t>SAÍDA / CMV</t>
        </is>
      </c>
      <c r="L2641" s="643" t="inlineStr">
        <is>
          <t>SALDO</t>
        </is>
      </c>
      <c r="M2641" s="392" t="n"/>
    </row>
    <row r="2642">
      <c r="A2642" s="392" t="n"/>
      <c r="B2642" s="392" t="n"/>
      <c r="C2642" s="392" t="n"/>
      <c r="D2642" s="392" t="n"/>
      <c r="E2642" s="392" t="n"/>
      <c r="F2642" s="392" t="n"/>
      <c r="G2642" s="392" t="n"/>
      <c r="H2642" s="446" t="n">
        <v>1356</v>
      </c>
      <c r="I2642" s="392" t="n"/>
      <c r="J2642" s="392" t="n"/>
      <c r="K2642" s="392" t="n"/>
      <c r="L2642" s="392" t="n"/>
      <c r="M2642" s="392" t="n"/>
    </row>
    <row r="2643">
      <c r="A2643" s="568" t="n">
        <v>44440</v>
      </c>
      <c r="B2643" s="392" t="n">
        <v>8399</v>
      </c>
      <c r="C2643" s="392" t="n">
        <v>72</v>
      </c>
      <c r="D2643" s="392" t="n"/>
      <c r="E2643" s="392" t="n"/>
      <c r="F2643" s="392" t="n"/>
      <c r="G2643" s="392" t="n">
        <v>20</v>
      </c>
      <c r="H2643" s="446">
        <f>H2642-G2643</f>
        <v/>
      </c>
      <c r="I2643" s="392" t="n"/>
      <c r="J2643" s="392" t="n"/>
      <c r="K2643" s="392" t="n"/>
      <c r="L2643" s="392" t="n"/>
      <c r="M2643" s="392" t="n"/>
    </row>
    <row r="2644">
      <c r="A2644" s="568" t="n">
        <v>44446</v>
      </c>
      <c r="B2644" s="392" t="n">
        <v>8402</v>
      </c>
      <c r="C2644" s="392" t="n">
        <v>72</v>
      </c>
      <c r="D2644" s="392" t="n"/>
      <c r="E2644" s="392" t="n"/>
      <c r="F2644" s="392" t="n"/>
      <c r="G2644" s="392" t="n">
        <v>20</v>
      </c>
      <c r="H2644" s="446">
        <f>H2643-G2644</f>
        <v/>
      </c>
      <c r="I2644" s="392" t="n"/>
      <c r="J2644" s="392" t="n"/>
      <c r="K2644" s="392" t="n"/>
      <c r="L2644" s="392" t="n"/>
      <c r="M2644" s="392" t="n"/>
    </row>
    <row r="2645">
      <c r="A2645" s="568" t="n">
        <v>44446</v>
      </c>
      <c r="B2645" s="392" t="n">
        <v>8403</v>
      </c>
      <c r="C2645" s="392" t="n">
        <v>69</v>
      </c>
      <c r="D2645" s="392" t="n"/>
      <c r="E2645" s="392" t="n"/>
      <c r="F2645" s="392" t="n"/>
      <c r="G2645" s="392" t="n">
        <v>50</v>
      </c>
      <c r="H2645" s="446">
        <f>H2644-G2645</f>
        <v/>
      </c>
      <c r="I2645" s="392" t="n"/>
      <c r="J2645" s="392" t="n"/>
      <c r="K2645" s="392" t="n"/>
      <c r="L2645" s="392" t="n"/>
      <c r="M2645" s="392" t="n"/>
    </row>
    <row r="2646">
      <c r="A2646" s="568" t="n">
        <v>44447</v>
      </c>
      <c r="B2646" s="392" t="n">
        <v>8406</v>
      </c>
      <c r="C2646" s="392" t="n">
        <v>72</v>
      </c>
      <c r="D2646" s="392" t="n"/>
      <c r="E2646" s="392" t="n"/>
      <c r="F2646" s="392" t="n"/>
      <c r="G2646" s="392" t="n">
        <v>30</v>
      </c>
      <c r="H2646" s="446">
        <f>H2645-G2646</f>
        <v/>
      </c>
      <c r="I2646" s="392" t="n"/>
      <c r="J2646" s="392" t="n"/>
      <c r="K2646" s="392" t="n"/>
      <c r="L2646" s="392" t="n"/>
      <c r="M2646" s="392" t="n"/>
    </row>
    <row r="2647">
      <c r="A2647" s="568" t="n">
        <v>44447</v>
      </c>
      <c r="B2647" s="392" t="n">
        <v>8407</v>
      </c>
      <c r="C2647" s="392" t="n">
        <v>73</v>
      </c>
      <c r="D2647" s="392" t="n"/>
      <c r="E2647" s="392" t="n"/>
      <c r="F2647" s="392" t="n"/>
      <c r="G2647" s="392" t="n">
        <v>100</v>
      </c>
      <c r="H2647" s="446">
        <f>H2646-G2647</f>
        <v/>
      </c>
      <c r="I2647" s="392" t="n"/>
      <c r="J2647" s="392" t="n"/>
      <c r="K2647" s="392" t="n"/>
      <c r="L2647" s="392" t="n"/>
      <c r="M2647" s="392" t="n"/>
    </row>
    <row r="2648">
      <c r="A2648" s="568" t="n">
        <v>44447</v>
      </c>
      <c r="B2648" s="392" t="n">
        <v>8410</v>
      </c>
      <c r="C2648" s="392" t="n">
        <v>73</v>
      </c>
      <c r="D2648" s="392" t="n"/>
      <c r="E2648" s="392" t="n"/>
      <c r="F2648" s="392" t="n"/>
      <c r="G2648" s="392" t="n">
        <v>15</v>
      </c>
      <c r="H2648" s="446">
        <f>H2647-G2648</f>
        <v/>
      </c>
      <c r="I2648" s="392" t="n"/>
      <c r="J2648" s="392" t="n"/>
      <c r="K2648" s="392" t="n"/>
      <c r="L2648" s="392" t="n"/>
      <c r="M2648" s="392" t="n"/>
    </row>
    <row r="2649">
      <c r="A2649" s="304" t="n">
        <v>44448</v>
      </c>
      <c r="B2649" s="401" t="n">
        <v>17541</v>
      </c>
      <c r="C2649" s="401" t="n">
        <v>53</v>
      </c>
      <c r="D2649" s="401" t="n"/>
      <c r="E2649" s="401" t="n"/>
      <c r="F2649" s="401" t="n">
        <v>1120</v>
      </c>
      <c r="G2649" s="401" t="n"/>
      <c r="H2649" s="322" t="n">
        <v>2241</v>
      </c>
      <c r="I2649" s="392" t="n"/>
      <c r="J2649" s="392" t="n"/>
      <c r="K2649" s="392" t="n"/>
      <c r="L2649" s="392" t="n"/>
      <c r="M2649" s="392" t="n"/>
    </row>
    <row r="2650">
      <c r="A2650" s="568" t="n">
        <v>44453</v>
      </c>
      <c r="B2650" s="392" t="n">
        <v>8414</v>
      </c>
      <c r="C2650" s="392" t="n">
        <v>64</v>
      </c>
      <c r="D2650" s="392" t="n"/>
      <c r="E2650" s="392" t="n"/>
      <c r="F2650" s="392" t="n"/>
      <c r="G2650" s="392" t="n">
        <v>200</v>
      </c>
      <c r="H2650" s="446">
        <f>H2649-G2650</f>
        <v/>
      </c>
      <c r="I2650" s="392" t="n"/>
      <c r="J2650" s="392" t="n"/>
      <c r="K2650" s="392" t="n"/>
      <c r="L2650" s="392" t="n"/>
      <c r="M2650" s="392" t="n"/>
    </row>
    <row r="2651">
      <c r="A2651" s="568" t="n">
        <v>44453</v>
      </c>
      <c r="B2651" s="392" t="n">
        <v>8415</v>
      </c>
      <c r="C2651" s="392" t="n">
        <v>59</v>
      </c>
      <c r="D2651" s="392" t="n"/>
      <c r="E2651" s="392" t="n"/>
      <c r="F2651" s="392" t="n"/>
      <c r="G2651" s="392" t="n">
        <v>200</v>
      </c>
      <c r="H2651" s="446">
        <f>H2650-G2651</f>
        <v/>
      </c>
      <c r="I2651" s="392" t="n"/>
      <c r="J2651" s="392" t="n"/>
      <c r="K2651" s="392" t="n"/>
      <c r="L2651" s="392" t="n"/>
      <c r="M2651" s="392" t="n"/>
    </row>
    <row r="2652">
      <c r="A2652" s="304" t="n">
        <v>44454</v>
      </c>
      <c r="B2652" s="401" t="n">
        <v>173741</v>
      </c>
      <c r="C2652" s="401" t="n">
        <v>61</v>
      </c>
      <c r="D2652" s="401" t="n"/>
      <c r="E2652" s="401" t="n"/>
      <c r="F2652" s="401" t="n">
        <v>370</v>
      </c>
      <c r="G2652" s="401" t="n"/>
      <c r="H2652" s="322" t="n">
        <v>2211</v>
      </c>
      <c r="I2652" s="392" t="n"/>
      <c r="J2652" s="392" t="n"/>
      <c r="K2652" s="392" t="n"/>
      <c r="L2652" s="392" t="n"/>
      <c r="M2652" s="392" t="n"/>
    </row>
    <row r="2653">
      <c r="A2653" s="304" t="n">
        <v>44454</v>
      </c>
      <c r="B2653" s="401" t="n">
        <v>173741</v>
      </c>
      <c r="C2653" s="401" t="n">
        <v>60</v>
      </c>
      <c r="D2653" s="401" t="n"/>
      <c r="E2653" s="401" t="n"/>
      <c r="F2653" s="401" t="n">
        <v>250</v>
      </c>
      <c r="G2653" s="401" t="n"/>
      <c r="H2653" s="322" t="n">
        <v>2461</v>
      </c>
      <c r="I2653" s="392" t="n"/>
      <c r="J2653" s="392" t="n"/>
      <c r="K2653" s="392" t="n"/>
      <c r="L2653" s="392" t="n"/>
      <c r="M2653" s="392" t="n"/>
    </row>
    <row r="2654">
      <c r="A2654" s="568" t="n">
        <v>44454</v>
      </c>
      <c r="B2654" s="392" t="n">
        <v>8416</v>
      </c>
      <c r="C2654" s="392" t="n">
        <v>68</v>
      </c>
      <c r="D2654" s="392" t="n"/>
      <c r="E2654" s="392" t="n"/>
      <c r="F2654" s="392" t="n"/>
      <c r="G2654" s="392" t="n">
        <v>30</v>
      </c>
      <c r="H2654" s="446">
        <f>H2653-G2654</f>
        <v/>
      </c>
      <c r="I2654" s="392" t="n"/>
      <c r="J2654" s="392" t="n"/>
      <c r="K2654" s="392" t="n"/>
      <c r="L2654" s="392" t="n"/>
      <c r="M2654" s="392" t="n"/>
    </row>
    <row r="2655">
      <c r="A2655" s="568" t="n">
        <v>44454</v>
      </c>
      <c r="B2655" s="392" t="n">
        <v>8417</v>
      </c>
      <c r="C2655" s="392" t="n">
        <v>68</v>
      </c>
      <c r="D2655" s="392" t="n"/>
      <c r="E2655" s="392" t="n"/>
      <c r="F2655" s="392" t="n"/>
      <c r="G2655" s="392" t="n">
        <v>20</v>
      </c>
      <c r="H2655" s="446">
        <f>H2654-G2655</f>
        <v/>
      </c>
      <c r="I2655" s="392" t="n"/>
      <c r="J2655" s="392" t="n"/>
      <c r="K2655" s="392" t="n"/>
      <c r="L2655" s="392" t="n"/>
      <c r="M2655" s="392" t="n"/>
    </row>
    <row r="2656">
      <c r="A2656" s="568" t="n">
        <v>44454</v>
      </c>
      <c r="B2656" s="392" t="n">
        <v>8418</v>
      </c>
      <c r="C2656" s="392" t="n">
        <v>70</v>
      </c>
      <c r="D2656" s="392" t="n"/>
      <c r="E2656" s="392" t="n"/>
      <c r="F2656" s="392" t="n"/>
      <c r="G2656" s="392" t="n">
        <v>50</v>
      </c>
      <c r="H2656" s="446">
        <f>H2655-G2656</f>
        <v/>
      </c>
      <c r="I2656" s="392" t="n"/>
      <c r="J2656" s="392" t="n"/>
      <c r="K2656" s="392" t="n"/>
      <c r="L2656" s="392" t="n"/>
      <c r="M2656" s="392" t="n"/>
    </row>
    <row r="2657">
      <c r="A2657" s="568" t="n">
        <v>44454</v>
      </c>
      <c r="B2657" s="392" t="n">
        <v>8421</v>
      </c>
      <c r="C2657" s="392" t="n">
        <v>70</v>
      </c>
      <c r="D2657" s="392" t="n"/>
      <c r="E2657" s="392" t="n"/>
      <c r="F2657" s="392" t="n"/>
      <c r="G2657" s="392" t="n">
        <v>20</v>
      </c>
      <c r="H2657" s="446">
        <f>H2656-G2657</f>
        <v/>
      </c>
      <c r="I2657" s="392" t="n"/>
      <c r="J2657" s="392" t="n"/>
      <c r="K2657" s="392" t="n"/>
      <c r="L2657" s="392" t="n"/>
      <c r="M2657" s="392" t="n"/>
    </row>
    <row r="2658">
      <c r="A2658" s="568" t="n">
        <v>44454</v>
      </c>
      <c r="B2658" s="392" t="n">
        <v>8422</v>
      </c>
      <c r="C2658" s="392" t="n">
        <v>68</v>
      </c>
      <c r="D2658" s="392" t="n"/>
      <c r="E2658" s="392" t="n"/>
      <c r="F2658" s="392" t="n"/>
      <c r="G2658" s="392" t="n">
        <v>65</v>
      </c>
      <c r="H2658" s="446">
        <f>H2657-G2658</f>
        <v/>
      </c>
      <c r="I2658" s="392" t="n"/>
      <c r="J2658" s="392" t="n"/>
      <c r="K2658" s="392" t="n"/>
      <c r="L2658" s="392" t="n"/>
      <c r="M2658" s="392" t="n"/>
    </row>
    <row r="2659">
      <c r="A2659" s="568" t="n">
        <v>44454</v>
      </c>
      <c r="B2659" s="392" t="n">
        <v>8424</v>
      </c>
      <c r="C2659" s="392" t="n">
        <v>72</v>
      </c>
      <c r="D2659" s="392" t="n"/>
      <c r="E2659" s="392" t="n"/>
      <c r="F2659" s="392" t="n"/>
      <c r="G2659" s="392" t="n">
        <v>60</v>
      </c>
      <c r="H2659" s="446">
        <f>H2658-G2659</f>
        <v/>
      </c>
      <c r="I2659" s="392" t="n"/>
      <c r="J2659" s="392" t="n"/>
      <c r="K2659" s="392" t="n"/>
      <c r="L2659" s="392" t="n"/>
      <c r="M2659" s="392" t="n"/>
    </row>
    <row r="2660">
      <c r="A2660" s="568" t="n">
        <v>44455</v>
      </c>
      <c r="B2660" s="392" t="n">
        <v>8425</v>
      </c>
      <c r="C2660" s="392" t="n">
        <v>72</v>
      </c>
      <c r="D2660" s="392" t="n"/>
      <c r="E2660" s="392" t="n"/>
      <c r="F2660" s="392" t="n"/>
      <c r="G2660" s="392" t="n">
        <v>20</v>
      </c>
      <c r="H2660" s="446">
        <f>H2659-G2660</f>
        <v/>
      </c>
      <c r="I2660" s="392" t="n"/>
      <c r="J2660" s="392" t="n"/>
      <c r="K2660" s="392" t="n"/>
      <c r="L2660" s="392" t="n"/>
      <c r="M2660" s="392" t="n"/>
    </row>
    <row r="2661">
      <c r="A2661" s="568" t="n">
        <v>44455</v>
      </c>
      <c r="B2661" s="392" t="n">
        <v>8426</v>
      </c>
      <c r="C2661" s="392" t="n">
        <v>72</v>
      </c>
      <c r="D2661" s="392" t="n"/>
      <c r="E2661" s="392" t="n"/>
      <c r="F2661" s="392" t="n"/>
      <c r="G2661" s="392" t="n">
        <v>30</v>
      </c>
      <c r="H2661" s="446">
        <f>H2660-G2661</f>
        <v/>
      </c>
      <c r="I2661" s="392" t="n"/>
      <c r="J2661" s="392" t="n"/>
      <c r="K2661" s="392" t="n"/>
      <c r="L2661" s="392" t="n"/>
      <c r="M2661" s="392" t="n"/>
    </row>
    <row r="2662">
      <c r="A2662" s="568" t="n">
        <v>44455</v>
      </c>
      <c r="B2662" s="392" t="n">
        <v>8427</v>
      </c>
      <c r="C2662" s="392" t="n">
        <v>72</v>
      </c>
      <c r="D2662" s="392" t="n"/>
      <c r="E2662" s="392" t="n"/>
      <c r="F2662" s="392" t="n"/>
      <c r="G2662" s="392" t="n">
        <v>30</v>
      </c>
      <c r="H2662" s="446">
        <f>H2661-G2662</f>
        <v/>
      </c>
      <c r="I2662" s="392" t="n"/>
      <c r="J2662" s="392" t="n"/>
      <c r="K2662" s="392" t="n"/>
      <c r="L2662" s="392" t="n"/>
      <c r="M2662" s="392" t="n"/>
    </row>
    <row r="2663">
      <c r="A2663" s="568" t="n">
        <v>44455</v>
      </c>
      <c r="B2663" s="392" t="n">
        <v>8428</v>
      </c>
      <c r="C2663" s="392" t="n">
        <v>72</v>
      </c>
      <c r="D2663" s="392" t="n"/>
      <c r="E2663" s="392" t="n"/>
      <c r="F2663" s="392" t="n"/>
      <c r="G2663" s="392" t="n">
        <v>20</v>
      </c>
      <c r="H2663" s="446">
        <f>H2662-G2663</f>
        <v/>
      </c>
      <c r="I2663" s="392" t="n"/>
      <c r="J2663" s="392" t="n"/>
      <c r="K2663" s="392" t="n"/>
      <c r="L2663" s="392" t="n"/>
      <c r="M2663" s="392" t="n"/>
    </row>
    <row r="2664">
      <c r="A2664" s="568" t="n">
        <v>44455</v>
      </c>
      <c r="B2664" s="392" t="n">
        <v>8429</v>
      </c>
      <c r="C2664" s="392" t="n">
        <v>72.43000000000001</v>
      </c>
      <c r="D2664" s="392" t="n"/>
      <c r="E2664" s="392" t="n"/>
      <c r="F2664" s="392" t="n"/>
      <c r="G2664" s="392" t="n">
        <v>35</v>
      </c>
      <c r="H2664" s="446">
        <f>H2663-G2664</f>
        <v/>
      </c>
      <c r="I2664" s="392" t="n"/>
      <c r="J2664" s="392" t="n"/>
      <c r="K2664" s="392" t="n"/>
      <c r="L2664" s="392" t="n"/>
      <c r="M2664" s="392" t="n"/>
    </row>
    <row r="2665">
      <c r="A2665" s="568" t="n">
        <v>44455</v>
      </c>
      <c r="B2665" s="392" t="n">
        <v>8433</v>
      </c>
      <c r="C2665" s="392" t="n">
        <v>70</v>
      </c>
      <c r="D2665" s="392" t="n"/>
      <c r="E2665" s="392" t="n"/>
      <c r="F2665" s="392" t="n"/>
      <c r="G2665" s="392" t="n">
        <v>10</v>
      </c>
      <c r="H2665" s="446">
        <f>H2664-G2665</f>
        <v/>
      </c>
      <c r="I2665" s="392" t="n"/>
      <c r="J2665" s="392" t="n"/>
      <c r="K2665" s="392" t="n"/>
      <c r="L2665" s="392" t="n"/>
      <c r="M2665" s="392" t="n"/>
    </row>
    <row r="2666">
      <c r="A2666" s="568" t="n">
        <v>44455</v>
      </c>
      <c r="B2666" s="392" t="n">
        <v>8435</v>
      </c>
      <c r="C2666" s="392" t="n">
        <v>70</v>
      </c>
      <c r="D2666" s="392" t="n"/>
      <c r="E2666" s="392" t="n"/>
      <c r="F2666" s="392" t="n"/>
      <c r="G2666" s="392" t="n">
        <v>10</v>
      </c>
      <c r="H2666" s="446">
        <f>H2665-G2666</f>
        <v/>
      </c>
      <c r="I2666" s="392" t="n"/>
      <c r="J2666" s="392" t="n"/>
      <c r="K2666" s="392" t="n"/>
      <c r="L2666" s="392" t="n"/>
      <c r="M2666" s="392" t="n"/>
    </row>
    <row r="2667">
      <c r="A2667" s="568" t="n">
        <v>44455</v>
      </c>
      <c r="B2667" s="392" t="n">
        <v>8437</v>
      </c>
      <c r="C2667" s="392" t="n">
        <v>72</v>
      </c>
      <c r="D2667" s="392" t="n"/>
      <c r="E2667" s="392" t="n"/>
      <c r="F2667" s="392" t="n"/>
      <c r="G2667" s="392" t="n">
        <v>15</v>
      </c>
      <c r="H2667" s="446">
        <f>H2666-G2667</f>
        <v/>
      </c>
      <c r="I2667" s="392" t="n"/>
      <c r="J2667" s="392" t="n"/>
      <c r="K2667" s="392" t="n"/>
      <c r="L2667" s="392" t="n"/>
      <c r="M2667" s="392" t="n"/>
    </row>
    <row r="2668">
      <c r="A2668" s="304" t="n">
        <v>44455</v>
      </c>
      <c r="B2668" s="401" t="n">
        <v>17627</v>
      </c>
      <c r="C2668" s="401" t="n">
        <v>57</v>
      </c>
      <c r="D2668" s="401" t="n"/>
      <c r="E2668" s="401" t="n"/>
      <c r="F2668" s="401" t="n">
        <v>1120</v>
      </c>
      <c r="G2668" s="401" t="n"/>
      <c r="H2668" s="322" t="n">
        <v>2546</v>
      </c>
      <c r="I2668" s="392" t="n"/>
      <c r="J2668" s="392" t="n"/>
      <c r="K2668" s="392" t="n"/>
      <c r="L2668" s="392" t="n"/>
      <c r="M2668" s="392" t="n"/>
    </row>
    <row r="2669">
      <c r="A2669" s="568" t="n">
        <v>44459</v>
      </c>
      <c r="B2669" s="392" t="n">
        <v>8438</v>
      </c>
      <c r="C2669" s="392" t="n">
        <v>70</v>
      </c>
      <c r="D2669" s="392" t="n"/>
      <c r="E2669" s="392" t="n"/>
      <c r="F2669" s="392" t="n"/>
      <c r="G2669" s="392" t="n">
        <v>20</v>
      </c>
      <c r="H2669" s="446">
        <f>H2668-G2669</f>
        <v/>
      </c>
      <c r="I2669" s="392" t="n"/>
      <c r="J2669" s="392" t="n"/>
      <c r="K2669" s="392" t="n"/>
      <c r="L2669" s="392" t="n"/>
      <c r="M2669" s="392" t="n"/>
    </row>
    <row r="2670">
      <c r="A2670" s="568" t="n">
        <v>44459</v>
      </c>
      <c r="B2670" s="392" t="n">
        <v>8439</v>
      </c>
      <c r="C2670" s="392" t="n">
        <v>69</v>
      </c>
      <c r="D2670" s="392" t="n"/>
      <c r="E2670" s="392" t="n"/>
      <c r="F2670" s="392" t="n"/>
      <c r="G2670" s="392" t="n">
        <v>50</v>
      </c>
      <c r="H2670" s="446">
        <f>H2669-G2670</f>
        <v/>
      </c>
      <c r="I2670" s="392" t="n"/>
      <c r="J2670" s="392" t="n"/>
      <c r="K2670" s="392" t="n"/>
      <c r="L2670" s="392" t="n"/>
      <c r="M2670" s="392" t="n"/>
    </row>
    <row r="2671">
      <c r="A2671" s="568" t="n">
        <v>44459</v>
      </c>
      <c r="B2671" s="392" t="n">
        <v>8443</v>
      </c>
      <c r="C2671" s="392" t="n">
        <v>70</v>
      </c>
      <c r="D2671" s="392" t="n"/>
      <c r="E2671" s="392" t="n"/>
      <c r="F2671" s="392" t="n"/>
      <c r="G2671" s="392" t="n">
        <v>30</v>
      </c>
      <c r="H2671" s="446">
        <f>H2670-G2671</f>
        <v/>
      </c>
      <c r="I2671" s="392" t="n"/>
      <c r="J2671" s="392" t="n"/>
      <c r="K2671" s="392" t="n"/>
      <c r="L2671" s="392" t="n"/>
      <c r="M2671" s="392" t="n"/>
    </row>
    <row r="2672">
      <c r="A2672" s="568" t="n">
        <v>44459</v>
      </c>
      <c r="B2672" s="392" t="n">
        <v>8444</v>
      </c>
      <c r="C2672" s="392" t="n">
        <v>70</v>
      </c>
      <c r="D2672" s="392" t="n"/>
      <c r="E2672" s="392" t="n"/>
      <c r="F2672" s="392" t="n"/>
      <c r="G2672" s="392" t="n">
        <v>50</v>
      </c>
      <c r="H2672" s="446">
        <f>H2671-G2672</f>
        <v/>
      </c>
      <c r="I2672" s="392" t="n"/>
      <c r="J2672" s="392" t="n"/>
      <c r="K2672" s="392" t="n"/>
      <c r="L2672" s="392" t="n"/>
      <c r="M2672" s="392" t="n"/>
    </row>
    <row r="2673">
      <c r="A2673" s="568" t="n">
        <v>44459</v>
      </c>
      <c r="B2673" s="392" t="n">
        <v>8445</v>
      </c>
      <c r="C2673" s="392" t="n">
        <v>70</v>
      </c>
      <c r="D2673" s="392" t="n"/>
      <c r="E2673" s="392" t="n"/>
      <c r="F2673" s="392" t="n"/>
      <c r="G2673" s="392" t="n">
        <v>20</v>
      </c>
      <c r="H2673" s="446">
        <f>H2672-G2673</f>
        <v/>
      </c>
      <c r="I2673" s="392" t="n"/>
      <c r="J2673" s="392" t="n"/>
      <c r="K2673" s="392" t="n"/>
      <c r="L2673" s="392" t="n"/>
      <c r="M2673" s="392" t="n"/>
    </row>
    <row r="2674">
      <c r="A2674" s="568" t="n">
        <v>44459</v>
      </c>
      <c r="B2674" s="392" t="n">
        <v>8446</v>
      </c>
      <c r="C2674" s="392" t="n">
        <v>74.25</v>
      </c>
      <c r="D2674" s="392" t="n"/>
      <c r="E2674" s="392" t="n"/>
      <c r="F2674" s="392" t="n"/>
      <c r="G2674" s="392" t="n">
        <v>20</v>
      </c>
      <c r="H2674" s="446">
        <f>H2673-G2674</f>
        <v/>
      </c>
      <c r="I2674" s="392" t="n"/>
      <c r="J2674" s="392" t="n"/>
      <c r="K2674" s="392" t="n"/>
      <c r="L2674" s="392" t="n"/>
      <c r="M2674" s="392" t="n"/>
    </row>
    <row r="2675">
      <c r="A2675" s="568" t="n">
        <v>44459</v>
      </c>
      <c r="B2675" s="392" t="n">
        <v>8447</v>
      </c>
      <c r="C2675" s="392" t="n">
        <v>68</v>
      </c>
      <c r="D2675" s="392" t="n"/>
      <c r="E2675" s="392" t="n"/>
      <c r="F2675" s="392" t="n"/>
      <c r="G2675" s="392" t="n">
        <v>50</v>
      </c>
      <c r="H2675" s="446">
        <f>H2674-G2675</f>
        <v/>
      </c>
      <c r="I2675" s="392" t="n"/>
      <c r="J2675" s="392" t="n"/>
      <c r="K2675" s="392" t="n"/>
      <c r="L2675" s="392" t="n"/>
      <c r="M2675" s="392" t="n"/>
    </row>
    <row r="2676">
      <c r="A2676" s="568" t="n">
        <v>44461</v>
      </c>
      <c r="B2676" s="392" t="n">
        <v>8455</v>
      </c>
      <c r="C2676" s="392" t="n">
        <v>70</v>
      </c>
      <c r="D2676" s="392" t="n"/>
      <c r="E2676" s="392" t="n"/>
      <c r="F2676" s="392" t="n"/>
      <c r="G2676" s="392" t="n">
        <v>25</v>
      </c>
      <c r="H2676" s="446">
        <f>H2675-G2676</f>
        <v/>
      </c>
      <c r="I2676" s="392" t="n"/>
      <c r="J2676" s="392" t="n"/>
      <c r="K2676" s="392" t="n"/>
      <c r="L2676" s="392" t="n"/>
      <c r="M2676" s="392" t="n"/>
    </row>
    <row r="2677">
      <c r="A2677" s="568" t="n">
        <v>44461</v>
      </c>
      <c r="B2677" s="392" t="n">
        <v>8456</v>
      </c>
      <c r="C2677" s="392" t="n">
        <v>75</v>
      </c>
      <c r="D2677" s="392" t="n"/>
      <c r="E2677" s="392" t="n"/>
      <c r="F2677" s="392" t="n"/>
      <c r="G2677" s="392" t="n">
        <v>20</v>
      </c>
      <c r="H2677" s="446">
        <f>H2676-G2677</f>
        <v/>
      </c>
      <c r="I2677" s="392" t="n"/>
      <c r="J2677" s="392" t="n"/>
      <c r="K2677" s="392" t="n"/>
      <c r="L2677" s="392" t="n"/>
      <c r="M2677" s="392" t="n"/>
    </row>
    <row r="2678">
      <c r="A2678" s="568" t="n">
        <v>44461</v>
      </c>
      <c r="B2678" s="392" t="n">
        <v>8457</v>
      </c>
      <c r="C2678" s="392" t="n">
        <v>72</v>
      </c>
      <c r="D2678" s="392" t="n"/>
      <c r="E2678" s="392" t="n"/>
      <c r="F2678" s="392" t="n"/>
      <c r="G2678" s="392" t="n">
        <v>30</v>
      </c>
      <c r="H2678" s="446">
        <f>H2677-G2678</f>
        <v/>
      </c>
      <c r="I2678" s="392" t="n"/>
      <c r="J2678" s="392" t="n"/>
      <c r="K2678" s="392" t="n"/>
      <c r="L2678" s="392" t="n"/>
      <c r="M2678" s="392" t="n"/>
    </row>
    <row r="2679">
      <c r="A2679" s="568" t="n">
        <v>44461</v>
      </c>
      <c r="B2679" s="392" t="n">
        <v>8458</v>
      </c>
      <c r="C2679" s="392" t="n">
        <v>69</v>
      </c>
      <c r="D2679" s="392" t="n"/>
      <c r="E2679" s="392" t="n"/>
      <c r="F2679" s="392" t="n"/>
      <c r="G2679" s="392" t="n">
        <v>10</v>
      </c>
      <c r="H2679" s="446">
        <f>H2678-G2679</f>
        <v/>
      </c>
      <c r="I2679" s="392" t="n"/>
      <c r="J2679" s="392" t="n"/>
      <c r="K2679" s="392" t="n"/>
      <c r="L2679" s="392" t="n"/>
      <c r="M2679" s="392" t="n"/>
    </row>
    <row r="2680">
      <c r="A2680" s="568" t="n">
        <v>44461</v>
      </c>
      <c r="B2680" s="392" t="n">
        <v>8460</v>
      </c>
      <c r="C2680" s="392" t="n">
        <v>70</v>
      </c>
      <c r="D2680" s="392" t="n"/>
      <c r="E2680" s="392" t="n"/>
      <c r="F2680" s="392" t="n"/>
      <c r="G2680" s="392" t="n">
        <v>50</v>
      </c>
      <c r="H2680" s="446">
        <f>H2679-G2680</f>
        <v/>
      </c>
      <c r="I2680" s="392" t="n"/>
      <c r="J2680" s="392" t="n"/>
      <c r="K2680" s="392" t="n"/>
      <c r="L2680" s="392" t="n"/>
      <c r="M2680" s="392" t="n"/>
    </row>
    <row r="2681">
      <c r="A2681" s="568" t="n">
        <v>44466</v>
      </c>
      <c r="B2681" s="392" t="n">
        <v>8468</v>
      </c>
      <c r="C2681" s="392" t="n">
        <v>69</v>
      </c>
      <c r="D2681" s="392" t="n"/>
      <c r="E2681" s="392" t="n"/>
      <c r="F2681" s="392" t="n"/>
      <c r="G2681" s="392" t="n">
        <v>50</v>
      </c>
      <c r="H2681" s="446">
        <f>H2680-G2681</f>
        <v/>
      </c>
      <c r="I2681" s="392" t="n"/>
      <c r="J2681" s="392" t="n"/>
      <c r="K2681" s="392" t="n"/>
      <c r="L2681" s="392" t="n"/>
      <c r="M2681" s="392" t="n"/>
    </row>
    <row r="2682">
      <c r="A2682" s="568" t="n">
        <v>44466</v>
      </c>
      <c r="B2682" s="392" t="n">
        <v>8470</v>
      </c>
      <c r="C2682" s="392" t="n">
        <v>73</v>
      </c>
      <c r="D2682" s="392" t="n"/>
      <c r="E2682" s="392" t="n"/>
      <c r="F2682" s="392" t="n"/>
      <c r="G2682" s="392" t="n">
        <v>30</v>
      </c>
      <c r="H2682" s="446">
        <f>H2681-G2682</f>
        <v/>
      </c>
      <c r="I2682" s="392" t="n"/>
      <c r="J2682" s="392" t="n"/>
      <c r="K2682" s="392" t="n"/>
      <c r="L2682" s="392" t="n"/>
      <c r="M2682" s="392" t="n"/>
    </row>
    <row r="2683">
      <c r="A2683" s="568" t="n">
        <v>44466</v>
      </c>
      <c r="B2683" s="392" t="n">
        <v>8472</v>
      </c>
      <c r="C2683" s="392" t="n">
        <v>70</v>
      </c>
      <c r="D2683" s="392" t="n"/>
      <c r="E2683" s="392" t="n"/>
      <c r="F2683" s="392" t="n"/>
      <c r="G2683" s="392" t="n">
        <v>20</v>
      </c>
      <c r="H2683" s="446">
        <f>H2682-G2683</f>
        <v/>
      </c>
      <c r="I2683" s="392" t="n"/>
      <c r="J2683" s="392" t="n"/>
      <c r="K2683" s="392" t="n"/>
      <c r="L2683" s="392" t="n"/>
      <c r="M2683" s="392" t="n"/>
    </row>
    <row r="2684">
      <c r="A2684" s="568" t="n">
        <v>44466</v>
      </c>
      <c r="B2684" s="392" t="n">
        <v>8473</v>
      </c>
      <c r="C2684" s="392" t="n">
        <v>70</v>
      </c>
      <c r="D2684" s="392" t="n"/>
      <c r="E2684" s="392" t="n"/>
      <c r="F2684" s="392" t="n"/>
      <c r="G2684" s="392" t="n">
        <v>40</v>
      </c>
      <c r="H2684" s="446">
        <f>H2683-G2684</f>
        <v/>
      </c>
      <c r="I2684" s="392" t="n"/>
      <c r="J2684" s="392" t="n"/>
      <c r="K2684" s="392" t="n"/>
      <c r="L2684" s="392" t="n"/>
      <c r="M2684" s="392" t="n"/>
    </row>
    <row r="2685">
      <c r="A2685" s="304" t="n">
        <v>44467</v>
      </c>
      <c r="B2685" s="401" t="n">
        <v>17847</v>
      </c>
      <c r="C2685" s="401" t="n">
        <v>54.3</v>
      </c>
      <c r="D2685" s="401" t="n"/>
      <c r="E2685" s="401" t="n"/>
      <c r="F2685" s="401" t="n">
        <v>1120</v>
      </c>
      <c r="G2685" s="401" t="n"/>
      <c r="H2685" s="322" t="n">
        <v>3151</v>
      </c>
      <c r="I2685" s="392" t="n"/>
      <c r="J2685" s="392" t="n"/>
      <c r="K2685" s="392" t="n"/>
      <c r="L2685" s="392" t="n"/>
      <c r="M2685" s="392" t="n"/>
    </row>
    <row r="2686">
      <c r="A2686" s="568" t="n">
        <v>44468</v>
      </c>
      <c r="B2686" s="392" t="n">
        <v>8474</v>
      </c>
      <c r="C2686" s="392" t="n">
        <v>70</v>
      </c>
      <c r="D2686" s="392" t="n"/>
      <c r="E2686" s="392" t="n"/>
      <c r="F2686" s="392" t="n"/>
      <c r="G2686" s="392" t="n">
        <v>15</v>
      </c>
      <c r="H2686" s="446">
        <f>H2685-G2686</f>
        <v/>
      </c>
      <c r="I2686" s="392" t="n"/>
      <c r="J2686" s="392" t="n"/>
      <c r="K2686" s="392" t="n"/>
      <c r="L2686" s="392" t="n"/>
      <c r="M2686" s="392" t="n"/>
    </row>
    <row r="2687">
      <c r="A2687" s="568" t="n">
        <v>44468</v>
      </c>
      <c r="B2687" s="392" t="n">
        <v>8475</v>
      </c>
      <c r="C2687" s="392" t="n">
        <v>72</v>
      </c>
      <c r="D2687" s="392" t="n"/>
      <c r="E2687" s="392" t="n"/>
      <c r="F2687" s="392" t="n"/>
      <c r="G2687" s="392" t="n">
        <v>31</v>
      </c>
      <c r="H2687" s="446">
        <f>H2686-G2687</f>
        <v/>
      </c>
      <c r="I2687" s="392" t="n"/>
      <c r="J2687" s="392" t="n"/>
      <c r="K2687" s="392" t="n"/>
      <c r="L2687" s="392" t="n"/>
      <c r="M2687" s="392" t="n"/>
    </row>
    <row r="2688">
      <c r="A2688" s="568" t="n">
        <v>44468</v>
      </c>
      <c r="B2688" s="392" t="n">
        <v>8477</v>
      </c>
      <c r="C2688" s="392" t="n">
        <v>70</v>
      </c>
      <c r="D2688" s="392" t="n"/>
      <c r="E2688" s="392" t="n"/>
      <c r="F2688" s="392" t="n"/>
      <c r="G2688" s="392" t="n">
        <v>10</v>
      </c>
      <c r="H2688" s="446">
        <f>H2687-G2688</f>
        <v/>
      </c>
      <c r="I2688" s="392" t="n"/>
      <c r="J2688" s="392" t="n"/>
      <c r="K2688" s="392" t="n"/>
      <c r="L2688" s="392" t="n"/>
      <c r="M2688" s="392" t="n"/>
    </row>
    <row r="2689">
      <c r="A2689" s="568" t="n">
        <v>44468</v>
      </c>
      <c r="B2689" s="392" t="n">
        <v>8478</v>
      </c>
      <c r="C2689" s="392" t="n">
        <v>71</v>
      </c>
      <c r="D2689" s="392" t="n"/>
      <c r="E2689" s="392" t="n"/>
      <c r="F2689" s="392" t="n"/>
      <c r="G2689" s="392" t="n">
        <v>60</v>
      </c>
      <c r="H2689" s="446">
        <f>H2688-G2689</f>
        <v/>
      </c>
      <c r="I2689" s="392" t="n"/>
      <c r="J2689" s="392" t="n"/>
      <c r="K2689" s="392" t="n"/>
      <c r="L2689" s="392" t="n"/>
      <c r="M2689" s="392" t="n"/>
    </row>
    <row r="2690">
      <c r="A2690" s="392" t="n"/>
      <c r="B2690" s="392" t="n"/>
      <c r="C2690" s="392" t="n"/>
      <c r="D2690" s="392" t="n"/>
      <c r="E2690" s="392" t="n"/>
      <c r="F2690" s="392" t="n"/>
      <c r="G2690" s="392" t="n"/>
      <c r="H2690" s="446">
        <f>H2689-G2690</f>
        <v/>
      </c>
      <c r="I2690" s="392" t="n"/>
      <c r="J2690" s="392" t="n"/>
      <c r="K2690" s="392" t="n"/>
      <c r="L2690" s="392" t="n"/>
      <c r="M2690" s="392" t="n"/>
    </row>
    <row r="2691" ht="15.75" customHeight="1" s="436" thickBot="1">
      <c r="H2691" s="390" t="n"/>
    </row>
    <row r="2692" ht="32.25" customHeight="1" s="436" thickBot="1">
      <c r="A2692" s="735" t="inlineStr">
        <is>
          <t>Outubro</t>
        </is>
      </c>
      <c r="B2692" s="697" t="n"/>
      <c r="C2692" s="697" t="n"/>
      <c r="D2692" s="697" t="n"/>
      <c r="E2692" s="697" t="n"/>
      <c r="F2692" s="697" t="n"/>
      <c r="G2692" s="697" t="n"/>
      <c r="H2692" s="697" t="n"/>
      <c r="I2692" s="697" t="n"/>
      <c r="J2692" s="697" t="n"/>
      <c r="K2692" s="697" t="n"/>
      <c r="L2692" s="697" t="n"/>
      <c r="M2692" s="698" t="n"/>
    </row>
    <row r="2693" ht="27" customHeight="1" s="436" thickBot="1">
      <c r="A2693" s="720" t="inlineStr">
        <is>
          <t xml:space="preserve"> FARINHA DE TRIGO TIPO: 1 - 25 KG</t>
        </is>
      </c>
      <c r="B2693" s="697" t="n"/>
      <c r="C2693" s="697" t="n"/>
      <c r="D2693" s="697" t="n"/>
      <c r="E2693" s="697" t="n"/>
      <c r="F2693" s="697" t="n"/>
      <c r="G2693" s="697" t="n"/>
      <c r="H2693" s="697" t="n"/>
      <c r="I2693" s="697" t="n"/>
      <c r="J2693" s="697" t="n"/>
      <c r="K2693" s="697" t="n"/>
      <c r="L2693" s="697" t="n"/>
      <c r="M2693" s="698" t="n"/>
    </row>
    <row r="2694">
      <c r="A2694" s="643" t="inlineStr">
        <is>
          <t>DATA</t>
        </is>
      </c>
      <c r="B2694" s="633" t="inlineStr">
        <is>
          <t>N.F.</t>
        </is>
      </c>
      <c r="C2694" s="633" t="inlineStr">
        <is>
          <t>TIPO</t>
        </is>
      </c>
      <c r="D2694" s="633" t="inlineStr">
        <is>
          <t>PREÇO UNITÁRIO</t>
        </is>
      </c>
      <c r="E2694" s="701" t="n"/>
      <c r="F2694" s="633" t="inlineStr">
        <is>
          <t>QUANTIDADE / KG</t>
        </is>
      </c>
      <c r="H2694" s="701" t="n"/>
      <c r="I2694" s="632" t="inlineStr">
        <is>
          <t>PREÇO</t>
        </is>
      </c>
      <c r="J2694" s="632" t="inlineStr">
        <is>
          <t>VALORES</t>
        </is>
      </c>
      <c r="L2694" s="701" t="n"/>
      <c r="M2694" s="649" t="n"/>
    </row>
    <row r="2695" ht="15.75" customHeight="1" s="436" thickBot="1">
      <c r="A2695" s="703" t="n"/>
      <c r="B2695" s="704" t="n"/>
      <c r="C2695" s="704" t="n"/>
      <c r="D2695" s="703" t="n"/>
      <c r="E2695" s="701" t="n"/>
      <c r="F2695" s="705" t="n"/>
      <c r="G2695" s="706" t="n"/>
      <c r="H2695" s="707" t="n"/>
      <c r="I2695" s="704" t="n"/>
      <c r="J2695" s="703" t="n"/>
      <c r="L2695" s="701" t="n"/>
      <c r="M2695" s="704" t="n"/>
    </row>
    <row r="2696" ht="15.75" customHeight="1" s="436" thickBot="1">
      <c r="A2696" s="703" t="n"/>
      <c r="B2696" s="704" t="n"/>
      <c r="C2696" s="704" t="n"/>
      <c r="D2696" s="705" t="n"/>
      <c r="E2696" s="707" t="n"/>
      <c r="F2696" s="3" t="inlineStr">
        <is>
          <t>ENTRADA</t>
        </is>
      </c>
      <c r="G2696" s="3" t="inlineStr">
        <is>
          <t>SAÍDA</t>
        </is>
      </c>
      <c r="H2696" s="640" t="n"/>
      <c r="I2696" s="633" t="inlineStr">
        <is>
          <t>MÉDIO</t>
        </is>
      </c>
      <c r="J2696" s="652" t="inlineStr">
        <is>
          <t>SALDO EM 30/11/2017</t>
        </is>
      </c>
      <c r="K2696" s="706" t="n"/>
      <c r="L2696" s="17" t="n"/>
      <c r="M2696" s="704" t="n"/>
    </row>
    <row r="2697" ht="18" customHeight="1" s="436" thickBot="1">
      <c r="A2697" s="705" t="n"/>
      <c r="B2697" s="695" t="n"/>
      <c r="C2697" s="695" t="n"/>
      <c r="D2697" s="3" t="inlineStr">
        <is>
          <t>C/ICMS</t>
        </is>
      </c>
      <c r="E2697" s="3" t="inlineStr">
        <is>
          <t>S/ICMS</t>
        </is>
      </c>
      <c r="F2697" s="695" t="n"/>
      <c r="G2697" s="695" t="n"/>
      <c r="H2697" s="84" t="inlineStr">
        <is>
          <t>Saldo em 31/09/2021</t>
        </is>
      </c>
      <c r="I2697" s="695" t="n"/>
      <c r="J2697" s="645" t="inlineStr">
        <is>
          <t>ENTRADA</t>
        </is>
      </c>
      <c r="K2697" s="633" t="inlineStr">
        <is>
          <t>SAÍDA / CMV</t>
        </is>
      </c>
      <c r="L2697" s="643" t="inlineStr">
        <is>
          <t>SALDO</t>
        </is>
      </c>
      <c r="M2697" s="392" t="n"/>
    </row>
    <row r="2698">
      <c r="A2698" s="392" t="n"/>
      <c r="B2698" s="392" t="n"/>
      <c r="C2698" s="392" t="n"/>
      <c r="D2698" s="392" t="n"/>
      <c r="E2698" s="392" t="n"/>
      <c r="F2698" s="392" t="n"/>
      <c r="G2698" s="392" t="n"/>
      <c r="H2698" s="446" t="n"/>
      <c r="I2698" s="392" t="n"/>
      <c r="J2698" s="392" t="n"/>
      <c r="K2698" s="392" t="n"/>
      <c r="L2698" s="392" t="n"/>
      <c r="M2698" s="392" t="n"/>
    </row>
    <row r="2699">
      <c r="A2699" s="568" t="n">
        <v>44474</v>
      </c>
      <c r="B2699" s="392" t="n"/>
      <c r="C2699" s="392" t="n"/>
      <c r="D2699" s="392" t="n"/>
      <c r="E2699" s="392" t="n"/>
      <c r="F2699" s="392" t="n"/>
      <c r="G2699" s="392" t="n"/>
      <c r="H2699" s="446" t="n">
        <v>3035</v>
      </c>
      <c r="I2699" s="392" t="n"/>
      <c r="J2699" s="392" t="n"/>
      <c r="K2699" s="392" t="n"/>
      <c r="L2699" s="392" t="n"/>
      <c r="M2699" s="392" t="n"/>
    </row>
    <row r="2700">
      <c r="A2700" s="568" t="n">
        <v>44474</v>
      </c>
      <c r="B2700" s="392" t="n">
        <v>8483</v>
      </c>
      <c r="C2700" s="392" t="n">
        <v>64</v>
      </c>
      <c r="D2700" s="392" t="n"/>
      <c r="E2700" s="392" t="n"/>
      <c r="F2700" s="392" t="n"/>
      <c r="G2700" s="392" t="n">
        <v>200</v>
      </c>
      <c r="H2700" s="446">
        <f>H2699-G2700</f>
        <v/>
      </c>
      <c r="I2700" s="392" t="n"/>
      <c r="J2700" s="392" t="n"/>
      <c r="K2700" s="392" t="n"/>
      <c r="L2700" s="392" t="n"/>
      <c r="M2700" s="392" t="n"/>
    </row>
    <row r="2701">
      <c r="A2701" s="568" t="n">
        <v>44474</v>
      </c>
      <c r="B2701" s="392" t="n">
        <v>8484</v>
      </c>
      <c r="C2701" s="392" t="n">
        <v>72</v>
      </c>
      <c r="D2701" s="392" t="n"/>
      <c r="E2701" s="392" t="n"/>
      <c r="F2701" s="392" t="n"/>
      <c r="G2701" s="392" t="n">
        <v>35</v>
      </c>
      <c r="H2701" s="446">
        <f>H2700-G2701</f>
        <v/>
      </c>
      <c r="I2701" s="392" t="n"/>
      <c r="J2701" s="392" t="n"/>
      <c r="K2701" s="392" t="n"/>
      <c r="L2701" s="392" t="n"/>
      <c r="M2701" s="392" t="n"/>
    </row>
    <row r="2702">
      <c r="A2702" s="568" t="n">
        <v>44474</v>
      </c>
      <c r="B2702" s="392" t="n">
        <v>8487</v>
      </c>
      <c r="C2702" s="392" t="n">
        <v>75</v>
      </c>
      <c r="D2702" s="392" t="n"/>
      <c r="E2702" s="392" t="n"/>
      <c r="F2702" s="392" t="n"/>
      <c r="G2702" s="392" t="n">
        <v>20</v>
      </c>
      <c r="H2702" s="446">
        <f>H2701-G2702</f>
        <v/>
      </c>
      <c r="I2702" s="392" t="n"/>
      <c r="J2702" s="392" t="n"/>
      <c r="K2702" s="392" t="n"/>
      <c r="L2702" s="392" t="n"/>
      <c r="M2702" s="392" t="n"/>
    </row>
    <row r="2703">
      <c r="A2703" s="568" t="n">
        <v>44474</v>
      </c>
      <c r="B2703" s="392" t="n">
        <v>8488</v>
      </c>
      <c r="C2703" s="392" t="n">
        <v>72</v>
      </c>
      <c r="D2703" s="392" t="n"/>
      <c r="E2703" s="392" t="n"/>
      <c r="F2703" s="392" t="n"/>
      <c r="G2703" s="392" t="n">
        <v>20</v>
      </c>
      <c r="H2703" s="446">
        <f>H2702-G2703</f>
        <v/>
      </c>
      <c r="I2703" s="392" t="n"/>
      <c r="J2703" s="392" t="n"/>
      <c r="K2703" s="392" t="n"/>
      <c r="L2703" s="392" t="n"/>
      <c r="M2703" s="392" t="n"/>
    </row>
    <row r="2704">
      <c r="A2704" s="568" t="n">
        <v>44474</v>
      </c>
      <c r="B2704" s="392" t="n">
        <v>8489</v>
      </c>
      <c r="C2704" s="392" t="n">
        <v>72</v>
      </c>
      <c r="D2704" s="392" t="n"/>
      <c r="E2704" s="392" t="n"/>
      <c r="F2704" s="392" t="n"/>
      <c r="G2704" s="392" t="n">
        <v>40</v>
      </c>
      <c r="H2704" s="446">
        <f>H2703-G2704</f>
        <v/>
      </c>
      <c r="I2704" s="392" t="n"/>
      <c r="J2704" s="392" t="n"/>
      <c r="K2704" s="392" t="n"/>
      <c r="L2704" s="392" t="n"/>
      <c r="M2704" s="392" t="n"/>
    </row>
    <row r="2705">
      <c r="A2705" s="568" t="n">
        <v>44474</v>
      </c>
      <c r="B2705" s="392" t="n">
        <v>8490</v>
      </c>
      <c r="C2705" s="392" t="n">
        <v>73.5</v>
      </c>
      <c r="D2705" s="392" t="n"/>
      <c r="E2705" s="392" t="n"/>
      <c r="F2705" s="392" t="n"/>
      <c r="G2705" s="392" t="n">
        <v>10</v>
      </c>
      <c r="H2705" s="446">
        <f>H2704-G2705</f>
        <v/>
      </c>
      <c r="I2705" s="392" t="n"/>
      <c r="J2705" s="392" t="n"/>
      <c r="K2705" s="392" t="n"/>
      <c r="L2705" s="392" t="n"/>
      <c r="M2705" s="392" t="n"/>
    </row>
    <row r="2706">
      <c r="A2706" s="568" t="n">
        <v>44474</v>
      </c>
      <c r="B2706" s="392" t="n">
        <v>8491</v>
      </c>
      <c r="C2706" s="392" t="n">
        <v>72</v>
      </c>
      <c r="D2706" s="392" t="n"/>
      <c r="E2706" s="392" t="n"/>
      <c r="F2706" s="392" t="n"/>
      <c r="G2706" s="392" t="n">
        <v>15</v>
      </c>
      <c r="H2706" s="446">
        <f>H2705-G2706</f>
        <v/>
      </c>
      <c r="I2706" s="392" t="n"/>
      <c r="J2706" s="392" t="n"/>
      <c r="K2706" s="392" t="n"/>
      <c r="L2706" s="392" t="n"/>
      <c r="M2706" s="392" t="n"/>
    </row>
    <row r="2707">
      <c r="A2707" s="568" t="n">
        <v>44474</v>
      </c>
      <c r="B2707" s="392" t="n">
        <v>8492</v>
      </c>
      <c r="C2707" s="392" t="n">
        <v>70</v>
      </c>
      <c r="D2707" s="392" t="n"/>
      <c r="E2707" s="392" t="n"/>
      <c r="F2707" s="392" t="n"/>
      <c r="G2707" s="392" t="n">
        <v>20</v>
      </c>
      <c r="H2707" s="446">
        <f>H2706-G2707</f>
        <v/>
      </c>
      <c r="I2707" s="392" t="n"/>
      <c r="J2707" s="392" t="n"/>
      <c r="K2707" s="392" t="n"/>
      <c r="L2707" s="392" t="n"/>
      <c r="M2707" s="392" t="n"/>
    </row>
    <row r="2708">
      <c r="A2708" s="568" t="n">
        <v>44474</v>
      </c>
      <c r="B2708" s="392" t="n">
        <v>8493</v>
      </c>
      <c r="C2708" s="392" t="n">
        <v>71.5</v>
      </c>
      <c r="D2708" s="392" t="n"/>
      <c r="E2708" s="392" t="n"/>
      <c r="F2708" s="392" t="n"/>
      <c r="G2708" s="392" t="n">
        <v>20</v>
      </c>
      <c r="H2708" s="446">
        <f>H2707-G2708</f>
        <v/>
      </c>
      <c r="I2708" s="392" t="n"/>
      <c r="J2708" s="392" t="n"/>
      <c r="K2708" s="392" t="n"/>
      <c r="L2708" s="392" t="n"/>
      <c r="M2708" s="392" t="n"/>
    </row>
    <row r="2709">
      <c r="A2709" s="568" t="n">
        <v>44474</v>
      </c>
      <c r="B2709" s="392" t="n">
        <v>8494</v>
      </c>
      <c r="C2709" s="392" t="n">
        <v>72</v>
      </c>
      <c r="D2709" s="392" t="n"/>
      <c r="E2709" s="392" t="n"/>
      <c r="F2709" s="392" t="n"/>
      <c r="G2709" s="392" t="n">
        <v>20</v>
      </c>
      <c r="H2709" s="446">
        <f>H2708-G2709</f>
        <v/>
      </c>
      <c r="I2709" s="392" t="n"/>
      <c r="J2709" s="392" t="n"/>
      <c r="K2709" s="392" t="n"/>
      <c r="L2709" s="392" t="n"/>
      <c r="M2709" s="392" t="n"/>
    </row>
    <row r="2710">
      <c r="A2710" s="568" t="n">
        <v>44475</v>
      </c>
      <c r="B2710" s="392" t="n">
        <v>8496</v>
      </c>
      <c r="C2710" s="392" t="n">
        <v>68</v>
      </c>
      <c r="D2710" s="392" t="n"/>
      <c r="E2710" s="392" t="n"/>
      <c r="F2710" s="392" t="n"/>
      <c r="G2710" s="392" t="n">
        <v>20</v>
      </c>
      <c r="H2710" s="446">
        <f>H2709-G2710</f>
        <v/>
      </c>
      <c r="I2710" s="392" t="n"/>
      <c r="J2710" s="392" t="n"/>
      <c r="K2710" s="392" t="n"/>
      <c r="L2710" s="392" t="n"/>
      <c r="M2710" s="392" t="n"/>
    </row>
    <row r="2711">
      <c r="A2711" s="568" t="n">
        <v>44475</v>
      </c>
      <c r="B2711" s="392" t="n">
        <v>8497</v>
      </c>
      <c r="C2711" s="392" t="n">
        <v>68</v>
      </c>
      <c r="D2711" s="392" t="n"/>
      <c r="E2711" s="392" t="n"/>
      <c r="F2711" s="392" t="n"/>
      <c r="G2711" s="392" t="n">
        <v>30</v>
      </c>
      <c r="H2711" s="446">
        <f>H2710-G2711</f>
        <v/>
      </c>
      <c r="I2711" s="392" t="n"/>
      <c r="J2711" s="392" t="n"/>
      <c r="K2711" s="392" t="n"/>
      <c r="L2711" s="392" t="n"/>
      <c r="M2711" s="392" t="n"/>
    </row>
    <row r="2712">
      <c r="A2712" s="568" t="n">
        <v>44475</v>
      </c>
      <c r="B2712" s="392" t="n">
        <v>8498</v>
      </c>
      <c r="C2712" s="392" t="n">
        <v>72</v>
      </c>
      <c r="D2712" s="392" t="n"/>
      <c r="E2712" s="392" t="n"/>
      <c r="F2712" s="392" t="n"/>
      <c r="G2712" s="392" t="n">
        <v>50</v>
      </c>
      <c r="H2712" s="446">
        <f>H2711-G2712</f>
        <v/>
      </c>
      <c r="I2712" s="392" t="n"/>
      <c r="J2712" s="392" t="n"/>
      <c r="K2712" s="392" t="n"/>
      <c r="L2712" s="392" t="n"/>
      <c r="M2712" s="392" t="n"/>
    </row>
    <row r="2713">
      <c r="A2713" s="568" t="n">
        <v>44475</v>
      </c>
      <c r="B2713" s="392" t="n">
        <v>8499</v>
      </c>
      <c r="C2713" s="392" t="n">
        <v>68</v>
      </c>
      <c r="D2713" s="392" t="n"/>
      <c r="E2713" s="392" t="n"/>
      <c r="F2713" s="392" t="n"/>
      <c r="G2713" s="392" t="n">
        <v>50</v>
      </c>
      <c r="H2713" s="446">
        <f>H2712-G2713</f>
        <v/>
      </c>
      <c r="I2713" s="392" t="n"/>
      <c r="J2713" s="392" t="n"/>
      <c r="K2713" s="392" t="n"/>
      <c r="L2713" s="392" t="n"/>
      <c r="M2713" s="392" t="n"/>
    </row>
    <row r="2714">
      <c r="A2714" s="568" t="n">
        <v>44475</v>
      </c>
      <c r="B2714" s="392" t="n">
        <v>8500</v>
      </c>
      <c r="C2714" s="392" t="n">
        <v>72</v>
      </c>
      <c r="D2714" s="392" t="n"/>
      <c r="E2714" s="392" t="n"/>
      <c r="F2714" s="392" t="n"/>
      <c r="G2714" s="392" t="n">
        <v>20</v>
      </c>
      <c r="H2714" s="446">
        <f>H2713-G2714</f>
        <v/>
      </c>
      <c r="I2714" s="392" t="n"/>
      <c r="J2714" s="392" t="n"/>
      <c r="K2714" s="392" t="n"/>
      <c r="L2714" s="392" t="n"/>
      <c r="M2714" s="392" t="n"/>
    </row>
    <row r="2715">
      <c r="A2715" s="568" t="n">
        <v>44475</v>
      </c>
      <c r="B2715" s="392" t="n">
        <v>8501</v>
      </c>
      <c r="C2715" s="392" t="n">
        <v>72</v>
      </c>
      <c r="D2715" s="392" t="n"/>
      <c r="E2715" s="392" t="n"/>
      <c r="F2715" s="392" t="n"/>
      <c r="G2715" s="392" t="n">
        <v>20</v>
      </c>
      <c r="H2715" s="446">
        <f>H2714-G2715</f>
        <v/>
      </c>
      <c r="I2715" s="392" t="n"/>
      <c r="J2715" s="392" t="n"/>
      <c r="K2715" s="392" t="n"/>
      <c r="L2715" s="392" t="n"/>
      <c r="M2715" s="392" t="n"/>
    </row>
    <row r="2716">
      <c r="A2716" s="568" t="n">
        <v>44475</v>
      </c>
      <c r="B2716" s="392" t="n">
        <v>8502</v>
      </c>
      <c r="C2716" s="392" t="n">
        <v>73.06</v>
      </c>
      <c r="D2716" s="392" t="n"/>
      <c r="E2716" s="392" t="n"/>
      <c r="F2716" s="392" t="n"/>
      <c r="G2716" s="392" t="n">
        <v>38</v>
      </c>
      <c r="H2716" s="446">
        <f>H2715-G2716</f>
        <v/>
      </c>
      <c r="I2716" s="392" t="n"/>
      <c r="J2716" s="392" t="n"/>
      <c r="K2716" s="392" t="n"/>
      <c r="L2716" s="392" t="n"/>
      <c r="M2716" s="392" t="n"/>
    </row>
    <row r="2717">
      <c r="A2717" s="568" t="n">
        <v>44475</v>
      </c>
      <c r="B2717" s="392" t="n">
        <v>8503</v>
      </c>
      <c r="C2717" s="392" t="n">
        <v>72</v>
      </c>
      <c r="D2717" s="392" t="n"/>
      <c r="E2717" s="392" t="n"/>
      <c r="F2717" s="392" t="n"/>
      <c r="G2717" s="392" t="n">
        <v>20</v>
      </c>
      <c r="H2717" s="446">
        <f>H2716-G2717</f>
        <v/>
      </c>
      <c r="I2717" s="392" t="n"/>
      <c r="J2717" s="392" t="n"/>
      <c r="K2717" s="392" t="n"/>
      <c r="L2717" s="392" t="n"/>
      <c r="M2717" s="392" t="n"/>
    </row>
    <row r="2718">
      <c r="A2718" s="568" t="n">
        <v>44475</v>
      </c>
      <c r="B2718" s="392" t="n">
        <v>8504</v>
      </c>
      <c r="C2718" s="392" t="n">
        <v>74.5</v>
      </c>
      <c r="D2718" s="392" t="n"/>
      <c r="E2718" s="392" t="n"/>
      <c r="F2718" s="392" t="n"/>
      <c r="G2718" s="392" t="n">
        <v>20</v>
      </c>
      <c r="H2718" s="446">
        <f>H2717-G2718</f>
        <v/>
      </c>
      <c r="I2718" s="392" t="n"/>
      <c r="J2718" s="392" t="n"/>
      <c r="K2718" s="392" t="n"/>
      <c r="L2718" s="392" t="n"/>
      <c r="M2718" s="392" t="n"/>
    </row>
    <row r="2719">
      <c r="A2719" s="568" t="n">
        <v>44475</v>
      </c>
      <c r="B2719" s="392" t="n">
        <v>8505</v>
      </c>
      <c r="C2719" s="392" t="n">
        <v>72</v>
      </c>
      <c r="D2719" s="392" t="n"/>
      <c r="E2719" s="392" t="n"/>
      <c r="F2719" s="392" t="n"/>
      <c r="G2719" s="392" t="n">
        <v>20</v>
      </c>
      <c r="H2719" s="446">
        <f>H2718-G2719</f>
        <v/>
      </c>
      <c r="I2719" s="392" t="n"/>
      <c r="J2719" s="392" t="n"/>
      <c r="K2719" s="392" t="n"/>
      <c r="L2719" s="392" t="n"/>
      <c r="M2719" s="392" t="n"/>
    </row>
    <row r="2720">
      <c r="A2720" s="568" t="n">
        <v>44475</v>
      </c>
      <c r="B2720" s="392" t="n">
        <v>8506</v>
      </c>
      <c r="C2720" s="392" t="n">
        <v>72</v>
      </c>
      <c r="D2720" s="392" t="n"/>
      <c r="E2720" s="392" t="n"/>
      <c r="F2720" s="392" t="n"/>
      <c r="G2720" s="392" t="n">
        <v>50</v>
      </c>
      <c r="H2720" s="446">
        <f>H2719-G2720</f>
        <v/>
      </c>
      <c r="I2720" s="392" t="n"/>
      <c r="J2720" s="392" t="n"/>
      <c r="K2720" s="392" t="n"/>
      <c r="L2720" s="392" t="n"/>
      <c r="M2720" s="392" t="n"/>
    </row>
    <row r="2721">
      <c r="A2721" s="568" t="n">
        <v>44446</v>
      </c>
      <c r="B2721" s="392" t="n">
        <v>8507</v>
      </c>
      <c r="C2721" s="392" t="n">
        <v>63</v>
      </c>
      <c r="D2721" s="392" t="n"/>
      <c r="E2721" s="392" t="n"/>
      <c r="F2721" s="392" t="n"/>
      <c r="G2721" s="392" t="n">
        <v>150</v>
      </c>
      <c r="H2721" s="446">
        <f>H2720-G2721</f>
        <v/>
      </c>
      <c r="I2721" s="392" t="n"/>
      <c r="J2721" s="392" t="n"/>
      <c r="K2721" s="392" t="n"/>
      <c r="L2721" s="392" t="n"/>
      <c r="M2721" s="392" t="n"/>
    </row>
    <row r="2722">
      <c r="A2722" s="304" t="n">
        <v>44474</v>
      </c>
      <c r="B2722" s="401" t="n">
        <v>17943</v>
      </c>
      <c r="C2722" s="401" t="n">
        <v>59</v>
      </c>
      <c r="D2722" s="401" t="n"/>
      <c r="E2722" s="401" t="n"/>
      <c r="F2722" s="401" t="n">
        <v>1120</v>
      </c>
      <c r="G2722" s="401" t="n"/>
      <c r="H2722" s="322" t="n">
        <v>3267</v>
      </c>
      <c r="I2722" s="392" t="n"/>
      <c r="J2722" s="392" t="n"/>
      <c r="K2722" s="392" t="n"/>
      <c r="L2722" s="392" t="n"/>
      <c r="M2722" s="392" t="n"/>
    </row>
    <row r="2723">
      <c r="A2723" s="568" t="n">
        <v>44482</v>
      </c>
      <c r="B2723" s="392" t="n">
        <v>8508</v>
      </c>
      <c r="C2723" s="392" t="n">
        <v>71</v>
      </c>
      <c r="D2723" s="392" t="n"/>
      <c r="E2723" s="392" t="n"/>
      <c r="F2723" s="392" t="n"/>
      <c r="G2723" s="392" t="n">
        <v>10</v>
      </c>
      <c r="H2723" s="446">
        <f>H2722-G2723</f>
        <v/>
      </c>
      <c r="I2723" s="392" t="n"/>
      <c r="J2723" s="392" t="n"/>
      <c r="K2723" s="392" t="n"/>
      <c r="L2723" s="392" t="n"/>
      <c r="M2723" s="392" t="n"/>
    </row>
    <row r="2724">
      <c r="A2724" s="568" t="n">
        <v>44482</v>
      </c>
      <c r="B2724" s="392" t="n">
        <v>8511</v>
      </c>
      <c r="C2724" s="392" t="n">
        <v>72</v>
      </c>
      <c r="D2724" s="392" t="n"/>
      <c r="E2724" s="392" t="n"/>
      <c r="F2724" s="392" t="n"/>
      <c r="G2724" s="392" t="n">
        <v>30</v>
      </c>
      <c r="H2724" s="446">
        <f>H2723-G2724</f>
        <v/>
      </c>
      <c r="I2724" s="392" t="n"/>
      <c r="J2724" s="392" t="n"/>
      <c r="K2724" s="392" t="n"/>
      <c r="L2724" s="392" t="n"/>
      <c r="M2724" s="392" t="n"/>
    </row>
    <row r="2725">
      <c r="A2725" s="568" t="n">
        <v>44482</v>
      </c>
      <c r="B2725" s="392" t="n">
        <v>8514</v>
      </c>
      <c r="C2725" s="392" t="n">
        <v>73</v>
      </c>
      <c r="D2725" s="392" t="n"/>
      <c r="E2725" s="392" t="n"/>
      <c r="F2725" s="392" t="n"/>
      <c r="G2725" s="392" t="n">
        <v>36</v>
      </c>
      <c r="H2725" s="446">
        <f>H2724-G2725</f>
        <v/>
      </c>
      <c r="I2725" s="392" t="n"/>
      <c r="J2725" s="392" t="n"/>
      <c r="K2725" s="392" t="n"/>
      <c r="L2725" s="392" t="n"/>
      <c r="M2725" s="392" t="n"/>
    </row>
    <row r="2726">
      <c r="A2726" s="568" t="n">
        <v>44482</v>
      </c>
      <c r="B2726" s="392" t="n">
        <v>8515</v>
      </c>
      <c r="C2726" s="392" t="n">
        <v>72</v>
      </c>
      <c r="D2726" s="392" t="n"/>
      <c r="E2726" s="392" t="n"/>
      <c r="F2726" s="392" t="n"/>
      <c r="G2726" s="392" t="n">
        <v>60</v>
      </c>
      <c r="H2726" s="446">
        <f>H2725-G2726</f>
        <v/>
      </c>
      <c r="I2726" s="392" t="n"/>
      <c r="J2726" s="392" t="n"/>
      <c r="K2726" s="392" t="n"/>
      <c r="L2726" s="392" t="n"/>
      <c r="M2726" s="392" t="n"/>
    </row>
    <row r="2727">
      <c r="A2727" s="568" t="n">
        <v>44482</v>
      </c>
      <c r="B2727" s="392" t="n">
        <v>8519</v>
      </c>
      <c r="C2727" s="392" t="n">
        <v>70</v>
      </c>
      <c r="D2727" s="392" t="n"/>
      <c r="E2727" s="392" t="n"/>
      <c r="F2727" s="392" t="n"/>
      <c r="G2727" s="392" t="n">
        <v>15</v>
      </c>
      <c r="H2727" s="446">
        <f>H2726-G2727</f>
        <v/>
      </c>
      <c r="I2727" s="392" t="n"/>
      <c r="J2727" s="392" t="n"/>
      <c r="K2727" s="392" t="n"/>
      <c r="L2727" s="392" t="n"/>
      <c r="M2727" s="392" t="n"/>
    </row>
    <row r="2728">
      <c r="A2728" s="568" t="n">
        <v>44482</v>
      </c>
      <c r="B2728" s="392" t="n">
        <v>8522</v>
      </c>
      <c r="C2728" s="392" t="n">
        <v>75</v>
      </c>
      <c r="D2728" s="392" t="n"/>
      <c r="E2728" s="392" t="n"/>
      <c r="F2728" s="392" t="n"/>
      <c r="G2728" s="392" t="n">
        <v>25</v>
      </c>
      <c r="H2728" s="446">
        <f>H2727-G2728</f>
        <v/>
      </c>
      <c r="I2728" s="392" t="n"/>
      <c r="J2728" s="392" t="n"/>
      <c r="K2728" s="392" t="n"/>
      <c r="L2728" s="392" t="n"/>
      <c r="M2728" s="392" t="n"/>
    </row>
    <row r="2729">
      <c r="A2729" s="568" t="n">
        <v>44483</v>
      </c>
      <c r="B2729" s="392" t="n">
        <v>8524</v>
      </c>
      <c r="C2729" s="392" t="n">
        <v>72</v>
      </c>
      <c r="D2729" s="392" t="n"/>
      <c r="E2729" s="392" t="n"/>
      <c r="F2729" s="392" t="n"/>
      <c r="G2729" s="392" t="n">
        <v>20</v>
      </c>
      <c r="H2729" s="446">
        <f>H2728-G2729</f>
        <v/>
      </c>
      <c r="I2729" s="392" t="n"/>
      <c r="J2729" s="392" t="n"/>
      <c r="K2729" s="392" t="n"/>
      <c r="L2729" s="392" t="n"/>
      <c r="M2729" s="392" t="n"/>
    </row>
    <row r="2730">
      <c r="A2730" s="568" t="n">
        <v>44483</v>
      </c>
      <c r="B2730" s="392" t="n">
        <v>8525</v>
      </c>
      <c r="C2730" s="392" t="n">
        <v>72</v>
      </c>
      <c r="D2730" s="392" t="n"/>
      <c r="E2730" s="392" t="n"/>
      <c r="F2730" s="392" t="n"/>
      <c r="G2730" s="392" t="n">
        <v>20</v>
      </c>
      <c r="H2730" s="446">
        <f>H2729-G2730</f>
        <v/>
      </c>
      <c r="I2730" s="392" t="n"/>
      <c r="J2730" s="392" t="n"/>
      <c r="K2730" s="392" t="n"/>
      <c r="L2730" s="392" t="n"/>
      <c r="M2730" s="392" t="n"/>
    </row>
    <row r="2731">
      <c r="A2731" s="304" t="n">
        <v>44487</v>
      </c>
      <c r="B2731" s="401" t="n">
        <v>175888</v>
      </c>
      <c r="C2731" s="401" t="n">
        <v>61</v>
      </c>
      <c r="D2731" s="401" t="n"/>
      <c r="E2731" s="401" t="n"/>
      <c r="F2731" s="401" t="n">
        <v>400</v>
      </c>
      <c r="G2731" s="401" t="n"/>
      <c r="H2731" s="322" t="n">
        <v>3451</v>
      </c>
      <c r="I2731" s="392" t="n"/>
      <c r="J2731" s="392" t="n"/>
      <c r="K2731" s="392" t="n"/>
      <c r="L2731" s="392" t="n"/>
      <c r="M2731" s="392" t="n"/>
    </row>
    <row r="2732">
      <c r="A2732" s="304" t="n">
        <v>44487</v>
      </c>
      <c r="B2732" s="401" t="n">
        <v>175888</v>
      </c>
      <c r="C2732" s="401" t="n">
        <v>60</v>
      </c>
      <c r="D2732" s="401" t="n"/>
      <c r="E2732" s="401" t="n"/>
      <c r="F2732" s="401" t="n">
        <v>400</v>
      </c>
      <c r="G2732" s="401" t="n"/>
      <c r="H2732" s="322" t="n">
        <v>3851</v>
      </c>
      <c r="I2732" s="392" t="n"/>
      <c r="J2732" s="392" t="n"/>
      <c r="K2732" s="392" t="n"/>
      <c r="L2732" s="392" t="n"/>
      <c r="M2732" s="392" t="n"/>
    </row>
    <row r="2733">
      <c r="A2733" s="568" t="n">
        <v>44488</v>
      </c>
      <c r="B2733" s="392" t="n">
        <v>8527</v>
      </c>
      <c r="C2733" s="392" t="n">
        <v>72</v>
      </c>
      <c r="D2733" s="392" t="n"/>
      <c r="E2733" s="392" t="n"/>
      <c r="F2733" s="392" t="n"/>
      <c r="G2733" s="392" t="n">
        <v>30</v>
      </c>
      <c r="H2733" s="446">
        <f>H2732-G2733</f>
        <v/>
      </c>
      <c r="I2733" s="392" t="n"/>
      <c r="J2733" s="392" t="n"/>
      <c r="K2733" s="392" t="n"/>
      <c r="L2733" s="392" t="n"/>
      <c r="M2733" s="392" t="n"/>
    </row>
    <row r="2734">
      <c r="A2734" s="568" t="n">
        <v>44488</v>
      </c>
      <c r="B2734" s="392" t="n">
        <v>8528</v>
      </c>
      <c r="C2734" s="392" t="n">
        <v>72</v>
      </c>
      <c r="D2734" s="392" t="n"/>
      <c r="E2734" s="392" t="n"/>
      <c r="F2734" s="392" t="n"/>
      <c r="G2734" s="392" t="n">
        <v>50</v>
      </c>
      <c r="H2734" s="446">
        <f>H2733-G2734</f>
        <v/>
      </c>
      <c r="I2734" s="392" t="n"/>
      <c r="J2734" s="392" t="n"/>
      <c r="K2734" s="392" t="n"/>
      <c r="L2734" s="392" t="n"/>
      <c r="M2734" s="392" t="n"/>
    </row>
    <row r="2735">
      <c r="A2735" s="568" t="n">
        <v>44488</v>
      </c>
      <c r="B2735" s="392" t="n">
        <v>8529</v>
      </c>
      <c r="C2735" s="392" t="n">
        <v>72</v>
      </c>
      <c r="D2735" s="392" t="n"/>
      <c r="E2735" s="392" t="n"/>
      <c r="F2735" s="392" t="n"/>
      <c r="G2735" s="392" t="n">
        <v>15</v>
      </c>
      <c r="H2735" s="446">
        <f>H2734-G2735</f>
        <v/>
      </c>
      <c r="I2735" s="392" t="n"/>
      <c r="J2735" s="392" t="n"/>
      <c r="K2735" s="392" t="n"/>
      <c r="L2735" s="392" t="n"/>
      <c r="M2735" s="392" t="n"/>
    </row>
    <row r="2736">
      <c r="A2736" s="568" t="n">
        <v>44488</v>
      </c>
      <c r="B2736" s="392" t="n">
        <v>8530</v>
      </c>
      <c r="C2736" s="392" t="n">
        <v>62</v>
      </c>
      <c r="D2736" s="392" t="n"/>
      <c r="E2736" s="392" t="n"/>
      <c r="F2736" s="392" t="n"/>
      <c r="G2736" s="392" t="n">
        <v>50</v>
      </c>
      <c r="H2736" s="446">
        <f>H2735-G2736</f>
        <v/>
      </c>
      <c r="I2736" s="392" t="n"/>
      <c r="J2736" s="392" t="n"/>
      <c r="K2736" s="392" t="n"/>
      <c r="L2736" s="392" t="n"/>
      <c r="M2736" s="392" t="n"/>
    </row>
    <row r="2737">
      <c r="A2737" s="568" t="n">
        <v>44488</v>
      </c>
      <c r="B2737" s="392" t="n">
        <v>8531</v>
      </c>
      <c r="C2737" s="392" t="n">
        <v>72</v>
      </c>
      <c r="D2737" s="392" t="n"/>
      <c r="E2737" s="392" t="n"/>
      <c r="F2737" s="392" t="n"/>
      <c r="G2737" s="392" t="n">
        <v>30</v>
      </c>
      <c r="H2737" s="446">
        <f>H2736-G2737</f>
        <v/>
      </c>
      <c r="I2737" s="392" t="n"/>
      <c r="J2737" s="392" t="n"/>
      <c r="K2737" s="392" t="n"/>
      <c r="L2737" s="392" t="n"/>
      <c r="M2737" s="392" t="n"/>
    </row>
    <row r="2738">
      <c r="A2738" s="568" t="n">
        <v>44488</v>
      </c>
      <c r="B2738" s="392" t="n">
        <v>8532</v>
      </c>
      <c r="C2738" s="392" t="n">
        <v>75</v>
      </c>
      <c r="D2738" s="392" t="n"/>
      <c r="E2738" s="392" t="n"/>
      <c r="F2738" s="392" t="n"/>
      <c r="G2738" s="392" t="n">
        <v>20</v>
      </c>
      <c r="H2738" s="446">
        <f>H2737-G2738</f>
        <v/>
      </c>
      <c r="I2738" s="392" t="n"/>
      <c r="J2738" s="392" t="n"/>
      <c r="K2738" s="392" t="n"/>
      <c r="L2738" s="392" t="n"/>
      <c r="M2738" s="392" t="n"/>
    </row>
    <row r="2739">
      <c r="A2739" s="568" t="n">
        <v>44488</v>
      </c>
      <c r="B2739" s="392" t="n">
        <v>8538</v>
      </c>
      <c r="C2739" s="392" t="n">
        <v>73</v>
      </c>
      <c r="D2739" s="392" t="n"/>
      <c r="E2739" s="392" t="n"/>
      <c r="F2739" s="392" t="n"/>
      <c r="G2739" s="392" t="n">
        <v>20</v>
      </c>
      <c r="H2739" s="446">
        <f>H2738-G2739</f>
        <v/>
      </c>
      <c r="I2739" s="392" t="n"/>
      <c r="J2739" s="392" t="n"/>
      <c r="K2739" s="392" t="n"/>
      <c r="L2739" s="392" t="n"/>
      <c r="M2739" s="392" t="n"/>
    </row>
    <row r="2740">
      <c r="A2740" s="568" t="n">
        <v>44488</v>
      </c>
      <c r="B2740" s="392" t="n">
        <v>8539</v>
      </c>
      <c r="C2740" s="392" t="n">
        <v>72</v>
      </c>
      <c r="D2740" s="392" t="n"/>
      <c r="E2740" s="392" t="n"/>
      <c r="F2740" s="392" t="n"/>
      <c r="G2740" s="392" t="n">
        <v>20</v>
      </c>
      <c r="H2740" s="446">
        <f>H2739-G2740</f>
        <v/>
      </c>
      <c r="I2740" s="392" t="n"/>
      <c r="J2740" s="392" t="n"/>
      <c r="K2740" s="392" t="n"/>
      <c r="L2740" s="392" t="n"/>
      <c r="M2740" s="392" t="n"/>
    </row>
    <row r="2741">
      <c r="A2741" s="568" t="n">
        <v>44490</v>
      </c>
      <c r="B2741" s="392" t="n">
        <v>8544</v>
      </c>
      <c r="C2741" s="392" t="n">
        <v>72</v>
      </c>
      <c r="D2741" s="392" t="n"/>
      <c r="E2741" s="392" t="n"/>
      <c r="F2741" s="392" t="n"/>
      <c r="G2741" s="392" t="n">
        <v>20</v>
      </c>
      <c r="H2741" s="446">
        <f>H2740-G2741</f>
        <v/>
      </c>
      <c r="I2741" s="392" t="n"/>
      <c r="J2741" s="392" t="n"/>
      <c r="K2741" s="392" t="n"/>
      <c r="L2741" s="392" t="n"/>
      <c r="M2741" s="392" t="n"/>
    </row>
    <row r="2742">
      <c r="A2742" s="568" t="n">
        <v>44495</v>
      </c>
      <c r="B2742" s="392" t="n">
        <v>8546</v>
      </c>
      <c r="C2742" s="392" t="n">
        <v>72</v>
      </c>
      <c r="D2742" s="392" t="n"/>
      <c r="E2742" s="392" t="n"/>
      <c r="F2742" s="392" t="n"/>
      <c r="G2742" s="392" t="n">
        <v>20</v>
      </c>
      <c r="H2742" s="446">
        <f>H2741-G2742</f>
        <v/>
      </c>
      <c r="I2742" s="392" t="n"/>
      <c r="J2742" s="392" t="n"/>
      <c r="K2742" s="392" t="n"/>
      <c r="L2742" s="392" t="n"/>
      <c r="M2742" s="392" t="n"/>
    </row>
    <row r="2743">
      <c r="A2743" s="568" t="n">
        <v>44495</v>
      </c>
      <c r="B2743" s="392" t="n">
        <v>8547</v>
      </c>
      <c r="C2743" s="392" t="n">
        <v>72</v>
      </c>
      <c r="D2743" s="392" t="n"/>
      <c r="E2743" s="392" t="n"/>
      <c r="F2743" s="392" t="n"/>
      <c r="G2743" s="392" t="n">
        <v>15</v>
      </c>
      <c r="H2743" s="446">
        <f>H2742-G2743</f>
        <v/>
      </c>
      <c r="I2743" s="392" t="n"/>
      <c r="J2743" s="392" t="n"/>
      <c r="K2743" s="392" t="n"/>
      <c r="L2743" s="392" t="n"/>
      <c r="M2743" s="392" t="n"/>
    </row>
    <row r="2744">
      <c r="A2744" s="568" t="n">
        <v>44495</v>
      </c>
      <c r="B2744" s="392" t="n">
        <v>8548</v>
      </c>
      <c r="C2744" s="392" t="n">
        <v>72</v>
      </c>
      <c r="D2744" s="392" t="n"/>
      <c r="E2744" s="392" t="n"/>
      <c r="F2744" s="392" t="n"/>
      <c r="G2744" s="392" t="n">
        <v>50</v>
      </c>
      <c r="H2744" s="446">
        <f>H2743-G2744</f>
        <v/>
      </c>
      <c r="I2744" s="392" t="n"/>
      <c r="J2744" s="392" t="n"/>
      <c r="K2744" s="392" t="n"/>
      <c r="L2744" s="392" t="n"/>
      <c r="M2744" s="392" t="n"/>
    </row>
    <row r="2745">
      <c r="A2745" s="568" t="n">
        <v>44495</v>
      </c>
      <c r="B2745" s="392" t="n">
        <v>8549</v>
      </c>
      <c r="C2745" s="392" t="n">
        <v>73</v>
      </c>
      <c r="D2745" s="392" t="n"/>
      <c r="E2745" s="392" t="n"/>
      <c r="F2745" s="392" t="n"/>
      <c r="G2745" s="392" t="n">
        <v>15</v>
      </c>
      <c r="H2745" s="446">
        <f>H2744-G2745</f>
        <v/>
      </c>
      <c r="I2745" s="392" t="n"/>
      <c r="J2745" s="392" t="n"/>
      <c r="K2745" s="392" t="n"/>
      <c r="L2745" s="392" t="n"/>
      <c r="M2745" s="392" t="n"/>
    </row>
    <row r="2746">
      <c r="A2746" s="568" t="n">
        <v>44495</v>
      </c>
      <c r="B2746" s="392" t="n">
        <v>8550</v>
      </c>
      <c r="C2746" s="392" t="n">
        <v>71.5</v>
      </c>
      <c r="D2746" s="392" t="n"/>
      <c r="E2746" s="392" t="n"/>
      <c r="F2746" s="392" t="n"/>
      <c r="G2746" s="392" t="n">
        <v>20</v>
      </c>
      <c r="H2746" s="446">
        <f>H2745-G2746</f>
        <v/>
      </c>
      <c r="I2746" s="392" t="n"/>
      <c r="J2746" s="392" t="n"/>
      <c r="K2746" s="392" t="n"/>
      <c r="L2746" s="392" t="n"/>
      <c r="M2746" s="392" t="n"/>
    </row>
    <row r="2747">
      <c r="A2747" s="568" t="n">
        <v>44495</v>
      </c>
      <c r="B2747" s="392" t="n">
        <v>8555</v>
      </c>
      <c r="C2747" s="392" t="n">
        <v>73.5</v>
      </c>
      <c r="D2747" s="392" t="n"/>
      <c r="E2747" s="392" t="n"/>
      <c r="F2747" s="392" t="n"/>
      <c r="G2747" s="392" t="n">
        <v>50</v>
      </c>
      <c r="H2747" s="446">
        <f>H2746-G2747</f>
        <v/>
      </c>
      <c r="I2747" s="392" t="n"/>
      <c r="J2747" s="392" t="n"/>
      <c r="K2747" s="392" t="n"/>
      <c r="L2747" s="392" t="n"/>
      <c r="M2747" s="392" t="n"/>
    </row>
    <row r="2748">
      <c r="A2748" s="568" t="n">
        <v>44495</v>
      </c>
      <c r="B2748" s="392" t="n">
        <v>8557</v>
      </c>
      <c r="C2748" s="392" t="n">
        <v>73</v>
      </c>
      <c r="D2748" s="392" t="n"/>
      <c r="E2748" s="392" t="n"/>
      <c r="F2748" s="392" t="n"/>
      <c r="G2748" s="392" t="n">
        <v>20</v>
      </c>
      <c r="H2748" s="446">
        <f>H2747-G2748</f>
        <v/>
      </c>
      <c r="I2748" s="392" t="n"/>
      <c r="J2748" s="392" t="n"/>
      <c r="K2748" s="392" t="n"/>
      <c r="L2748" s="392" t="n"/>
      <c r="M2748" s="392" t="n"/>
    </row>
    <row r="2749">
      <c r="A2749" s="568" t="n">
        <v>44495</v>
      </c>
      <c r="B2749" s="392" t="n">
        <v>8558</v>
      </c>
      <c r="C2749" s="392" t="n">
        <v>73</v>
      </c>
      <c r="D2749" s="392" t="n"/>
      <c r="E2749" s="392" t="n"/>
      <c r="F2749" s="392" t="n"/>
      <c r="G2749" s="392" t="n">
        <v>30</v>
      </c>
      <c r="H2749" s="446">
        <f>H2748-G2749</f>
        <v/>
      </c>
      <c r="I2749" s="392" t="n"/>
      <c r="J2749" s="392" t="n"/>
      <c r="K2749" s="392" t="n"/>
      <c r="L2749" s="392" t="n"/>
      <c r="M2749" s="392" t="n"/>
    </row>
    <row r="2750">
      <c r="A2750" s="568" t="n">
        <v>44495</v>
      </c>
      <c r="B2750" s="392" t="n">
        <v>8561</v>
      </c>
      <c r="C2750" s="392" t="n">
        <v>70</v>
      </c>
      <c r="D2750" s="392" t="n"/>
      <c r="E2750" s="392" t="n"/>
      <c r="F2750" s="392" t="n"/>
      <c r="G2750" s="392" t="n">
        <v>20</v>
      </c>
      <c r="H2750" s="446">
        <f>H2749-G2750</f>
        <v/>
      </c>
      <c r="I2750" s="392" t="n"/>
      <c r="J2750" s="392" t="n"/>
      <c r="K2750" s="392" t="n"/>
      <c r="L2750" s="392" t="n"/>
      <c r="M2750" s="392" t="n"/>
    </row>
    <row r="2751">
      <c r="A2751" s="568" t="n">
        <v>44495</v>
      </c>
      <c r="B2751" s="392" t="n">
        <v>8562</v>
      </c>
      <c r="C2751" s="392" t="n">
        <v>72</v>
      </c>
      <c r="D2751" s="392" t="n"/>
      <c r="E2751" s="392" t="n"/>
      <c r="F2751" s="392" t="n"/>
      <c r="G2751" s="392" t="n">
        <v>20</v>
      </c>
      <c r="H2751" s="446">
        <f>H2750-G2751</f>
        <v/>
      </c>
      <c r="I2751" s="392" t="n"/>
      <c r="J2751" s="392" t="n"/>
      <c r="K2751" s="392" t="n"/>
      <c r="L2751" s="392" t="n"/>
      <c r="M2751" s="392" t="n"/>
    </row>
    <row r="2752">
      <c r="A2752" s="568" t="n">
        <v>44495</v>
      </c>
      <c r="B2752" s="392" t="n">
        <v>8563</v>
      </c>
      <c r="C2752" s="392" t="n">
        <v>74</v>
      </c>
      <c r="D2752" s="392" t="n"/>
      <c r="E2752" s="392" t="n"/>
      <c r="F2752" s="392" t="n"/>
      <c r="G2752" s="392" t="n">
        <v>23</v>
      </c>
      <c r="H2752" s="446">
        <f>H2751-G2752</f>
        <v/>
      </c>
      <c r="I2752" s="392" t="n"/>
      <c r="J2752" s="392" t="n"/>
      <c r="K2752" s="392" t="n"/>
      <c r="L2752" s="392" t="n"/>
      <c r="M2752" s="392" t="n"/>
    </row>
    <row r="2753">
      <c r="A2753" s="568" t="n">
        <v>44495</v>
      </c>
      <c r="B2753" s="392" t="n">
        <v>8564</v>
      </c>
      <c r="C2753" s="392" t="n">
        <v>57</v>
      </c>
      <c r="D2753" s="392" t="n"/>
      <c r="E2753" s="392" t="n"/>
      <c r="F2753" s="392" t="n"/>
      <c r="G2753" s="392" t="n">
        <v>400</v>
      </c>
      <c r="H2753" s="446">
        <f>H2752-G2753</f>
        <v/>
      </c>
      <c r="I2753" s="392" t="n"/>
      <c r="J2753" s="392" t="n"/>
      <c r="K2753" s="392" t="n"/>
      <c r="L2753" s="392" t="n"/>
      <c r="M2753" s="392" t="n"/>
    </row>
    <row r="2754">
      <c r="A2754" s="568" t="n">
        <v>44495</v>
      </c>
      <c r="B2754" s="392" t="n">
        <v>8565</v>
      </c>
      <c r="C2754" s="392" t="n">
        <v>60</v>
      </c>
      <c r="D2754" s="392" t="n"/>
      <c r="E2754" s="392" t="n"/>
      <c r="F2754" s="392" t="n"/>
      <c r="G2754" s="392" t="n">
        <v>100</v>
      </c>
      <c r="H2754" s="446">
        <f>H2753-G2754</f>
        <v/>
      </c>
      <c r="I2754" s="392" t="n"/>
      <c r="J2754" s="392" t="n"/>
      <c r="K2754" s="392" t="n"/>
      <c r="L2754" s="392" t="n"/>
      <c r="M2754" s="392" t="n"/>
    </row>
    <row r="2755">
      <c r="A2755" s="568" t="n"/>
      <c r="B2755" s="392" t="n"/>
      <c r="C2755" s="392" t="n"/>
      <c r="D2755" s="392" t="n"/>
      <c r="E2755" s="392" t="n"/>
      <c r="F2755" s="392" t="n"/>
      <c r="G2755" s="392" t="n"/>
      <c r="H2755" s="446">
        <f>H2754-G2755</f>
        <v/>
      </c>
      <c r="I2755" s="392" t="n"/>
      <c r="J2755" s="392" t="n"/>
      <c r="K2755" s="392" t="n"/>
      <c r="L2755" s="392" t="n"/>
      <c r="M2755" s="392" t="n"/>
    </row>
    <row r="2756" ht="15.75" customHeight="1" s="436" thickBot="1">
      <c r="H2756" s="390" t="n"/>
    </row>
    <row r="2757" ht="32.25" customHeight="1" s="436" thickBot="1">
      <c r="A2757" s="735" t="inlineStr">
        <is>
          <t>Novembro</t>
        </is>
      </c>
      <c r="B2757" s="697" t="n"/>
      <c r="C2757" s="697" t="n"/>
      <c r="D2757" s="697" t="n"/>
      <c r="E2757" s="697" t="n"/>
      <c r="F2757" s="697" t="n"/>
      <c r="G2757" s="697" t="n"/>
      <c r="H2757" s="697" t="n"/>
      <c r="I2757" s="697" t="n"/>
      <c r="J2757" s="697" t="n"/>
      <c r="K2757" s="697" t="n"/>
      <c r="L2757" s="697" t="n"/>
      <c r="M2757" s="698" t="n"/>
    </row>
    <row r="2758" ht="27" customHeight="1" s="436" thickBot="1">
      <c r="A2758" s="720" t="inlineStr">
        <is>
          <t xml:space="preserve"> FARINHA DE TRIGO TIPO: 1 - 25 KG</t>
        </is>
      </c>
      <c r="B2758" s="697" t="n"/>
      <c r="C2758" s="697" t="n"/>
      <c r="D2758" s="697" t="n"/>
      <c r="E2758" s="697" t="n"/>
      <c r="F2758" s="697" t="n"/>
      <c r="G2758" s="697" t="n"/>
      <c r="H2758" s="697" t="n"/>
      <c r="I2758" s="697" t="n"/>
      <c r="J2758" s="697" t="n"/>
      <c r="K2758" s="697" t="n"/>
      <c r="L2758" s="697" t="n"/>
      <c r="M2758" s="698" t="n"/>
    </row>
    <row r="2759">
      <c r="A2759" s="643" t="inlineStr">
        <is>
          <t>DATA</t>
        </is>
      </c>
      <c r="B2759" s="633" t="inlineStr">
        <is>
          <t>N.F.</t>
        </is>
      </c>
      <c r="C2759" s="633" t="inlineStr">
        <is>
          <t>TIPO</t>
        </is>
      </c>
      <c r="D2759" s="633" t="inlineStr">
        <is>
          <t>PREÇO UNITÁRIO</t>
        </is>
      </c>
      <c r="E2759" s="701" t="n"/>
      <c r="F2759" s="633" t="inlineStr">
        <is>
          <t>QUANTIDADE / KG</t>
        </is>
      </c>
      <c r="H2759" s="701" t="n"/>
      <c r="I2759" s="632" t="inlineStr">
        <is>
          <t>PREÇO</t>
        </is>
      </c>
      <c r="J2759" s="632" t="inlineStr">
        <is>
          <t>VALORES</t>
        </is>
      </c>
      <c r="L2759" s="701" t="n"/>
      <c r="M2759" s="649" t="n"/>
    </row>
    <row r="2760" ht="15.75" customHeight="1" s="436" thickBot="1">
      <c r="A2760" s="703" t="n"/>
      <c r="B2760" s="704" t="n"/>
      <c r="C2760" s="704" t="n"/>
      <c r="D2760" s="703" t="n"/>
      <c r="E2760" s="701" t="n"/>
      <c r="F2760" s="705" t="n"/>
      <c r="G2760" s="706" t="n"/>
      <c r="H2760" s="707" t="n"/>
      <c r="I2760" s="704" t="n"/>
      <c r="J2760" s="703" t="n"/>
      <c r="L2760" s="701" t="n"/>
      <c r="M2760" s="704" t="n"/>
    </row>
    <row r="2761" ht="15.75" customHeight="1" s="436" thickBot="1">
      <c r="A2761" s="703" t="n"/>
      <c r="B2761" s="704" t="n"/>
      <c r="C2761" s="704" t="n"/>
      <c r="D2761" s="705" t="n"/>
      <c r="E2761" s="707" t="n"/>
      <c r="F2761" s="3" t="inlineStr">
        <is>
          <t>ENTRADA</t>
        </is>
      </c>
      <c r="G2761" s="3" t="inlineStr">
        <is>
          <t>SAÍDA</t>
        </is>
      </c>
      <c r="H2761" s="640" t="n"/>
      <c r="I2761" s="633" t="inlineStr">
        <is>
          <t>MÉDIO</t>
        </is>
      </c>
      <c r="J2761" s="652" t="inlineStr">
        <is>
          <t>SALDO EM 30/11/2017</t>
        </is>
      </c>
      <c r="K2761" s="706" t="n"/>
      <c r="L2761" s="17" t="n"/>
      <c r="M2761" s="704" t="n"/>
    </row>
    <row r="2762" ht="18" customHeight="1" s="436" thickBot="1">
      <c r="A2762" s="705" t="n"/>
      <c r="B2762" s="695" t="n"/>
      <c r="C2762" s="695" t="n"/>
      <c r="D2762" s="3" t="inlineStr">
        <is>
          <t>C/ICMS</t>
        </is>
      </c>
      <c r="E2762" s="3" t="inlineStr">
        <is>
          <t>S/ICMS</t>
        </is>
      </c>
      <c r="F2762" s="695" t="n"/>
      <c r="G2762" s="695" t="n"/>
      <c r="H2762" s="84" t="inlineStr">
        <is>
          <t>Saldo em 30/10/2021</t>
        </is>
      </c>
      <c r="I2762" s="695" t="n"/>
      <c r="J2762" s="645" t="inlineStr">
        <is>
          <t>ENTRADA</t>
        </is>
      </c>
      <c r="K2762" s="633" t="inlineStr">
        <is>
          <t>SAÍDA / CMV</t>
        </is>
      </c>
      <c r="L2762" s="643" t="inlineStr">
        <is>
          <t>SALDO</t>
        </is>
      </c>
      <c r="M2762" s="392" t="n"/>
    </row>
    <row r="2763">
      <c r="A2763" s="392" t="n"/>
      <c r="B2763" s="392" t="n"/>
      <c r="C2763" s="392" t="n"/>
      <c r="D2763" s="392" t="n"/>
      <c r="E2763" s="392" t="n"/>
      <c r="F2763" s="392" t="n"/>
      <c r="G2763" s="392" t="n"/>
      <c r="H2763" s="446" t="n"/>
      <c r="I2763" s="392" t="n"/>
      <c r="J2763" s="392" t="n"/>
      <c r="K2763" s="392" t="n"/>
      <c r="L2763" s="392" t="n"/>
      <c r="M2763" s="392" t="n"/>
    </row>
    <row r="2764">
      <c r="A2764" s="568" t="n">
        <v>44503</v>
      </c>
      <c r="B2764" s="392" t="n">
        <v>8568</v>
      </c>
      <c r="C2764" s="392" t="n">
        <v>72</v>
      </c>
      <c r="D2764" s="392" t="n"/>
      <c r="E2764" s="392" t="n"/>
      <c r="F2764" s="392" t="n"/>
      <c r="G2764" s="392" t="n">
        <v>15</v>
      </c>
      <c r="H2764" s="446" t="n">
        <v>2813</v>
      </c>
      <c r="I2764" s="392" t="n"/>
      <c r="J2764" s="392" t="n"/>
      <c r="K2764" s="392" t="n"/>
      <c r="L2764" s="392" t="n"/>
      <c r="M2764" s="392" t="n"/>
    </row>
    <row r="2765">
      <c r="A2765" s="568" t="n">
        <v>44503</v>
      </c>
      <c r="B2765" s="392" t="n">
        <v>8569</v>
      </c>
      <c r="C2765" s="392" t="n">
        <v>70</v>
      </c>
      <c r="D2765" s="392" t="n"/>
      <c r="E2765" s="392" t="n"/>
      <c r="F2765" s="392" t="n"/>
      <c r="G2765" s="392" t="n">
        <v>50</v>
      </c>
      <c r="H2765" s="446">
        <f>H2764-G2765</f>
        <v/>
      </c>
      <c r="I2765" s="392" t="n"/>
      <c r="J2765" s="392" t="n"/>
      <c r="K2765" s="392" t="n"/>
      <c r="L2765" s="392" t="n"/>
      <c r="M2765" s="392" t="n"/>
    </row>
    <row r="2766">
      <c r="A2766" s="568" t="n">
        <v>44503</v>
      </c>
      <c r="B2766" s="392" t="n">
        <v>8572</v>
      </c>
      <c r="C2766" s="392" t="n">
        <v>70</v>
      </c>
      <c r="D2766" s="392" t="n"/>
      <c r="E2766" s="392" t="n"/>
      <c r="F2766" s="392" t="n"/>
      <c r="G2766" s="392" t="n">
        <v>70</v>
      </c>
      <c r="H2766" s="446">
        <f>H2765-G2766</f>
        <v/>
      </c>
      <c r="I2766" s="392" t="n"/>
      <c r="J2766" s="392" t="n"/>
      <c r="K2766" s="392" t="n"/>
      <c r="L2766" s="392" t="n"/>
      <c r="M2766" s="392" t="n"/>
    </row>
    <row r="2767">
      <c r="A2767" s="568" t="n">
        <v>44503</v>
      </c>
      <c r="B2767" s="392" t="n">
        <v>8573</v>
      </c>
      <c r="C2767" s="392" t="n">
        <v>70</v>
      </c>
      <c r="D2767" s="392" t="n"/>
      <c r="E2767" s="392" t="n"/>
      <c r="F2767" s="392" t="n"/>
      <c r="G2767" s="392" t="n">
        <v>20</v>
      </c>
      <c r="H2767" s="446">
        <f>H2766-G2767</f>
        <v/>
      </c>
      <c r="I2767" s="392" t="n"/>
      <c r="J2767" s="392" t="n"/>
      <c r="K2767" s="392" t="n"/>
      <c r="L2767" s="392" t="n"/>
      <c r="M2767" s="392" t="n"/>
    </row>
    <row r="2768">
      <c r="A2768" s="568" t="n">
        <v>44503</v>
      </c>
      <c r="B2768" s="392" t="n">
        <v>8575</v>
      </c>
      <c r="C2768" s="392" t="n">
        <v>72</v>
      </c>
      <c r="D2768" s="392" t="n"/>
      <c r="E2768" s="392" t="n"/>
      <c r="F2768" s="392" t="n"/>
      <c r="G2768" s="392" t="n">
        <v>20</v>
      </c>
      <c r="H2768" s="446">
        <f>H2767-G2768</f>
        <v/>
      </c>
      <c r="I2768" s="392" t="n"/>
      <c r="J2768" s="392" t="n"/>
      <c r="K2768" s="392" t="n"/>
      <c r="L2768" s="392" t="n"/>
      <c r="M2768" s="392" t="n"/>
    </row>
    <row r="2769">
      <c r="A2769" s="568" t="n">
        <v>44503</v>
      </c>
      <c r="B2769" s="392" t="n">
        <v>8576</v>
      </c>
      <c r="C2769" s="392" t="n">
        <v>72</v>
      </c>
      <c r="D2769" s="392" t="n"/>
      <c r="E2769" s="392" t="n"/>
      <c r="F2769" s="392" t="n"/>
      <c r="G2769" s="392" t="n">
        <v>30</v>
      </c>
      <c r="H2769" s="446">
        <f>H2768-G2769</f>
        <v/>
      </c>
      <c r="I2769" s="392" t="n"/>
      <c r="J2769" s="392" t="n"/>
      <c r="K2769" s="392" t="n"/>
      <c r="L2769" s="392" t="n"/>
      <c r="M2769" s="392" t="n"/>
    </row>
    <row r="2770">
      <c r="A2770" s="568" t="n">
        <v>44503</v>
      </c>
      <c r="B2770" s="392" t="n">
        <v>8578</v>
      </c>
      <c r="C2770" s="392" t="n">
        <v>72.5</v>
      </c>
      <c r="D2770" s="392" t="n"/>
      <c r="E2770" s="392" t="n"/>
      <c r="F2770" s="392" t="n"/>
      <c r="G2770" s="392" t="n">
        <v>10</v>
      </c>
      <c r="H2770" s="446">
        <f>H2769-G2770</f>
        <v/>
      </c>
      <c r="I2770" s="392" t="n"/>
      <c r="J2770" s="392" t="n"/>
      <c r="K2770" s="392" t="n"/>
      <c r="L2770" s="392" t="n"/>
      <c r="M2770" s="392" t="n"/>
    </row>
    <row r="2771">
      <c r="A2771" s="568" t="n">
        <v>44503</v>
      </c>
      <c r="B2771" s="392" t="n">
        <v>8579</v>
      </c>
      <c r="C2771" s="392" t="n">
        <v>72</v>
      </c>
      <c r="D2771" s="392" t="n"/>
      <c r="E2771" s="392" t="n"/>
      <c r="F2771" s="392" t="n"/>
      <c r="G2771" s="392" t="n">
        <v>50</v>
      </c>
      <c r="H2771" s="446">
        <f>H2770-G2771</f>
        <v/>
      </c>
      <c r="I2771" s="392" t="n"/>
      <c r="J2771" s="392" t="n"/>
      <c r="K2771" s="392" t="n"/>
      <c r="L2771" s="392" t="n"/>
      <c r="M2771" s="392" t="n"/>
    </row>
    <row r="2772">
      <c r="A2772" s="568" t="n">
        <v>44504</v>
      </c>
      <c r="B2772" s="392" t="n">
        <v>8583</v>
      </c>
      <c r="C2772" s="392" t="n">
        <v>73</v>
      </c>
      <c r="D2772" s="392" t="n"/>
      <c r="E2772" s="392" t="n"/>
      <c r="F2772" s="392" t="n"/>
      <c r="G2772" s="392" t="n">
        <v>30</v>
      </c>
      <c r="H2772" s="446">
        <f>H2771-G2772</f>
        <v/>
      </c>
      <c r="I2772" s="392" t="n"/>
      <c r="J2772" s="392" t="n"/>
      <c r="K2772" s="392" t="n"/>
      <c r="L2772" s="392" t="n"/>
      <c r="M2772" s="392" t="n"/>
    </row>
    <row r="2773">
      <c r="A2773" s="568" t="n">
        <v>44504</v>
      </c>
      <c r="B2773" s="392" t="n">
        <v>8584</v>
      </c>
      <c r="C2773" s="392" t="n">
        <v>73</v>
      </c>
      <c r="D2773" s="392" t="n"/>
      <c r="E2773" s="392" t="n"/>
      <c r="F2773" s="392" t="n"/>
      <c r="G2773" s="392" t="n">
        <v>40</v>
      </c>
      <c r="H2773" s="446">
        <f>H2772-G2773</f>
        <v/>
      </c>
      <c r="I2773" s="392" t="n"/>
      <c r="J2773" s="392" t="n"/>
      <c r="K2773" s="392" t="n"/>
      <c r="L2773" s="392" t="n"/>
      <c r="M2773" s="392" t="n"/>
    </row>
    <row r="2774">
      <c r="A2774" s="568" t="n">
        <v>44504</v>
      </c>
      <c r="B2774" s="392" t="n">
        <v>8586</v>
      </c>
      <c r="C2774" s="392" t="n">
        <v>73.5</v>
      </c>
      <c r="D2774" s="392" t="n"/>
      <c r="E2774" s="392" t="n"/>
      <c r="F2774" s="392" t="n"/>
      <c r="G2774" s="392" t="n">
        <v>20</v>
      </c>
      <c r="H2774" s="446">
        <f>H2773-G2774</f>
        <v/>
      </c>
      <c r="I2774" s="392" t="n"/>
      <c r="J2774" s="392" t="n"/>
      <c r="K2774" s="392" t="n"/>
      <c r="L2774" s="392" t="n"/>
      <c r="M2774" s="392" t="n"/>
    </row>
    <row r="2775">
      <c r="A2775" s="568" t="n">
        <v>44504</v>
      </c>
      <c r="B2775" s="392" t="n">
        <v>8586</v>
      </c>
      <c r="C2775" s="392" t="n">
        <v>72</v>
      </c>
      <c r="D2775" s="392" t="n"/>
      <c r="E2775" s="392" t="n"/>
      <c r="F2775" s="392" t="n"/>
      <c r="G2775" s="392" t="n">
        <v>20</v>
      </c>
      <c r="H2775" s="446">
        <f>H2774-G2775</f>
        <v/>
      </c>
      <c r="I2775" s="392" t="n"/>
      <c r="J2775" s="392" t="n"/>
      <c r="K2775" s="392" t="n"/>
      <c r="L2775" s="392" t="n"/>
      <c r="M2775" s="392" t="n"/>
    </row>
    <row r="2776">
      <c r="A2776" s="568" t="n">
        <v>44504</v>
      </c>
      <c r="B2776" s="392" t="n">
        <v>8590</v>
      </c>
      <c r="C2776" s="392" t="n">
        <v>69.5</v>
      </c>
      <c r="D2776" s="392" t="n"/>
      <c r="E2776" s="392" t="n"/>
      <c r="F2776" s="392" t="n"/>
      <c r="G2776" s="392" t="n">
        <v>100</v>
      </c>
      <c r="H2776" s="446">
        <f>H2775-G2776</f>
        <v/>
      </c>
      <c r="I2776" s="392" t="n"/>
      <c r="J2776" s="392" t="n"/>
      <c r="K2776" s="392" t="n"/>
      <c r="L2776" s="392" t="n"/>
      <c r="M2776" s="392" t="n"/>
    </row>
    <row r="2777">
      <c r="A2777" s="568" t="n">
        <v>44504</v>
      </c>
      <c r="B2777" s="392" t="n">
        <v>8591</v>
      </c>
      <c r="C2777" s="392" t="n">
        <v>75</v>
      </c>
      <c r="D2777" s="392" t="n"/>
      <c r="E2777" s="392" t="n"/>
      <c r="F2777" s="392" t="n"/>
      <c r="G2777" s="392" t="n">
        <v>60</v>
      </c>
      <c r="H2777" s="446">
        <f>H2776-G2777</f>
        <v/>
      </c>
      <c r="I2777" s="392" t="n"/>
      <c r="J2777" s="392" t="n"/>
      <c r="K2777" s="392" t="n"/>
      <c r="L2777" s="392" t="n"/>
      <c r="M2777" s="392" t="n"/>
    </row>
    <row r="2778">
      <c r="A2778" s="568" t="n">
        <v>44510</v>
      </c>
      <c r="B2778" s="392" t="n">
        <v>8592</v>
      </c>
      <c r="C2778" s="392" t="n">
        <v>73</v>
      </c>
      <c r="D2778" s="392" t="n"/>
      <c r="E2778" s="392" t="n"/>
      <c r="F2778" s="392" t="n"/>
      <c r="G2778" s="392" t="n">
        <v>30</v>
      </c>
      <c r="H2778" s="446">
        <f>H2777-G2778</f>
        <v/>
      </c>
      <c r="I2778" s="392" t="n"/>
      <c r="J2778" s="392" t="n"/>
      <c r="K2778" s="392" t="n"/>
      <c r="L2778" s="392" t="n"/>
      <c r="M2778" s="392" t="n"/>
    </row>
    <row r="2779">
      <c r="A2779" s="568" t="n">
        <v>44510</v>
      </c>
      <c r="B2779" s="392" t="n">
        <v>8593</v>
      </c>
      <c r="C2779" s="392" t="n">
        <v>72</v>
      </c>
      <c r="D2779" s="392" t="n"/>
      <c r="E2779" s="392" t="n"/>
      <c r="F2779" s="392" t="n"/>
      <c r="G2779" s="392" t="n">
        <v>20</v>
      </c>
      <c r="H2779" s="446">
        <f>H2778-G2779</f>
        <v/>
      </c>
      <c r="I2779" s="392" t="n"/>
      <c r="J2779" s="392" t="n"/>
      <c r="K2779" s="392" t="n"/>
      <c r="L2779" s="392" t="n"/>
      <c r="M2779" s="392" t="n"/>
    </row>
    <row r="2780">
      <c r="A2780" s="568" t="n">
        <v>44510</v>
      </c>
      <c r="B2780" s="392" t="n">
        <v>8594</v>
      </c>
      <c r="C2780" s="392" t="n">
        <v>70</v>
      </c>
      <c r="D2780" s="392" t="n"/>
      <c r="E2780" s="392" t="n"/>
      <c r="F2780" s="392" t="n"/>
      <c r="G2780" s="392" t="n">
        <v>50</v>
      </c>
      <c r="H2780" s="446">
        <f>H2779-G2780</f>
        <v/>
      </c>
      <c r="I2780" s="392" t="n"/>
      <c r="J2780" s="392" t="n"/>
      <c r="K2780" s="392" t="n"/>
      <c r="L2780" s="392" t="n"/>
      <c r="M2780" s="392" t="n"/>
    </row>
    <row r="2781">
      <c r="A2781" s="568" t="n">
        <v>44510</v>
      </c>
      <c r="B2781" s="392" t="n">
        <v>8595</v>
      </c>
      <c r="C2781" s="392" t="n">
        <v>73</v>
      </c>
      <c r="D2781" s="392" t="n"/>
      <c r="E2781" s="392" t="n"/>
      <c r="F2781" s="392" t="n"/>
      <c r="G2781" s="392" t="n">
        <v>30</v>
      </c>
      <c r="H2781" s="446">
        <f>H2780-G2781</f>
        <v/>
      </c>
      <c r="I2781" s="392" t="n"/>
      <c r="J2781" s="392" t="n"/>
      <c r="K2781" s="392" t="n"/>
      <c r="L2781" s="392" t="n"/>
      <c r="M2781" s="392" t="n"/>
    </row>
    <row r="2782">
      <c r="A2782" s="568" t="n">
        <v>44510</v>
      </c>
      <c r="B2782" s="392" t="n">
        <v>8597</v>
      </c>
      <c r="C2782" s="392" t="n">
        <v>73</v>
      </c>
      <c r="D2782" s="392" t="n"/>
      <c r="E2782" s="392" t="n"/>
      <c r="F2782" s="392" t="n"/>
      <c r="G2782" s="392" t="n">
        <v>50</v>
      </c>
      <c r="H2782" s="446">
        <f>H2781-G2782</f>
        <v/>
      </c>
      <c r="I2782" s="392" t="n"/>
      <c r="J2782" s="392" t="n"/>
      <c r="K2782" s="392" t="n"/>
      <c r="L2782" s="392" t="n"/>
      <c r="M2782" s="392" t="n"/>
    </row>
    <row r="2783">
      <c r="A2783" s="568" t="n">
        <v>44510</v>
      </c>
      <c r="B2783" s="392" t="n">
        <v>8601</v>
      </c>
      <c r="C2783" s="392" t="n">
        <v>72</v>
      </c>
      <c r="D2783" s="392" t="n"/>
      <c r="E2783" s="392" t="n"/>
      <c r="F2783" s="392" t="n"/>
      <c r="G2783" s="392" t="n">
        <v>10</v>
      </c>
      <c r="H2783" s="446">
        <f>H2782-G2783</f>
        <v/>
      </c>
      <c r="I2783" s="392" t="n"/>
      <c r="J2783" s="392" t="n"/>
      <c r="K2783" s="392" t="n"/>
      <c r="L2783" s="392" t="n"/>
      <c r="M2783" s="392" t="n"/>
    </row>
    <row r="2784">
      <c r="A2784" s="568" t="n">
        <v>44510</v>
      </c>
      <c r="B2784" s="392" t="n">
        <v>8606</v>
      </c>
      <c r="C2784" s="392" t="n">
        <v>73</v>
      </c>
      <c r="D2784" s="392" t="n"/>
      <c r="E2784" s="392" t="n"/>
      <c r="F2784" s="392" t="n"/>
      <c r="G2784" s="392" t="n">
        <v>20</v>
      </c>
      <c r="H2784" s="446">
        <f>H2783-G2784</f>
        <v/>
      </c>
      <c r="I2784" s="392" t="n"/>
      <c r="J2784" s="392" t="n"/>
      <c r="K2784" s="392" t="n"/>
      <c r="L2784" s="392" t="n"/>
      <c r="M2784" s="392" t="n"/>
    </row>
    <row r="2785">
      <c r="A2785" s="568" t="n">
        <v>44511</v>
      </c>
      <c r="B2785" s="392" t="n">
        <v>8607</v>
      </c>
      <c r="C2785" s="392" t="n">
        <v>73</v>
      </c>
      <c r="D2785" s="392" t="n"/>
      <c r="E2785" s="392" t="n"/>
      <c r="F2785" s="392" t="n"/>
      <c r="G2785" s="392" t="n">
        <v>20</v>
      </c>
      <c r="H2785" s="446">
        <f>H2784-G2785</f>
        <v/>
      </c>
      <c r="I2785" s="392" t="n"/>
      <c r="J2785" s="392" t="n"/>
      <c r="K2785" s="392" t="n"/>
      <c r="L2785" s="392" t="n"/>
      <c r="M2785" s="392" t="n"/>
    </row>
    <row r="2786">
      <c r="A2786" s="568" t="n">
        <v>44511</v>
      </c>
      <c r="B2786" s="392" t="n">
        <v>8609</v>
      </c>
      <c r="C2786" s="392" t="n">
        <v>74.5</v>
      </c>
      <c r="D2786" s="392" t="n"/>
      <c r="E2786" s="392" t="n"/>
      <c r="F2786" s="392" t="n"/>
      <c r="G2786" s="392" t="n">
        <v>10</v>
      </c>
      <c r="H2786" s="446">
        <f>H2785-G2786</f>
        <v/>
      </c>
      <c r="I2786" s="392" t="n"/>
      <c r="J2786" s="392" t="n"/>
      <c r="K2786" s="392" t="n"/>
      <c r="L2786" s="392" t="n"/>
      <c r="M2786" s="392" t="n"/>
    </row>
    <row r="2787">
      <c r="A2787" s="568" t="n">
        <v>44517</v>
      </c>
      <c r="B2787" s="392" t="n">
        <v>8612</v>
      </c>
      <c r="C2787" s="392" t="n">
        <v>74</v>
      </c>
      <c r="D2787" s="392" t="n"/>
      <c r="E2787" s="392" t="n"/>
      <c r="F2787" s="392" t="n"/>
      <c r="G2787" s="392" t="n">
        <v>20</v>
      </c>
      <c r="H2787" s="446">
        <f>H2786-G2787</f>
        <v/>
      </c>
      <c r="I2787" s="392" t="n"/>
      <c r="J2787" s="392" t="n"/>
      <c r="K2787" s="392" t="n"/>
      <c r="L2787" s="392" t="n"/>
      <c r="M2787" s="392" t="n"/>
    </row>
    <row r="2788">
      <c r="A2788" s="568" t="n">
        <v>44517</v>
      </c>
      <c r="B2788" s="392" t="n">
        <v>8615</v>
      </c>
      <c r="C2788" s="392" t="n">
        <v>73</v>
      </c>
      <c r="D2788" s="392" t="n"/>
      <c r="E2788" s="392" t="n"/>
      <c r="F2788" s="392" t="n"/>
      <c r="G2788" s="392" t="n">
        <v>20</v>
      </c>
      <c r="H2788" s="446">
        <f>H2787-G2788</f>
        <v/>
      </c>
      <c r="I2788" s="392" t="n"/>
      <c r="J2788" s="392" t="n"/>
      <c r="K2788" s="392" t="n"/>
      <c r="L2788" s="392" t="n"/>
      <c r="M2788" s="392" t="n"/>
    </row>
    <row r="2789">
      <c r="A2789" s="568" t="n">
        <v>44517</v>
      </c>
      <c r="B2789" s="392" t="n">
        <v>8616</v>
      </c>
      <c r="C2789" s="392" t="n">
        <v>72</v>
      </c>
      <c r="D2789" s="392" t="n"/>
      <c r="E2789" s="392" t="n"/>
      <c r="F2789" s="392" t="n"/>
      <c r="G2789" s="392" t="n">
        <v>15</v>
      </c>
      <c r="H2789" s="446">
        <f>H2788-G2789</f>
        <v/>
      </c>
      <c r="I2789" s="392" t="n"/>
      <c r="J2789" s="392" t="n"/>
      <c r="K2789" s="392" t="n"/>
      <c r="L2789" s="392" t="n"/>
      <c r="M2789" s="392" t="n"/>
    </row>
    <row r="2790">
      <c r="A2790" s="568" t="n">
        <v>44517</v>
      </c>
      <c r="B2790" s="392" t="n">
        <v>8617</v>
      </c>
      <c r="C2790" s="392" t="n">
        <v>74</v>
      </c>
      <c r="D2790" s="392" t="n"/>
      <c r="E2790" s="392" t="n"/>
      <c r="F2790" s="392" t="n"/>
      <c r="G2790" s="392" t="n">
        <v>20</v>
      </c>
      <c r="H2790" s="446">
        <f>H2789-G2790</f>
        <v/>
      </c>
      <c r="I2790" s="392" t="n"/>
      <c r="J2790" s="392" t="n"/>
      <c r="K2790" s="392" t="n"/>
      <c r="L2790" s="392" t="n"/>
      <c r="M2790" s="392" t="n"/>
    </row>
    <row r="2791">
      <c r="A2791" s="568" t="n">
        <v>44517</v>
      </c>
      <c r="B2791" s="392" t="n">
        <v>8619</v>
      </c>
      <c r="C2791" s="392" t="n">
        <v>73</v>
      </c>
      <c r="D2791" s="392" t="n"/>
      <c r="E2791" s="392" t="n"/>
      <c r="F2791" s="392" t="n"/>
      <c r="G2791" s="392" t="n">
        <v>30</v>
      </c>
      <c r="H2791" s="446">
        <f>H2790-G2791</f>
        <v/>
      </c>
      <c r="I2791" s="392" t="n"/>
      <c r="J2791" s="392" t="n"/>
      <c r="K2791" s="392" t="n"/>
      <c r="L2791" s="392" t="n"/>
      <c r="M2791" s="392" t="n"/>
    </row>
    <row r="2792">
      <c r="A2792" s="568" t="n">
        <v>44518</v>
      </c>
      <c r="B2792" s="392" t="n">
        <v>8620</v>
      </c>
      <c r="C2792" s="392" t="n">
        <v>68</v>
      </c>
      <c r="D2792" s="392" t="n"/>
      <c r="E2792" s="392" t="n"/>
      <c r="F2792" s="392" t="n"/>
      <c r="G2792" s="392" t="n">
        <v>100</v>
      </c>
      <c r="H2792" s="446">
        <f>H2791-G2792</f>
        <v/>
      </c>
      <c r="I2792" s="392" t="n"/>
      <c r="J2792" s="392" t="n"/>
      <c r="K2792" s="392" t="n"/>
      <c r="L2792" s="392" t="n"/>
      <c r="M2792" s="392" t="n"/>
    </row>
    <row r="2793">
      <c r="A2793" s="568" t="n">
        <v>44518</v>
      </c>
      <c r="B2793" s="392" t="n">
        <v>8623</v>
      </c>
      <c r="C2793" s="392" t="n">
        <v>73.5</v>
      </c>
      <c r="D2793" s="392" t="n"/>
      <c r="E2793" s="392" t="n"/>
      <c r="F2793" s="392" t="n"/>
      <c r="G2793" s="392" t="n">
        <v>20</v>
      </c>
      <c r="H2793" s="446">
        <f>H2792-G2793</f>
        <v/>
      </c>
      <c r="I2793" s="392" t="n"/>
      <c r="J2793" s="392" t="n"/>
      <c r="K2793" s="392" t="n"/>
      <c r="L2793" s="392" t="n"/>
      <c r="M2793" s="392" t="n"/>
    </row>
    <row r="2794">
      <c r="A2794" s="568" t="n">
        <v>44518</v>
      </c>
      <c r="B2794" s="392" t="n">
        <v>8624</v>
      </c>
      <c r="C2794" s="392" t="n">
        <v>72.5</v>
      </c>
      <c r="D2794" s="392" t="n"/>
      <c r="E2794" s="392" t="n"/>
      <c r="F2794" s="392" t="n"/>
      <c r="G2794" s="392" t="n">
        <v>10</v>
      </c>
      <c r="H2794" s="446">
        <f>H2793-G2794</f>
        <v/>
      </c>
      <c r="I2794" s="392" t="n"/>
      <c r="J2794" s="392" t="n"/>
      <c r="K2794" s="392" t="n"/>
      <c r="L2794" s="392" t="n"/>
      <c r="M2794" s="392" t="n"/>
    </row>
    <row r="2795">
      <c r="A2795" s="568" t="n">
        <v>44518</v>
      </c>
      <c r="B2795" s="392" t="n">
        <v>8626</v>
      </c>
      <c r="C2795" s="392" t="n">
        <v>73</v>
      </c>
      <c r="D2795" s="392" t="n"/>
      <c r="E2795" s="392" t="n"/>
      <c r="F2795" s="392" t="n"/>
      <c r="G2795" s="392" t="n">
        <v>30</v>
      </c>
      <c r="H2795" s="446">
        <f>H2794-G2795</f>
        <v/>
      </c>
      <c r="I2795" s="392" t="n"/>
      <c r="J2795" s="392" t="n"/>
      <c r="K2795" s="392" t="n"/>
      <c r="L2795" s="392" t="n"/>
      <c r="M2795" s="392" t="n"/>
    </row>
    <row r="2796">
      <c r="A2796" s="568" t="n">
        <v>44518</v>
      </c>
      <c r="B2796" s="392" t="n">
        <v>8627</v>
      </c>
      <c r="C2796" s="392" t="n">
        <v>73</v>
      </c>
      <c r="D2796" s="392" t="n"/>
      <c r="E2796" s="392" t="n"/>
      <c r="F2796" s="392" t="n"/>
      <c r="G2796" s="392" t="n">
        <v>50</v>
      </c>
      <c r="H2796" s="446">
        <f>H2795-G2796</f>
        <v/>
      </c>
      <c r="I2796" s="392" t="n"/>
      <c r="J2796" s="392" t="n"/>
      <c r="K2796" s="392" t="n"/>
      <c r="L2796" s="392" t="n"/>
      <c r="M2796" s="392" t="n"/>
    </row>
    <row r="2797">
      <c r="A2797" s="568" t="n">
        <v>44523</v>
      </c>
      <c r="B2797" s="392" t="n">
        <v>8631</v>
      </c>
      <c r="C2797" s="392" t="n">
        <v>73</v>
      </c>
      <c r="D2797" s="392" t="n"/>
      <c r="E2797" s="392" t="n"/>
      <c r="F2797" s="392" t="n"/>
      <c r="G2797" s="392" t="n">
        <v>20</v>
      </c>
      <c r="H2797" s="446">
        <f>H2796-G2797</f>
        <v/>
      </c>
      <c r="I2797" s="392" t="n"/>
      <c r="J2797" s="392" t="n"/>
      <c r="K2797" s="392" t="n"/>
      <c r="L2797" s="392" t="n"/>
      <c r="M2797" s="392" t="n"/>
    </row>
    <row r="2798">
      <c r="A2798" s="568" t="n">
        <v>44523</v>
      </c>
      <c r="B2798" s="392" t="n">
        <v>8632</v>
      </c>
      <c r="C2798" s="392" t="n">
        <v>74</v>
      </c>
      <c r="D2798" s="392" t="n"/>
      <c r="E2798" s="392" t="n"/>
      <c r="F2798" s="392" t="n"/>
      <c r="G2798" s="392" t="n">
        <v>20</v>
      </c>
      <c r="H2798" s="446">
        <f>H2797-G2798</f>
        <v/>
      </c>
      <c r="I2798" s="392" t="n"/>
      <c r="J2798" s="392" t="n"/>
      <c r="K2798" s="392" t="n"/>
      <c r="L2798" s="392" t="n"/>
      <c r="M2798" s="392" t="n"/>
    </row>
    <row r="2799">
      <c r="A2799" s="568" t="n">
        <v>44523</v>
      </c>
      <c r="B2799" s="392" t="n">
        <v>8633</v>
      </c>
      <c r="C2799" s="392" t="n">
        <v>73</v>
      </c>
      <c r="D2799" s="392" t="n"/>
      <c r="E2799" s="392" t="n"/>
      <c r="F2799" s="392" t="n"/>
      <c r="G2799" s="392" t="n">
        <v>20</v>
      </c>
      <c r="H2799" s="446">
        <f>H2798-G2799</f>
        <v/>
      </c>
      <c r="I2799" s="392" t="n"/>
      <c r="J2799" s="392" t="n"/>
      <c r="K2799" s="392" t="n"/>
      <c r="L2799" s="392" t="n"/>
      <c r="M2799" s="392" t="n"/>
    </row>
    <row r="2800">
      <c r="A2800" s="568" t="n">
        <v>44523</v>
      </c>
      <c r="B2800" s="392" t="n">
        <v>8634</v>
      </c>
      <c r="C2800" s="392" t="n">
        <v>70</v>
      </c>
      <c r="D2800" s="392" t="n"/>
      <c r="E2800" s="392" t="n"/>
      <c r="F2800" s="392" t="n"/>
      <c r="G2800" s="392" t="n">
        <v>50</v>
      </c>
      <c r="H2800" s="446">
        <f>H2799-G2800</f>
        <v/>
      </c>
      <c r="I2800" s="392" t="n"/>
      <c r="J2800" s="392" t="n"/>
      <c r="K2800" s="392" t="n"/>
      <c r="L2800" s="392" t="n"/>
      <c r="M2800" s="392" t="n"/>
    </row>
    <row r="2801">
      <c r="A2801" s="568" t="n">
        <v>44523</v>
      </c>
      <c r="B2801" s="392" t="n">
        <v>8635</v>
      </c>
      <c r="C2801" s="392" t="n">
        <v>73</v>
      </c>
      <c r="D2801" s="392" t="n"/>
      <c r="E2801" s="392" t="n"/>
      <c r="F2801" s="392" t="n"/>
      <c r="G2801" s="392" t="n">
        <v>20</v>
      </c>
      <c r="H2801" s="446">
        <f>H2800-G2801</f>
        <v/>
      </c>
      <c r="I2801" s="392" t="n"/>
      <c r="J2801" s="392" t="n"/>
      <c r="K2801" s="392" t="n"/>
      <c r="L2801" s="392" t="n"/>
      <c r="M2801" s="392" t="n"/>
    </row>
    <row r="2802">
      <c r="A2802" s="568" t="n">
        <v>44523</v>
      </c>
      <c r="B2802" s="392" t="n">
        <v>8639</v>
      </c>
      <c r="C2802" s="392" t="n">
        <v>73</v>
      </c>
      <c r="D2802" s="392" t="n"/>
      <c r="E2802" s="392" t="n"/>
      <c r="F2802" s="392" t="n"/>
      <c r="G2802" s="392" t="n">
        <v>30</v>
      </c>
      <c r="H2802" s="446">
        <f>H2801-G2802</f>
        <v/>
      </c>
      <c r="I2802" s="392" t="n"/>
      <c r="J2802" s="392" t="n"/>
      <c r="K2802" s="392" t="n"/>
      <c r="L2802" s="392" t="n"/>
      <c r="M2802" s="392" t="n"/>
    </row>
    <row r="2803">
      <c r="A2803" s="568" t="n">
        <v>44523</v>
      </c>
      <c r="B2803" s="392" t="n">
        <v>8640</v>
      </c>
      <c r="C2803" s="392" t="n">
        <v>73.5</v>
      </c>
      <c r="D2803" s="392" t="n"/>
      <c r="E2803" s="392" t="n"/>
      <c r="F2803" s="392" t="n"/>
      <c r="G2803" s="392" t="n">
        <v>34</v>
      </c>
      <c r="H2803" s="446">
        <f>H2802-G2803</f>
        <v/>
      </c>
      <c r="I2803" s="392" t="n"/>
      <c r="J2803" s="392" t="n"/>
      <c r="K2803" s="392" t="n"/>
      <c r="L2803" s="392" t="n"/>
      <c r="M2803" s="392" t="n"/>
    </row>
    <row r="2804">
      <c r="A2804" s="568" t="n">
        <v>44523</v>
      </c>
      <c r="B2804" s="392" t="n">
        <v>8641</v>
      </c>
      <c r="C2804" s="392" t="n">
        <v>73</v>
      </c>
      <c r="D2804" s="392" t="n"/>
      <c r="E2804" s="392" t="n"/>
      <c r="F2804" s="392" t="n"/>
      <c r="G2804" s="392" t="n">
        <v>20</v>
      </c>
      <c r="H2804" s="446">
        <f>H2803-G2804</f>
        <v/>
      </c>
      <c r="I2804" s="392" t="n"/>
      <c r="J2804" s="392" t="n"/>
      <c r="K2804" s="392" t="n"/>
      <c r="L2804" s="392" t="n"/>
      <c r="M2804" s="392" t="n"/>
    </row>
    <row r="2805">
      <c r="A2805" s="568" t="n">
        <v>44523</v>
      </c>
      <c r="B2805" s="392" t="n">
        <v>8646</v>
      </c>
      <c r="C2805" s="392" t="n">
        <v>70</v>
      </c>
      <c r="D2805" s="392" t="n"/>
      <c r="E2805" s="392" t="n"/>
      <c r="F2805" s="392" t="n"/>
      <c r="G2805" s="392" t="n">
        <v>50</v>
      </c>
      <c r="H2805" s="446">
        <f>H2804-G2805</f>
        <v/>
      </c>
      <c r="I2805" s="392" t="n"/>
      <c r="J2805" s="392" t="n"/>
      <c r="K2805" s="392" t="n"/>
      <c r="L2805" s="392" t="n"/>
      <c r="M2805" s="392" t="n"/>
    </row>
    <row r="2806">
      <c r="A2806" s="304" t="n">
        <v>44524</v>
      </c>
      <c r="B2806" s="401" t="n">
        <v>18716</v>
      </c>
      <c r="C2806" s="401" t="n">
        <v>61.4</v>
      </c>
      <c r="D2806" s="401" t="n"/>
      <c r="E2806" s="401" t="n"/>
      <c r="F2806" s="401" t="n">
        <v>1120</v>
      </c>
      <c r="G2806" s="401" t="n"/>
      <c r="H2806" s="322" t="n">
        <v>2594</v>
      </c>
      <c r="I2806" s="392" t="n"/>
      <c r="J2806" s="392" t="n"/>
      <c r="K2806" s="392" t="n"/>
      <c r="L2806" s="392" t="n"/>
      <c r="M2806" s="392" t="n"/>
    </row>
    <row r="2807">
      <c r="A2807" s="304" t="n">
        <v>44526</v>
      </c>
      <c r="B2807" s="401" t="n">
        <v>179015</v>
      </c>
      <c r="C2807" s="401" t="n">
        <v>61</v>
      </c>
      <c r="D2807" s="401" t="n"/>
      <c r="E2807" s="401" t="n"/>
      <c r="F2807" s="401" t="n">
        <v>600</v>
      </c>
      <c r="G2807" s="401" t="n"/>
      <c r="H2807" s="322" t="n">
        <v>3194</v>
      </c>
      <c r="I2807" s="392" t="n"/>
      <c r="J2807" s="392" t="n"/>
      <c r="K2807" s="392" t="n"/>
      <c r="L2807" s="392" t="n"/>
      <c r="M2807" s="392" t="n"/>
    </row>
    <row r="2808">
      <c r="A2808" s="568" t="n">
        <v>44530</v>
      </c>
      <c r="B2808" s="392" t="n">
        <v>8647</v>
      </c>
      <c r="C2808" s="392" t="n">
        <v>75</v>
      </c>
      <c r="D2808" s="392" t="n"/>
      <c r="E2808" s="392" t="n"/>
      <c r="F2808" s="392" t="n"/>
      <c r="G2808" s="392" t="n">
        <v>20</v>
      </c>
      <c r="H2808" s="446">
        <f>H2807-G2808</f>
        <v/>
      </c>
      <c r="I2808" s="392" t="n"/>
      <c r="J2808" s="392" t="n"/>
      <c r="K2808" s="392" t="n"/>
      <c r="L2808" s="392" t="n"/>
      <c r="M2808" s="392" t="n"/>
    </row>
    <row r="2809">
      <c r="A2809" s="568" t="n">
        <v>44530</v>
      </c>
      <c r="B2809" s="392" t="n">
        <v>8648</v>
      </c>
      <c r="C2809" s="392" t="n">
        <v>75</v>
      </c>
      <c r="D2809" s="392" t="n"/>
      <c r="E2809" s="392" t="n"/>
      <c r="F2809" s="392" t="n"/>
      <c r="G2809" s="392" t="n">
        <v>50</v>
      </c>
      <c r="H2809" s="446">
        <f>H2808-G2809</f>
        <v/>
      </c>
      <c r="I2809" s="392" t="n"/>
      <c r="J2809" s="392" t="n"/>
      <c r="K2809" s="392" t="n"/>
      <c r="L2809" s="392" t="n"/>
      <c r="M2809" s="392" t="n"/>
    </row>
    <row r="2810">
      <c r="A2810" s="568" t="n">
        <v>44530</v>
      </c>
      <c r="B2810" s="392" t="n">
        <v>8649</v>
      </c>
      <c r="C2810" s="392" t="n">
        <v>72</v>
      </c>
      <c r="D2810" s="392" t="n"/>
      <c r="E2810" s="392" t="n"/>
      <c r="F2810" s="392" t="n"/>
      <c r="G2810" s="392" t="n">
        <v>70</v>
      </c>
      <c r="H2810" s="446">
        <f>H2809-G2810</f>
        <v/>
      </c>
      <c r="I2810" s="392" t="n"/>
      <c r="J2810" s="392" t="n"/>
      <c r="K2810" s="392" t="n"/>
      <c r="L2810" s="392" t="n"/>
      <c r="M2810" s="392" t="n"/>
    </row>
    <row r="2811">
      <c r="A2811" s="568" t="n">
        <v>44530</v>
      </c>
      <c r="B2811" s="392" t="n">
        <v>8652</v>
      </c>
      <c r="C2811" s="392" t="n">
        <v>73</v>
      </c>
      <c r="D2811" s="392" t="n"/>
      <c r="E2811" s="392" t="n"/>
      <c r="F2811" s="392" t="n"/>
      <c r="G2811" s="392" t="n">
        <v>20</v>
      </c>
      <c r="H2811" s="446">
        <f>H2810-G2811</f>
        <v/>
      </c>
      <c r="I2811" s="392" t="n"/>
      <c r="J2811" s="392" t="n"/>
      <c r="K2811" s="392" t="n"/>
      <c r="L2811" s="392" t="n"/>
      <c r="M2811" s="392" t="n"/>
    </row>
    <row r="2812">
      <c r="A2812" s="568" t="n">
        <v>44530</v>
      </c>
      <c r="B2812" s="392" t="n">
        <v>8654</v>
      </c>
      <c r="C2812" s="392" t="n">
        <v>70</v>
      </c>
      <c r="D2812" s="392" t="n"/>
      <c r="E2812" s="392" t="n"/>
      <c r="F2812" s="392" t="n"/>
      <c r="G2812" s="392" t="n">
        <v>50</v>
      </c>
      <c r="H2812" s="446">
        <f>H2811-G2812</f>
        <v/>
      </c>
      <c r="I2812" s="392" t="n"/>
      <c r="J2812" s="392" t="n"/>
      <c r="K2812" s="392" t="n"/>
      <c r="L2812" s="392" t="n"/>
      <c r="M2812" s="392" t="n"/>
    </row>
    <row r="2813">
      <c r="A2813" s="568" t="n">
        <v>44530</v>
      </c>
      <c r="B2813" s="392" t="n">
        <v>8655</v>
      </c>
      <c r="C2813" s="392" t="n">
        <v>73</v>
      </c>
      <c r="D2813" s="392" t="n"/>
      <c r="E2813" s="392" t="n"/>
      <c r="F2813" s="392" t="n"/>
      <c r="G2813" s="392" t="n">
        <v>30</v>
      </c>
      <c r="H2813" s="446">
        <f>H2812-G2813</f>
        <v/>
      </c>
      <c r="I2813" s="392" t="n"/>
      <c r="J2813" s="392" t="n"/>
      <c r="K2813" s="392" t="n"/>
      <c r="L2813" s="392" t="n"/>
      <c r="M2813" s="392" t="n"/>
    </row>
    <row r="2814">
      <c r="A2814" s="568" t="n">
        <v>44530</v>
      </c>
      <c r="B2814" s="392" t="n">
        <v>8657</v>
      </c>
      <c r="C2814" s="392" t="n">
        <v>73</v>
      </c>
      <c r="D2814" s="392" t="n"/>
      <c r="E2814" s="392" t="n"/>
      <c r="F2814" s="392" t="n"/>
      <c r="G2814" s="392" t="n">
        <v>30</v>
      </c>
      <c r="H2814" s="446">
        <f>H2813-G2814</f>
        <v/>
      </c>
      <c r="I2814" s="392" t="n"/>
      <c r="J2814" s="392" t="n"/>
      <c r="K2814" s="392" t="n"/>
      <c r="L2814" s="392" t="n"/>
      <c r="M2814" s="392" t="n"/>
    </row>
    <row r="2815">
      <c r="A2815" s="568" t="n">
        <v>44530</v>
      </c>
      <c r="B2815" s="392" t="n">
        <v>8658</v>
      </c>
      <c r="C2815" s="392" t="n">
        <v>73</v>
      </c>
      <c r="D2815" s="392" t="n"/>
      <c r="E2815" s="392" t="n"/>
      <c r="F2815" s="392" t="n"/>
      <c r="G2815" s="392" t="n">
        <v>30</v>
      </c>
      <c r="H2815" s="446">
        <f>H2814-G2815</f>
        <v/>
      </c>
      <c r="I2815" s="392" t="n"/>
      <c r="J2815" s="392" t="n"/>
      <c r="K2815" s="392" t="n"/>
      <c r="L2815" s="392" t="n"/>
      <c r="M2815" s="392" t="n"/>
    </row>
    <row r="2816" ht="15.75" customHeight="1" s="436" thickBot="1">
      <c r="H2816" s="390" t="n"/>
    </row>
    <row r="2817" ht="32.25" customHeight="1" s="436" thickBot="1">
      <c r="A2817" s="735" t="inlineStr">
        <is>
          <t>Dezembro</t>
        </is>
      </c>
      <c r="B2817" s="697" t="n"/>
      <c r="C2817" s="697" t="n"/>
      <c r="D2817" s="697" t="n"/>
      <c r="E2817" s="697" t="n"/>
      <c r="F2817" s="697" t="n"/>
      <c r="G2817" s="697" t="n"/>
      <c r="H2817" s="697" t="n"/>
      <c r="I2817" s="697" t="n"/>
      <c r="J2817" s="697" t="n"/>
      <c r="K2817" s="697" t="n"/>
      <c r="L2817" s="697" t="n"/>
      <c r="M2817" s="698" t="n"/>
    </row>
    <row r="2818" ht="27" customHeight="1" s="436" thickBot="1">
      <c r="A2818" s="720" t="inlineStr">
        <is>
          <t xml:space="preserve"> FARINHA DE TRIGO TIPO: 1 - 25 KG</t>
        </is>
      </c>
      <c r="B2818" s="697" t="n"/>
      <c r="C2818" s="697" t="n"/>
      <c r="D2818" s="697" t="n"/>
      <c r="E2818" s="697" t="n"/>
      <c r="F2818" s="697" t="n"/>
      <c r="G2818" s="697" t="n"/>
      <c r="H2818" s="697" t="n"/>
      <c r="I2818" s="697" t="n"/>
      <c r="J2818" s="697" t="n"/>
      <c r="K2818" s="697" t="n"/>
      <c r="L2818" s="697" t="n"/>
      <c r="M2818" s="698" t="n"/>
    </row>
    <row r="2819">
      <c r="A2819" s="643" t="inlineStr">
        <is>
          <t>DATA</t>
        </is>
      </c>
      <c r="B2819" s="633" t="inlineStr">
        <is>
          <t>N.F.</t>
        </is>
      </c>
      <c r="C2819" s="633" t="inlineStr">
        <is>
          <t>TIPO</t>
        </is>
      </c>
      <c r="D2819" s="633" t="inlineStr">
        <is>
          <t>PREÇO UNITÁRIO</t>
        </is>
      </c>
      <c r="E2819" s="701" t="n"/>
      <c r="F2819" s="633" t="inlineStr">
        <is>
          <t>QUANTIDADE / KG</t>
        </is>
      </c>
      <c r="H2819" s="701" t="n"/>
      <c r="I2819" s="632" t="inlineStr">
        <is>
          <t>PREÇO</t>
        </is>
      </c>
      <c r="J2819" s="632" t="inlineStr">
        <is>
          <t>VALORES</t>
        </is>
      </c>
      <c r="L2819" s="701" t="n"/>
      <c r="M2819" s="649" t="n"/>
    </row>
    <row r="2820" ht="15.75" customHeight="1" s="436" thickBot="1">
      <c r="A2820" s="703" t="n"/>
      <c r="B2820" s="704" t="n"/>
      <c r="C2820" s="704" t="n"/>
      <c r="D2820" s="703" t="n"/>
      <c r="E2820" s="701" t="n"/>
      <c r="F2820" s="705" t="n"/>
      <c r="G2820" s="706" t="n"/>
      <c r="H2820" s="707" t="n"/>
      <c r="I2820" s="704" t="n"/>
      <c r="J2820" s="703" t="n"/>
      <c r="L2820" s="701" t="n"/>
      <c r="M2820" s="704" t="n"/>
    </row>
    <row r="2821" ht="15.75" customHeight="1" s="436" thickBot="1">
      <c r="A2821" s="703" t="n"/>
      <c r="B2821" s="704" t="n"/>
      <c r="C2821" s="704" t="n"/>
      <c r="D2821" s="705" t="n"/>
      <c r="E2821" s="707" t="n"/>
      <c r="F2821" s="3" t="inlineStr">
        <is>
          <t>ENTRADA</t>
        </is>
      </c>
      <c r="G2821" s="3" t="inlineStr">
        <is>
          <t>SAÍDA</t>
        </is>
      </c>
      <c r="H2821" s="640" t="n"/>
      <c r="I2821" s="633" t="inlineStr">
        <is>
          <t>MÉDIO</t>
        </is>
      </c>
      <c r="J2821" s="652" t="inlineStr">
        <is>
          <t>SALDO EM 30/11/2017</t>
        </is>
      </c>
      <c r="K2821" s="706" t="n"/>
      <c r="L2821" s="17" t="n"/>
      <c r="M2821" s="704" t="n"/>
    </row>
    <row r="2822" ht="18" customHeight="1" s="436" thickBot="1">
      <c r="A2822" s="705" t="n"/>
      <c r="B2822" s="695" t="n"/>
      <c r="C2822" s="695" t="n"/>
      <c r="D2822" s="3" t="inlineStr">
        <is>
          <t>C/ICMS</t>
        </is>
      </c>
      <c r="E2822" s="3" t="inlineStr">
        <is>
          <t>S/ICMS</t>
        </is>
      </c>
      <c r="F2822" s="695" t="n"/>
      <c r="G2822" s="695" t="n"/>
      <c r="H2822" s="84" t="inlineStr">
        <is>
          <t>Saldo em 30/11/2021</t>
        </is>
      </c>
      <c r="I2822" s="695" t="n"/>
      <c r="J2822" s="645" t="inlineStr">
        <is>
          <t>ENTRADA</t>
        </is>
      </c>
      <c r="K2822" s="633" t="inlineStr">
        <is>
          <t>SAÍDA / CMV</t>
        </is>
      </c>
      <c r="L2822" s="643" t="inlineStr">
        <is>
          <t>SALDO</t>
        </is>
      </c>
      <c r="M2822" s="392" t="n"/>
    </row>
    <row r="2823">
      <c r="A2823" s="392" t="n"/>
      <c r="B2823" s="392" t="n"/>
      <c r="C2823" s="392" t="n"/>
      <c r="D2823" s="392" t="n"/>
      <c r="E2823" s="392" t="n"/>
      <c r="F2823" s="392" t="n"/>
      <c r="G2823" s="392" t="n"/>
      <c r="H2823" s="446" t="n">
        <v>2894</v>
      </c>
      <c r="I2823" s="392" t="n"/>
      <c r="J2823" s="392" t="n"/>
      <c r="K2823" s="392" t="n"/>
      <c r="L2823" s="392" t="n"/>
      <c r="M2823" s="392" t="n"/>
    </row>
    <row r="2824">
      <c r="A2824" s="568" t="n"/>
      <c r="B2824" s="392" t="n"/>
      <c r="C2824" s="392" t="n"/>
      <c r="D2824" s="392" t="n"/>
      <c r="E2824" s="392" t="n"/>
      <c r="F2824" s="392" t="n"/>
      <c r="G2824" s="392" t="n"/>
      <c r="H2824" s="446" t="n">
        <v>2894</v>
      </c>
      <c r="I2824" s="392" t="n"/>
      <c r="J2824" s="392" t="n"/>
      <c r="K2824" s="392" t="n"/>
      <c r="L2824" s="392" t="n"/>
      <c r="M2824" s="392" t="n"/>
    </row>
    <row r="2825">
      <c r="A2825" s="568" t="n">
        <v>44531</v>
      </c>
      <c r="B2825" s="392" t="n">
        <v>8659</v>
      </c>
      <c r="C2825" s="392" t="n">
        <v>74</v>
      </c>
      <c r="D2825" s="392" t="n"/>
      <c r="E2825" s="392" t="n"/>
      <c r="F2825" s="392" t="n"/>
      <c r="G2825" s="392" t="n">
        <v>50</v>
      </c>
      <c r="H2825" s="446">
        <f>H2824-G2825</f>
        <v/>
      </c>
      <c r="I2825" s="392" t="n"/>
      <c r="J2825" s="392" t="n"/>
      <c r="K2825" s="392" t="n"/>
      <c r="L2825" s="392" t="n"/>
      <c r="M2825" s="392" t="n"/>
    </row>
    <row r="2826">
      <c r="A2826" s="568" t="n">
        <v>44531</v>
      </c>
      <c r="B2826" s="392" t="n">
        <v>8661</v>
      </c>
      <c r="C2826" s="392" t="n">
        <v>74.5</v>
      </c>
      <c r="D2826" s="392" t="n"/>
      <c r="E2826" s="392" t="n"/>
      <c r="F2826" s="392" t="n"/>
      <c r="G2826" s="392" t="n">
        <v>20</v>
      </c>
      <c r="H2826" s="446">
        <f>H2825-G2826</f>
        <v/>
      </c>
      <c r="I2826" s="392" t="n"/>
      <c r="J2826" s="392" t="n"/>
      <c r="K2826" s="392" t="n"/>
      <c r="L2826" s="392" t="n"/>
      <c r="M2826" s="392" t="n"/>
    </row>
    <row r="2827">
      <c r="A2827" s="568" t="n">
        <v>44532</v>
      </c>
      <c r="B2827" s="392" t="n">
        <v>8665</v>
      </c>
      <c r="C2827" s="392" t="n">
        <v>73</v>
      </c>
      <c r="D2827" s="392" t="n"/>
      <c r="E2827" s="392" t="n"/>
      <c r="F2827" s="392" t="n"/>
      <c r="G2827" s="392" t="n">
        <v>20</v>
      </c>
      <c r="H2827" s="446">
        <f>H2826-G2827</f>
        <v/>
      </c>
      <c r="I2827" s="392" t="n"/>
      <c r="J2827" s="392" t="n"/>
      <c r="K2827" s="392" t="n"/>
      <c r="L2827" s="392" t="n"/>
      <c r="M2827" s="392" t="n"/>
    </row>
    <row r="2828">
      <c r="A2828" s="304" t="n">
        <v>44896</v>
      </c>
      <c r="B2828" s="401" t="n">
        <v>180175</v>
      </c>
      <c r="C2828" s="401" t="n">
        <v>60</v>
      </c>
      <c r="D2828" s="401" t="n"/>
      <c r="E2828" s="401" t="n">
        <v>200</v>
      </c>
      <c r="F2828" s="401" t="n"/>
      <c r="G2828" s="401" t="n"/>
      <c r="H2828" s="322" t="n">
        <v>3004</v>
      </c>
      <c r="I2828" s="392" t="n"/>
      <c r="J2828" s="392" t="n"/>
      <c r="K2828" s="392" t="n"/>
      <c r="L2828" s="392" t="n"/>
      <c r="M2828" s="392" t="n"/>
    </row>
    <row r="2829">
      <c r="A2829" s="568" t="n">
        <v>44536</v>
      </c>
      <c r="B2829" s="392" t="n">
        <v>8666</v>
      </c>
      <c r="C2829" s="392" t="n">
        <v>70</v>
      </c>
      <c r="D2829" s="392" t="n"/>
      <c r="E2829" s="392" t="n"/>
      <c r="F2829" s="392" t="n"/>
      <c r="G2829" s="392" t="n">
        <v>220</v>
      </c>
      <c r="H2829" s="446">
        <f>H2828-G2829</f>
        <v/>
      </c>
      <c r="I2829" s="392" t="n"/>
      <c r="J2829" s="392" t="n"/>
      <c r="K2829" s="392" t="n"/>
      <c r="L2829" s="392" t="n"/>
      <c r="M2829" s="392" t="n"/>
    </row>
    <row r="2830">
      <c r="A2830" s="568" t="n">
        <v>44536</v>
      </c>
      <c r="B2830" s="392" t="n">
        <v>8667</v>
      </c>
      <c r="C2830" s="392" t="n">
        <v>72</v>
      </c>
      <c r="D2830" s="392" t="n"/>
      <c r="E2830" s="392" t="n"/>
      <c r="F2830" s="392" t="n"/>
      <c r="G2830" s="392" t="n">
        <v>30</v>
      </c>
      <c r="H2830" s="446">
        <f>H2829-G2830</f>
        <v/>
      </c>
      <c r="I2830" s="392" t="n"/>
      <c r="J2830" s="392" t="n"/>
      <c r="K2830" s="392" t="n"/>
      <c r="L2830" s="392" t="n"/>
      <c r="M2830" s="392" t="n"/>
    </row>
    <row r="2831">
      <c r="A2831" s="568" t="n">
        <v>44536</v>
      </c>
      <c r="B2831" s="392" t="n">
        <v>8668</v>
      </c>
      <c r="C2831" s="392" t="n">
        <v>73</v>
      </c>
      <c r="D2831" s="392" t="n"/>
      <c r="E2831" s="392" t="n"/>
      <c r="F2831" s="392" t="n"/>
      <c r="G2831" s="392" t="n">
        <v>50</v>
      </c>
      <c r="H2831" s="446">
        <f>H2830-G2831</f>
        <v/>
      </c>
      <c r="I2831" s="392" t="n"/>
      <c r="J2831" s="392" t="n"/>
      <c r="K2831" s="392" t="n"/>
      <c r="L2831" s="392" t="n"/>
      <c r="M2831" s="392" t="n"/>
    </row>
    <row r="2832">
      <c r="A2832" s="568" t="n">
        <v>44536</v>
      </c>
      <c r="B2832" s="392" t="n">
        <v>8671</v>
      </c>
      <c r="C2832" s="392" t="n">
        <v>70</v>
      </c>
      <c r="D2832" s="392" t="n"/>
      <c r="E2832" s="392" t="n"/>
      <c r="F2832" s="392" t="n"/>
      <c r="G2832" s="392" t="n">
        <v>20</v>
      </c>
      <c r="H2832" s="446">
        <f>H2831-G2832</f>
        <v/>
      </c>
      <c r="I2832" s="392" t="n"/>
      <c r="J2832" s="392" t="n"/>
      <c r="K2832" s="392" t="n"/>
      <c r="L2832" s="392" t="n"/>
      <c r="M2832" s="392" t="n"/>
    </row>
    <row r="2833">
      <c r="A2833" s="568" t="n">
        <v>44536</v>
      </c>
      <c r="B2833" s="392" t="n">
        <v>8673</v>
      </c>
      <c r="C2833" s="392" t="n">
        <v>77.5</v>
      </c>
      <c r="D2833" s="392" t="n"/>
      <c r="E2833" s="392" t="n"/>
      <c r="F2833" s="392" t="n"/>
      <c r="G2833" s="392" t="n">
        <v>10</v>
      </c>
      <c r="H2833" s="446">
        <f>H2832-G2833</f>
        <v/>
      </c>
      <c r="I2833" s="392" t="n"/>
      <c r="J2833" s="392" t="n"/>
      <c r="K2833" s="392" t="n"/>
      <c r="L2833" s="392" t="n"/>
      <c r="M2833" s="392" t="n"/>
    </row>
    <row r="2834">
      <c r="A2834" s="568" t="n">
        <v>44536</v>
      </c>
      <c r="B2834" s="392" t="n">
        <v>8674</v>
      </c>
      <c r="C2834" s="392" t="n">
        <v>75</v>
      </c>
      <c r="D2834" s="392" t="n"/>
      <c r="E2834" s="392" t="n"/>
      <c r="F2834" s="392" t="n"/>
      <c r="G2834" s="392" t="n">
        <v>20</v>
      </c>
      <c r="H2834" s="446">
        <f>H2833-G2834</f>
        <v/>
      </c>
      <c r="I2834" s="392" t="n"/>
      <c r="J2834" s="392" t="n"/>
      <c r="K2834" s="392" t="n"/>
      <c r="L2834" s="392" t="n"/>
      <c r="M2834" s="392" t="n"/>
    </row>
    <row r="2835">
      <c r="A2835" s="568" t="n">
        <v>44538</v>
      </c>
      <c r="B2835" s="392" t="n">
        <v>8676</v>
      </c>
      <c r="C2835" s="392" t="n">
        <v>68</v>
      </c>
      <c r="D2835" s="392" t="n"/>
      <c r="E2835" s="392" t="n"/>
      <c r="F2835" s="392" t="n"/>
      <c r="G2835" s="392" t="n">
        <v>200</v>
      </c>
      <c r="H2835" s="446">
        <f>H2834-G2835</f>
        <v/>
      </c>
      <c r="I2835" s="392" t="n"/>
      <c r="J2835" s="392" t="n"/>
      <c r="K2835" s="392" t="n"/>
      <c r="L2835" s="392" t="n"/>
      <c r="M2835" s="392" t="n"/>
    </row>
    <row r="2836">
      <c r="A2836" s="568" t="n">
        <v>44538</v>
      </c>
      <c r="B2836" s="392" t="n">
        <v>8677</v>
      </c>
      <c r="C2836" s="392" t="n">
        <v>68</v>
      </c>
      <c r="D2836" s="392" t="n"/>
      <c r="E2836" s="392" t="n"/>
      <c r="F2836" s="392" t="n"/>
      <c r="G2836" s="392" t="n">
        <v>200</v>
      </c>
      <c r="H2836" s="446">
        <f>H2835-G2836</f>
        <v/>
      </c>
      <c r="I2836" s="392" t="n"/>
      <c r="J2836" s="392" t="n"/>
      <c r="K2836" s="392" t="n"/>
      <c r="L2836" s="392" t="n"/>
      <c r="M2836" s="392" t="n"/>
    </row>
    <row r="2837">
      <c r="A2837" s="568" t="n">
        <v>44539</v>
      </c>
      <c r="B2837" s="392" t="n">
        <v>8678</v>
      </c>
      <c r="C2837" s="392" t="n">
        <v>74</v>
      </c>
      <c r="D2837" s="392" t="n"/>
      <c r="E2837" s="392" t="n"/>
      <c r="F2837" s="392" t="n"/>
      <c r="G2837" s="392" t="n">
        <v>30</v>
      </c>
      <c r="H2837" s="446">
        <f>H2836-G2837</f>
        <v/>
      </c>
      <c r="I2837" s="392" t="n"/>
      <c r="J2837" s="392" t="n"/>
      <c r="K2837" s="392" t="n"/>
      <c r="L2837" s="392" t="n"/>
      <c r="M2837" s="392" t="n"/>
    </row>
    <row r="2838">
      <c r="A2838" s="568" t="n">
        <v>44539</v>
      </c>
      <c r="B2838" s="392" t="n">
        <v>8679</v>
      </c>
      <c r="C2838" s="392" t="n">
        <v>75</v>
      </c>
      <c r="D2838" s="392" t="n"/>
      <c r="E2838" s="392" t="n"/>
      <c r="F2838" s="392" t="n"/>
      <c r="G2838" s="392" t="n">
        <v>20</v>
      </c>
      <c r="H2838" s="446">
        <f>H2837-G2838</f>
        <v/>
      </c>
      <c r="I2838" s="392" t="n"/>
      <c r="J2838" s="392" t="n"/>
      <c r="K2838" s="392" t="n"/>
      <c r="L2838" s="392" t="n"/>
      <c r="M2838" s="392" t="n"/>
    </row>
    <row r="2839">
      <c r="A2839" s="568" t="n">
        <v>44539</v>
      </c>
      <c r="B2839" s="392" t="n">
        <v>8680</v>
      </c>
      <c r="C2839" s="392" t="n">
        <v>72</v>
      </c>
      <c r="D2839" s="392" t="n"/>
      <c r="E2839" s="392" t="n"/>
      <c r="F2839" s="392" t="n"/>
      <c r="G2839" s="392" t="n">
        <v>50</v>
      </c>
      <c r="H2839" s="446">
        <f>H2838-G2839</f>
        <v/>
      </c>
      <c r="I2839" s="392" t="n"/>
      <c r="J2839" s="392" t="n"/>
      <c r="K2839" s="392" t="n"/>
      <c r="L2839" s="392" t="n"/>
      <c r="M2839" s="392" t="n"/>
    </row>
    <row r="2840">
      <c r="A2840" s="568" t="n">
        <v>44539</v>
      </c>
      <c r="B2840" s="392" t="n">
        <v>8684</v>
      </c>
      <c r="C2840" s="392" t="n">
        <v>77.5</v>
      </c>
      <c r="D2840" s="392" t="n"/>
      <c r="E2840" s="392" t="n"/>
      <c r="F2840" s="392" t="n"/>
      <c r="G2840" s="392" t="n">
        <v>40</v>
      </c>
      <c r="H2840" s="446">
        <f>H2839-G2840</f>
        <v/>
      </c>
      <c r="I2840" s="392" t="n"/>
      <c r="J2840" s="392" t="n"/>
      <c r="K2840" s="392" t="n"/>
      <c r="L2840" s="392" t="n"/>
      <c r="M2840" s="392" t="n"/>
    </row>
    <row r="2841">
      <c r="A2841" s="568" t="n">
        <v>44539</v>
      </c>
      <c r="B2841" s="392" t="n">
        <v>8685</v>
      </c>
      <c r="C2841" s="392" t="n">
        <v>73</v>
      </c>
      <c r="D2841" s="392" t="n"/>
      <c r="E2841" s="392" t="n"/>
      <c r="F2841" s="392" t="n"/>
      <c r="G2841" s="392" t="n">
        <v>20</v>
      </c>
      <c r="H2841" s="446">
        <f>H2840-G2841</f>
        <v/>
      </c>
      <c r="I2841" s="392" t="n"/>
      <c r="J2841" s="392" t="n"/>
      <c r="K2841" s="392" t="n"/>
      <c r="L2841" s="392" t="n"/>
      <c r="M2841" s="392" t="n"/>
    </row>
    <row r="2842">
      <c r="A2842" s="568" t="n">
        <v>44539</v>
      </c>
      <c r="B2842" s="392" t="n">
        <v>8688</v>
      </c>
      <c r="C2842" s="392" t="n">
        <v>72</v>
      </c>
      <c r="D2842" s="392" t="n"/>
      <c r="E2842" s="392" t="n"/>
      <c r="F2842" s="392" t="n"/>
      <c r="G2842" s="392" t="n">
        <v>20</v>
      </c>
      <c r="H2842" s="446">
        <f>H2841-G2842</f>
        <v/>
      </c>
      <c r="I2842" s="392" t="n"/>
      <c r="J2842" s="392" t="n"/>
      <c r="K2842" s="392" t="n"/>
      <c r="L2842" s="392" t="n"/>
      <c r="M2842" s="392" t="n"/>
    </row>
    <row r="2843">
      <c r="A2843" s="568" t="n">
        <v>44543</v>
      </c>
      <c r="B2843" s="392" t="n">
        <v>8693</v>
      </c>
      <c r="C2843" s="392" t="n">
        <v>73</v>
      </c>
      <c r="D2843" s="392" t="n"/>
      <c r="E2843" s="392" t="n"/>
      <c r="F2843" s="392" t="n"/>
      <c r="G2843" s="392" t="n">
        <v>100</v>
      </c>
      <c r="H2843" s="446">
        <f>H2842-G2843</f>
        <v/>
      </c>
      <c r="I2843" s="392" t="n"/>
      <c r="J2843" s="392" t="n"/>
      <c r="K2843" s="392" t="n"/>
      <c r="L2843" s="392" t="n"/>
      <c r="M2843" s="392" t="n"/>
    </row>
    <row r="2844">
      <c r="A2844" s="568" t="n">
        <v>44543</v>
      </c>
      <c r="B2844" s="392" t="n">
        <v>8695</v>
      </c>
      <c r="C2844" s="392" t="n">
        <v>70</v>
      </c>
      <c r="D2844" s="392" t="n"/>
      <c r="E2844" s="392" t="n"/>
      <c r="F2844" s="392" t="n"/>
      <c r="G2844" s="392" t="n">
        <v>100</v>
      </c>
      <c r="H2844" s="446">
        <f>H2843-G2844</f>
        <v/>
      </c>
      <c r="I2844" s="392" t="n"/>
      <c r="J2844" s="392" t="n"/>
      <c r="K2844" s="392" t="n"/>
      <c r="L2844" s="392" t="n"/>
      <c r="M2844" s="392" t="n"/>
    </row>
    <row r="2845">
      <c r="A2845" s="568" t="n">
        <v>44543</v>
      </c>
      <c r="B2845" s="392" t="n">
        <v>8696</v>
      </c>
      <c r="C2845" s="392" t="n">
        <v>72</v>
      </c>
      <c r="D2845" s="392" t="n"/>
      <c r="E2845" s="392" t="n"/>
      <c r="F2845" s="392" t="n"/>
      <c r="G2845" s="392" t="n">
        <v>40</v>
      </c>
      <c r="H2845" s="446">
        <f>H2844-G2845</f>
        <v/>
      </c>
      <c r="I2845" s="392" t="n"/>
      <c r="J2845" s="392" t="n"/>
      <c r="K2845" s="392" t="n"/>
      <c r="L2845" s="392" t="n"/>
      <c r="M2845" s="392" t="n"/>
    </row>
    <row r="2846">
      <c r="A2846" s="568" t="n">
        <v>44543</v>
      </c>
      <c r="B2846" s="392" t="n">
        <v>8697</v>
      </c>
      <c r="C2846" s="392" t="n">
        <v>73</v>
      </c>
      <c r="D2846" s="392" t="n"/>
      <c r="E2846" s="392" t="n"/>
      <c r="F2846" s="392" t="n"/>
      <c r="G2846" s="392" t="n">
        <v>40</v>
      </c>
      <c r="H2846" s="446">
        <f>H2845-G2846</f>
        <v/>
      </c>
      <c r="I2846" s="392" t="n"/>
      <c r="J2846" s="392" t="n"/>
      <c r="K2846" s="392" t="n"/>
      <c r="L2846" s="392" t="n"/>
      <c r="M2846" s="392" t="n"/>
    </row>
    <row r="2847">
      <c r="A2847" s="568" t="n">
        <v>44544</v>
      </c>
      <c r="B2847" s="392" t="n">
        <v>8698</v>
      </c>
      <c r="C2847" s="392" t="n">
        <v>75</v>
      </c>
      <c r="D2847" s="392" t="n"/>
      <c r="E2847" s="392" t="n"/>
      <c r="F2847" s="392" t="n"/>
      <c r="G2847" s="392" t="n">
        <v>40</v>
      </c>
      <c r="H2847" s="446">
        <f>H2846-G2847</f>
        <v/>
      </c>
      <c r="I2847" s="392" t="n"/>
      <c r="J2847" s="392" t="n"/>
      <c r="K2847" s="392" t="n"/>
      <c r="L2847" s="392" t="n"/>
      <c r="M2847" s="392" t="n"/>
    </row>
    <row r="2848">
      <c r="A2848" s="568" t="n">
        <v>44544</v>
      </c>
      <c r="B2848" s="392" t="n">
        <v>8699</v>
      </c>
      <c r="C2848" s="392" t="n">
        <v>72</v>
      </c>
      <c r="D2848" s="392" t="n"/>
      <c r="E2848" s="392" t="n"/>
      <c r="F2848" s="392" t="n"/>
      <c r="G2848" s="392" t="n">
        <v>20</v>
      </c>
      <c r="H2848" s="446">
        <f>H2847-G2848</f>
        <v/>
      </c>
      <c r="I2848" s="392" t="n"/>
      <c r="J2848" s="392" t="n"/>
      <c r="K2848" s="392" t="n"/>
      <c r="L2848" s="392" t="n"/>
      <c r="M2848" s="392" t="n"/>
    </row>
    <row r="2849">
      <c r="A2849" s="568" t="n">
        <v>44544</v>
      </c>
      <c r="B2849" s="392" t="n">
        <v>8700</v>
      </c>
      <c r="C2849" s="392" t="n">
        <v>75</v>
      </c>
      <c r="D2849" s="392" t="n"/>
      <c r="E2849" s="392" t="n"/>
      <c r="F2849" s="392" t="n"/>
      <c r="G2849" s="392" t="n">
        <v>30</v>
      </c>
      <c r="H2849" s="446">
        <f>H2848-G2849</f>
        <v/>
      </c>
      <c r="I2849" s="392" t="n"/>
      <c r="J2849" s="392" t="n"/>
      <c r="K2849" s="392" t="n"/>
      <c r="L2849" s="392" t="n"/>
      <c r="M2849" s="392" t="n"/>
    </row>
    <row r="2850">
      <c r="A2850" s="568" t="n">
        <v>44544</v>
      </c>
      <c r="B2850" s="392" t="n">
        <v>8701</v>
      </c>
      <c r="C2850" s="392" t="n">
        <v>73</v>
      </c>
      <c r="D2850" s="392" t="n"/>
      <c r="E2850" s="392" t="n"/>
      <c r="F2850" s="392" t="n"/>
      <c r="G2850" s="392" t="n">
        <v>40</v>
      </c>
      <c r="H2850" s="446">
        <f>H2849-G2850</f>
        <v/>
      </c>
      <c r="I2850" s="392" t="n"/>
      <c r="J2850" s="392" t="n"/>
      <c r="K2850" s="392" t="n"/>
      <c r="L2850" s="392" t="n"/>
      <c r="M2850" s="392" t="n"/>
    </row>
    <row r="2851">
      <c r="A2851" s="568" t="n">
        <v>44544</v>
      </c>
      <c r="B2851" s="392" t="n">
        <v>8702</v>
      </c>
      <c r="C2851" s="392" t="n">
        <v>75.43000000000001</v>
      </c>
      <c r="D2851" s="392" t="n"/>
      <c r="E2851" s="392" t="n"/>
      <c r="F2851" s="392" t="n"/>
      <c r="G2851" s="392" t="n">
        <v>35</v>
      </c>
      <c r="H2851" s="446">
        <f>H2850-G2851</f>
        <v/>
      </c>
      <c r="I2851" s="392" t="n"/>
      <c r="J2851" s="392" t="n"/>
      <c r="K2851" s="392" t="n"/>
      <c r="L2851" s="392" t="n"/>
      <c r="M2851" s="392" t="n"/>
    </row>
    <row r="2852">
      <c r="A2852" s="568" t="n">
        <v>44544</v>
      </c>
      <c r="B2852" s="392" t="n">
        <v>8703</v>
      </c>
      <c r="C2852" s="392" t="n">
        <v>76</v>
      </c>
      <c r="D2852" s="392" t="n"/>
      <c r="E2852" s="392" t="n"/>
      <c r="F2852" s="392" t="n"/>
      <c r="G2852" s="392" t="n">
        <v>50</v>
      </c>
      <c r="H2852" s="446">
        <f>H2851-G2852</f>
        <v/>
      </c>
      <c r="I2852" s="392" t="n"/>
      <c r="J2852" s="392" t="n"/>
      <c r="K2852" s="392" t="n"/>
      <c r="L2852" s="392" t="n"/>
      <c r="M2852" s="392" t="n"/>
    </row>
    <row r="2853">
      <c r="A2853" s="568" t="n">
        <v>44544</v>
      </c>
      <c r="B2853" s="392" t="n">
        <v>8703</v>
      </c>
      <c r="C2853" s="392" t="n">
        <v>76.66</v>
      </c>
      <c r="D2853" s="392" t="n"/>
      <c r="E2853" s="392" t="n"/>
      <c r="F2853" s="392" t="n"/>
      <c r="G2853" s="392" t="n">
        <v>30</v>
      </c>
      <c r="H2853" s="446">
        <f>H2852-G2853</f>
        <v/>
      </c>
      <c r="I2853" s="392" t="n"/>
      <c r="J2853" s="392" t="n"/>
      <c r="K2853" s="392" t="n"/>
      <c r="L2853" s="392" t="n"/>
      <c r="M2853" s="392" t="n"/>
    </row>
    <row r="2854">
      <c r="A2854" s="568" t="n">
        <v>44544</v>
      </c>
      <c r="B2854" s="392" t="n">
        <v>8707</v>
      </c>
      <c r="C2854" s="392" t="n">
        <v>75</v>
      </c>
      <c r="D2854" s="392" t="n"/>
      <c r="E2854" s="392" t="n"/>
      <c r="F2854" s="392" t="n"/>
      <c r="G2854" s="392" t="n">
        <v>50</v>
      </c>
      <c r="H2854" s="446">
        <f>H2853-G2854</f>
        <v/>
      </c>
      <c r="I2854" s="392" t="n"/>
      <c r="J2854" s="392" t="n"/>
      <c r="K2854" s="392" t="n"/>
      <c r="L2854" s="392" t="n"/>
      <c r="M2854" s="392" t="n"/>
    </row>
    <row r="2855">
      <c r="A2855" s="568" t="n">
        <v>44545</v>
      </c>
      <c r="B2855" s="392" t="n">
        <v>8709</v>
      </c>
      <c r="C2855" s="392" t="n">
        <v>74</v>
      </c>
      <c r="D2855" s="392" t="n"/>
      <c r="E2855" s="392" t="n"/>
      <c r="F2855" s="392" t="n"/>
      <c r="G2855" s="392" t="n">
        <v>15</v>
      </c>
      <c r="H2855" s="446">
        <f>H2854-G2855</f>
        <v/>
      </c>
      <c r="I2855" s="392" t="n"/>
      <c r="J2855" s="392" t="n"/>
      <c r="K2855" s="392" t="n"/>
      <c r="L2855" s="392" t="n"/>
      <c r="M2855" s="392" t="n"/>
    </row>
    <row r="2856">
      <c r="A2856" s="568" t="n">
        <v>44545</v>
      </c>
      <c r="B2856" s="392" t="n">
        <v>8711</v>
      </c>
      <c r="C2856" s="392" t="n">
        <v>75</v>
      </c>
      <c r="D2856" s="392" t="n"/>
      <c r="E2856" s="392" t="n"/>
      <c r="F2856" s="392" t="n"/>
      <c r="G2856" s="392" t="n">
        <v>20</v>
      </c>
      <c r="H2856" s="446">
        <f>H2855-G2856</f>
        <v/>
      </c>
      <c r="I2856" s="392" t="n"/>
      <c r="J2856" s="392" t="n"/>
      <c r="K2856" s="392" t="n"/>
      <c r="L2856" s="392" t="n"/>
      <c r="M2856" s="392" t="n"/>
    </row>
    <row r="2857">
      <c r="A2857" s="568" t="n">
        <v>44545</v>
      </c>
      <c r="B2857" s="392" t="n">
        <v>8712</v>
      </c>
      <c r="C2857" s="392" t="n">
        <v>76.23</v>
      </c>
      <c r="D2857" s="392" t="n"/>
      <c r="E2857" s="392" t="n"/>
      <c r="F2857" s="392" t="n"/>
      <c r="G2857" s="392" t="n">
        <v>22</v>
      </c>
      <c r="H2857" s="446">
        <f>H2856-G2857</f>
        <v/>
      </c>
      <c r="I2857" s="392" t="n"/>
      <c r="J2857" s="392" t="n"/>
      <c r="K2857" s="392" t="n"/>
      <c r="L2857" s="392" t="n"/>
      <c r="M2857" s="392" t="n"/>
    </row>
    <row r="2858">
      <c r="A2858" s="568" t="n">
        <v>44545</v>
      </c>
      <c r="B2858" s="392" t="n">
        <v>8714</v>
      </c>
      <c r="C2858" s="392" t="n">
        <v>60</v>
      </c>
      <c r="D2858" s="392" t="n"/>
      <c r="E2858" s="392" t="n"/>
      <c r="F2858" s="392" t="n"/>
      <c r="G2858" s="392" t="n">
        <v>75</v>
      </c>
      <c r="H2858" s="446">
        <f>H2857-G2858</f>
        <v/>
      </c>
      <c r="I2858" s="392" t="n"/>
      <c r="J2858" s="392" t="n"/>
      <c r="K2858" s="392" t="n"/>
      <c r="L2858" s="392" t="n"/>
      <c r="M2858" s="392" t="n"/>
    </row>
    <row r="2859">
      <c r="A2859" s="568" t="n">
        <v>44545</v>
      </c>
      <c r="B2859" s="392" t="n">
        <v>8715</v>
      </c>
      <c r="C2859" s="392" t="n">
        <v>75</v>
      </c>
      <c r="D2859" s="392" t="n"/>
      <c r="E2859" s="392" t="n"/>
      <c r="F2859" s="392" t="n"/>
      <c r="G2859" s="392" t="n">
        <v>30</v>
      </c>
      <c r="H2859" s="446">
        <f>H2858-G2859</f>
        <v/>
      </c>
      <c r="I2859" s="392" t="n"/>
      <c r="J2859" s="392" t="n"/>
      <c r="K2859" s="392" t="n"/>
      <c r="L2859" s="392" t="n"/>
      <c r="M2859" s="392" t="n"/>
    </row>
    <row r="2860">
      <c r="A2860" s="568" t="n">
        <v>44545</v>
      </c>
      <c r="B2860" s="392" t="n">
        <v>8716</v>
      </c>
      <c r="C2860" s="392" t="n">
        <v>72</v>
      </c>
      <c r="D2860" s="392" t="n"/>
      <c r="E2860" s="392" t="n"/>
      <c r="F2860" s="392" t="n"/>
      <c r="G2860" s="392" t="n">
        <v>10</v>
      </c>
      <c r="H2860" s="446">
        <f>H2859-G2860</f>
        <v/>
      </c>
      <c r="I2860" s="392" t="n"/>
      <c r="J2860" s="392" t="n"/>
      <c r="K2860" s="392" t="n"/>
      <c r="L2860" s="392" t="n"/>
      <c r="M2860" s="392" t="n"/>
    </row>
    <row r="2861">
      <c r="A2861" s="568" t="n">
        <v>44545</v>
      </c>
      <c r="B2861" s="392" t="n">
        <v>8717</v>
      </c>
      <c r="C2861" s="392" t="n">
        <v>75</v>
      </c>
      <c r="D2861" s="392" t="n"/>
      <c r="E2861" s="392" t="n"/>
      <c r="F2861" s="392" t="n"/>
      <c r="G2861" s="392" t="n">
        <v>20</v>
      </c>
      <c r="H2861" s="446">
        <f>H2860-G2861</f>
        <v/>
      </c>
      <c r="I2861" s="392" t="n"/>
      <c r="J2861" s="392" t="n"/>
      <c r="K2861" s="392" t="n"/>
      <c r="L2861" s="392" t="n"/>
      <c r="M2861" s="392" t="n"/>
    </row>
    <row r="2862">
      <c r="A2862" s="568" t="n">
        <v>44545</v>
      </c>
      <c r="B2862" s="392" t="n">
        <v>8718</v>
      </c>
      <c r="C2862" s="392" t="n">
        <v>75</v>
      </c>
      <c r="D2862" s="392" t="n"/>
      <c r="E2862" s="392" t="n"/>
      <c r="F2862" s="392" t="n"/>
      <c r="G2862" s="392" t="n">
        <v>10</v>
      </c>
      <c r="H2862" s="446">
        <f>H2861-G2862</f>
        <v/>
      </c>
      <c r="I2862" s="392" t="n"/>
      <c r="J2862" s="392" t="n"/>
      <c r="K2862" s="392" t="n"/>
      <c r="L2862" s="392" t="n"/>
      <c r="M2862" s="392" t="n"/>
    </row>
    <row r="2863">
      <c r="A2863" s="568" t="n">
        <v>44545</v>
      </c>
      <c r="B2863" s="392" t="n">
        <v>8719</v>
      </c>
      <c r="C2863" s="392" t="n">
        <v>75</v>
      </c>
      <c r="D2863" s="392" t="n"/>
      <c r="E2863" s="392" t="n"/>
      <c r="F2863" s="392" t="n"/>
      <c r="G2863" s="392" t="n">
        <v>10</v>
      </c>
      <c r="H2863" s="446">
        <f>H2862-G2863</f>
        <v/>
      </c>
      <c r="I2863" s="392" t="n"/>
      <c r="J2863" s="392" t="n"/>
      <c r="K2863" s="392" t="n"/>
      <c r="L2863" s="392" t="n"/>
      <c r="M2863" s="392" t="n"/>
    </row>
    <row r="2864">
      <c r="A2864" s="568" t="n">
        <v>44545</v>
      </c>
      <c r="B2864" s="392" t="n">
        <v>8720</v>
      </c>
      <c r="C2864" s="392" t="n">
        <v>75</v>
      </c>
      <c r="D2864" s="392" t="n"/>
      <c r="E2864" s="392" t="n"/>
      <c r="F2864" s="392" t="n"/>
      <c r="G2864" s="392" t="n">
        <v>100</v>
      </c>
      <c r="H2864" s="446">
        <f>H2863-G2864</f>
        <v/>
      </c>
      <c r="I2864" s="392" t="n"/>
      <c r="J2864" s="392" t="n"/>
      <c r="K2864" s="392" t="n"/>
      <c r="L2864" s="392" t="n"/>
      <c r="M2864" s="392" t="n"/>
    </row>
    <row r="2865">
      <c r="A2865" s="568" t="n">
        <v>44545</v>
      </c>
      <c r="B2865" s="392" t="n">
        <v>8721</v>
      </c>
      <c r="C2865" s="392" t="n">
        <v>75</v>
      </c>
      <c r="D2865" s="392" t="n"/>
      <c r="E2865" s="392" t="n"/>
      <c r="F2865" s="392" t="n"/>
      <c r="G2865" s="392" t="n">
        <v>30</v>
      </c>
      <c r="H2865" s="446">
        <f>H2864-G2865</f>
        <v/>
      </c>
      <c r="I2865" s="392" t="n"/>
      <c r="J2865" s="392" t="n"/>
      <c r="K2865" s="392" t="n"/>
      <c r="L2865" s="392" t="n"/>
      <c r="M2865" s="392" t="n"/>
    </row>
    <row r="2866">
      <c r="A2866" s="568" t="n">
        <v>44546</v>
      </c>
      <c r="B2866" s="392" t="n">
        <v>8726</v>
      </c>
      <c r="C2866" s="392" t="n">
        <v>75</v>
      </c>
      <c r="D2866" s="392" t="n"/>
      <c r="E2866" s="392" t="n"/>
      <c r="F2866" s="392" t="n"/>
      <c r="G2866" s="392" t="n">
        <v>10</v>
      </c>
      <c r="H2866" s="446">
        <f>H2865-G2866</f>
        <v/>
      </c>
      <c r="I2866" s="392" t="n"/>
      <c r="J2866" s="392" t="n"/>
      <c r="K2866" s="392" t="n"/>
      <c r="L2866" s="392" t="n"/>
      <c r="M2866" s="392" t="n"/>
    </row>
    <row r="2867">
      <c r="A2867" s="568" t="n">
        <v>44546</v>
      </c>
      <c r="B2867" s="392" t="n">
        <v>8729</v>
      </c>
      <c r="C2867" s="392" t="n">
        <v>75</v>
      </c>
      <c r="D2867" s="392" t="n"/>
      <c r="E2867" s="392" t="n"/>
      <c r="F2867" s="392" t="n"/>
      <c r="G2867" s="392" t="n">
        <v>20</v>
      </c>
      <c r="H2867" s="446">
        <f>H2866-G2867</f>
        <v/>
      </c>
      <c r="I2867" s="392" t="n"/>
      <c r="J2867" s="392" t="n"/>
      <c r="K2867" s="392" t="n"/>
      <c r="L2867" s="392" t="n"/>
      <c r="M2867" s="392" t="n"/>
    </row>
    <row r="2868">
      <c r="A2868" s="568" t="n">
        <v>44546</v>
      </c>
      <c r="B2868" s="392" t="n">
        <v>8730</v>
      </c>
      <c r="C2868" s="392" t="n">
        <v>76.27</v>
      </c>
      <c r="D2868" s="392" t="n"/>
      <c r="E2868" s="392" t="n"/>
      <c r="F2868" s="392" t="n"/>
      <c r="G2868" s="392" t="n">
        <v>40</v>
      </c>
      <c r="H2868" s="446">
        <f>H2867-G2868</f>
        <v/>
      </c>
      <c r="I2868" s="392" t="n"/>
      <c r="J2868" s="392" t="n"/>
      <c r="K2868" s="392" t="n"/>
      <c r="L2868" s="392" t="n"/>
      <c r="M2868" s="392" t="n"/>
    </row>
    <row r="2869">
      <c r="A2869" s="568" t="n">
        <v>44546</v>
      </c>
      <c r="B2869" s="392" t="n">
        <v>8731</v>
      </c>
      <c r="C2869" s="392" t="n">
        <v>75</v>
      </c>
      <c r="D2869" s="392" t="n"/>
      <c r="E2869" s="392" t="n"/>
      <c r="F2869" s="392" t="n"/>
      <c r="G2869" s="392" t="n">
        <v>20</v>
      </c>
      <c r="H2869" s="446">
        <f>H2868-G2869</f>
        <v/>
      </c>
      <c r="I2869" s="392" t="n"/>
      <c r="J2869" s="392" t="n"/>
      <c r="K2869" s="392" t="n"/>
      <c r="L2869" s="392" t="n"/>
      <c r="M2869" s="392" t="n"/>
    </row>
    <row r="2870">
      <c r="A2870" s="304" t="n">
        <v>44922</v>
      </c>
      <c r="B2870" s="401" t="n">
        <v>182869</v>
      </c>
      <c r="C2870" s="401" t="n">
        <v>66</v>
      </c>
      <c r="D2870" s="401" t="n"/>
      <c r="E2870" s="401" t="n"/>
      <c r="F2870" s="401" t="n">
        <v>300</v>
      </c>
      <c r="G2870" s="401" t="n"/>
      <c r="H2870" s="446" t="n">
        <v>1367</v>
      </c>
      <c r="I2870" s="392" t="n"/>
      <c r="J2870" s="392" t="n"/>
      <c r="K2870" s="392" t="n"/>
      <c r="L2870" s="392" t="n"/>
      <c r="M2870" s="392" t="n"/>
    </row>
    <row r="2871">
      <c r="A2871" s="304" t="n">
        <v>44922</v>
      </c>
      <c r="B2871" s="401" t="n">
        <v>182869</v>
      </c>
      <c r="C2871" s="401" t="n">
        <v>67</v>
      </c>
      <c r="D2871" s="401" t="n"/>
      <c r="E2871" s="401" t="n"/>
      <c r="F2871" s="401" t="n">
        <v>180</v>
      </c>
      <c r="G2871" s="401" t="n"/>
      <c r="H2871" s="446" t="n">
        <v>1547</v>
      </c>
      <c r="I2871" s="392" t="n"/>
      <c r="J2871" s="392" t="n"/>
      <c r="K2871" s="392" t="n"/>
      <c r="L2871" s="392" t="n"/>
      <c r="M2871" s="392" t="n"/>
    </row>
    <row r="2872">
      <c r="A2872" s="568" t="n"/>
      <c r="B2872" s="392" t="n"/>
      <c r="C2872" s="392" t="n"/>
      <c r="D2872" s="392" t="n"/>
      <c r="E2872" s="392" t="n"/>
      <c r="F2872" s="392" t="n"/>
      <c r="G2872" s="392" t="n"/>
      <c r="H2872" s="446">
        <f>H2871-G2872</f>
        <v/>
      </c>
      <c r="I2872" s="392" t="n"/>
      <c r="J2872" s="392" t="n"/>
      <c r="K2872" s="392" t="n"/>
      <c r="L2872" s="392" t="n"/>
      <c r="M2872" s="392" t="n"/>
    </row>
    <row r="2873">
      <c r="A2873" s="568" t="n"/>
      <c r="B2873" s="392" t="n"/>
      <c r="C2873" s="392" t="n"/>
      <c r="D2873" s="392" t="n"/>
      <c r="E2873" s="392" t="n"/>
      <c r="F2873" s="392" t="n"/>
      <c r="G2873" s="392" t="n"/>
      <c r="H2873" s="446">
        <f>H2872-G2873</f>
        <v/>
      </c>
      <c r="I2873" s="392" t="n"/>
      <c r="J2873" s="392" t="n"/>
      <c r="K2873" s="392" t="n"/>
      <c r="L2873" s="392" t="n"/>
      <c r="M2873" s="392" t="n"/>
    </row>
    <row r="2874">
      <c r="A2874" s="414" t="n"/>
      <c r="H2874" s="390" t="n"/>
    </row>
    <row r="2875">
      <c r="A2875" s="414" t="n"/>
      <c r="H2875" s="390" t="n"/>
    </row>
    <row r="2876">
      <c r="A2876" s="414" t="n"/>
      <c r="H2876" s="390" t="n"/>
    </row>
    <row r="2877">
      <c r="A2877" s="414" t="n"/>
      <c r="H2877" s="390" t="n"/>
    </row>
    <row r="2878">
      <c r="A2878" s="414" t="n"/>
      <c r="H2878" s="390" t="n"/>
    </row>
    <row r="2879" ht="15.75" customHeight="1" s="436" thickBot="1">
      <c r="A2879" s="414" t="n"/>
      <c r="H2879" s="390" t="n"/>
    </row>
    <row r="2880" ht="32.25" customHeight="1" s="436" thickBot="1">
      <c r="A2880" s="735" t="inlineStr">
        <is>
          <t>Janeiro</t>
        </is>
      </c>
      <c r="B2880" s="697" t="n"/>
      <c r="C2880" s="697" t="n"/>
      <c r="D2880" s="697" t="n"/>
      <c r="E2880" s="697" t="n"/>
      <c r="F2880" s="697" t="n"/>
      <c r="G2880" s="697" t="n"/>
      <c r="H2880" s="697" t="n"/>
      <c r="I2880" s="697" t="n"/>
      <c r="J2880" s="697" t="n"/>
      <c r="K2880" s="697" t="n"/>
      <c r="L2880" s="697" t="n"/>
      <c r="M2880" s="698" t="n"/>
    </row>
    <row r="2881" ht="27" customHeight="1" s="436" thickBot="1">
      <c r="A2881" s="720" t="inlineStr">
        <is>
          <t xml:space="preserve"> FARINHA DE TRIGO TIPO: 1 - 25 KG</t>
        </is>
      </c>
      <c r="B2881" s="697" t="n"/>
      <c r="C2881" s="697" t="n"/>
      <c r="D2881" s="697" t="n"/>
      <c r="E2881" s="697" t="n"/>
      <c r="F2881" s="697" t="n"/>
      <c r="G2881" s="697" t="n"/>
      <c r="H2881" s="697" t="n"/>
      <c r="I2881" s="697" t="n"/>
      <c r="J2881" s="697" t="n"/>
      <c r="K2881" s="697" t="n"/>
      <c r="L2881" s="697" t="n"/>
      <c r="M2881" s="698" t="n"/>
    </row>
    <row r="2882">
      <c r="A2882" s="643" t="inlineStr">
        <is>
          <t>DATA</t>
        </is>
      </c>
      <c r="B2882" s="633" t="inlineStr">
        <is>
          <t>N.F.</t>
        </is>
      </c>
      <c r="C2882" s="633" t="inlineStr">
        <is>
          <t>TIPO</t>
        </is>
      </c>
      <c r="D2882" s="670" t="inlineStr">
        <is>
          <t>PREÇO UNITÁRIO</t>
        </is>
      </c>
      <c r="E2882" s="701" t="n"/>
      <c r="F2882" s="633" t="inlineStr">
        <is>
          <t>QUANTIDADE / KG</t>
        </is>
      </c>
      <c r="H2882" s="701" t="n"/>
      <c r="I2882" s="632" t="inlineStr">
        <is>
          <t>PREÇO</t>
        </is>
      </c>
      <c r="J2882" s="632" t="inlineStr">
        <is>
          <t>VALORES</t>
        </is>
      </c>
      <c r="L2882" s="701" t="n"/>
      <c r="M2882" s="649" t="n"/>
    </row>
    <row r="2883" ht="15.75" customHeight="1" s="436" thickBot="1">
      <c r="A2883" s="703" t="n"/>
      <c r="B2883" s="704" t="n"/>
      <c r="C2883" s="704" t="n"/>
      <c r="D2883" s="703" t="n"/>
      <c r="E2883" s="701" t="n"/>
      <c r="F2883" s="705" t="n"/>
      <c r="G2883" s="706" t="n"/>
      <c r="H2883" s="707" t="n"/>
      <c r="I2883" s="704" t="n"/>
      <c r="J2883" s="703" t="n"/>
      <c r="L2883" s="701" t="n"/>
      <c r="M2883" s="704" t="n"/>
    </row>
    <row r="2884" ht="15.75" customHeight="1" s="436" thickBot="1">
      <c r="A2884" s="703" t="n"/>
      <c r="B2884" s="704" t="n"/>
      <c r="C2884" s="704" t="n"/>
      <c r="D2884" s="705" t="n"/>
      <c r="E2884" s="707" t="n"/>
      <c r="F2884" s="3" t="inlineStr">
        <is>
          <t>ENTRADA</t>
        </is>
      </c>
      <c r="G2884" s="3" t="inlineStr">
        <is>
          <t>SAÍDA</t>
        </is>
      </c>
      <c r="H2884" s="640" t="n"/>
      <c r="I2884" s="633" t="inlineStr">
        <is>
          <t>MÉDIO</t>
        </is>
      </c>
      <c r="J2884" s="652" t="inlineStr">
        <is>
          <t>SALDO EM 30/11/2017</t>
        </is>
      </c>
      <c r="K2884" s="706" t="n"/>
      <c r="L2884" s="17" t="n"/>
      <c r="M2884" s="704" t="n"/>
    </row>
    <row r="2885" ht="18" customHeight="1" s="436" thickBot="1">
      <c r="A2885" s="705" t="n"/>
      <c r="B2885" s="695" t="n"/>
      <c r="C2885" s="695" t="n"/>
      <c r="D2885" s="3" t="inlineStr">
        <is>
          <t>C/ICMS</t>
        </is>
      </c>
      <c r="E2885" s="3" t="inlineStr">
        <is>
          <t>S/ICMS</t>
        </is>
      </c>
      <c r="F2885" s="695" t="n"/>
      <c r="G2885" s="695" t="n"/>
      <c r="H2885" s="84" t="inlineStr">
        <is>
          <t>Saldo em 01/01/2022</t>
        </is>
      </c>
      <c r="I2885" s="695" t="n"/>
      <c r="J2885" s="645" t="inlineStr">
        <is>
          <t>ENTRADA</t>
        </is>
      </c>
      <c r="K2885" s="633" t="inlineStr">
        <is>
          <t>SAÍDA / CMV</t>
        </is>
      </c>
      <c r="L2885" s="643" t="inlineStr">
        <is>
          <t>SALDO</t>
        </is>
      </c>
      <c r="M2885" s="392" t="n"/>
    </row>
    <row r="2886">
      <c r="A2886" s="392" t="n"/>
      <c r="B2886" s="392" t="n"/>
      <c r="C2886" s="392" t="n"/>
      <c r="D2886" s="392" t="n"/>
      <c r="E2886" s="392" t="n"/>
      <c r="F2886" s="392" t="n"/>
      <c r="G2886" s="392" t="n"/>
      <c r="H2886" s="446" t="n">
        <v>1547</v>
      </c>
      <c r="I2886" s="392" t="n"/>
      <c r="J2886" s="392" t="n"/>
      <c r="K2886" s="392" t="n"/>
      <c r="L2886" s="392" t="n"/>
      <c r="M2886" s="392" t="n"/>
    </row>
    <row r="2887">
      <c r="A2887" s="568" t="n">
        <v>44564</v>
      </c>
      <c r="B2887" s="392" t="n">
        <v>8735</v>
      </c>
      <c r="C2887" s="392" t="n">
        <v>75</v>
      </c>
      <c r="D2887" s="392" t="n"/>
      <c r="E2887" s="392" t="n"/>
      <c r="F2887" s="392" t="n"/>
      <c r="G2887" s="392" t="n">
        <v>20</v>
      </c>
      <c r="H2887" s="446">
        <f>H2886-G2887</f>
        <v/>
      </c>
      <c r="I2887" s="392" t="n"/>
      <c r="J2887" s="392" t="n"/>
      <c r="K2887" s="392" t="n"/>
      <c r="L2887" s="392" t="n"/>
      <c r="M2887" s="392" t="n"/>
      <c r="N2887" s="392" t="n"/>
    </row>
    <row r="2888">
      <c r="A2888" s="568" t="n">
        <v>44564</v>
      </c>
      <c r="B2888" s="392" t="n">
        <v>8736</v>
      </c>
      <c r="C2888" s="392" t="n">
        <v>76.25</v>
      </c>
      <c r="D2888" s="392" t="n"/>
      <c r="E2888" s="392" t="n"/>
      <c r="F2888" s="392" t="n"/>
      <c r="G2888" s="392" t="n">
        <v>40</v>
      </c>
      <c r="H2888" s="446">
        <f>H2887-G2888</f>
        <v/>
      </c>
      <c r="I2888" s="392" t="n"/>
      <c r="J2888" s="392" t="n"/>
      <c r="K2888" s="392" t="n"/>
      <c r="L2888" s="392" t="n"/>
      <c r="M2888" s="392" t="n"/>
    </row>
    <row r="2889">
      <c r="A2889" s="568" t="n">
        <v>44564</v>
      </c>
      <c r="B2889" s="392" t="n">
        <v>8737</v>
      </c>
      <c r="C2889" s="392" t="n">
        <v>75</v>
      </c>
      <c r="D2889" s="392" t="n"/>
      <c r="E2889" s="392" t="n"/>
      <c r="F2889" s="392" t="n"/>
      <c r="G2889" s="392" t="n">
        <v>30</v>
      </c>
      <c r="H2889" s="446" t="n">
        <v>1548</v>
      </c>
      <c r="I2889" s="392" t="n"/>
      <c r="J2889" s="392" t="n"/>
      <c r="K2889" s="392" t="n"/>
      <c r="L2889" s="392" t="n"/>
      <c r="M2889" s="392" t="n"/>
    </row>
    <row r="2890">
      <c r="A2890" s="568" t="n">
        <v>44564</v>
      </c>
      <c r="B2890" s="392" t="n">
        <v>8738</v>
      </c>
      <c r="C2890" s="392" t="n">
        <v>75</v>
      </c>
      <c r="D2890" s="392" t="n"/>
      <c r="E2890" s="392" t="n"/>
      <c r="F2890" s="392" t="n"/>
      <c r="G2890" s="392" t="n">
        <v>30</v>
      </c>
      <c r="H2890" s="446">
        <f>H2889-G2890</f>
        <v/>
      </c>
      <c r="I2890" s="392" t="n"/>
      <c r="J2890" s="392" t="n"/>
      <c r="K2890" s="392" t="n"/>
      <c r="L2890" s="392" t="n"/>
      <c r="M2890" s="392" t="n"/>
    </row>
    <row r="2891">
      <c r="A2891" s="568" t="n">
        <v>44564</v>
      </c>
      <c r="B2891" s="392" t="n">
        <v>8739</v>
      </c>
      <c r="C2891" s="392" t="n">
        <v>74</v>
      </c>
      <c r="D2891" s="392" t="n"/>
      <c r="E2891" s="392" t="n"/>
      <c r="F2891" s="392" t="n"/>
      <c r="G2891" s="392" t="n">
        <v>30</v>
      </c>
      <c r="H2891" s="446">
        <f>H2890-G2891</f>
        <v/>
      </c>
      <c r="I2891" s="392" t="n"/>
      <c r="J2891" s="392" t="n"/>
      <c r="K2891" s="392" t="n"/>
      <c r="L2891" s="392" t="n"/>
      <c r="M2891" s="392" t="n"/>
    </row>
    <row r="2892">
      <c r="A2892" s="568" t="n">
        <v>44565</v>
      </c>
      <c r="B2892" s="392" t="n">
        <v>8743</v>
      </c>
      <c r="C2892" s="392" t="n">
        <v>73</v>
      </c>
      <c r="D2892" s="392" t="n"/>
      <c r="E2892" s="392" t="n"/>
      <c r="F2892" s="392" t="n"/>
      <c r="G2892" s="392" t="n">
        <v>20</v>
      </c>
      <c r="H2892" s="446" t="n">
        <v>1549</v>
      </c>
      <c r="I2892" s="392" t="n"/>
      <c r="J2892" s="392" t="n"/>
      <c r="K2892" s="392" t="n"/>
      <c r="L2892" s="392" t="n"/>
      <c r="M2892" s="392" t="n"/>
    </row>
    <row r="2893">
      <c r="A2893" s="568" t="n">
        <v>44565</v>
      </c>
      <c r="B2893" s="392" t="n">
        <v>8744</v>
      </c>
      <c r="C2893" s="392" t="n">
        <v>75</v>
      </c>
      <c r="D2893" s="392" t="n"/>
      <c r="E2893" s="392" t="n"/>
      <c r="F2893" s="392" t="n"/>
      <c r="G2893" s="392" t="n">
        <v>15</v>
      </c>
      <c r="H2893" s="446">
        <f>H2892-G2893</f>
        <v/>
      </c>
      <c r="I2893" s="392" t="n"/>
      <c r="J2893" s="392" t="n"/>
      <c r="K2893" s="392" t="n"/>
      <c r="L2893" s="392" t="n"/>
      <c r="M2893" s="392" t="n"/>
    </row>
    <row r="2894">
      <c r="A2894" s="568" t="n">
        <v>44566</v>
      </c>
      <c r="B2894" s="392" t="n">
        <v>8751</v>
      </c>
      <c r="C2894" s="392" t="n">
        <v>77</v>
      </c>
      <c r="D2894" s="392" t="n"/>
      <c r="E2894" s="392" t="n"/>
      <c r="F2894" s="392" t="n"/>
      <c r="G2894" s="392" t="n">
        <v>30</v>
      </c>
      <c r="H2894" s="446">
        <f>H2893-G2894</f>
        <v/>
      </c>
      <c r="I2894" s="392" t="n"/>
      <c r="J2894" s="392" t="n"/>
      <c r="K2894" s="392" t="n"/>
      <c r="L2894" s="392" t="n"/>
      <c r="M2894" s="392" t="n"/>
    </row>
    <row r="2895">
      <c r="A2895" s="568" t="n">
        <v>44566</v>
      </c>
      <c r="B2895" s="392" t="n">
        <v>8752</v>
      </c>
      <c r="C2895" s="392" t="n">
        <v>75</v>
      </c>
      <c r="D2895" s="392" t="n"/>
      <c r="E2895" s="392" t="n"/>
      <c r="F2895" s="392" t="n"/>
      <c r="G2895" s="392" t="n">
        <v>20</v>
      </c>
      <c r="H2895" s="446" t="n">
        <v>1550</v>
      </c>
      <c r="I2895" s="392" t="n"/>
      <c r="J2895" s="392" t="n"/>
      <c r="K2895" s="392" t="n"/>
      <c r="L2895" s="392" t="n"/>
      <c r="M2895" s="392" t="n"/>
    </row>
    <row r="2896">
      <c r="A2896" s="568" t="n">
        <v>44566</v>
      </c>
      <c r="B2896" s="392" t="n">
        <v>8753</v>
      </c>
      <c r="C2896" s="392" t="n">
        <v>77</v>
      </c>
      <c r="D2896" s="392" t="n"/>
      <c r="E2896" s="392" t="n"/>
      <c r="F2896" s="392" t="n"/>
      <c r="G2896" s="392" t="n">
        <v>20</v>
      </c>
      <c r="H2896" s="446">
        <f>H2895-G2896</f>
        <v/>
      </c>
      <c r="I2896" s="392" t="n"/>
      <c r="J2896" s="392" t="n"/>
      <c r="K2896" s="392" t="n"/>
      <c r="L2896" s="392" t="n"/>
      <c r="M2896" s="392" t="n"/>
    </row>
    <row r="2897">
      <c r="A2897" s="568" t="n">
        <v>44566</v>
      </c>
      <c r="B2897" s="392" t="n">
        <v>8754</v>
      </c>
      <c r="C2897" s="392" t="n">
        <v>75</v>
      </c>
      <c r="D2897" s="392" t="n"/>
      <c r="E2897" s="392" t="n"/>
      <c r="F2897" s="392" t="n"/>
      <c r="G2897" s="392" t="n">
        <v>50</v>
      </c>
      <c r="H2897" s="446">
        <f>H2896-G2897</f>
        <v/>
      </c>
      <c r="I2897" s="392" t="n"/>
      <c r="J2897" s="392" t="n"/>
      <c r="K2897" s="392" t="n"/>
      <c r="L2897" s="392" t="n"/>
      <c r="M2897" s="392" t="n"/>
    </row>
    <row r="2898">
      <c r="A2898" s="568" t="n">
        <v>44566</v>
      </c>
      <c r="B2898" s="392" t="n">
        <v>8756</v>
      </c>
      <c r="C2898" s="392" t="n">
        <v>76</v>
      </c>
      <c r="D2898" s="392" t="n"/>
      <c r="E2898" s="392" t="n"/>
      <c r="F2898" s="392" t="n"/>
      <c r="G2898" s="392" t="n">
        <v>20</v>
      </c>
      <c r="H2898" s="446">
        <f>H2897-G2898</f>
        <v/>
      </c>
      <c r="I2898" s="392" t="n"/>
      <c r="J2898" s="392" t="n"/>
      <c r="K2898" s="392" t="n"/>
      <c r="L2898" s="392" t="n"/>
      <c r="M2898" s="392" t="n"/>
    </row>
    <row r="2899">
      <c r="A2899" s="568" t="n">
        <v>44567</v>
      </c>
      <c r="B2899" s="392" t="n">
        <v>8757</v>
      </c>
      <c r="C2899" s="392" t="n">
        <v>76</v>
      </c>
      <c r="D2899" s="392" t="n"/>
      <c r="E2899" s="392" t="n"/>
      <c r="F2899" s="392" t="n"/>
      <c r="G2899" s="392" t="n">
        <v>20</v>
      </c>
      <c r="H2899" s="446">
        <f>H2898-G2899</f>
        <v/>
      </c>
      <c r="I2899" s="392" t="n"/>
      <c r="J2899" s="392" t="n"/>
      <c r="K2899" s="392" t="n"/>
      <c r="L2899" s="392" t="n"/>
      <c r="M2899" s="392" t="n"/>
    </row>
    <row r="2900">
      <c r="A2900" s="568" t="n">
        <v>44572</v>
      </c>
      <c r="B2900" s="392" t="n">
        <v>8761</v>
      </c>
      <c r="C2900" s="392" t="n">
        <v>75</v>
      </c>
      <c r="D2900" s="392" t="n"/>
      <c r="E2900" s="392" t="n"/>
      <c r="F2900" s="392" t="n"/>
      <c r="G2900" s="392" t="n">
        <v>30</v>
      </c>
      <c r="H2900" s="446">
        <f>H2899-G2900</f>
        <v/>
      </c>
      <c r="I2900" s="392" t="n"/>
      <c r="J2900" s="392" t="n"/>
      <c r="K2900" s="392" t="n"/>
      <c r="L2900" s="392" t="n"/>
      <c r="M2900" s="392" t="n"/>
    </row>
    <row r="2901">
      <c r="A2901" s="568" t="n">
        <v>44572</v>
      </c>
      <c r="B2901" s="392" t="n">
        <v>8763</v>
      </c>
      <c r="C2901" s="392" t="n">
        <v>73</v>
      </c>
      <c r="D2901" s="392" t="n"/>
      <c r="E2901" s="392" t="n"/>
      <c r="F2901" s="392" t="n"/>
      <c r="G2901" s="392" t="n">
        <v>50</v>
      </c>
      <c r="H2901" s="446">
        <f>H2900-G2901</f>
        <v/>
      </c>
      <c r="I2901" s="392" t="n"/>
      <c r="J2901" s="392" t="n"/>
      <c r="K2901" s="392" t="n"/>
      <c r="L2901" s="392" t="n"/>
      <c r="M2901" s="392" t="n"/>
    </row>
    <row r="2902">
      <c r="A2902" s="568" t="n">
        <v>44572</v>
      </c>
      <c r="B2902" s="392" t="n">
        <v>8764</v>
      </c>
      <c r="C2902" s="392" t="n">
        <v>76.5</v>
      </c>
      <c r="D2902" s="392" t="n"/>
      <c r="E2902" s="392" t="n"/>
      <c r="F2902" s="392" t="n"/>
      <c r="G2902" s="392" t="n">
        <v>30</v>
      </c>
      <c r="H2902" s="446">
        <f>H2901-G2902</f>
        <v/>
      </c>
      <c r="I2902" s="392" t="n"/>
      <c r="J2902" s="392" t="n"/>
      <c r="K2902" s="392" t="n"/>
      <c r="L2902" s="392" t="n"/>
      <c r="M2902" s="392" t="n"/>
    </row>
    <row r="2903">
      <c r="A2903" s="568" t="n">
        <v>44572</v>
      </c>
      <c r="B2903" s="392" t="n">
        <v>8766</v>
      </c>
      <c r="C2903" s="392" t="n">
        <v>77</v>
      </c>
      <c r="D2903" s="392" t="n"/>
      <c r="E2903" s="392" t="n"/>
      <c r="F2903" s="392" t="n"/>
      <c r="G2903" s="392" t="n">
        <v>20</v>
      </c>
      <c r="H2903" s="446">
        <f>H2902-G2903</f>
        <v/>
      </c>
      <c r="I2903" s="392" t="n"/>
      <c r="J2903" s="392" t="n"/>
      <c r="K2903" s="392" t="n"/>
      <c r="L2903" s="392" t="n"/>
      <c r="M2903" s="392" t="n"/>
    </row>
    <row r="2904">
      <c r="A2904" s="568" t="n">
        <v>44572</v>
      </c>
      <c r="B2904" s="392" t="n">
        <v>8767</v>
      </c>
      <c r="C2904" s="392" t="n">
        <v>75</v>
      </c>
      <c r="D2904" s="392" t="n"/>
      <c r="E2904" s="392" t="n"/>
      <c r="F2904" s="392" t="n"/>
      <c r="G2904" s="392" t="n">
        <v>20</v>
      </c>
      <c r="H2904" s="446">
        <f>H2903-G2904</f>
        <v/>
      </c>
      <c r="I2904" s="392" t="n"/>
      <c r="J2904" s="392" t="n"/>
      <c r="K2904" s="392" t="n"/>
      <c r="L2904" s="392" t="n"/>
      <c r="M2904" s="392" t="n"/>
    </row>
    <row r="2905">
      <c r="A2905" s="568" t="n">
        <v>44573</v>
      </c>
      <c r="B2905" s="392" t="n">
        <v>8770</v>
      </c>
      <c r="C2905" s="392" t="n">
        <v>75</v>
      </c>
      <c r="D2905" s="392" t="n"/>
      <c r="E2905" s="392" t="n"/>
      <c r="F2905" s="392" t="n"/>
      <c r="G2905" s="392" t="n">
        <v>20</v>
      </c>
      <c r="H2905" s="446">
        <f>H2904-G2905</f>
        <v/>
      </c>
      <c r="I2905" s="392" t="n"/>
      <c r="J2905" s="392" t="n"/>
      <c r="K2905" s="392" t="n"/>
      <c r="L2905" s="392" t="n"/>
      <c r="M2905" s="392" t="n"/>
    </row>
    <row r="2906">
      <c r="A2906" s="568" t="n">
        <v>44573</v>
      </c>
      <c r="B2906" s="392" t="n">
        <v>8771</v>
      </c>
      <c r="C2906" s="392" t="n">
        <v>77</v>
      </c>
      <c r="D2906" s="392" t="n"/>
      <c r="E2906" s="392" t="n"/>
      <c r="F2906" s="392" t="n"/>
      <c r="G2906" s="392" t="n">
        <v>20</v>
      </c>
      <c r="H2906" s="446">
        <f>H2905-G2906</f>
        <v/>
      </c>
      <c r="I2906" s="392" t="n"/>
      <c r="J2906" s="392" t="n"/>
      <c r="K2906" s="392" t="n"/>
      <c r="L2906" s="392" t="n"/>
      <c r="M2906" s="392" t="n"/>
    </row>
    <row r="2907">
      <c r="A2907" s="568" t="n">
        <v>44580</v>
      </c>
      <c r="B2907" s="392" t="n">
        <v>8777</v>
      </c>
      <c r="C2907" s="392" t="n">
        <v>78</v>
      </c>
      <c r="D2907" s="392" t="n"/>
      <c r="E2907" s="392" t="n"/>
      <c r="F2907" s="392" t="n"/>
      <c r="G2907" s="392" t="n">
        <v>70</v>
      </c>
      <c r="H2907" s="446">
        <f>H2906-G2907</f>
        <v/>
      </c>
      <c r="I2907" s="392" t="n"/>
      <c r="J2907" s="392" t="n"/>
      <c r="K2907" s="392" t="n"/>
      <c r="L2907" s="392" t="n"/>
      <c r="M2907" s="392" t="n"/>
    </row>
    <row r="2908">
      <c r="A2908" s="568" t="n">
        <v>44580</v>
      </c>
      <c r="B2908" s="392" t="n">
        <v>8778</v>
      </c>
      <c r="C2908" s="392" t="n">
        <v>78</v>
      </c>
      <c r="D2908" s="392" t="n"/>
      <c r="E2908" s="392" t="n"/>
      <c r="F2908" s="392" t="n"/>
      <c r="G2908" s="392" t="n">
        <v>20</v>
      </c>
      <c r="H2908" s="446">
        <f>H2907-G2908</f>
        <v/>
      </c>
      <c r="I2908" s="392" t="n"/>
      <c r="J2908" s="392" t="n"/>
      <c r="K2908" s="392" t="n"/>
      <c r="L2908" s="392" t="n"/>
      <c r="M2908" s="392" t="n"/>
    </row>
    <row r="2909">
      <c r="A2909" s="568" t="n">
        <v>44580</v>
      </c>
      <c r="B2909" s="392" t="n">
        <v>8779</v>
      </c>
      <c r="C2909" s="392" t="n">
        <v>78</v>
      </c>
      <c r="D2909" s="392" t="n"/>
      <c r="E2909" s="392" t="n"/>
      <c r="F2909" s="392" t="n"/>
      <c r="G2909" s="392" t="n">
        <v>20</v>
      </c>
      <c r="H2909" s="446">
        <f>H2908-G2909</f>
        <v/>
      </c>
      <c r="I2909" s="392" t="n"/>
      <c r="J2909" s="392" t="n"/>
      <c r="K2909" s="392" t="n"/>
      <c r="L2909" s="392" t="n"/>
      <c r="M2909" s="392" t="n"/>
    </row>
    <row r="2910">
      <c r="A2910" s="568" t="n">
        <v>44580</v>
      </c>
      <c r="B2910" s="392" t="n">
        <v>8780</v>
      </c>
      <c r="C2910" s="392" t="n">
        <v>78</v>
      </c>
      <c r="D2910" s="392" t="n"/>
      <c r="E2910" s="392" t="n"/>
      <c r="F2910" s="392" t="n"/>
      <c r="G2910" s="392" t="n">
        <v>20</v>
      </c>
      <c r="H2910" s="446">
        <f>H2909-G2910</f>
        <v/>
      </c>
      <c r="I2910" s="392" t="n"/>
      <c r="J2910" s="392" t="n"/>
      <c r="K2910" s="392" t="n"/>
      <c r="L2910" s="392" t="n"/>
      <c r="M2910" s="392" t="n"/>
    </row>
    <row r="2911">
      <c r="A2911" s="568" t="n">
        <v>44580</v>
      </c>
      <c r="B2911" s="392" t="n">
        <v>8781</v>
      </c>
      <c r="C2911" s="392" t="n">
        <v>78</v>
      </c>
      <c r="D2911" s="392" t="n"/>
      <c r="E2911" s="392" t="n"/>
      <c r="F2911" s="392" t="n"/>
      <c r="G2911" s="392" t="n">
        <v>20</v>
      </c>
      <c r="H2911" s="446">
        <f>H2910-G2911</f>
        <v/>
      </c>
      <c r="I2911" s="392" t="n"/>
      <c r="J2911" s="392" t="n"/>
      <c r="K2911" s="392" t="n"/>
      <c r="L2911" s="392" t="n"/>
      <c r="M2911" s="392" t="n"/>
    </row>
    <row r="2912">
      <c r="A2912" s="568" t="n">
        <v>44580</v>
      </c>
      <c r="B2912" s="392" t="n">
        <v>8782</v>
      </c>
      <c r="C2912" s="392" t="n">
        <v>78</v>
      </c>
      <c r="D2912" s="392" t="n"/>
      <c r="E2912" s="392" t="n"/>
      <c r="F2912" s="392" t="n"/>
      <c r="G2912" s="392" t="n">
        <v>30</v>
      </c>
      <c r="H2912" s="446">
        <f>H2911-G2912</f>
        <v/>
      </c>
      <c r="I2912" s="392" t="n"/>
      <c r="J2912" s="392" t="n"/>
      <c r="K2912" s="392" t="n"/>
      <c r="L2912" s="392" t="n"/>
      <c r="M2912" s="392" t="n"/>
    </row>
    <row r="2913">
      <c r="A2913" s="568" t="n">
        <v>44580</v>
      </c>
      <c r="B2913" s="392" t="n">
        <v>8784</v>
      </c>
      <c r="C2913" s="392" t="n">
        <v>78</v>
      </c>
      <c r="D2913" s="392" t="n"/>
      <c r="E2913" s="392" t="n"/>
      <c r="F2913" s="392" t="n"/>
      <c r="G2913" s="392" t="n">
        <v>10</v>
      </c>
      <c r="H2913" s="446">
        <f>H2912-G2913</f>
        <v/>
      </c>
      <c r="I2913" s="392" t="n"/>
      <c r="J2913" s="392" t="n"/>
      <c r="K2913" s="392" t="n"/>
      <c r="L2913" s="392" t="n"/>
      <c r="M2913" s="392" t="n"/>
    </row>
    <row r="2914">
      <c r="A2914" s="568" t="n">
        <v>44580</v>
      </c>
      <c r="B2914" s="392" t="n">
        <v>8785</v>
      </c>
      <c r="C2914" s="392" t="n">
        <v>78</v>
      </c>
      <c r="D2914" s="392" t="n"/>
      <c r="E2914" s="392" t="n"/>
      <c r="F2914" s="392" t="n"/>
      <c r="G2914" s="392" t="n">
        <v>10</v>
      </c>
      <c r="H2914" s="446">
        <f>H2913-G2914</f>
        <v/>
      </c>
      <c r="I2914" s="392" t="n"/>
      <c r="J2914" s="392" t="n"/>
      <c r="K2914" s="392" t="n"/>
      <c r="L2914" s="392" t="n"/>
      <c r="M2914" s="392" t="n"/>
    </row>
    <row r="2915">
      <c r="A2915" s="568" t="n">
        <v>44580</v>
      </c>
      <c r="B2915" s="392" t="n">
        <v>8786</v>
      </c>
      <c r="C2915" s="392" t="n">
        <v>78</v>
      </c>
      <c r="D2915" s="392" t="n"/>
      <c r="E2915" s="392" t="n"/>
      <c r="F2915" s="392" t="n"/>
      <c r="G2915" s="392" t="n">
        <v>25</v>
      </c>
      <c r="H2915" s="446">
        <f>H2914-G2915</f>
        <v/>
      </c>
      <c r="I2915" s="392" t="n"/>
      <c r="J2915" s="392" t="n"/>
      <c r="K2915" s="392" t="n"/>
      <c r="L2915" s="392" t="n"/>
      <c r="M2915" s="392" t="n"/>
    </row>
    <row r="2916">
      <c r="A2916" s="568" t="n">
        <v>44580</v>
      </c>
      <c r="B2916" s="392" t="n">
        <v>8787</v>
      </c>
      <c r="C2916" s="392" t="n">
        <v>78</v>
      </c>
      <c r="D2916" s="392" t="n"/>
      <c r="E2916" s="392" t="n"/>
      <c r="F2916" s="392" t="n"/>
      <c r="G2916" s="392" t="n">
        <v>50</v>
      </c>
      <c r="H2916" s="446">
        <f>H2915-G2916</f>
        <v/>
      </c>
      <c r="I2916" s="392" t="n"/>
      <c r="J2916" s="392" t="n"/>
      <c r="K2916" s="392" t="n"/>
      <c r="L2916" s="392" t="n"/>
      <c r="M2916" s="392" t="n"/>
    </row>
    <row r="2917">
      <c r="A2917" s="304" t="n">
        <v>44918</v>
      </c>
      <c r="B2917" s="401" t="n">
        <v>19212</v>
      </c>
      <c r="C2917" s="401" t="n">
        <v>66</v>
      </c>
      <c r="D2917" s="401" t="n"/>
      <c r="E2917" s="401" t="n"/>
      <c r="F2917" s="401" t="n">
        <v>1120</v>
      </c>
      <c r="G2917" s="401" t="n"/>
      <c r="H2917" s="322" t="n">
        <v>2095</v>
      </c>
      <c r="I2917" s="392" t="n"/>
      <c r="J2917" s="392" t="n"/>
      <c r="K2917" s="392" t="n"/>
      <c r="L2917" s="392" t="n"/>
      <c r="M2917" s="392" t="n"/>
    </row>
    <row r="2918">
      <c r="A2918" s="568" t="n">
        <v>44586</v>
      </c>
      <c r="B2918" s="392" t="n">
        <v>8795</v>
      </c>
      <c r="C2918" s="392" t="n">
        <v>81.45999999999999</v>
      </c>
      <c r="D2918" s="392" t="n"/>
      <c r="E2918" s="392" t="n"/>
      <c r="F2918" s="392" t="n"/>
      <c r="G2918" s="392" t="n">
        <v>22</v>
      </c>
      <c r="H2918" s="446">
        <f>H2917-G2918</f>
        <v/>
      </c>
      <c r="I2918" s="392" t="n"/>
      <c r="J2918" s="392" t="n"/>
      <c r="K2918" s="392" t="n"/>
      <c r="L2918" s="392" t="n"/>
      <c r="M2918" s="392" t="n"/>
    </row>
    <row r="2919">
      <c r="A2919" s="568" t="n">
        <v>44586</v>
      </c>
      <c r="B2919" s="392" t="n">
        <v>8796</v>
      </c>
      <c r="C2919" s="392" t="n">
        <v>85</v>
      </c>
      <c r="D2919" s="392" t="n"/>
      <c r="E2919" s="392" t="n"/>
      <c r="F2919" s="392" t="n"/>
      <c r="G2919" s="392" t="n">
        <v>100</v>
      </c>
      <c r="H2919" s="446">
        <f>H2918-G2919</f>
        <v/>
      </c>
      <c r="I2919" s="392" t="n"/>
      <c r="J2919" s="392" t="n"/>
      <c r="K2919" s="392" t="n"/>
      <c r="L2919" s="392" t="n"/>
      <c r="M2919" s="392" t="n"/>
    </row>
    <row r="2920">
      <c r="A2920" s="568" t="n">
        <v>44586</v>
      </c>
      <c r="B2920" s="392" t="n">
        <v>8797</v>
      </c>
      <c r="C2920" s="392" t="n">
        <v>85</v>
      </c>
      <c r="D2920" s="392" t="n"/>
      <c r="E2920" s="392" t="n"/>
      <c r="F2920" s="392" t="n"/>
      <c r="G2920" s="392" t="n">
        <v>10</v>
      </c>
      <c r="H2920" s="446">
        <f>H2919-G2920</f>
        <v/>
      </c>
      <c r="I2920" s="392" t="n"/>
      <c r="J2920" s="392" t="n"/>
      <c r="K2920" s="392" t="n"/>
      <c r="L2920" s="392" t="n"/>
      <c r="M2920" s="392" t="n"/>
    </row>
    <row r="2921">
      <c r="A2921" s="568" t="n">
        <v>44586</v>
      </c>
      <c r="B2921" s="392" t="n">
        <v>8798</v>
      </c>
      <c r="C2921" s="392" t="n">
        <v>78.5</v>
      </c>
      <c r="D2921" s="392" t="n"/>
      <c r="E2921" s="392" t="n"/>
      <c r="F2921" s="392" t="n"/>
      <c r="G2921" s="392" t="n">
        <v>20</v>
      </c>
      <c r="H2921" s="446">
        <f>H2920-G2921</f>
        <v/>
      </c>
      <c r="I2921" s="392" t="n"/>
      <c r="J2921" s="392" t="n"/>
      <c r="K2921" s="392" t="n"/>
      <c r="L2921" s="392" t="n"/>
      <c r="M2921" s="392" t="n"/>
    </row>
    <row r="2922">
      <c r="A2922" s="568" t="n">
        <v>44586</v>
      </c>
      <c r="B2922" s="392" t="n">
        <v>8799</v>
      </c>
      <c r="C2922" s="392" t="n">
        <v>79</v>
      </c>
      <c r="D2922" s="392" t="n"/>
      <c r="E2922" s="392" t="n"/>
      <c r="F2922" s="392" t="n"/>
      <c r="G2922" s="392" t="n">
        <v>30</v>
      </c>
      <c r="H2922" s="446">
        <f>H2921-G2922</f>
        <v/>
      </c>
      <c r="I2922" s="392" t="n"/>
      <c r="J2922" s="392" t="n"/>
      <c r="K2922" s="392" t="n"/>
      <c r="L2922" s="392" t="n"/>
      <c r="M2922" s="392" t="n"/>
    </row>
    <row r="2923">
      <c r="A2923" s="568" t="n">
        <v>44586</v>
      </c>
      <c r="B2923" s="392" t="n">
        <v>8801</v>
      </c>
      <c r="C2923" s="392" t="n">
        <v>78</v>
      </c>
      <c r="D2923" s="392" t="n"/>
      <c r="E2923" s="392" t="n"/>
      <c r="F2923" s="392" t="n"/>
      <c r="G2923" s="392" t="n">
        <v>30</v>
      </c>
      <c r="H2923" s="446">
        <f>H2922-G2923</f>
        <v/>
      </c>
      <c r="I2923" s="392" t="n"/>
      <c r="J2923" s="392" t="n"/>
      <c r="K2923" s="392" t="n"/>
      <c r="L2923" s="392" t="n"/>
      <c r="M2923" s="392" t="n"/>
    </row>
    <row r="2924">
      <c r="A2924" s="568" t="n">
        <v>44586</v>
      </c>
      <c r="B2924" s="392" t="n">
        <v>8802</v>
      </c>
      <c r="C2924" s="392" t="n">
        <v>81</v>
      </c>
      <c r="D2924" s="392" t="n"/>
      <c r="E2924" s="392" t="n"/>
      <c r="F2924" s="392" t="n"/>
      <c r="G2924" s="392" t="n">
        <v>30</v>
      </c>
      <c r="H2924" s="446">
        <f>H2923-G2924</f>
        <v/>
      </c>
      <c r="I2924" s="392" t="n"/>
      <c r="J2924" s="392" t="n"/>
      <c r="K2924" s="392" t="n"/>
      <c r="L2924" s="392" t="n"/>
      <c r="M2924" s="392" t="n"/>
    </row>
    <row r="2925">
      <c r="A2925" s="568" t="n">
        <v>44586</v>
      </c>
      <c r="B2925" s="392" t="n">
        <v>8803</v>
      </c>
      <c r="C2925" s="392" t="n">
        <v>83</v>
      </c>
      <c r="D2925" s="392" t="n"/>
      <c r="E2925" s="392" t="n"/>
      <c r="F2925" s="392" t="n"/>
      <c r="G2925" s="392" t="n">
        <v>100</v>
      </c>
      <c r="H2925" s="446">
        <f>H2924-G2925</f>
        <v/>
      </c>
      <c r="I2925" s="392" t="n"/>
      <c r="J2925" s="392" t="n"/>
      <c r="K2925" s="392" t="n"/>
      <c r="L2925" s="392" t="n"/>
      <c r="M2925" s="392" t="n"/>
    </row>
    <row r="2926">
      <c r="A2926" s="568" t="n">
        <v>44587</v>
      </c>
      <c r="B2926" s="392" t="n">
        <v>8805</v>
      </c>
      <c r="C2926" s="392" t="n">
        <v>78</v>
      </c>
      <c r="D2926" s="392" t="n"/>
      <c r="E2926" s="392" t="n"/>
      <c r="F2926" s="392" t="n"/>
      <c r="G2926" s="392" t="n">
        <v>20</v>
      </c>
      <c r="H2926" s="446">
        <f>H2925-G2926</f>
        <v/>
      </c>
      <c r="I2926" s="392" t="n"/>
      <c r="J2926" s="392" t="n"/>
      <c r="K2926" s="392" t="n"/>
      <c r="L2926" s="392" t="n"/>
      <c r="M2926" s="392" t="n"/>
    </row>
    <row r="2927">
      <c r="A2927" s="568" t="n">
        <v>44587</v>
      </c>
      <c r="B2927" s="392" t="n">
        <v>8806</v>
      </c>
      <c r="C2927" s="392" t="n">
        <v>78</v>
      </c>
      <c r="D2927" s="392" t="n"/>
      <c r="E2927" s="392" t="n"/>
      <c r="F2927" s="392" t="n"/>
      <c r="G2927" s="392" t="n">
        <v>50</v>
      </c>
      <c r="H2927" s="446">
        <f>H2926-G2927</f>
        <v/>
      </c>
      <c r="I2927" s="392" t="n"/>
      <c r="J2927" s="392" t="n"/>
      <c r="K2927" s="392" t="n"/>
      <c r="L2927" s="392" t="n"/>
      <c r="M2927" s="392" t="n"/>
    </row>
    <row r="2928">
      <c r="A2928" s="568" t="n">
        <v>44587</v>
      </c>
      <c r="B2928" s="392" t="n">
        <v>8808</v>
      </c>
      <c r="C2928" s="392" t="n">
        <v>78.5</v>
      </c>
      <c r="D2928" s="392" t="n"/>
      <c r="E2928" s="392" t="n"/>
      <c r="F2928" s="392" t="n"/>
      <c r="G2928" s="392" t="n">
        <v>20</v>
      </c>
      <c r="H2928" s="446">
        <f>H2927-G2928</f>
        <v/>
      </c>
      <c r="I2928" s="392" t="n"/>
      <c r="J2928" s="392" t="n"/>
      <c r="K2928" s="392" t="n"/>
      <c r="L2928" s="392" t="n"/>
      <c r="M2928" s="392" t="n"/>
    </row>
    <row r="2929">
      <c r="A2929" s="568" t="n">
        <v>44587</v>
      </c>
      <c r="B2929" s="392" t="n">
        <v>8809</v>
      </c>
      <c r="C2929" s="392" t="n">
        <v>85</v>
      </c>
      <c r="D2929" s="392" t="n"/>
      <c r="E2929" s="392" t="n"/>
      <c r="F2929" s="392" t="n"/>
      <c r="G2929" s="392" t="n">
        <v>15</v>
      </c>
      <c r="H2929" s="446">
        <f>H2928-G2929</f>
        <v/>
      </c>
      <c r="I2929" s="392" t="n"/>
      <c r="J2929" s="392" t="n"/>
      <c r="K2929" s="392" t="n"/>
      <c r="L2929" s="392" t="n"/>
      <c r="M2929" s="392" t="n"/>
    </row>
    <row r="2930">
      <c r="A2930" s="568" t="n">
        <v>44587</v>
      </c>
      <c r="B2930" s="392" t="n">
        <v>8811</v>
      </c>
      <c r="C2930" s="392" t="n">
        <v>80.72</v>
      </c>
      <c r="D2930" s="392" t="n"/>
      <c r="E2930" s="392" t="n"/>
      <c r="F2930" s="392" t="n"/>
      <c r="G2930" s="392" t="n">
        <v>21</v>
      </c>
      <c r="H2930" s="446">
        <f>H2929-G2930</f>
        <v/>
      </c>
      <c r="I2930" s="392" t="n"/>
      <c r="J2930" s="392" t="n"/>
      <c r="K2930" s="392" t="n"/>
      <c r="L2930" s="392" t="n"/>
      <c r="M2930" s="392" t="n"/>
    </row>
    <row r="2931">
      <c r="A2931" s="568" t="n">
        <v>44587</v>
      </c>
      <c r="B2931" s="392" t="n">
        <v>8816</v>
      </c>
      <c r="C2931" s="392" t="n">
        <v>79</v>
      </c>
      <c r="D2931" s="392" t="n"/>
      <c r="E2931" s="392" t="n"/>
      <c r="F2931" s="392" t="n"/>
      <c r="G2931" s="392" t="n">
        <v>30</v>
      </c>
      <c r="H2931" s="446">
        <f>H2930-G2931</f>
        <v/>
      </c>
      <c r="I2931" s="392" t="n"/>
      <c r="J2931" s="392" t="n"/>
      <c r="K2931" s="392" t="n"/>
      <c r="L2931" s="392" t="n"/>
      <c r="M2931" s="392" t="n"/>
    </row>
    <row r="2932">
      <c r="A2932" s="392" t="n"/>
      <c r="B2932" s="392" t="n"/>
      <c r="C2932" s="392" t="n"/>
      <c r="D2932" s="392" t="n"/>
      <c r="E2932" s="392" t="n"/>
      <c r="F2932" s="392" t="n"/>
      <c r="G2932" s="392" t="n"/>
      <c r="H2932" s="446">
        <f>H2931-G2932</f>
        <v/>
      </c>
      <c r="I2932" s="392" t="n"/>
      <c r="J2932" s="392" t="n"/>
      <c r="K2932" s="392" t="n"/>
      <c r="L2932" s="392" t="n"/>
      <c r="M2932" s="392" t="n"/>
    </row>
    <row r="2933" ht="15.75" customHeight="1" s="436" thickBot="1">
      <c r="A2933" s="414" t="n"/>
      <c r="H2933" s="390" t="n"/>
    </row>
    <row r="2934" ht="32.25" customHeight="1" s="436" thickBot="1">
      <c r="A2934" s="735" t="inlineStr">
        <is>
          <t>Fevereiro</t>
        </is>
      </c>
      <c r="B2934" s="697" t="n"/>
      <c r="C2934" s="697" t="n"/>
      <c r="D2934" s="697" t="n"/>
      <c r="E2934" s="697" t="n"/>
      <c r="F2934" s="697" t="n"/>
      <c r="G2934" s="697" t="n"/>
      <c r="H2934" s="697" t="n"/>
      <c r="I2934" s="697" t="n"/>
      <c r="J2934" s="697" t="n"/>
      <c r="K2934" s="697" t="n"/>
      <c r="L2934" s="697" t="n"/>
      <c r="M2934" s="698" t="n"/>
    </row>
    <row r="2935" ht="27" customHeight="1" s="436" thickBot="1">
      <c r="A2935" s="720" t="inlineStr">
        <is>
          <t xml:space="preserve"> FARINHA DE TRIGO TIPO: 1 - 25 KG</t>
        </is>
      </c>
      <c r="B2935" s="697" t="n"/>
      <c r="C2935" s="697" t="n"/>
      <c r="D2935" s="697" t="n"/>
      <c r="E2935" s="697" t="n"/>
      <c r="F2935" s="697" t="n"/>
      <c r="G2935" s="697" t="n"/>
      <c r="H2935" s="697" t="n"/>
      <c r="I2935" s="697" t="n"/>
      <c r="J2935" s="697" t="n"/>
      <c r="K2935" s="697" t="n"/>
      <c r="L2935" s="697" t="n"/>
      <c r="M2935" s="698" t="n"/>
    </row>
    <row r="2936">
      <c r="A2936" s="643" t="inlineStr">
        <is>
          <t>DATA</t>
        </is>
      </c>
      <c r="B2936" s="633" t="inlineStr">
        <is>
          <t>N.F.</t>
        </is>
      </c>
      <c r="C2936" s="633" t="inlineStr">
        <is>
          <t>TIPO</t>
        </is>
      </c>
      <c r="D2936" s="670" t="inlineStr">
        <is>
          <t>PREÇO UNITÁRIO</t>
        </is>
      </c>
      <c r="E2936" s="701" t="n"/>
      <c r="F2936" s="633" t="inlineStr">
        <is>
          <t>QUANTIDADE / KG</t>
        </is>
      </c>
      <c r="H2936" s="701" t="n"/>
      <c r="I2936" s="632" t="inlineStr">
        <is>
          <t>PREÇO</t>
        </is>
      </c>
      <c r="J2936" s="632" t="inlineStr">
        <is>
          <t>VALORES</t>
        </is>
      </c>
      <c r="L2936" s="701" t="n"/>
      <c r="M2936" s="649" t="n"/>
    </row>
    <row r="2937" ht="15.75" customHeight="1" s="436" thickBot="1">
      <c r="A2937" s="703" t="n"/>
      <c r="B2937" s="704" t="n"/>
      <c r="C2937" s="704" t="n"/>
      <c r="D2937" s="703" t="n"/>
      <c r="E2937" s="701" t="n"/>
      <c r="F2937" s="705" t="n"/>
      <c r="G2937" s="706" t="n"/>
      <c r="H2937" s="707" t="n"/>
      <c r="I2937" s="704" t="n"/>
      <c r="J2937" s="703" t="n"/>
      <c r="L2937" s="701" t="n"/>
      <c r="M2937" s="704" t="n"/>
    </row>
    <row r="2938" ht="15.75" customHeight="1" s="436" thickBot="1">
      <c r="A2938" s="703" t="n"/>
      <c r="B2938" s="704" t="n"/>
      <c r="C2938" s="704" t="n"/>
      <c r="D2938" s="705" t="n"/>
      <c r="E2938" s="707" t="n"/>
      <c r="F2938" s="3" t="inlineStr">
        <is>
          <t>ENTRADA</t>
        </is>
      </c>
      <c r="G2938" s="3" t="inlineStr">
        <is>
          <t>SAÍDA</t>
        </is>
      </c>
      <c r="H2938" s="640" t="n"/>
      <c r="I2938" s="633" t="inlineStr">
        <is>
          <t>MÉDIO</t>
        </is>
      </c>
      <c r="J2938" s="652" t="inlineStr">
        <is>
          <t>SALDO EM 30/11/2017</t>
        </is>
      </c>
      <c r="K2938" s="706" t="n"/>
      <c r="L2938" s="17" t="n"/>
      <c r="M2938" s="704" t="n"/>
    </row>
    <row r="2939" ht="18" customHeight="1" s="436" thickBot="1">
      <c r="A2939" s="705" t="n"/>
      <c r="B2939" s="695" t="n"/>
      <c r="C2939" s="695" t="n"/>
      <c r="D2939" s="3" t="inlineStr">
        <is>
          <t>C/ICMS</t>
        </is>
      </c>
      <c r="E2939" s="3" t="inlineStr">
        <is>
          <t>S/ICMS</t>
        </is>
      </c>
      <c r="F2939" s="695" t="n"/>
      <c r="G2939" s="695" t="n"/>
      <c r="H2939" s="84" t="inlineStr">
        <is>
          <t>Saldo em 01/02/2022</t>
        </is>
      </c>
      <c r="I2939" s="695" t="n"/>
      <c r="J2939" s="645" t="inlineStr">
        <is>
          <t>ENTRADA</t>
        </is>
      </c>
      <c r="K2939" s="633" t="inlineStr">
        <is>
          <t>SAÍDA / CMV</t>
        </is>
      </c>
      <c r="L2939" s="643" t="inlineStr">
        <is>
          <t>SALDO</t>
        </is>
      </c>
      <c r="M2939" s="392" t="n"/>
    </row>
    <row r="2940">
      <c r="A2940" s="392" t="n"/>
      <c r="B2940" s="392" t="n"/>
      <c r="C2940" s="392" t="n"/>
      <c r="D2940" s="392" t="n"/>
      <c r="E2940" s="392" t="n"/>
      <c r="F2940" s="392" t="n"/>
      <c r="G2940" s="392" t="n"/>
      <c r="H2940" s="446" t="n">
        <v>1597</v>
      </c>
      <c r="I2940" s="392" t="n"/>
      <c r="J2940" s="392" t="n"/>
      <c r="K2940" s="392" t="n"/>
      <c r="L2940" s="392" t="n"/>
      <c r="M2940" s="392" t="n"/>
    </row>
    <row r="2941">
      <c r="A2941" s="304" t="n">
        <v>44594</v>
      </c>
      <c r="B2941" s="401" t="n">
        <v>19707</v>
      </c>
      <c r="C2941" s="401" t="n">
        <v>68</v>
      </c>
      <c r="D2941" s="401" t="n"/>
      <c r="E2941" s="401" t="n"/>
      <c r="F2941" s="401" t="n">
        <v>1120</v>
      </c>
      <c r="G2941" s="401" t="n"/>
      <c r="H2941" s="322" t="n">
        <v>2717</v>
      </c>
      <c r="I2941" s="392" t="n"/>
      <c r="J2941" s="392" t="n"/>
      <c r="K2941" s="392" t="n"/>
      <c r="L2941" s="392" t="n"/>
      <c r="M2941" s="392" t="n"/>
    </row>
    <row r="2942">
      <c r="A2942" s="568" t="n">
        <v>44594</v>
      </c>
      <c r="B2942" s="320" t="n">
        <v>8821</v>
      </c>
      <c r="C2942" s="392" t="n">
        <v>85</v>
      </c>
      <c r="D2942" s="392" t="n"/>
      <c r="E2942" s="392" t="n"/>
      <c r="F2942" s="392" t="n"/>
      <c r="G2942" s="392" t="n">
        <v>20</v>
      </c>
      <c r="H2942" s="446">
        <f>H2941-G2942</f>
        <v/>
      </c>
      <c r="I2942" s="392" t="n"/>
      <c r="J2942" s="392" t="n"/>
      <c r="K2942" s="392" t="n"/>
      <c r="L2942" s="392" t="n"/>
      <c r="M2942" s="392" t="n"/>
    </row>
    <row r="2943">
      <c r="A2943" s="568" t="n">
        <v>44594</v>
      </c>
      <c r="B2943" s="392" t="n">
        <v>8822</v>
      </c>
      <c r="C2943" s="392" t="n">
        <v>80</v>
      </c>
      <c r="D2943" s="392" t="n"/>
      <c r="E2943" s="392" t="n"/>
      <c r="F2943" s="392" t="n"/>
      <c r="G2943" s="392" t="n">
        <v>50</v>
      </c>
      <c r="H2943" s="446">
        <f>H2942-G2943</f>
        <v/>
      </c>
      <c r="I2943" s="392" t="n"/>
      <c r="J2943" s="392" t="n"/>
      <c r="K2943" s="392" t="n"/>
      <c r="L2943" s="392" t="n"/>
      <c r="M2943" s="392" t="n"/>
    </row>
    <row r="2944">
      <c r="A2944" s="568" t="n">
        <v>44594</v>
      </c>
      <c r="B2944" s="392" t="n">
        <v>8823</v>
      </c>
      <c r="C2944" s="392" t="n">
        <v>80</v>
      </c>
      <c r="D2944" s="392" t="n"/>
      <c r="E2944" s="392" t="n"/>
      <c r="F2944" s="392" t="n"/>
      <c r="G2944" s="392" t="n">
        <v>15</v>
      </c>
      <c r="H2944" s="446">
        <f>H2943-G2944</f>
        <v/>
      </c>
      <c r="I2944" s="392" t="n"/>
      <c r="J2944" s="392" t="n"/>
      <c r="K2944" s="392" t="n"/>
      <c r="L2944" s="392" t="n"/>
      <c r="M2944" s="392" t="n"/>
    </row>
    <row r="2945">
      <c r="A2945" s="568" t="n">
        <v>44594</v>
      </c>
      <c r="B2945" s="392" t="n">
        <v>8824</v>
      </c>
      <c r="C2945" s="392" t="n">
        <v>80</v>
      </c>
      <c r="D2945" s="392" t="n"/>
      <c r="E2945" s="392" t="n"/>
      <c r="F2945" s="392" t="n"/>
      <c r="G2945" s="392" t="n">
        <v>30</v>
      </c>
      <c r="H2945" s="446">
        <f>H2944-G2945</f>
        <v/>
      </c>
      <c r="I2945" s="392" t="n"/>
      <c r="J2945" s="392" t="n"/>
      <c r="K2945" s="392" t="n"/>
      <c r="L2945" s="392" t="n"/>
      <c r="M2945" s="392" t="n"/>
    </row>
    <row r="2946">
      <c r="A2946" s="568" t="n">
        <v>44594</v>
      </c>
      <c r="B2946" s="392" t="n">
        <v>8825</v>
      </c>
      <c r="C2946" s="392" t="n">
        <v>85</v>
      </c>
      <c r="D2946" s="392" t="n"/>
      <c r="E2946" s="392" t="n"/>
      <c r="F2946" s="392" t="n"/>
      <c r="G2946" s="392" t="n">
        <v>30</v>
      </c>
      <c r="H2946" s="446">
        <f>H2945-G2946</f>
        <v/>
      </c>
      <c r="I2946" s="392" t="n"/>
      <c r="J2946" s="392" t="n"/>
      <c r="K2946" s="392" t="n"/>
      <c r="L2946" s="392" t="n"/>
      <c r="M2946" s="392" t="n"/>
    </row>
    <row r="2947">
      <c r="A2947" s="568" t="n">
        <v>44594</v>
      </c>
      <c r="B2947" s="392" t="n">
        <v>8827</v>
      </c>
      <c r="C2947" s="392" t="n">
        <v>80</v>
      </c>
      <c r="D2947" s="392" t="n"/>
      <c r="E2947" s="392" t="n"/>
      <c r="F2947" s="392" t="n"/>
      <c r="G2947" s="392" t="n">
        <v>20</v>
      </c>
      <c r="H2947" s="446">
        <f>H2946-G2947</f>
        <v/>
      </c>
      <c r="I2947" s="392" t="n"/>
      <c r="J2947" s="392" t="n"/>
      <c r="K2947" s="392" t="n"/>
      <c r="L2947" s="392" t="n"/>
      <c r="M2947" s="392" t="n"/>
    </row>
    <row r="2948">
      <c r="A2948" s="568" t="n">
        <v>44594</v>
      </c>
      <c r="B2948" s="392" t="n">
        <v>8829</v>
      </c>
      <c r="C2948" s="392" t="n">
        <v>80</v>
      </c>
      <c r="D2948" s="392" t="n"/>
      <c r="E2948" s="392" t="n"/>
      <c r="F2948" s="392" t="n"/>
      <c r="G2948" s="392" t="n">
        <v>30</v>
      </c>
      <c r="H2948" s="446">
        <f>H2947-G2948</f>
        <v/>
      </c>
      <c r="I2948" s="392" t="n"/>
      <c r="J2948" s="392" t="n"/>
      <c r="K2948" s="392" t="n"/>
      <c r="L2948" s="392" t="n"/>
      <c r="M2948" s="392" t="n"/>
    </row>
    <row r="2949">
      <c r="A2949" s="568" t="n">
        <v>44594</v>
      </c>
      <c r="B2949" s="392" t="n">
        <v>8835</v>
      </c>
      <c r="C2949" s="392" t="n">
        <v>80</v>
      </c>
      <c r="D2949" s="392" t="n"/>
      <c r="E2949" s="392" t="n"/>
      <c r="F2949" s="392" t="n"/>
      <c r="G2949" s="392" t="n">
        <v>50</v>
      </c>
      <c r="H2949" s="446">
        <f>H2948-G2949</f>
        <v/>
      </c>
      <c r="I2949" s="392" t="n"/>
      <c r="J2949" s="392" t="n"/>
      <c r="K2949" s="392" t="n"/>
      <c r="L2949" s="392" t="n"/>
      <c r="M2949" s="392" t="n"/>
    </row>
    <row r="2950">
      <c r="A2950" s="568" t="n">
        <v>44595</v>
      </c>
      <c r="B2950" s="392" t="n">
        <v>8838</v>
      </c>
      <c r="C2950" s="392" t="n">
        <v>87</v>
      </c>
      <c r="D2950" s="392" t="n"/>
      <c r="E2950" s="392" t="n"/>
      <c r="F2950" s="392" t="n"/>
      <c r="G2950" s="392" t="n">
        <v>20</v>
      </c>
      <c r="H2950" s="446">
        <f>H2949-G2950</f>
        <v/>
      </c>
      <c r="I2950" s="392" t="n"/>
      <c r="J2950" s="392" t="n"/>
      <c r="K2950" s="392" t="n"/>
      <c r="L2950" s="392" t="n"/>
      <c r="M2950" s="392" t="n"/>
    </row>
    <row r="2951">
      <c r="A2951" s="568" t="n">
        <v>44601</v>
      </c>
      <c r="B2951" s="392" t="n">
        <v>8839</v>
      </c>
      <c r="C2951" s="392" t="n">
        <v>78</v>
      </c>
      <c r="D2951" s="392" t="n"/>
      <c r="E2951" s="392" t="n"/>
      <c r="F2951" s="392" t="n"/>
      <c r="G2951" s="392" t="n">
        <v>50</v>
      </c>
      <c r="H2951" s="446">
        <f>H2950-G2951</f>
        <v/>
      </c>
      <c r="I2951" s="392" t="n"/>
      <c r="J2951" s="392" t="n"/>
      <c r="K2951" s="392" t="n"/>
      <c r="L2951" s="392" t="n"/>
      <c r="M2951" s="392" t="n"/>
    </row>
    <row r="2952">
      <c r="A2952" s="568" t="n">
        <v>44601</v>
      </c>
      <c r="B2952" s="392" t="n">
        <v>8841</v>
      </c>
      <c r="C2952" s="392" t="n">
        <v>81.17</v>
      </c>
      <c r="D2952" s="392" t="n"/>
      <c r="E2952" s="392" t="n"/>
      <c r="F2952" s="392" t="n"/>
      <c r="G2952" s="392" t="n">
        <v>30</v>
      </c>
      <c r="H2952" s="446">
        <f>H2951-G2952</f>
        <v/>
      </c>
      <c r="I2952" s="392" t="n"/>
      <c r="J2952" s="392" t="n"/>
      <c r="K2952" s="392" t="n"/>
      <c r="L2952" s="392" t="n"/>
      <c r="M2952" s="392" t="n"/>
    </row>
    <row r="2953">
      <c r="A2953" s="568" t="n">
        <v>44601</v>
      </c>
      <c r="B2953" s="392" t="n">
        <v>8843</v>
      </c>
      <c r="C2953" s="392" t="n">
        <v>80.5</v>
      </c>
      <c r="D2953" s="392" t="n"/>
      <c r="E2953" s="392" t="n"/>
      <c r="F2953" s="392" t="n"/>
      <c r="G2953" s="392" t="n">
        <v>20</v>
      </c>
      <c r="H2953" s="446">
        <f>H2952-G2953</f>
        <v/>
      </c>
      <c r="I2953" s="392" t="n"/>
      <c r="J2953" s="392" t="n"/>
      <c r="K2953" s="392" t="n"/>
      <c r="L2953" s="392" t="n"/>
      <c r="M2953" s="392" t="n"/>
    </row>
    <row r="2954">
      <c r="A2954" s="568" t="n">
        <v>44601</v>
      </c>
      <c r="B2954" s="392" t="n">
        <v>8845</v>
      </c>
      <c r="C2954" s="392" t="n">
        <v>80</v>
      </c>
      <c r="D2954" s="392" t="n"/>
      <c r="E2954" s="392" t="n"/>
      <c r="F2954" s="392" t="n"/>
      <c r="G2954" s="392" t="n">
        <v>20</v>
      </c>
      <c r="H2954" s="446">
        <f>H2953-G2954</f>
        <v/>
      </c>
      <c r="I2954" s="392" t="n"/>
      <c r="J2954" s="392" t="n"/>
      <c r="K2954" s="392" t="n"/>
      <c r="L2954" s="392" t="n"/>
      <c r="M2954" s="392" t="n"/>
    </row>
    <row r="2955">
      <c r="A2955" s="568" t="n">
        <v>44601</v>
      </c>
      <c r="B2955" s="392" t="n">
        <v>8847</v>
      </c>
      <c r="C2955" s="392" t="n">
        <v>84.55</v>
      </c>
      <c r="D2955" s="392" t="n"/>
      <c r="E2955" s="392" t="n"/>
      <c r="F2955" s="392" t="n"/>
      <c r="G2955" s="392" t="n">
        <v>20</v>
      </c>
      <c r="H2955" s="446">
        <f>H2954-G2955</f>
        <v/>
      </c>
      <c r="I2955" s="392" t="n"/>
      <c r="J2955" s="392" t="n"/>
      <c r="K2955" s="392" t="n"/>
      <c r="L2955" s="392" t="n"/>
      <c r="M2955" s="392" t="n"/>
    </row>
    <row r="2956">
      <c r="A2956" s="568" t="n">
        <v>44601</v>
      </c>
      <c r="B2956" s="392" t="n">
        <v>8851</v>
      </c>
      <c r="C2956" s="392" t="n">
        <v>80.5</v>
      </c>
      <c r="D2956" s="392" t="n"/>
      <c r="E2956" s="392" t="n"/>
      <c r="F2956" s="392" t="n"/>
      <c r="G2956" s="392" t="n">
        <v>20</v>
      </c>
      <c r="H2956" s="446">
        <f>H2955-G2956</f>
        <v/>
      </c>
      <c r="I2956" s="392" t="n"/>
      <c r="J2956" s="392" t="n"/>
      <c r="K2956" s="392" t="n"/>
      <c r="L2956" s="392" t="n"/>
      <c r="M2956" s="392" t="n"/>
    </row>
    <row r="2957">
      <c r="A2957" s="568" t="n">
        <v>44601</v>
      </c>
      <c r="B2957" s="392" t="n">
        <v>8852</v>
      </c>
      <c r="C2957" s="392" t="n">
        <v>81</v>
      </c>
      <c r="D2957" s="392" t="n"/>
      <c r="E2957" s="392" t="n"/>
      <c r="F2957" s="392" t="n"/>
      <c r="G2957" s="392" t="n">
        <v>30</v>
      </c>
      <c r="H2957" s="446">
        <f>H2956-G2957</f>
        <v/>
      </c>
      <c r="I2957" s="392" t="n"/>
      <c r="J2957" s="392" t="n"/>
      <c r="K2957" s="392" t="n"/>
      <c r="L2957" s="392" t="n"/>
      <c r="M2957" s="392" t="n"/>
    </row>
    <row r="2958">
      <c r="A2958" s="568" t="n">
        <v>44601</v>
      </c>
      <c r="B2958" s="392" t="n">
        <v>8853</v>
      </c>
      <c r="C2958" s="392" t="n">
        <v>87</v>
      </c>
      <c r="D2958" s="392" t="n"/>
      <c r="E2958" s="392" t="n"/>
      <c r="F2958" s="392" t="n"/>
      <c r="G2958" s="392" t="n">
        <v>20</v>
      </c>
      <c r="H2958" s="446">
        <f>H2957-G2958</f>
        <v/>
      </c>
      <c r="I2958" s="392" t="n"/>
      <c r="J2958" s="392" t="n"/>
      <c r="K2958" s="392" t="n"/>
      <c r="L2958" s="392" t="n"/>
      <c r="M2958" s="392" t="n"/>
    </row>
    <row r="2959">
      <c r="A2959" s="304" t="n">
        <v>44602</v>
      </c>
      <c r="B2959" s="401" t="n">
        <v>19861</v>
      </c>
      <c r="C2959" s="401" t="n">
        <v>68</v>
      </c>
      <c r="D2959" s="401" t="n"/>
      <c r="E2959" s="401" t="n"/>
      <c r="F2959" s="401" t="n">
        <v>1120</v>
      </c>
      <c r="G2959" s="401" t="n"/>
      <c r="H2959" s="322" t="n">
        <v>3362</v>
      </c>
      <c r="I2959" s="392" t="n"/>
      <c r="J2959" s="392" t="n"/>
      <c r="K2959" s="392" t="n"/>
      <c r="L2959" s="392" t="n"/>
      <c r="M2959" s="392" t="n"/>
    </row>
    <row r="2960">
      <c r="A2960" s="304" t="n">
        <v>44606</v>
      </c>
      <c r="B2960" s="401" t="n">
        <v>185544</v>
      </c>
      <c r="C2960" s="401" t="n">
        <v>70</v>
      </c>
      <c r="D2960" s="401" t="n"/>
      <c r="E2960" s="401" t="n"/>
      <c r="F2960" s="401" t="n">
        <v>100</v>
      </c>
      <c r="G2960" s="401" t="n"/>
      <c r="H2960" s="322" t="n">
        <v>3462</v>
      </c>
      <c r="I2960" s="392" t="n"/>
      <c r="J2960" s="392" t="n"/>
      <c r="K2960" s="392" t="n"/>
      <c r="L2960" s="392" t="n"/>
      <c r="M2960" s="392" t="n"/>
    </row>
    <row r="2961">
      <c r="A2961" s="568" t="n">
        <v>44608</v>
      </c>
      <c r="B2961" s="392" t="n">
        <v>8859</v>
      </c>
      <c r="C2961" s="392" t="n">
        <v>80.5</v>
      </c>
      <c r="D2961" s="392" t="n"/>
      <c r="E2961" s="392" t="n"/>
      <c r="F2961" s="392" t="n"/>
      <c r="G2961" s="392" t="n">
        <v>20</v>
      </c>
      <c r="H2961" s="446">
        <f>H2960-G2961</f>
        <v/>
      </c>
      <c r="I2961" s="392" t="n"/>
      <c r="J2961" s="392" t="n"/>
      <c r="K2961" s="392" t="n"/>
      <c r="L2961" s="392" t="n"/>
      <c r="M2961" s="392" t="n"/>
    </row>
    <row r="2962">
      <c r="A2962" s="568" t="n">
        <v>44608</v>
      </c>
      <c r="B2962" s="392" t="n">
        <v>8860</v>
      </c>
      <c r="C2962" s="392" t="n">
        <v>85</v>
      </c>
      <c r="D2962" s="392" t="n"/>
      <c r="E2962" s="392" t="n"/>
      <c r="F2962" s="392" t="n"/>
      <c r="G2962" s="392" t="n">
        <v>30</v>
      </c>
      <c r="H2962" s="446">
        <f>H2961-G2962</f>
        <v/>
      </c>
      <c r="I2962" s="392" t="n"/>
      <c r="J2962" s="392" t="n"/>
      <c r="K2962" s="392" t="n"/>
      <c r="L2962" s="392" t="n"/>
      <c r="M2962" s="392" t="n"/>
    </row>
    <row r="2963">
      <c r="A2963" s="568" t="n">
        <v>44608</v>
      </c>
      <c r="B2963" s="392" t="n">
        <v>8861</v>
      </c>
      <c r="C2963" s="392" t="n">
        <v>79</v>
      </c>
      <c r="D2963" s="392" t="n"/>
      <c r="E2963" s="392" t="n"/>
      <c r="F2963" s="392" t="n"/>
      <c r="G2963" s="392" t="n">
        <v>15</v>
      </c>
      <c r="H2963" s="446">
        <f>H2962-G2963</f>
        <v/>
      </c>
      <c r="I2963" s="392" t="n"/>
      <c r="J2963" s="392" t="n"/>
      <c r="K2963" s="392" t="n"/>
      <c r="L2963" s="392" t="n"/>
      <c r="M2963" s="392" t="n"/>
    </row>
    <row r="2964">
      <c r="A2964" s="568" t="n">
        <v>44608</v>
      </c>
      <c r="B2964" s="392" t="n">
        <v>8863</v>
      </c>
      <c r="C2964" s="392" t="n">
        <v>79</v>
      </c>
      <c r="D2964" s="392" t="n"/>
      <c r="E2964" s="392" t="n"/>
      <c r="F2964" s="392" t="n"/>
      <c r="G2964" s="392" t="n">
        <v>30</v>
      </c>
      <c r="H2964" s="446">
        <f>H2963-G2964</f>
        <v/>
      </c>
      <c r="I2964" s="392" t="n"/>
      <c r="J2964" s="392" t="n"/>
      <c r="K2964" s="392" t="n"/>
      <c r="L2964" s="392" t="n"/>
      <c r="M2964" s="392" t="n"/>
    </row>
    <row r="2965">
      <c r="A2965" s="568" t="n">
        <v>44608</v>
      </c>
      <c r="B2965" s="392" t="n">
        <v>8864</v>
      </c>
      <c r="C2965" s="392" t="n">
        <v>80</v>
      </c>
      <c r="D2965" s="392" t="n"/>
      <c r="E2965" s="392" t="n"/>
      <c r="F2965" s="392" t="n"/>
      <c r="G2965" s="392" t="n">
        <v>50</v>
      </c>
      <c r="H2965" s="446">
        <f>H2964-G2965</f>
        <v/>
      </c>
      <c r="I2965" s="392" t="n"/>
      <c r="J2965" s="392" t="n"/>
      <c r="K2965" s="392" t="n"/>
      <c r="L2965" s="392" t="n"/>
      <c r="M2965" s="392" t="n"/>
    </row>
    <row r="2966">
      <c r="A2966" s="568" t="n">
        <v>44608</v>
      </c>
      <c r="B2966" s="392" t="n">
        <v>8865</v>
      </c>
      <c r="C2966" s="392" t="n">
        <v>81</v>
      </c>
      <c r="D2966" s="392" t="n"/>
      <c r="E2966" s="392" t="n"/>
      <c r="F2966" s="392" t="n"/>
      <c r="G2966" s="392" t="n">
        <v>40</v>
      </c>
      <c r="H2966" s="446">
        <f>H2965-G2966</f>
        <v/>
      </c>
      <c r="I2966" s="392" t="n"/>
      <c r="J2966" s="392" t="n"/>
      <c r="K2966" s="392" t="n"/>
      <c r="L2966" s="392" t="n"/>
      <c r="M2966" s="392" t="n"/>
    </row>
    <row r="2967">
      <c r="A2967" s="568" t="n">
        <v>44608</v>
      </c>
      <c r="B2967" s="392" t="n">
        <v>8866</v>
      </c>
      <c r="C2967" s="392" t="n">
        <v>80</v>
      </c>
      <c r="D2967" s="392" t="n"/>
      <c r="E2967" s="392" t="n"/>
      <c r="F2967" s="392" t="n"/>
      <c r="G2967" s="392" t="n">
        <v>30</v>
      </c>
      <c r="H2967" s="446">
        <f>H2966-G2967</f>
        <v/>
      </c>
      <c r="I2967" s="392" t="n"/>
      <c r="J2967" s="392" t="n"/>
      <c r="K2967" s="392" t="n"/>
      <c r="L2967" s="392" t="n"/>
      <c r="M2967" s="392" t="n"/>
    </row>
    <row r="2968">
      <c r="A2968" s="568" t="n">
        <v>44608</v>
      </c>
      <c r="B2968" s="392" t="n">
        <v>8867</v>
      </c>
      <c r="C2968" s="392" t="n">
        <v>82.2</v>
      </c>
      <c r="D2968" s="392" t="n"/>
      <c r="E2968" s="392" t="n"/>
      <c r="F2968" s="392" t="n"/>
      <c r="G2968" s="392" t="n">
        <v>25</v>
      </c>
      <c r="H2968" s="446">
        <f>H2967-G2968</f>
        <v/>
      </c>
      <c r="I2968" s="392" t="n"/>
      <c r="J2968" s="392" t="n"/>
      <c r="K2968" s="392" t="n"/>
      <c r="L2968" s="392" t="n"/>
      <c r="M2968" s="392" t="n"/>
    </row>
    <row r="2969">
      <c r="A2969" s="568" t="n">
        <v>44608</v>
      </c>
      <c r="B2969" s="392" t="n">
        <v>8868</v>
      </c>
      <c r="C2969" s="392" t="n">
        <v>83.09999999999999</v>
      </c>
      <c r="D2969" s="392" t="n"/>
      <c r="E2969" s="392" t="n"/>
      <c r="F2969" s="392" t="n"/>
      <c r="G2969" s="392" t="n">
        <v>23</v>
      </c>
      <c r="H2969" s="446">
        <f>H2968-G2969</f>
        <v/>
      </c>
      <c r="I2969" s="392" t="n"/>
      <c r="J2969" s="392" t="n"/>
      <c r="K2969" s="392" t="n"/>
      <c r="L2969" s="392" t="n"/>
      <c r="M2969" s="392" t="n"/>
    </row>
    <row r="2970">
      <c r="A2970" s="568" t="n">
        <v>44608</v>
      </c>
      <c r="B2970" s="392" t="n">
        <v>8869</v>
      </c>
      <c r="C2970" s="392" t="n">
        <v>80</v>
      </c>
      <c r="D2970" s="392" t="n"/>
      <c r="E2970" s="392" t="n"/>
      <c r="F2970" s="392" t="n"/>
      <c r="G2970" s="392" t="n">
        <v>10</v>
      </c>
      <c r="H2970" s="446">
        <f>H2969-G2970</f>
        <v/>
      </c>
      <c r="I2970" s="392" t="n"/>
      <c r="J2970" s="392" t="n"/>
      <c r="K2970" s="392" t="n"/>
      <c r="L2970" s="392" t="n"/>
      <c r="M2970" s="392" t="n"/>
    </row>
    <row r="2971">
      <c r="A2971" s="568" t="n">
        <v>44608</v>
      </c>
      <c r="B2971" s="392" t="n">
        <v>8870</v>
      </c>
      <c r="C2971" s="392" t="n">
        <v>82.14</v>
      </c>
      <c r="D2971" s="392" t="n"/>
      <c r="E2971" s="392" t="n"/>
      <c r="F2971" s="392" t="n"/>
      <c r="G2971" s="392" t="n">
        <v>37</v>
      </c>
      <c r="H2971" s="446">
        <f>H2970-G2971</f>
        <v/>
      </c>
      <c r="I2971" s="392" t="n"/>
      <c r="J2971" s="392" t="n"/>
      <c r="K2971" s="392" t="n"/>
      <c r="L2971" s="392" t="n"/>
      <c r="M2971" s="392" t="n"/>
    </row>
    <row r="2972">
      <c r="A2972" s="568" t="n">
        <v>44608</v>
      </c>
      <c r="B2972" s="392" t="n">
        <v>8871</v>
      </c>
      <c r="C2972" s="392" t="n">
        <v>78</v>
      </c>
      <c r="D2972" s="392" t="n"/>
      <c r="E2972" s="392" t="n"/>
      <c r="F2972" s="392" t="n"/>
      <c r="G2972" s="392" t="n">
        <v>300</v>
      </c>
      <c r="H2972" s="446">
        <f>H2971-G2972</f>
        <v/>
      </c>
      <c r="I2972" s="392" t="n"/>
      <c r="J2972" s="392" t="n"/>
      <c r="K2972" s="392" t="n"/>
      <c r="L2972" s="392" t="n"/>
      <c r="M2972" s="392" t="n"/>
    </row>
    <row r="2973">
      <c r="A2973" s="568" t="n">
        <v>44608</v>
      </c>
      <c r="B2973" s="392" t="n">
        <v>8872</v>
      </c>
      <c r="C2973" s="392" t="n">
        <v>85</v>
      </c>
      <c r="D2973" s="392" t="n"/>
      <c r="E2973" s="392" t="n"/>
      <c r="F2973" s="392" t="n"/>
      <c r="G2973" s="392" t="n">
        <v>100</v>
      </c>
      <c r="H2973" s="446">
        <f>H2972-G2973</f>
        <v/>
      </c>
      <c r="I2973" s="392" t="n"/>
      <c r="J2973" s="392" t="n"/>
      <c r="K2973" s="392" t="n"/>
      <c r="L2973" s="392" t="n"/>
      <c r="M2973" s="392" t="n"/>
    </row>
    <row r="2974">
      <c r="A2974" s="568" t="n">
        <v>44608</v>
      </c>
      <c r="B2974" s="392" t="n">
        <v>8873</v>
      </c>
      <c r="C2974" s="392" t="n">
        <v>81.86</v>
      </c>
      <c r="D2974" s="392" t="n"/>
      <c r="E2974" s="392" t="n"/>
      <c r="F2974" s="392" t="n"/>
      <c r="G2974" s="392" t="n">
        <v>70</v>
      </c>
      <c r="H2974" s="446">
        <f>H2973-G2974</f>
        <v/>
      </c>
      <c r="I2974" s="392" t="n"/>
      <c r="J2974" s="392" t="n"/>
      <c r="K2974" s="392" t="n"/>
      <c r="L2974" s="392" t="n"/>
      <c r="M2974" s="392" t="n"/>
    </row>
    <row r="2975">
      <c r="A2975" s="568" t="n">
        <v>44608</v>
      </c>
      <c r="B2975" s="392" t="n">
        <v>8874</v>
      </c>
      <c r="C2975" s="392" t="n">
        <v>81</v>
      </c>
      <c r="D2975" s="392" t="n"/>
      <c r="E2975" s="392" t="n"/>
      <c r="F2975" s="392" t="n"/>
      <c r="G2975" s="392" t="n">
        <v>40</v>
      </c>
      <c r="H2975" s="446">
        <f>H2974-G2975</f>
        <v/>
      </c>
      <c r="I2975" s="392" t="n"/>
      <c r="J2975" s="392" t="n"/>
      <c r="K2975" s="392" t="n"/>
      <c r="L2975" s="392" t="n"/>
      <c r="M2975" s="392" t="n"/>
    </row>
    <row r="2976">
      <c r="A2976" s="568" t="n">
        <v>44608</v>
      </c>
      <c r="B2976" s="392" t="n">
        <v>8875</v>
      </c>
      <c r="C2976" s="392" t="n">
        <v>81</v>
      </c>
      <c r="D2976" s="392" t="n"/>
      <c r="E2976" s="392" t="n"/>
      <c r="F2976" s="392" t="n"/>
      <c r="G2976" s="392" t="n">
        <v>15</v>
      </c>
      <c r="H2976" s="446">
        <f>H2975-G2976</f>
        <v/>
      </c>
      <c r="I2976" s="392" t="n"/>
      <c r="J2976" s="392" t="n"/>
      <c r="K2976" s="392" t="n"/>
      <c r="L2976" s="392" t="n"/>
      <c r="M2976" s="392" t="n"/>
    </row>
    <row r="2977">
      <c r="A2977" s="568" t="n">
        <v>44608</v>
      </c>
      <c r="B2977" s="392" t="n">
        <v>8876</v>
      </c>
      <c r="C2977" s="392" t="n">
        <v>80</v>
      </c>
      <c r="D2977" s="392" t="n"/>
      <c r="E2977" s="392" t="n"/>
      <c r="F2977" s="392" t="n"/>
      <c r="G2977" s="392" t="n">
        <v>20</v>
      </c>
      <c r="H2977" s="446">
        <f>H2976-G2977</f>
        <v/>
      </c>
      <c r="I2977" s="392" t="n"/>
      <c r="J2977" s="392" t="n"/>
      <c r="K2977" s="392" t="n"/>
      <c r="L2977" s="392" t="n"/>
      <c r="M2977" s="392" t="n"/>
    </row>
    <row r="2978">
      <c r="A2978" s="568" t="n">
        <v>44614</v>
      </c>
      <c r="B2978" s="392" t="n">
        <v>8880</v>
      </c>
      <c r="C2978" s="392" t="n">
        <v>86</v>
      </c>
      <c r="D2978" s="392" t="n"/>
      <c r="E2978" s="392" t="n"/>
      <c r="F2978" s="392" t="n"/>
      <c r="G2978" s="392" t="n">
        <v>150</v>
      </c>
      <c r="H2978" s="446">
        <f>H2977-G2978</f>
        <v/>
      </c>
      <c r="I2978" s="392" t="n"/>
      <c r="J2978" s="392" t="n"/>
      <c r="K2978" s="392" t="n"/>
      <c r="L2978" s="392" t="n"/>
      <c r="M2978" s="392" t="n"/>
    </row>
    <row r="2979">
      <c r="A2979" s="568" t="n">
        <v>44614</v>
      </c>
      <c r="B2979" s="392" t="n">
        <v>8881</v>
      </c>
      <c r="C2979" s="392" t="n">
        <v>78</v>
      </c>
      <c r="D2979" s="392" t="n"/>
      <c r="E2979" s="392" t="n"/>
      <c r="F2979" s="392" t="n"/>
      <c r="G2979" s="392" t="n">
        <v>50</v>
      </c>
      <c r="H2979" s="446">
        <f>H2978-G2979</f>
        <v/>
      </c>
      <c r="I2979" s="392" t="n"/>
      <c r="J2979" s="392" t="n"/>
      <c r="K2979" s="392" t="n"/>
      <c r="L2979" s="392" t="n"/>
      <c r="M2979" s="392" t="n"/>
    </row>
    <row r="2980">
      <c r="A2980" s="568" t="n">
        <v>44614</v>
      </c>
      <c r="B2980" s="392" t="n">
        <v>8882</v>
      </c>
      <c r="C2980" s="392" t="n">
        <v>81</v>
      </c>
      <c r="D2980" s="392" t="n"/>
      <c r="E2980" s="392" t="n"/>
      <c r="F2980" s="392" t="n"/>
      <c r="G2980" s="392" t="n">
        <v>20</v>
      </c>
      <c r="H2980" s="446">
        <f>H2979-G2980</f>
        <v/>
      </c>
      <c r="I2980" s="392" t="n"/>
      <c r="J2980" s="392" t="n"/>
      <c r="K2980" s="392" t="n"/>
      <c r="L2980" s="392" t="n"/>
      <c r="M2980" s="392" t="n"/>
    </row>
    <row r="2981">
      <c r="A2981" s="568" t="n">
        <v>44614</v>
      </c>
      <c r="B2981" s="392" t="n">
        <v>8883</v>
      </c>
      <c r="C2981" s="392" t="n">
        <v>81.75</v>
      </c>
      <c r="D2981" s="392" t="n"/>
      <c r="E2981" s="392" t="n"/>
      <c r="F2981" s="392" t="n"/>
      <c r="G2981" s="392" t="n">
        <v>40</v>
      </c>
      <c r="H2981" s="446">
        <f>H2980-G2981</f>
        <v/>
      </c>
      <c r="I2981" s="392" t="n"/>
      <c r="J2981" s="392" t="n"/>
      <c r="K2981" s="392" t="n"/>
      <c r="L2981" s="392" t="n"/>
      <c r="M2981" s="392" t="n"/>
    </row>
    <row r="2982">
      <c r="A2982" s="568" t="n">
        <v>44614</v>
      </c>
      <c r="B2982" s="392" t="n">
        <v>8885</v>
      </c>
      <c r="C2982" s="392" t="n">
        <v>87</v>
      </c>
      <c r="D2982" s="392" t="n"/>
      <c r="E2982" s="392" t="n"/>
      <c r="F2982" s="392" t="n"/>
      <c r="G2982" s="392" t="n">
        <v>10</v>
      </c>
      <c r="H2982" s="446">
        <f>H2981-G2982</f>
        <v/>
      </c>
      <c r="I2982" s="392" t="n"/>
      <c r="J2982" s="392" t="n"/>
      <c r="K2982" s="392" t="n"/>
      <c r="L2982" s="392" t="n"/>
      <c r="M2982" s="392" t="n"/>
    </row>
    <row r="2983">
      <c r="A2983" s="568" t="n">
        <v>44614</v>
      </c>
      <c r="B2983" s="392" t="n">
        <v>8890</v>
      </c>
      <c r="C2983" s="392" t="n">
        <v>80</v>
      </c>
      <c r="D2983" s="392" t="n"/>
      <c r="E2983" s="392" t="n"/>
      <c r="F2983" s="392" t="n"/>
      <c r="G2983" s="392" t="n">
        <v>10</v>
      </c>
      <c r="H2983" s="446">
        <f>H2982-G2983</f>
        <v/>
      </c>
      <c r="I2983" s="392" t="n"/>
      <c r="J2983" s="392" t="n"/>
      <c r="K2983" s="392" t="n"/>
      <c r="L2983" s="392" t="n"/>
      <c r="M2983" s="392" t="n"/>
    </row>
    <row r="2984">
      <c r="A2984" s="568" t="n">
        <v>44615</v>
      </c>
      <c r="B2984" s="392" t="n">
        <v>8892</v>
      </c>
      <c r="C2984" s="392" t="n">
        <v>80</v>
      </c>
      <c r="D2984" s="392" t="n"/>
      <c r="E2984" s="392" t="n"/>
      <c r="F2984" s="392" t="n"/>
      <c r="G2984" s="392" t="n">
        <v>30</v>
      </c>
      <c r="H2984" s="446">
        <f>H2983-G2984</f>
        <v/>
      </c>
      <c r="I2984" s="392" t="n"/>
      <c r="J2984" s="392" t="n"/>
      <c r="K2984" s="392" t="n"/>
      <c r="L2984" s="392" t="n"/>
      <c r="M2984" s="392" t="n"/>
    </row>
    <row r="2985">
      <c r="A2985" s="568" t="n">
        <v>44616</v>
      </c>
      <c r="B2985" s="392" t="n">
        <v>8897</v>
      </c>
      <c r="C2985" s="392" t="n">
        <v>81</v>
      </c>
      <c r="D2985" s="392" t="n"/>
      <c r="E2985" s="392" t="n"/>
      <c r="F2985" s="392" t="n"/>
      <c r="G2985" s="392" t="n">
        <v>30</v>
      </c>
      <c r="H2985" s="446">
        <f>H2984-G2985</f>
        <v/>
      </c>
      <c r="I2985" s="392" t="n"/>
      <c r="J2985" s="392" t="n"/>
      <c r="K2985" s="392" t="n"/>
      <c r="L2985" s="392" t="n"/>
      <c r="M2985" s="392" t="n"/>
    </row>
    <row r="2986">
      <c r="A2986" s="304" t="n">
        <v>44617</v>
      </c>
      <c r="B2986" s="401" t="n">
        <v>186315</v>
      </c>
      <c r="C2986" s="401" t="n">
        <v>69</v>
      </c>
      <c r="D2986" s="401" t="n"/>
      <c r="E2986" s="401" t="n"/>
      <c r="F2986" s="401" t="n">
        <v>150</v>
      </c>
      <c r="G2986" s="401" t="n"/>
      <c r="H2986" s="322" t="n">
        <v>2417</v>
      </c>
      <c r="I2986" s="392" t="n"/>
      <c r="J2986" s="392" t="n"/>
      <c r="K2986" s="392" t="n"/>
      <c r="L2986" s="392" t="n"/>
      <c r="M2986" s="392" t="n"/>
    </row>
    <row r="2987">
      <c r="A2987" s="392" t="n"/>
      <c r="B2987" s="392" t="n"/>
      <c r="C2987" s="392" t="n"/>
      <c r="D2987" s="392" t="n"/>
      <c r="E2987" s="392" t="n"/>
      <c r="F2987" s="392" t="n"/>
      <c r="G2987" s="392" t="n"/>
      <c r="H2987" s="446">
        <f>H2986-G2987</f>
        <v/>
      </c>
      <c r="I2987" s="392" t="n"/>
      <c r="J2987" s="392" t="n"/>
      <c r="K2987" s="392" t="n"/>
      <c r="L2987" s="392" t="n"/>
      <c r="M2987" s="392" t="n"/>
    </row>
    <row r="2988" ht="15.75" customHeight="1" s="436" thickBot="1">
      <c r="A2988" s="414" t="n"/>
      <c r="H2988" s="390" t="n"/>
    </row>
    <row r="2989" ht="32.25" customHeight="1" s="436" thickBot="1">
      <c r="A2989" s="735" t="inlineStr">
        <is>
          <t>Março</t>
        </is>
      </c>
      <c r="B2989" s="697" t="n"/>
      <c r="C2989" s="697" t="n"/>
      <c r="D2989" s="697" t="n"/>
      <c r="E2989" s="697" t="n"/>
      <c r="F2989" s="697" t="n"/>
      <c r="G2989" s="697" t="n"/>
      <c r="H2989" s="697" t="n"/>
      <c r="I2989" s="697" t="n"/>
      <c r="J2989" s="697" t="n"/>
      <c r="K2989" s="697" t="n"/>
      <c r="L2989" s="697" t="n"/>
      <c r="M2989" s="698" t="n"/>
    </row>
    <row r="2990" ht="27" customHeight="1" s="436" thickBot="1">
      <c r="A2990" s="720" t="inlineStr">
        <is>
          <t xml:space="preserve"> FARINHA DE TRIGO TIPO: 1 - 25 KG</t>
        </is>
      </c>
      <c r="B2990" s="697" t="n"/>
      <c r="C2990" s="697" t="n"/>
      <c r="D2990" s="697" t="n"/>
      <c r="E2990" s="697" t="n"/>
      <c r="F2990" s="697" t="n"/>
      <c r="G2990" s="697" t="n"/>
      <c r="H2990" s="697" t="n"/>
      <c r="I2990" s="697" t="n"/>
      <c r="J2990" s="697" t="n"/>
      <c r="K2990" s="697" t="n"/>
      <c r="L2990" s="697" t="n"/>
      <c r="M2990" s="698" t="n"/>
    </row>
    <row r="2991">
      <c r="A2991" s="643" t="inlineStr">
        <is>
          <t>DATA</t>
        </is>
      </c>
      <c r="B2991" s="633" t="inlineStr">
        <is>
          <t>N.F.</t>
        </is>
      </c>
      <c r="C2991" s="633" t="inlineStr">
        <is>
          <t>TIPO</t>
        </is>
      </c>
      <c r="D2991" s="670" t="inlineStr">
        <is>
          <t>PREÇO UNITÁRIO</t>
        </is>
      </c>
      <c r="E2991" s="701" t="n"/>
      <c r="F2991" s="633" t="inlineStr">
        <is>
          <t>QUANTIDADE / KG</t>
        </is>
      </c>
      <c r="H2991" s="701" t="n"/>
      <c r="I2991" s="632" t="inlineStr">
        <is>
          <t>PREÇO</t>
        </is>
      </c>
      <c r="J2991" s="632" t="inlineStr">
        <is>
          <t>VALORES</t>
        </is>
      </c>
      <c r="L2991" s="701" t="n"/>
      <c r="M2991" s="649" t="n"/>
    </row>
    <row r="2992" ht="15.75" customHeight="1" s="436" thickBot="1">
      <c r="A2992" s="703" t="n"/>
      <c r="B2992" s="704" t="n"/>
      <c r="C2992" s="704" t="n"/>
      <c r="D2992" s="703" t="n"/>
      <c r="E2992" s="701" t="n"/>
      <c r="F2992" s="705" t="n"/>
      <c r="G2992" s="706" t="n"/>
      <c r="H2992" s="707" t="n"/>
      <c r="I2992" s="704" t="n"/>
      <c r="J2992" s="703" t="n"/>
      <c r="L2992" s="701" t="n"/>
      <c r="M2992" s="704" t="n"/>
    </row>
    <row r="2993" ht="15.75" customHeight="1" s="436" thickBot="1">
      <c r="A2993" s="703" t="n"/>
      <c r="B2993" s="704" t="n"/>
      <c r="C2993" s="704" t="n"/>
      <c r="D2993" s="705" t="n"/>
      <c r="E2993" s="707" t="n"/>
      <c r="F2993" s="3" t="inlineStr">
        <is>
          <t>ENTRADA</t>
        </is>
      </c>
      <c r="G2993" s="3" t="inlineStr">
        <is>
          <t>SAÍDA</t>
        </is>
      </c>
      <c r="H2993" s="640" t="n"/>
      <c r="I2993" s="633" t="inlineStr">
        <is>
          <t>MÉDIO</t>
        </is>
      </c>
      <c r="J2993" s="652" t="inlineStr">
        <is>
          <t>SALDO EM 30/11/2017</t>
        </is>
      </c>
      <c r="K2993" s="706" t="n"/>
      <c r="L2993" s="17" t="n"/>
      <c r="M2993" s="704" t="n"/>
    </row>
    <row r="2994" ht="18" customHeight="1" s="436" thickBot="1">
      <c r="A2994" s="705" t="n"/>
      <c r="B2994" s="695" t="n"/>
      <c r="C2994" s="695" t="n"/>
      <c r="D2994" s="3" t="inlineStr">
        <is>
          <t>C/ICMS</t>
        </is>
      </c>
      <c r="E2994" s="3" t="inlineStr">
        <is>
          <t>S/ICMS</t>
        </is>
      </c>
      <c r="F2994" s="695" t="n"/>
      <c r="G2994" s="695" t="n"/>
      <c r="H2994" s="84" t="inlineStr">
        <is>
          <t>Saldo em 01/02/2022</t>
        </is>
      </c>
      <c r="I2994" s="695" t="n"/>
      <c r="J2994" s="645" t="inlineStr">
        <is>
          <t>ENTRADA</t>
        </is>
      </c>
      <c r="K2994" s="633" t="inlineStr">
        <is>
          <t>SAÍDA / CMV</t>
        </is>
      </c>
      <c r="L2994" s="643" t="inlineStr">
        <is>
          <t>SALDO</t>
        </is>
      </c>
      <c r="M2994" s="392" t="n"/>
    </row>
    <row r="2995">
      <c r="A2995" s="392" t="n"/>
      <c r="B2995" s="392" t="n"/>
      <c r="C2995" s="392" t="n"/>
      <c r="D2995" s="392" t="n"/>
      <c r="E2995" s="392" t="n"/>
      <c r="F2995" s="392" t="n"/>
      <c r="G2995" s="392" t="n"/>
      <c r="H2995" s="446" t="n">
        <v>2417</v>
      </c>
      <c r="I2995" s="392" t="n"/>
      <c r="J2995" s="392" t="n"/>
      <c r="K2995" s="392" t="n"/>
      <c r="L2995" s="392" t="n"/>
      <c r="M2995" s="392" t="n"/>
    </row>
    <row r="2996">
      <c r="A2996" s="568" t="n">
        <v>44622</v>
      </c>
      <c r="B2996" s="392" t="n">
        <v>8899</v>
      </c>
      <c r="C2996" s="392" t="n">
        <v>87</v>
      </c>
      <c r="D2996" s="392" t="n"/>
      <c r="E2996" s="392" t="n"/>
      <c r="F2996" s="392" t="n"/>
      <c r="G2996" s="392" t="n">
        <v>100</v>
      </c>
      <c r="H2996" s="446">
        <f>H2995-G2996</f>
        <v/>
      </c>
      <c r="I2996" s="392" t="n"/>
      <c r="J2996" s="392" t="n"/>
      <c r="K2996" s="392" t="n"/>
      <c r="L2996" s="392" t="n"/>
      <c r="M2996" s="392" t="n"/>
    </row>
    <row r="2997">
      <c r="A2997" s="568" t="n">
        <v>44622</v>
      </c>
      <c r="B2997" s="392" t="n">
        <v>8900</v>
      </c>
      <c r="C2997" s="392" t="n">
        <v>82</v>
      </c>
      <c r="D2997" s="392" t="n"/>
      <c r="E2997" s="392" t="n"/>
      <c r="F2997" s="392" t="n"/>
      <c r="G2997" s="392" t="n">
        <v>30</v>
      </c>
      <c r="H2997" s="446">
        <f>H2996-G2997</f>
        <v/>
      </c>
      <c r="I2997" s="392" t="n"/>
      <c r="J2997" s="392" t="n"/>
      <c r="K2997" s="392" t="n"/>
      <c r="L2997" s="392" t="n"/>
      <c r="M2997" s="392" t="n"/>
    </row>
    <row r="2998">
      <c r="A2998" s="568" t="n">
        <v>44622</v>
      </c>
      <c r="B2998" s="392" t="n">
        <v>8901</v>
      </c>
      <c r="C2998" s="392" t="n">
        <v>89</v>
      </c>
      <c r="D2998" s="392" t="n"/>
      <c r="E2998" s="392" t="n"/>
      <c r="F2998" s="392" t="n"/>
      <c r="G2998" s="392" t="n">
        <v>20</v>
      </c>
      <c r="H2998" s="446">
        <f>H2997-G2998</f>
        <v/>
      </c>
      <c r="I2998" s="392" t="n"/>
      <c r="J2998" s="392" t="n"/>
      <c r="K2998" s="392" t="n"/>
      <c r="L2998" s="392" t="n"/>
      <c r="M2998" s="392" t="n"/>
    </row>
    <row r="2999">
      <c r="A2999" s="568" t="n">
        <v>44622</v>
      </c>
      <c r="B2999" s="392" t="n">
        <v>8902</v>
      </c>
      <c r="C2999" s="392" t="n">
        <v>82</v>
      </c>
      <c r="D2999" s="392" t="n"/>
      <c r="E2999" s="392" t="n"/>
      <c r="F2999" s="392" t="n"/>
      <c r="G2999" s="392" t="n">
        <v>20</v>
      </c>
      <c r="H2999" s="446">
        <f>H2998-G2999</f>
        <v/>
      </c>
      <c r="I2999" s="392" t="n"/>
      <c r="J2999" s="392" t="n"/>
      <c r="K2999" s="392" t="n"/>
      <c r="L2999" s="392" t="n"/>
      <c r="M2999" s="392" t="n"/>
    </row>
    <row r="3000">
      <c r="A3000" s="568" t="n">
        <v>44623</v>
      </c>
      <c r="B3000" s="392" t="n">
        <v>8907</v>
      </c>
      <c r="C3000" s="392" t="n">
        <v>82</v>
      </c>
      <c r="D3000" s="392" t="n"/>
      <c r="E3000" s="392" t="n"/>
      <c r="F3000" s="392" t="n"/>
      <c r="G3000" s="392" t="n">
        <v>20</v>
      </c>
      <c r="H3000" s="446">
        <f>H2999-G3000</f>
        <v/>
      </c>
      <c r="I3000" s="392" t="n"/>
      <c r="J3000" s="392" t="n"/>
      <c r="K3000" s="392" t="n"/>
      <c r="L3000" s="392" t="n"/>
      <c r="M3000" s="392" t="n"/>
    </row>
    <row r="3001">
      <c r="A3001" s="568" t="n">
        <v>44623</v>
      </c>
      <c r="B3001" s="392" t="n">
        <v>8910</v>
      </c>
      <c r="C3001" s="392" t="n">
        <v>82</v>
      </c>
      <c r="D3001" s="392" t="n"/>
      <c r="E3001" s="392" t="n"/>
      <c r="F3001" s="392" t="n"/>
      <c r="G3001" s="392" t="n">
        <v>20</v>
      </c>
      <c r="H3001" s="446">
        <f>H3000-G3001</f>
        <v/>
      </c>
      <c r="I3001" s="392" t="n"/>
      <c r="J3001" s="392" t="n"/>
      <c r="K3001" s="392" t="n"/>
      <c r="L3001" s="392" t="n"/>
      <c r="M3001" s="392" t="n"/>
    </row>
    <row r="3002">
      <c r="A3002" s="568" t="n">
        <v>44623</v>
      </c>
      <c r="B3002" s="392" t="n">
        <v>8911</v>
      </c>
      <c r="C3002" s="392" t="n">
        <v>82</v>
      </c>
      <c r="D3002" s="392" t="n"/>
      <c r="E3002" s="392" t="n"/>
      <c r="F3002" s="392" t="n"/>
      <c r="G3002" s="392" t="n">
        <v>50</v>
      </c>
      <c r="H3002" s="446">
        <f>H3001-G3002</f>
        <v/>
      </c>
      <c r="I3002" s="392" t="n"/>
      <c r="J3002" s="392" t="n"/>
      <c r="K3002" s="392" t="n"/>
      <c r="L3002" s="392" t="n"/>
      <c r="M3002" s="392" t="n"/>
    </row>
    <row r="3003">
      <c r="A3003" s="568" t="n">
        <v>44623</v>
      </c>
      <c r="B3003" s="392" t="n">
        <v>8913</v>
      </c>
      <c r="C3003" s="392" t="n">
        <v>89</v>
      </c>
      <c r="D3003" s="392" t="n"/>
      <c r="E3003" s="392" t="n"/>
      <c r="F3003" s="392" t="n"/>
      <c r="G3003" s="392" t="n">
        <v>20</v>
      </c>
      <c r="H3003" s="446">
        <f>H3002-G3003</f>
        <v/>
      </c>
      <c r="I3003" s="392" t="n"/>
      <c r="J3003" s="392" t="n"/>
      <c r="K3003" s="392" t="n"/>
      <c r="L3003" s="392" t="n"/>
      <c r="M3003" s="392" t="n"/>
    </row>
    <row r="3004">
      <c r="A3004" s="568" t="n">
        <v>44623</v>
      </c>
      <c r="B3004" s="392" t="n">
        <v>8916</v>
      </c>
      <c r="C3004" s="392" t="n">
        <v>80</v>
      </c>
      <c r="D3004" s="392" t="n"/>
      <c r="E3004" s="392" t="n"/>
      <c r="F3004" s="392" t="n"/>
      <c r="G3004" s="392" t="n">
        <v>50</v>
      </c>
      <c r="H3004" s="446">
        <f>H3003-G3004</f>
        <v/>
      </c>
      <c r="I3004" s="392" t="n"/>
      <c r="J3004" s="392" t="n"/>
      <c r="K3004" s="392" t="n"/>
      <c r="L3004" s="392" t="n"/>
      <c r="M3004" s="392" t="n"/>
    </row>
    <row r="3005">
      <c r="A3005" s="568" t="n">
        <v>44628</v>
      </c>
      <c r="B3005" s="392" t="n">
        <v>8919</v>
      </c>
      <c r="C3005" s="392" t="n">
        <v>82</v>
      </c>
      <c r="D3005" s="392" t="n"/>
      <c r="E3005" s="392" t="n"/>
      <c r="F3005" s="392" t="n"/>
      <c r="G3005" s="392" t="n">
        <v>25</v>
      </c>
      <c r="H3005" s="446">
        <f>H3004-G3005</f>
        <v/>
      </c>
      <c r="I3005" s="392" t="n"/>
      <c r="J3005" s="392" t="n"/>
      <c r="K3005" s="392" t="n"/>
      <c r="L3005" s="392" t="n"/>
      <c r="M3005" s="392" t="n"/>
    </row>
    <row r="3006">
      <c r="A3006" s="568" t="n">
        <v>44628</v>
      </c>
      <c r="B3006" s="392" t="n">
        <v>8921</v>
      </c>
      <c r="C3006" s="392" t="n">
        <v>83</v>
      </c>
      <c r="D3006" s="392" t="n"/>
      <c r="E3006" s="392" t="n"/>
      <c r="F3006" s="392" t="n"/>
      <c r="G3006" s="392" t="n">
        <v>20</v>
      </c>
      <c r="H3006" s="446">
        <f>H3005-G3006</f>
        <v/>
      </c>
      <c r="I3006" s="392" t="n"/>
      <c r="J3006" s="392" t="n"/>
      <c r="K3006" s="392" t="n"/>
      <c r="L3006" s="392" t="n"/>
      <c r="M3006" s="392" t="n"/>
    </row>
    <row r="3007">
      <c r="A3007" s="568" t="n">
        <v>44628</v>
      </c>
      <c r="B3007" s="392" t="n">
        <v>8922</v>
      </c>
      <c r="C3007" s="392" t="n">
        <v>82</v>
      </c>
      <c r="D3007" s="392" t="n"/>
      <c r="E3007" s="392" t="n"/>
      <c r="F3007" s="392" t="n"/>
      <c r="G3007" s="392" t="n">
        <v>50</v>
      </c>
      <c r="H3007" s="446">
        <f>H3006-G3007</f>
        <v/>
      </c>
      <c r="I3007" s="392" t="n"/>
      <c r="J3007" s="392" t="n"/>
      <c r="K3007" s="392" t="n"/>
      <c r="L3007" s="392" t="n"/>
      <c r="M3007" s="392" t="n"/>
    </row>
    <row r="3008">
      <c r="A3008" s="568" t="n">
        <v>44628</v>
      </c>
      <c r="B3008" s="392" t="n">
        <v>8926</v>
      </c>
      <c r="C3008" s="392" t="n">
        <v>84</v>
      </c>
      <c r="D3008" s="392" t="n"/>
      <c r="E3008" s="392" t="n"/>
      <c r="F3008" s="392" t="n"/>
      <c r="G3008" s="392" t="n">
        <v>30</v>
      </c>
      <c r="H3008" s="446">
        <f>H3007-G3008</f>
        <v/>
      </c>
      <c r="I3008" s="392" t="n"/>
      <c r="J3008" s="392" t="n"/>
      <c r="K3008" s="392" t="n"/>
      <c r="L3008" s="392" t="n"/>
      <c r="M3008" s="392" t="n"/>
    </row>
    <row r="3009">
      <c r="A3009" s="568" t="n">
        <v>44628</v>
      </c>
      <c r="B3009" s="392" t="n">
        <v>8927</v>
      </c>
      <c r="C3009" s="392" t="n">
        <v>83.40000000000001</v>
      </c>
      <c r="D3009" s="392" t="n"/>
      <c r="E3009" s="392" t="n"/>
      <c r="F3009" s="392" t="n"/>
      <c r="G3009" s="392" t="n">
        <v>50</v>
      </c>
      <c r="H3009" s="446">
        <f>H3008-G3009</f>
        <v/>
      </c>
      <c r="I3009" s="392" t="n"/>
      <c r="J3009" s="392" t="n"/>
      <c r="K3009" s="392" t="n"/>
      <c r="L3009" s="392" t="n"/>
      <c r="M3009" s="392" t="n"/>
    </row>
    <row r="3010">
      <c r="A3010" s="568" t="n">
        <v>44628</v>
      </c>
      <c r="B3010" s="392" t="n">
        <v>8928</v>
      </c>
      <c r="C3010" s="392" t="n">
        <v>82</v>
      </c>
      <c r="D3010" s="392" t="n"/>
      <c r="E3010" s="392" t="n"/>
      <c r="F3010" s="392" t="n"/>
      <c r="G3010" s="392" t="n">
        <v>10</v>
      </c>
      <c r="H3010" s="446">
        <f>H3009-G3010</f>
        <v/>
      </c>
      <c r="I3010" s="392" t="n"/>
      <c r="J3010" s="392" t="n"/>
      <c r="K3010" s="392" t="n"/>
      <c r="L3010" s="392" t="n"/>
      <c r="M3010" s="392" t="n"/>
    </row>
    <row r="3011">
      <c r="A3011" s="568" t="n">
        <v>44628</v>
      </c>
      <c r="B3011" s="392" t="n">
        <v>8929</v>
      </c>
      <c r="C3011" s="392" t="n">
        <v>82</v>
      </c>
      <c r="D3011" s="392" t="n"/>
      <c r="E3011" s="392" t="n"/>
      <c r="F3011" s="392" t="n"/>
      <c r="G3011" s="392" t="n">
        <v>30</v>
      </c>
      <c r="H3011" s="446">
        <f>H3010-G3011</f>
        <v/>
      </c>
      <c r="I3011" s="392" t="n"/>
      <c r="J3011" s="392" t="n"/>
      <c r="K3011" s="392" t="n"/>
      <c r="L3011" s="392" t="n"/>
      <c r="M3011" s="392" t="n"/>
    </row>
    <row r="3012">
      <c r="A3012" s="568" t="n">
        <v>44629</v>
      </c>
      <c r="B3012" s="392" t="n">
        <v>8932</v>
      </c>
      <c r="C3012" s="392" t="n">
        <v>82</v>
      </c>
      <c r="D3012" s="392" t="n"/>
      <c r="E3012" s="392" t="n"/>
      <c r="F3012" s="392" t="n"/>
      <c r="G3012" s="392" t="n">
        <v>30</v>
      </c>
      <c r="H3012" s="446">
        <f>H3011-G3012</f>
        <v/>
      </c>
      <c r="I3012" s="392" t="n"/>
      <c r="J3012" s="392" t="n"/>
      <c r="K3012" s="392" t="n"/>
      <c r="L3012" s="392" t="n"/>
      <c r="M3012" s="392" t="n"/>
    </row>
    <row r="3013">
      <c r="A3013" s="568" t="n">
        <v>44629</v>
      </c>
      <c r="B3013" s="392" t="n">
        <v>8938</v>
      </c>
      <c r="C3013" s="392" t="n">
        <v>89</v>
      </c>
      <c r="D3013" s="392" t="n"/>
      <c r="E3013" s="392" t="n"/>
      <c r="F3013" s="392" t="n"/>
      <c r="G3013" s="392" t="n">
        <v>20</v>
      </c>
      <c r="H3013" s="446">
        <f>H3012-G3013</f>
        <v/>
      </c>
      <c r="I3013" s="392" t="n"/>
      <c r="J3013" s="392" t="n"/>
      <c r="K3013" s="392" t="n"/>
      <c r="L3013" s="392" t="n"/>
      <c r="M3013" s="392" t="n"/>
    </row>
    <row r="3014">
      <c r="A3014" s="568" t="n">
        <v>44631</v>
      </c>
      <c r="B3014" s="392" t="n">
        <v>8943</v>
      </c>
      <c r="C3014" s="392" t="n">
        <v>87</v>
      </c>
      <c r="D3014" s="392" t="n"/>
      <c r="E3014" s="392" t="n"/>
      <c r="F3014" s="392" t="n"/>
      <c r="G3014" s="392" t="n">
        <v>50</v>
      </c>
      <c r="H3014" s="446">
        <f>H3013-G3014</f>
        <v/>
      </c>
      <c r="I3014" s="392" t="n"/>
      <c r="J3014" s="392" t="n"/>
      <c r="K3014" s="392" t="n"/>
      <c r="L3014" s="392" t="n"/>
      <c r="M3014" s="392" t="n"/>
    </row>
    <row r="3015">
      <c r="A3015" s="304" t="n">
        <v>44634</v>
      </c>
      <c r="B3015" s="401" t="n">
        <v>187461</v>
      </c>
      <c r="C3015" s="401" t="n">
        <v>71</v>
      </c>
      <c r="D3015" s="401" t="n"/>
      <c r="E3015" s="401" t="n"/>
      <c r="F3015" s="401" t="n">
        <v>700</v>
      </c>
      <c r="G3015" s="401" t="n"/>
      <c r="H3015" s="322" t="n">
        <v>2472</v>
      </c>
      <c r="I3015" s="392" t="n"/>
      <c r="J3015" s="392" t="n"/>
      <c r="K3015" s="392" t="n"/>
      <c r="L3015" s="392" t="n"/>
      <c r="M3015" s="392" t="n"/>
    </row>
    <row r="3016">
      <c r="A3016" s="568" t="n">
        <v>44636</v>
      </c>
      <c r="B3016" s="392" t="n">
        <v>8944</v>
      </c>
      <c r="C3016" s="392" t="n">
        <v>82</v>
      </c>
      <c r="D3016" s="392" t="n"/>
      <c r="E3016" s="392" t="n"/>
      <c r="F3016" s="392" t="n"/>
      <c r="G3016" s="392" t="n">
        <v>50</v>
      </c>
      <c r="H3016" s="446">
        <f>H3015-G3016</f>
        <v/>
      </c>
      <c r="I3016" s="392" t="n"/>
      <c r="J3016" s="392" t="n"/>
      <c r="K3016" s="392" t="n"/>
      <c r="L3016" s="392" t="n"/>
      <c r="M3016" s="392" t="n"/>
    </row>
    <row r="3017">
      <c r="A3017" s="568" t="n">
        <v>44636</v>
      </c>
      <c r="B3017" s="392" t="n">
        <v>8945</v>
      </c>
      <c r="C3017" s="392" t="n">
        <v>85</v>
      </c>
      <c r="D3017" s="392" t="n"/>
      <c r="E3017" s="392" t="n"/>
      <c r="F3017" s="392" t="n"/>
      <c r="G3017" s="392" t="n">
        <v>20</v>
      </c>
      <c r="H3017" s="446">
        <f>H3016-G3017</f>
        <v/>
      </c>
      <c r="I3017" s="392" t="n"/>
      <c r="J3017" s="392" t="n"/>
      <c r="K3017" s="392" t="n"/>
      <c r="L3017" s="392" t="n"/>
      <c r="M3017" s="392" t="n"/>
    </row>
    <row r="3018">
      <c r="A3018" s="568" t="n">
        <v>44636</v>
      </c>
      <c r="B3018" s="392" t="n">
        <v>8946</v>
      </c>
      <c r="C3018" s="392" t="n">
        <v>86</v>
      </c>
      <c r="D3018" s="392" t="n"/>
      <c r="E3018" s="392" t="n"/>
      <c r="F3018" s="392" t="n"/>
      <c r="G3018" s="392" t="n">
        <v>30</v>
      </c>
      <c r="H3018" s="446">
        <f>H3017-G3018</f>
        <v/>
      </c>
      <c r="I3018" s="392" t="n"/>
      <c r="J3018" s="392" t="n"/>
      <c r="K3018" s="392" t="n"/>
      <c r="L3018" s="392" t="n"/>
      <c r="M3018" s="392" t="n"/>
    </row>
    <row r="3019">
      <c r="A3019" s="568" t="n">
        <v>44636</v>
      </c>
      <c r="B3019" s="392" t="n">
        <v>8947</v>
      </c>
      <c r="C3019" s="392" t="n">
        <v>86</v>
      </c>
      <c r="D3019" s="392" t="n"/>
      <c r="E3019" s="392" t="n"/>
      <c r="F3019" s="392" t="n"/>
      <c r="G3019" s="392" t="n">
        <v>20</v>
      </c>
      <c r="H3019" s="446">
        <f>H3018-G3019</f>
        <v/>
      </c>
      <c r="I3019" s="392" t="n"/>
      <c r="J3019" s="392" t="n"/>
      <c r="K3019" s="392" t="n"/>
      <c r="L3019" s="392" t="n"/>
      <c r="M3019" s="392" t="n"/>
    </row>
    <row r="3020">
      <c r="A3020" s="568" t="n">
        <v>44636</v>
      </c>
      <c r="B3020" s="392" t="n">
        <v>8950</v>
      </c>
      <c r="C3020" s="392" t="n">
        <v>86</v>
      </c>
      <c r="D3020" s="392" t="n"/>
      <c r="E3020" s="392" t="n"/>
      <c r="F3020" s="392" t="n"/>
      <c r="G3020" s="392" t="n">
        <v>25</v>
      </c>
      <c r="H3020" s="446">
        <f>H3019-G3020</f>
        <v/>
      </c>
      <c r="I3020" s="392" t="n"/>
      <c r="J3020" s="392" t="n"/>
      <c r="K3020" s="392" t="n"/>
      <c r="L3020" s="392" t="n"/>
      <c r="M3020" s="392" t="n"/>
    </row>
    <row r="3021">
      <c r="A3021" s="568" t="n">
        <v>44636</v>
      </c>
      <c r="B3021" s="392" t="n">
        <v>8953</v>
      </c>
      <c r="C3021" s="392" t="n">
        <v>85</v>
      </c>
      <c r="D3021" s="392" t="n"/>
      <c r="E3021" s="392" t="n"/>
      <c r="F3021" s="392" t="n"/>
      <c r="G3021" s="392" t="n">
        <v>50</v>
      </c>
      <c r="H3021" s="446">
        <f>H3020-G3021</f>
        <v/>
      </c>
      <c r="I3021" s="392" t="n"/>
      <c r="J3021" s="392" t="n"/>
      <c r="K3021" s="392" t="n"/>
      <c r="L3021" s="392" t="n"/>
      <c r="M3021" s="392" t="n"/>
    </row>
    <row r="3022">
      <c r="A3022" s="568" t="n">
        <v>44637</v>
      </c>
      <c r="B3022" s="392" t="n">
        <v>8957</v>
      </c>
      <c r="C3022" s="392" t="n">
        <v>85</v>
      </c>
      <c r="D3022" s="392" t="n"/>
      <c r="E3022" s="392" t="n"/>
      <c r="F3022" s="392" t="n"/>
      <c r="G3022" s="392" t="n">
        <v>50</v>
      </c>
      <c r="H3022" s="446">
        <f>H3021-G3022</f>
        <v/>
      </c>
      <c r="I3022" s="392" t="n"/>
      <c r="J3022" s="392" t="n"/>
      <c r="K3022" s="392" t="n"/>
      <c r="L3022" s="392" t="n"/>
      <c r="M3022" s="392" t="n"/>
    </row>
    <row r="3023">
      <c r="A3023" s="568" t="n">
        <v>44641</v>
      </c>
      <c r="B3023" s="392" t="n">
        <v>8960</v>
      </c>
      <c r="C3023" s="392" t="n">
        <v>82</v>
      </c>
      <c r="D3023" s="392" t="n"/>
      <c r="E3023" s="392" t="n"/>
      <c r="F3023" s="392" t="n"/>
      <c r="G3023" s="392" t="n">
        <v>60</v>
      </c>
      <c r="H3023" s="446">
        <f>H3022-G3023</f>
        <v/>
      </c>
      <c r="I3023" s="392" t="n"/>
      <c r="J3023" s="392" t="n"/>
      <c r="K3023" s="392" t="n"/>
      <c r="L3023" s="392" t="n"/>
      <c r="M3023" s="392" t="n"/>
    </row>
    <row r="3024">
      <c r="A3024" s="568" t="n">
        <v>44641</v>
      </c>
      <c r="B3024" s="392" t="n">
        <v>8965</v>
      </c>
      <c r="C3024" s="392" t="n">
        <v>95</v>
      </c>
      <c r="D3024" s="392" t="n"/>
      <c r="E3024" s="392" t="n"/>
      <c r="F3024" s="392" t="n"/>
      <c r="G3024" s="392" t="n">
        <v>20</v>
      </c>
      <c r="H3024" s="446">
        <f>H3023-G3024</f>
        <v/>
      </c>
      <c r="I3024" s="392" t="n"/>
      <c r="J3024" s="392" t="n"/>
      <c r="K3024" s="392" t="n"/>
      <c r="L3024" s="392" t="n"/>
      <c r="M3024" s="392" t="n"/>
    </row>
    <row r="3025">
      <c r="A3025" s="568" t="n">
        <v>44641</v>
      </c>
      <c r="B3025" s="392" t="n">
        <v>8966</v>
      </c>
      <c r="C3025" s="392" t="n">
        <v>95</v>
      </c>
      <c r="D3025" s="392" t="n"/>
      <c r="E3025" s="392" t="n"/>
      <c r="F3025" s="392" t="n"/>
      <c r="G3025" s="392" t="n">
        <v>20</v>
      </c>
      <c r="H3025" s="446">
        <f>H3024-G3025</f>
        <v/>
      </c>
      <c r="I3025" s="392" t="n"/>
      <c r="J3025" s="392" t="n"/>
      <c r="K3025" s="392" t="n"/>
      <c r="L3025" s="392" t="n"/>
      <c r="M3025" s="392" t="n"/>
    </row>
    <row r="3026">
      <c r="A3026" s="568" t="n">
        <v>44641</v>
      </c>
      <c r="B3026" s="392" t="n">
        <v>8970</v>
      </c>
      <c r="C3026" s="392" t="n">
        <v>88</v>
      </c>
      <c r="D3026" s="392" t="n"/>
      <c r="E3026" s="392" t="n"/>
      <c r="F3026" s="392" t="n"/>
      <c r="G3026" s="392" t="n">
        <v>20</v>
      </c>
      <c r="H3026" s="446">
        <f>H3025-G3026</f>
        <v/>
      </c>
      <c r="I3026" s="392" t="n"/>
      <c r="J3026" s="392" t="n"/>
      <c r="K3026" s="392" t="n"/>
      <c r="L3026" s="392" t="n"/>
      <c r="M3026" s="392" t="n"/>
    </row>
    <row r="3027">
      <c r="A3027" s="304" t="n">
        <v>44643</v>
      </c>
      <c r="B3027" s="401" t="n">
        <v>188046</v>
      </c>
      <c r="C3027" s="401" t="n">
        <v>70</v>
      </c>
      <c r="D3027" s="401" t="n"/>
      <c r="E3027" s="401" t="n"/>
      <c r="F3027" s="401" t="n">
        <v>200</v>
      </c>
      <c r="G3027" s="401" t="n"/>
      <c r="H3027" s="322" t="n">
        <v>2307</v>
      </c>
      <c r="I3027" s="392" t="n"/>
      <c r="J3027" s="392" t="n"/>
      <c r="K3027" s="392" t="n"/>
      <c r="L3027" s="392" t="n"/>
      <c r="M3027" s="392" t="n"/>
    </row>
    <row r="3028">
      <c r="A3028" s="568" t="n">
        <v>44643</v>
      </c>
      <c r="B3028" s="392" t="n">
        <v>8974</v>
      </c>
      <c r="C3028" s="392" t="n">
        <v>90.25</v>
      </c>
      <c r="D3028" s="392" t="n"/>
      <c r="E3028" s="392" t="n"/>
      <c r="F3028" s="392" t="n"/>
      <c r="G3028" s="392" t="n">
        <v>20</v>
      </c>
      <c r="H3028" s="446">
        <f>H3027-G3028</f>
        <v/>
      </c>
      <c r="I3028" s="392" t="n"/>
      <c r="J3028" s="392" t="n"/>
      <c r="K3028" s="392" t="n"/>
      <c r="L3028" s="392" t="n"/>
      <c r="M3028" s="392" t="n"/>
    </row>
    <row r="3029">
      <c r="A3029" s="568" t="n">
        <v>44643</v>
      </c>
      <c r="B3029" s="392" t="n">
        <v>8975</v>
      </c>
      <c r="C3029" s="392" t="n">
        <v>88</v>
      </c>
      <c r="D3029" s="392" t="n"/>
      <c r="E3029" s="392" t="n"/>
      <c r="F3029" s="392" t="n"/>
      <c r="G3029" s="392" t="n">
        <v>30</v>
      </c>
      <c r="H3029" s="446">
        <f>H3028-G3029</f>
        <v/>
      </c>
      <c r="I3029" s="392" t="n"/>
      <c r="J3029" s="392" t="n"/>
      <c r="K3029" s="392" t="n"/>
      <c r="L3029" s="392" t="n"/>
      <c r="M3029" s="392" t="n"/>
    </row>
    <row r="3030">
      <c r="A3030" s="568" t="n">
        <v>44647</v>
      </c>
      <c r="B3030" s="392" t="n">
        <v>8976</v>
      </c>
      <c r="C3030" s="392" t="n">
        <v>86</v>
      </c>
      <c r="D3030" s="392" t="n"/>
      <c r="E3030" s="392" t="n"/>
      <c r="F3030" s="392" t="n"/>
      <c r="G3030" s="392" t="n">
        <v>20</v>
      </c>
      <c r="H3030" s="446">
        <f>H3029-G3030</f>
        <v/>
      </c>
      <c r="I3030" s="392" t="n"/>
      <c r="J3030" s="392" t="n"/>
      <c r="K3030" s="392" t="n"/>
      <c r="L3030" s="392" t="n"/>
      <c r="M3030" s="392" t="n"/>
    </row>
    <row r="3031">
      <c r="A3031" s="568" t="n">
        <v>44649</v>
      </c>
      <c r="B3031" s="392" t="n">
        <v>8978</v>
      </c>
      <c r="C3031" s="392" t="n">
        <v>88</v>
      </c>
      <c r="D3031" s="392" t="n"/>
      <c r="E3031" s="392" t="n"/>
      <c r="F3031" s="392" t="n"/>
      <c r="G3031" s="392" t="n">
        <v>70</v>
      </c>
      <c r="H3031" s="446">
        <f>H3030-G3031</f>
        <v/>
      </c>
      <c r="I3031" s="392" t="n"/>
      <c r="J3031" s="392" t="n"/>
      <c r="K3031" s="392" t="n"/>
      <c r="L3031" s="392" t="n"/>
      <c r="M3031" s="392" t="n"/>
    </row>
    <row r="3032">
      <c r="A3032" s="568" t="n">
        <v>44649</v>
      </c>
      <c r="B3032" s="392" t="n">
        <v>8979</v>
      </c>
      <c r="C3032" s="392" t="n">
        <v>85</v>
      </c>
      <c r="D3032" s="392" t="n"/>
      <c r="E3032" s="392" t="n"/>
      <c r="F3032" s="392" t="n"/>
      <c r="G3032" s="392" t="n">
        <v>50</v>
      </c>
      <c r="H3032" s="446">
        <f>H3031-G3032</f>
        <v/>
      </c>
      <c r="I3032" s="392" t="n"/>
      <c r="J3032" s="392" t="n"/>
      <c r="K3032" s="392" t="n"/>
      <c r="L3032" s="392" t="n"/>
      <c r="M3032" s="392" t="n"/>
    </row>
    <row r="3033">
      <c r="A3033" s="568" t="n">
        <v>44649</v>
      </c>
      <c r="B3033" s="392" t="n">
        <v>8983</v>
      </c>
      <c r="C3033" s="392" t="n">
        <v>86</v>
      </c>
      <c r="D3033" s="392" t="n"/>
      <c r="E3033" s="392" t="n"/>
      <c r="F3033" s="392" t="n"/>
      <c r="G3033" s="392" t="n">
        <v>15</v>
      </c>
      <c r="H3033" s="446">
        <f>H3032-G3033</f>
        <v/>
      </c>
      <c r="I3033" s="392" t="n"/>
      <c r="J3033" s="392" t="n"/>
      <c r="K3033" s="392" t="n"/>
      <c r="L3033" s="392" t="n"/>
      <c r="M3033" s="392" t="n"/>
    </row>
    <row r="3034">
      <c r="A3034" s="568" t="n">
        <v>44649</v>
      </c>
      <c r="B3034" s="392" t="n">
        <v>8984</v>
      </c>
      <c r="C3034" s="392" t="n">
        <v>95</v>
      </c>
      <c r="D3034" s="392" t="n"/>
      <c r="E3034" s="392" t="n"/>
      <c r="F3034" s="392" t="n"/>
      <c r="G3034" s="392" t="n">
        <v>20</v>
      </c>
      <c r="H3034" s="446">
        <f>H3033-G3034</f>
        <v/>
      </c>
      <c r="I3034" s="392" t="n"/>
      <c r="J3034" s="392" t="n"/>
      <c r="K3034" s="392" t="n"/>
      <c r="L3034" s="392" t="n"/>
      <c r="M3034" s="392" t="n"/>
    </row>
    <row r="3035">
      <c r="A3035" s="568" t="n">
        <v>44649</v>
      </c>
      <c r="B3035" s="392" t="n">
        <v>8985</v>
      </c>
      <c r="C3035" s="392" t="n">
        <v>95</v>
      </c>
      <c r="D3035" s="392" t="n"/>
      <c r="E3035" s="392" t="n"/>
      <c r="F3035" s="392" t="n"/>
      <c r="G3035" s="392" t="n">
        <v>150</v>
      </c>
      <c r="H3035" s="446">
        <f>H3034-G3035</f>
        <v/>
      </c>
      <c r="I3035" s="392" t="n"/>
      <c r="J3035" s="392" t="n"/>
      <c r="K3035" s="392" t="n"/>
      <c r="L3035" s="392" t="n"/>
      <c r="M3035" s="392" t="n"/>
    </row>
    <row r="3036">
      <c r="A3036" s="568" t="n">
        <v>44650</v>
      </c>
      <c r="B3036" s="392" t="n">
        <v>8986</v>
      </c>
      <c r="C3036" s="392" t="n">
        <v>95</v>
      </c>
      <c r="D3036" s="392" t="n"/>
      <c r="E3036" s="392" t="n"/>
      <c r="F3036" s="392" t="n"/>
      <c r="G3036" s="392" t="n">
        <v>50</v>
      </c>
      <c r="H3036" s="446">
        <f>H3035-G3036</f>
        <v/>
      </c>
      <c r="I3036" s="392" t="n"/>
      <c r="J3036" s="392" t="n"/>
      <c r="K3036" s="392" t="n"/>
      <c r="L3036" s="392" t="n"/>
      <c r="M3036" s="392" t="n"/>
    </row>
    <row r="3037">
      <c r="A3037" s="568" t="n">
        <v>44650</v>
      </c>
      <c r="B3037" s="392" t="n">
        <v>8987</v>
      </c>
      <c r="C3037" s="392" t="n">
        <v>89</v>
      </c>
      <c r="D3037" s="392" t="n"/>
      <c r="E3037" s="392" t="n"/>
      <c r="F3037" s="392" t="n"/>
      <c r="G3037" s="392" t="n">
        <v>30</v>
      </c>
      <c r="H3037" s="446">
        <f>H3036-G3037</f>
        <v/>
      </c>
      <c r="I3037" s="392" t="n"/>
      <c r="J3037" s="392" t="n"/>
      <c r="K3037" s="392" t="n"/>
      <c r="L3037" s="392" t="n"/>
      <c r="M3037" s="392" t="n"/>
    </row>
    <row r="3038">
      <c r="A3038" s="568" t="n">
        <v>44650</v>
      </c>
      <c r="B3038" s="392" t="n">
        <v>8989</v>
      </c>
      <c r="C3038" s="392" t="n">
        <v>89</v>
      </c>
      <c r="D3038" s="392" t="n"/>
      <c r="E3038" s="392" t="n"/>
      <c r="F3038" s="392" t="n"/>
      <c r="G3038" s="392" t="n">
        <v>50</v>
      </c>
      <c r="H3038" s="446">
        <f>H3037-G3038</f>
        <v/>
      </c>
      <c r="I3038" s="392" t="n"/>
      <c r="J3038" s="392" t="n"/>
      <c r="K3038" s="392" t="n"/>
      <c r="L3038" s="392" t="n"/>
      <c r="M3038" s="392" t="n"/>
    </row>
    <row r="3039">
      <c r="A3039" s="568" t="n">
        <v>44650</v>
      </c>
      <c r="B3039" s="392" t="n">
        <v>8991</v>
      </c>
      <c r="C3039" s="392" t="n">
        <v>95</v>
      </c>
      <c r="D3039" s="392" t="n"/>
      <c r="E3039" s="392" t="n"/>
      <c r="F3039" s="392" t="n"/>
      <c r="G3039" s="392" t="n">
        <v>20</v>
      </c>
      <c r="H3039" s="446">
        <f>H3038-G3039</f>
        <v/>
      </c>
      <c r="I3039" s="392" t="n"/>
      <c r="J3039" s="392" t="n"/>
      <c r="K3039" s="392" t="n"/>
      <c r="L3039" s="392" t="n"/>
      <c r="M3039" s="392" t="n"/>
    </row>
    <row r="3040">
      <c r="A3040" s="568" t="n">
        <v>44650</v>
      </c>
      <c r="B3040" s="392" t="n">
        <v>8994</v>
      </c>
      <c r="C3040" s="392" t="n">
        <v>89</v>
      </c>
      <c r="D3040" s="392" t="n"/>
      <c r="E3040" s="392" t="n"/>
      <c r="F3040" s="392" t="n"/>
      <c r="G3040" s="392" t="n">
        <v>40</v>
      </c>
      <c r="H3040" s="446">
        <f>H3039-G3040</f>
        <v/>
      </c>
      <c r="I3040" s="392" t="n"/>
      <c r="J3040" s="392" t="n"/>
      <c r="K3040" s="392" t="n"/>
      <c r="L3040" s="392" t="n"/>
      <c r="M3040" s="392" t="n"/>
    </row>
    <row r="3041">
      <c r="A3041" s="568" t="n">
        <v>44650</v>
      </c>
      <c r="B3041" s="392" t="n">
        <v>8996</v>
      </c>
      <c r="C3041" s="392" t="n">
        <v>91</v>
      </c>
      <c r="D3041" s="392" t="n"/>
      <c r="E3041" s="392" t="n"/>
      <c r="F3041" s="392" t="n"/>
      <c r="G3041" s="392" t="n">
        <v>30</v>
      </c>
      <c r="H3041" s="446">
        <f>H3040-G3041</f>
        <v/>
      </c>
      <c r="I3041" s="392" t="n"/>
      <c r="J3041" s="392" t="n"/>
      <c r="K3041" s="392" t="n"/>
      <c r="L3041" s="392" t="n"/>
      <c r="M3041" s="392" t="n"/>
    </row>
    <row r="3042">
      <c r="A3042" s="304" t="n">
        <v>44651</v>
      </c>
      <c r="B3042" s="401" t="n">
        <v>20593</v>
      </c>
      <c r="C3042" s="401" t="n">
        <v>87</v>
      </c>
      <c r="D3042" s="401" t="n"/>
      <c r="E3042" s="401" t="n"/>
      <c r="F3042" s="401" t="n">
        <v>1120</v>
      </c>
      <c r="G3042" s="401" t="n"/>
      <c r="H3042" s="322" t="n">
        <v>2832</v>
      </c>
      <c r="I3042" s="392" t="n"/>
      <c r="J3042" s="392" t="n"/>
      <c r="K3042" s="392" t="n"/>
      <c r="L3042" s="392" t="n"/>
      <c r="M3042" s="392" t="n"/>
    </row>
    <row r="3043">
      <c r="A3043" s="568" t="n"/>
      <c r="B3043" s="392" t="n"/>
      <c r="C3043" s="392" t="n"/>
      <c r="D3043" s="392" t="n"/>
      <c r="E3043" s="392" t="n"/>
      <c r="F3043" s="392" t="n"/>
      <c r="G3043" s="392" t="n"/>
      <c r="H3043" s="446">
        <f>H3042-G3043</f>
        <v/>
      </c>
      <c r="I3043" s="392" t="n"/>
      <c r="J3043" s="392" t="n"/>
      <c r="K3043" s="392" t="n"/>
      <c r="L3043" s="392" t="n"/>
      <c r="M3043" s="392" t="n"/>
    </row>
    <row r="3044" ht="15.75" customHeight="1" s="436" thickBot="1">
      <c r="A3044" s="414" t="n"/>
      <c r="H3044" s="390" t="n"/>
    </row>
    <row r="3045" ht="32.25" customHeight="1" s="436" thickBot="1">
      <c r="A3045" s="735" t="inlineStr">
        <is>
          <t>Abril</t>
        </is>
      </c>
      <c r="B3045" s="697" t="n"/>
      <c r="C3045" s="697" t="n"/>
      <c r="D3045" s="697" t="n"/>
      <c r="E3045" s="697" t="n"/>
      <c r="F3045" s="697" t="n"/>
      <c r="G3045" s="697" t="n"/>
      <c r="H3045" s="697" t="n"/>
      <c r="I3045" s="697" t="n"/>
      <c r="J3045" s="697" t="n"/>
      <c r="K3045" s="697" t="n"/>
      <c r="L3045" s="697" t="n"/>
      <c r="M3045" s="698" t="n"/>
    </row>
    <row r="3046" ht="27" customHeight="1" s="436" thickBot="1">
      <c r="A3046" s="720" t="inlineStr">
        <is>
          <t xml:space="preserve"> FARINHA DE TRIGO TIPO: 1 - 25 KG</t>
        </is>
      </c>
      <c r="B3046" s="697" t="n"/>
      <c r="C3046" s="697" t="n"/>
      <c r="D3046" s="697" t="n"/>
      <c r="E3046" s="697" t="n"/>
      <c r="F3046" s="697" t="n"/>
      <c r="G3046" s="697" t="n"/>
      <c r="H3046" s="697" t="n"/>
      <c r="I3046" s="697" t="n"/>
      <c r="J3046" s="697" t="n"/>
      <c r="K3046" s="697" t="n"/>
      <c r="L3046" s="697" t="n"/>
      <c r="M3046" s="698" t="n"/>
    </row>
    <row r="3047">
      <c r="A3047" s="643" t="inlineStr">
        <is>
          <t>DATA</t>
        </is>
      </c>
      <c r="B3047" s="633" t="inlineStr">
        <is>
          <t>N.F.</t>
        </is>
      </c>
      <c r="C3047" s="633" t="inlineStr">
        <is>
          <t>TIPO</t>
        </is>
      </c>
      <c r="D3047" s="670" t="inlineStr">
        <is>
          <t>PREÇO UNITÁRIO</t>
        </is>
      </c>
      <c r="E3047" s="701" t="n"/>
      <c r="F3047" s="633" t="inlineStr">
        <is>
          <t>QUANTIDADE / KG</t>
        </is>
      </c>
      <c r="H3047" s="701" t="n"/>
      <c r="I3047" s="632" t="inlineStr">
        <is>
          <t>PREÇO</t>
        </is>
      </c>
      <c r="J3047" s="632" t="inlineStr">
        <is>
          <t>VALORES</t>
        </is>
      </c>
      <c r="L3047" s="701" t="n"/>
      <c r="M3047" s="649" t="n"/>
    </row>
    <row r="3048" ht="15.75" customHeight="1" s="436" thickBot="1">
      <c r="A3048" s="703" t="n"/>
      <c r="B3048" s="704" t="n"/>
      <c r="C3048" s="704" t="n"/>
      <c r="D3048" s="703" t="n"/>
      <c r="E3048" s="701" t="n"/>
      <c r="F3048" s="705" t="n"/>
      <c r="G3048" s="706" t="n"/>
      <c r="H3048" s="707" t="n"/>
      <c r="I3048" s="704" t="n"/>
      <c r="J3048" s="703" t="n"/>
      <c r="L3048" s="701" t="n"/>
      <c r="M3048" s="704" t="n"/>
    </row>
    <row r="3049" ht="15.75" customHeight="1" s="436" thickBot="1">
      <c r="A3049" s="703" t="n"/>
      <c r="B3049" s="704" t="n"/>
      <c r="C3049" s="704" t="n"/>
      <c r="D3049" s="705" t="n"/>
      <c r="E3049" s="707" t="n"/>
      <c r="F3049" s="3" t="inlineStr">
        <is>
          <t>ENTRADA</t>
        </is>
      </c>
      <c r="G3049" s="3" t="inlineStr">
        <is>
          <t>SAÍDA</t>
        </is>
      </c>
      <c r="H3049" s="640" t="n"/>
      <c r="I3049" s="633" t="inlineStr">
        <is>
          <t>MÉDIO</t>
        </is>
      </c>
      <c r="J3049" s="652" t="inlineStr">
        <is>
          <t>SALDO EM 30/11/2017</t>
        </is>
      </c>
      <c r="K3049" s="706" t="n"/>
      <c r="L3049" s="17" t="n"/>
      <c r="M3049" s="704" t="n"/>
    </row>
    <row r="3050" ht="18" customHeight="1" s="436" thickBot="1">
      <c r="A3050" s="705" t="n"/>
      <c r="B3050" s="695" t="n"/>
      <c r="C3050" s="695" t="n"/>
      <c r="D3050" s="3" t="inlineStr">
        <is>
          <t>C/ICMS</t>
        </is>
      </c>
      <c r="E3050" s="3" t="inlineStr">
        <is>
          <t>S/ICMS</t>
        </is>
      </c>
      <c r="F3050" s="695" t="n"/>
      <c r="G3050" s="695" t="n"/>
      <c r="H3050" s="84" t="inlineStr">
        <is>
          <t>Saldo em 01/03/2022</t>
        </is>
      </c>
      <c r="I3050" s="695" t="n"/>
      <c r="J3050" s="645" t="inlineStr">
        <is>
          <t>ENTRADA</t>
        </is>
      </c>
      <c r="K3050" s="633" t="inlineStr">
        <is>
          <t>SAÍDA / CMV</t>
        </is>
      </c>
      <c r="L3050" s="643" t="inlineStr">
        <is>
          <t>SALDO</t>
        </is>
      </c>
      <c r="M3050" s="392" t="n"/>
    </row>
    <row r="3051">
      <c r="A3051" s="392" t="n"/>
      <c r="B3051" s="392" t="n"/>
      <c r="C3051" s="392" t="n"/>
      <c r="D3051" s="392" t="n"/>
      <c r="E3051" s="392" t="n"/>
      <c r="F3051" s="392" t="n"/>
      <c r="G3051" s="392" t="n"/>
      <c r="H3051" s="446" t="n">
        <v>2832</v>
      </c>
      <c r="I3051" s="392" t="n"/>
      <c r="J3051" s="392" t="n"/>
      <c r="K3051" s="392" t="n"/>
      <c r="L3051" s="392" t="n"/>
      <c r="M3051" s="392" t="n"/>
    </row>
    <row r="3052">
      <c r="A3052" s="568" t="n">
        <v>44657</v>
      </c>
      <c r="B3052" s="392" t="n">
        <v>8997</v>
      </c>
      <c r="C3052" s="392" t="n">
        <v>88</v>
      </c>
      <c r="D3052" s="392" t="n"/>
      <c r="E3052" s="392" t="n"/>
      <c r="F3052" s="392" t="n"/>
      <c r="G3052" s="392" t="n">
        <v>30</v>
      </c>
      <c r="H3052" s="446">
        <f>H3051-G3052</f>
        <v/>
      </c>
      <c r="I3052" s="392" t="n"/>
      <c r="J3052" s="392" t="n"/>
      <c r="K3052" s="392" t="n"/>
      <c r="L3052" s="392" t="n"/>
      <c r="M3052" s="392" t="n"/>
    </row>
    <row r="3053">
      <c r="A3053" s="568" t="n">
        <v>44657</v>
      </c>
      <c r="B3053" s="392" t="n">
        <v>8998</v>
      </c>
      <c r="C3053" s="392" t="n">
        <v>91</v>
      </c>
      <c r="D3053" s="392" t="n"/>
      <c r="E3053" s="392" t="n"/>
      <c r="F3053" s="392" t="n"/>
      <c r="G3053" s="392" t="n">
        <v>20</v>
      </c>
      <c r="H3053" s="446">
        <f>H3052-G3053</f>
        <v/>
      </c>
      <c r="I3053" s="392" t="n"/>
      <c r="J3053" s="392" t="n"/>
      <c r="K3053" s="392" t="n"/>
      <c r="L3053" s="392" t="n"/>
      <c r="M3053" s="392" t="n"/>
    </row>
    <row r="3054">
      <c r="A3054" s="568" t="n">
        <v>44657</v>
      </c>
      <c r="B3054" s="392" t="n">
        <v>9001</v>
      </c>
      <c r="C3054" s="392" t="n">
        <v>90</v>
      </c>
      <c r="D3054" s="392" t="n"/>
      <c r="E3054" s="392" t="n"/>
      <c r="F3054" s="392" t="n"/>
      <c r="G3054" s="392" t="n">
        <v>50</v>
      </c>
      <c r="H3054" s="446">
        <f>H3053-G3054</f>
        <v/>
      </c>
      <c r="I3054" s="392" t="n"/>
      <c r="J3054" s="392" t="n"/>
      <c r="K3054" s="392" t="n"/>
      <c r="L3054" s="392" t="n"/>
      <c r="M3054" s="392" t="n"/>
    </row>
    <row r="3055">
      <c r="A3055" s="568" t="n">
        <v>44657</v>
      </c>
      <c r="B3055" s="392" t="n">
        <v>9002</v>
      </c>
      <c r="C3055" s="392" t="n">
        <v>92.75</v>
      </c>
      <c r="D3055" s="392" t="n"/>
      <c r="E3055" s="392" t="n"/>
      <c r="F3055" s="392" t="n"/>
      <c r="G3055" s="392" t="n">
        <v>20</v>
      </c>
      <c r="H3055" s="446">
        <f>H3054-G3055</f>
        <v/>
      </c>
      <c r="I3055" s="392" t="n"/>
      <c r="J3055" s="392" t="n"/>
      <c r="K3055" s="392" t="n"/>
      <c r="L3055" s="392" t="n"/>
      <c r="M3055" s="392" t="n"/>
    </row>
    <row r="3056">
      <c r="A3056" s="568" t="n">
        <v>44657</v>
      </c>
      <c r="B3056" s="392" t="n">
        <v>9003</v>
      </c>
      <c r="C3056" s="392" t="n">
        <v>91</v>
      </c>
      <c r="D3056" s="392" t="n"/>
      <c r="E3056" s="392" t="n"/>
      <c r="F3056" s="392" t="n"/>
      <c r="G3056" s="392" t="n">
        <v>20</v>
      </c>
      <c r="H3056" s="446">
        <f>H3055-G3056</f>
        <v/>
      </c>
      <c r="I3056" s="392" t="n"/>
      <c r="J3056" s="392" t="n"/>
      <c r="K3056" s="392" t="n"/>
      <c r="L3056" s="392" t="n"/>
      <c r="M3056" s="392" t="n"/>
    </row>
    <row r="3057">
      <c r="A3057" s="568" t="n">
        <v>44657</v>
      </c>
      <c r="B3057" s="392" t="n">
        <v>9004</v>
      </c>
      <c r="C3057" s="392" t="n">
        <v>97</v>
      </c>
      <c r="D3057" s="392" t="n"/>
      <c r="E3057" s="392" t="n"/>
      <c r="F3057" s="392" t="n"/>
      <c r="G3057" s="392" t="n">
        <v>20</v>
      </c>
      <c r="H3057" s="446">
        <f>H3056-G3057</f>
        <v/>
      </c>
      <c r="I3057" s="392" t="n"/>
      <c r="J3057" s="392" t="n"/>
      <c r="K3057" s="392" t="n"/>
      <c r="L3057" s="392" t="n"/>
      <c r="M3057" s="392" t="n"/>
    </row>
    <row r="3058">
      <c r="A3058" s="568" t="n">
        <v>44657</v>
      </c>
      <c r="B3058" s="392" t="n">
        <v>9006</v>
      </c>
      <c r="C3058" s="392" t="n">
        <v>91.5</v>
      </c>
      <c r="D3058" s="392" t="n"/>
      <c r="E3058" s="392" t="n"/>
      <c r="F3058" s="392" t="n"/>
      <c r="G3058" s="392" t="n">
        <v>20</v>
      </c>
      <c r="H3058" s="446">
        <f>H3057-G3058</f>
        <v/>
      </c>
      <c r="I3058" s="392" t="n"/>
      <c r="J3058" s="392" t="n"/>
      <c r="K3058" s="392" t="n"/>
      <c r="L3058" s="392" t="n"/>
      <c r="M3058" s="392" t="n"/>
    </row>
    <row r="3059">
      <c r="A3059" s="568" t="n">
        <v>44657</v>
      </c>
      <c r="B3059" s="392" t="n">
        <v>9008</v>
      </c>
      <c r="C3059" s="392" t="n">
        <v>91.67</v>
      </c>
      <c r="D3059" s="392" t="n"/>
      <c r="E3059" s="392" t="n"/>
      <c r="F3059" s="392" t="n"/>
      <c r="G3059" s="392" t="n">
        <v>30</v>
      </c>
      <c r="H3059" s="446">
        <f>H3058-G3059</f>
        <v/>
      </c>
      <c r="I3059" s="392" t="n"/>
      <c r="J3059" s="392" t="n"/>
      <c r="K3059" s="392" t="n"/>
      <c r="L3059" s="392" t="n"/>
      <c r="M3059" s="392" t="n"/>
    </row>
    <row r="3060">
      <c r="A3060" s="568" t="n">
        <v>44657</v>
      </c>
      <c r="B3060" s="392" t="n">
        <v>9009</v>
      </c>
      <c r="C3060" s="392" t="n">
        <v>90</v>
      </c>
      <c r="D3060" s="392" t="n"/>
      <c r="E3060" s="392" t="n"/>
      <c r="F3060" s="392" t="n"/>
      <c r="G3060" s="392" t="n">
        <v>30</v>
      </c>
      <c r="H3060" s="446">
        <f>H3059-G3060</f>
        <v/>
      </c>
      <c r="I3060" s="392" t="n"/>
      <c r="J3060" s="392" t="n"/>
      <c r="K3060" s="392" t="n"/>
      <c r="L3060" s="392" t="n"/>
      <c r="M3060" s="392" t="n"/>
    </row>
    <row r="3061">
      <c r="A3061" s="568" t="n">
        <v>44657</v>
      </c>
      <c r="B3061" s="392" t="n">
        <v>9010</v>
      </c>
      <c r="C3061" s="392" t="n">
        <v>91.7</v>
      </c>
      <c r="D3061" s="392" t="n"/>
      <c r="E3061" s="392" t="n"/>
      <c r="F3061" s="392" t="n"/>
      <c r="G3061" s="392" t="n">
        <v>50</v>
      </c>
      <c r="H3061" s="446">
        <f>H3060-G3061</f>
        <v/>
      </c>
      <c r="I3061" s="392" t="n"/>
      <c r="J3061" s="392" t="n"/>
      <c r="K3061" s="392" t="n"/>
      <c r="L3061" s="392" t="n"/>
      <c r="M3061" s="392" t="n"/>
    </row>
    <row r="3062">
      <c r="A3062" s="568" t="n">
        <v>44663</v>
      </c>
      <c r="B3062" s="392" t="n">
        <v>9017</v>
      </c>
      <c r="C3062" s="392" t="n">
        <v>93</v>
      </c>
      <c r="D3062" s="392" t="n"/>
      <c r="E3062" s="392" t="n"/>
      <c r="F3062" s="392" t="n"/>
      <c r="G3062" s="392" t="n">
        <v>30</v>
      </c>
      <c r="H3062" s="446">
        <f>H3061-G3062</f>
        <v/>
      </c>
      <c r="I3062" s="392" t="n"/>
      <c r="J3062" s="392" t="n"/>
      <c r="K3062" s="392" t="n"/>
      <c r="L3062" s="392" t="n"/>
      <c r="M3062" s="392" t="n"/>
    </row>
    <row r="3063">
      <c r="A3063" s="568" t="n">
        <v>44663</v>
      </c>
      <c r="B3063" s="392" t="n">
        <v>9019</v>
      </c>
      <c r="C3063" s="392" t="n">
        <v>97</v>
      </c>
      <c r="D3063" s="392" t="n"/>
      <c r="E3063" s="392" t="n"/>
      <c r="F3063" s="392" t="n"/>
      <c r="G3063" s="392" t="n">
        <v>20</v>
      </c>
      <c r="H3063" s="446">
        <f>H3062-G3063</f>
        <v/>
      </c>
      <c r="I3063" s="392" t="n"/>
      <c r="J3063" s="392" t="n"/>
      <c r="K3063" s="392" t="n"/>
      <c r="L3063" s="392" t="n"/>
      <c r="M3063" s="392" t="n"/>
    </row>
    <row r="3064">
      <c r="A3064" s="568" t="n">
        <v>44663</v>
      </c>
      <c r="B3064" s="392" t="n">
        <v>9020</v>
      </c>
      <c r="C3064" s="392" t="n">
        <v>90</v>
      </c>
      <c r="D3064" s="392" t="n"/>
      <c r="E3064" s="392" t="n"/>
      <c r="F3064" s="392" t="n"/>
      <c r="G3064" s="392" t="n">
        <v>50</v>
      </c>
      <c r="H3064" s="446">
        <f>H3063-G3064</f>
        <v/>
      </c>
      <c r="I3064" s="392" t="n"/>
      <c r="J3064" s="392" t="n"/>
      <c r="K3064" s="392" t="n"/>
      <c r="L3064" s="392" t="n"/>
      <c r="M3064" s="392" t="n"/>
    </row>
    <row r="3065">
      <c r="A3065" s="568" t="n">
        <v>44663</v>
      </c>
      <c r="B3065" s="392" t="n">
        <v>9024</v>
      </c>
      <c r="C3065" s="392" t="n">
        <v>93</v>
      </c>
      <c r="D3065" s="392" t="n"/>
      <c r="E3065" s="392" t="n"/>
      <c r="F3065" s="392" t="n"/>
      <c r="G3065" s="392" t="n">
        <v>50</v>
      </c>
      <c r="H3065" s="446">
        <f>H3064-G3065</f>
        <v/>
      </c>
      <c r="I3065" s="392" t="n"/>
      <c r="J3065" s="392" t="n"/>
      <c r="K3065" s="392" t="n"/>
      <c r="L3065" s="392" t="n"/>
      <c r="M3065" s="392" t="n"/>
    </row>
    <row r="3066">
      <c r="A3066" s="568" t="n">
        <v>44663</v>
      </c>
      <c r="B3066" s="392" t="n">
        <v>9026</v>
      </c>
      <c r="C3066" s="392" t="n">
        <v>93</v>
      </c>
      <c r="D3066" s="392" t="n"/>
      <c r="E3066" s="392" t="n"/>
      <c r="F3066" s="392" t="n"/>
      <c r="G3066" s="392" t="n">
        <v>15</v>
      </c>
      <c r="H3066" s="446">
        <f>H3065-G3066</f>
        <v/>
      </c>
      <c r="I3066" s="392" t="n"/>
      <c r="J3066" s="392" t="n"/>
      <c r="K3066" s="392" t="n"/>
      <c r="L3066" s="392" t="n"/>
      <c r="M3066" s="392" t="n"/>
    </row>
    <row r="3067">
      <c r="A3067" s="568" t="n">
        <v>44664</v>
      </c>
      <c r="B3067" s="392" t="n">
        <v>9032</v>
      </c>
      <c r="C3067" s="392" t="n">
        <v>93.67</v>
      </c>
      <c r="D3067" s="392" t="n"/>
      <c r="E3067" s="392" t="n"/>
      <c r="F3067" s="392" t="n"/>
      <c r="G3067" s="392" t="n">
        <v>15</v>
      </c>
      <c r="H3067" s="446">
        <f>H3066-G3067</f>
        <v/>
      </c>
      <c r="I3067" s="392" t="n"/>
      <c r="J3067" s="392" t="n"/>
      <c r="K3067" s="392" t="n"/>
      <c r="L3067" s="392" t="n"/>
      <c r="M3067" s="392" t="n"/>
    </row>
    <row r="3068">
      <c r="A3068" s="568" t="n">
        <v>44669</v>
      </c>
      <c r="B3068" s="392" t="n">
        <v>9033</v>
      </c>
      <c r="C3068" s="392" t="n">
        <v>94</v>
      </c>
      <c r="D3068" s="392" t="n"/>
      <c r="E3068" s="392" t="n"/>
      <c r="F3068" s="392" t="n"/>
      <c r="G3068" s="392" t="n">
        <v>32</v>
      </c>
      <c r="H3068" s="446">
        <f>H3067-G3068</f>
        <v/>
      </c>
      <c r="I3068" s="392" t="n"/>
      <c r="J3068" s="392" t="n"/>
      <c r="K3068" s="392" t="n"/>
      <c r="L3068" s="392" t="n"/>
      <c r="M3068" s="392" t="n"/>
    </row>
    <row r="3069">
      <c r="A3069" s="568" t="n">
        <v>44669</v>
      </c>
      <c r="B3069" s="392" t="n">
        <v>9035</v>
      </c>
      <c r="C3069" s="392" t="n">
        <v>93</v>
      </c>
      <c r="D3069" s="392" t="n"/>
      <c r="E3069" s="392" t="n"/>
      <c r="F3069" s="392" t="n"/>
      <c r="G3069" s="392" t="n">
        <v>20</v>
      </c>
      <c r="H3069" s="446">
        <f>H3068-G3069</f>
        <v/>
      </c>
      <c r="I3069" s="392" t="n"/>
      <c r="J3069" s="392" t="n"/>
      <c r="K3069" s="392" t="n"/>
      <c r="L3069" s="392" t="n"/>
      <c r="M3069" s="392" t="n"/>
    </row>
    <row r="3070">
      <c r="A3070" s="568" t="n">
        <v>44669</v>
      </c>
      <c r="B3070" s="392" t="n">
        <v>9036</v>
      </c>
      <c r="C3070" s="392" t="n">
        <v>98</v>
      </c>
      <c r="D3070" s="392" t="n"/>
      <c r="E3070" s="392" t="n"/>
      <c r="F3070" s="392" t="n"/>
      <c r="G3070" s="392" t="n">
        <v>20</v>
      </c>
      <c r="H3070" s="446">
        <f>H3069-G3070</f>
        <v/>
      </c>
      <c r="I3070" s="392" t="n"/>
      <c r="J3070" s="392" t="n"/>
      <c r="K3070" s="392" t="n"/>
      <c r="L3070" s="392" t="n"/>
      <c r="M3070" s="392" t="n"/>
    </row>
    <row r="3071">
      <c r="A3071" s="568" t="n">
        <v>44669</v>
      </c>
      <c r="B3071" s="392" t="n">
        <v>9039</v>
      </c>
      <c r="C3071" s="392" t="n">
        <v>90</v>
      </c>
      <c r="D3071" s="392" t="n"/>
      <c r="E3071" s="392" t="n"/>
      <c r="F3071" s="392" t="n"/>
      <c r="G3071" s="392" t="n">
        <v>50</v>
      </c>
      <c r="H3071" s="446">
        <f>H3070-G3071</f>
        <v/>
      </c>
      <c r="I3071" s="392" t="n"/>
      <c r="J3071" s="392" t="n"/>
      <c r="K3071" s="392" t="n"/>
      <c r="L3071" s="392" t="n"/>
      <c r="M3071" s="392" t="n"/>
    </row>
    <row r="3072">
      <c r="A3072" s="568" t="n">
        <v>44669</v>
      </c>
      <c r="B3072" s="392" t="n">
        <v>9040</v>
      </c>
      <c r="C3072" s="392" t="n">
        <v>94.05</v>
      </c>
      <c r="D3072" s="392" t="n"/>
      <c r="E3072" s="392" t="n"/>
      <c r="F3072" s="392" t="n"/>
      <c r="G3072" s="392" t="n">
        <v>23</v>
      </c>
      <c r="H3072" s="446">
        <f>H3071-G3072</f>
        <v/>
      </c>
      <c r="I3072" s="392" t="n"/>
      <c r="J3072" s="392" t="n"/>
      <c r="K3072" s="392" t="n"/>
      <c r="L3072" s="392" t="n"/>
      <c r="M3072" s="392" t="n"/>
    </row>
    <row r="3073">
      <c r="A3073" s="568" t="n">
        <v>44669</v>
      </c>
      <c r="B3073" s="392" t="n">
        <v>9041</v>
      </c>
      <c r="C3073" s="392" t="n">
        <v>98</v>
      </c>
      <c r="D3073" s="392" t="n"/>
      <c r="E3073" s="392" t="n"/>
      <c r="F3073" s="392" t="n"/>
      <c r="G3073" s="392" t="n">
        <v>20</v>
      </c>
      <c r="H3073" s="446">
        <f>H3072-G3073</f>
        <v/>
      </c>
      <c r="I3073" s="392" t="n"/>
      <c r="J3073" s="392" t="n"/>
      <c r="K3073" s="392" t="n"/>
      <c r="L3073" s="392" t="n"/>
      <c r="M3073" s="392" t="n"/>
    </row>
    <row r="3074">
      <c r="A3074" s="568" t="n">
        <v>44669</v>
      </c>
      <c r="B3074" s="392" t="n">
        <v>9043</v>
      </c>
      <c r="C3074" s="392" t="n">
        <v>93</v>
      </c>
      <c r="D3074" s="392" t="n"/>
      <c r="E3074" s="392" t="n"/>
      <c r="F3074" s="392" t="n"/>
      <c r="G3074" s="392" t="n">
        <v>30</v>
      </c>
      <c r="H3074" s="446">
        <f>H3073-G3074</f>
        <v/>
      </c>
      <c r="I3074" s="392" t="n"/>
      <c r="J3074" s="392" t="n"/>
      <c r="K3074" s="392" t="n"/>
      <c r="L3074" s="392" t="n"/>
      <c r="M3074" s="392" t="n"/>
    </row>
    <row r="3075">
      <c r="A3075" s="568" t="n">
        <v>44669</v>
      </c>
      <c r="B3075" s="392" t="n">
        <v>9045</v>
      </c>
      <c r="C3075" s="392" t="n">
        <v>94</v>
      </c>
      <c r="D3075" s="392" t="n"/>
      <c r="E3075" s="392" t="n"/>
      <c r="F3075" s="392" t="n"/>
      <c r="G3075" s="392" t="n">
        <v>30</v>
      </c>
      <c r="H3075" s="446">
        <f>H3074-G3075</f>
        <v/>
      </c>
      <c r="I3075" s="392" t="n"/>
      <c r="J3075" s="392" t="n"/>
      <c r="K3075" s="392" t="n"/>
      <c r="L3075" s="392" t="n"/>
      <c r="M3075" s="392" t="n"/>
    </row>
    <row r="3076">
      <c r="A3076" s="304" t="n">
        <v>44671</v>
      </c>
      <c r="B3076" s="401" t="n">
        <v>20859</v>
      </c>
      <c r="C3076" s="401" t="n">
        <v>73</v>
      </c>
      <c r="D3076" s="401" t="n"/>
      <c r="E3076" s="401" t="n"/>
      <c r="F3076" s="401" t="n">
        <v>1120</v>
      </c>
      <c r="G3076" s="401" t="n"/>
      <c r="H3076" s="322" t="n">
        <v>3257</v>
      </c>
      <c r="I3076" s="392" t="n"/>
      <c r="J3076" s="392" t="n"/>
      <c r="K3076" s="392" t="n"/>
      <c r="L3076" s="392" t="n"/>
      <c r="M3076" s="392" t="n"/>
    </row>
    <row r="3077">
      <c r="A3077" s="568" t="n">
        <v>44671</v>
      </c>
      <c r="B3077" s="392" t="n">
        <v>9047</v>
      </c>
      <c r="C3077" s="392" t="n">
        <v>90</v>
      </c>
      <c r="D3077" s="392" t="n"/>
      <c r="E3077" s="392" t="n"/>
      <c r="F3077" s="392" t="n"/>
      <c r="G3077" s="392" t="n">
        <v>30</v>
      </c>
      <c r="H3077" s="446">
        <f>H3076-G3077</f>
        <v/>
      </c>
      <c r="I3077" s="392" t="n"/>
      <c r="J3077" s="392" t="n"/>
      <c r="K3077" s="392" t="n"/>
      <c r="L3077" s="392" t="n"/>
      <c r="M3077" s="392" t="n"/>
    </row>
    <row r="3078">
      <c r="A3078" s="568" t="n">
        <v>44671</v>
      </c>
      <c r="B3078" s="392" t="n">
        <v>9049</v>
      </c>
      <c r="C3078" s="392" t="n">
        <v>94</v>
      </c>
      <c r="D3078" s="392" t="n"/>
      <c r="E3078" s="392" t="n"/>
      <c r="F3078" s="392" t="n"/>
      <c r="G3078" s="392" t="n">
        <v>30</v>
      </c>
      <c r="H3078" s="446">
        <f>H3077-G3078</f>
        <v/>
      </c>
      <c r="I3078" s="392" t="n"/>
      <c r="J3078" s="392" t="n"/>
      <c r="K3078" s="392" t="n"/>
      <c r="L3078" s="392" t="n"/>
      <c r="M3078" s="392" t="n"/>
    </row>
    <row r="3079">
      <c r="A3079" s="568" t="n">
        <v>44674</v>
      </c>
      <c r="B3079" s="392" t="n">
        <v>9053</v>
      </c>
      <c r="C3079" s="392" t="n">
        <v>94</v>
      </c>
      <c r="D3079" s="392" t="n"/>
      <c r="E3079" s="392" t="n"/>
      <c r="F3079" s="392" t="n"/>
      <c r="G3079" s="392" t="n">
        <v>120</v>
      </c>
      <c r="H3079" s="446">
        <f>H3078-G3079</f>
        <v/>
      </c>
      <c r="I3079" s="392" t="n"/>
      <c r="J3079" s="392" t="n"/>
      <c r="K3079" s="392" t="n"/>
      <c r="L3079" s="392" t="n"/>
      <c r="M3079" s="392" t="n"/>
    </row>
    <row r="3080">
      <c r="A3080" s="568" t="n">
        <v>44676</v>
      </c>
      <c r="B3080" s="392" t="n">
        <v>9054</v>
      </c>
      <c r="C3080" s="392" t="n">
        <v>92</v>
      </c>
      <c r="D3080" s="392" t="n"/>
      <c r="E3080" s="392" t="n"/>
      <c r="F3080" s="392" t="n"/>
      <c r="G3080" s="392" t="n">
        <v>30</v>
      </c>
      <c r="H3080" s="446">
        <f>H3079-G3080</f>
        <v/>
      </c>
      <c r="I3080" s="392" t="n"/>
      <c r="J3080" s="392" t="n"/>
      <c r="K3080" s="392" t="n"/>
      <c r="L3080" s="392" t="n"/>
      <c r="M3080" s="392" t="n"/>
    </row>
    <row r="3081">
      <c r="A3081" s="568" t="n">
        <v>44676</v>
      </c>
      <c r="B3081" s="392" t="n">
        <v>9055</v>
      </c>
      <c r="C3081" s="392" t="n">
        <v>98</v>
      </c>
      <c r="D3081" s="392" t="n"/>
      <c r="E3081" s="392" t="n"/>
      <c r="F3081" s="392" t="n"/>
      <c r="G3081" s="392" t="n">
        <v>30</v>
      </c>
      <c r="H3081" s="446">
        <f>H3080-G3081</f>
        <v/>
      </c>
      <c r="I3081" s="392" t="n"/>
      <c r="J3081" s="392" t="n"/>
      <c r="K3081" s="392" t="n"/>
      <c r="L3081" s="392" t="n"/>
      <c r="M3081" s="392" t="n"/>
    </row>
    <row r="3082">
      <c r="A3082" s="568" t="n">
        <v>44676</v>
      </c>
      <c r="B3082" s="392" t="n">
        <v>9059</v>
      </c>
      <c r="C3082" s="392" t="n">
        <v>94</v>
      </c>
      <c r="D3082" s="392" t="n"/>
      <c r="E3082" s="392" t="n"/>
      <c r="F3082" s="392" t="n"/>
      <c r="G3082" s="392" t="n">
        <v>20</v>
      </c>
      <c r="H3082" s="446">
        <f>H3081-G3082</f>
        <v/>
      </c>
      <c r="I3082" s="392" t="n"/>
      <c r="J3082" s="392" t="n"/>
      <c r="K3082" s="392" t="n"/>
      <c r="L3082" s="392" t="n"/>
      <c r="M3082" s="392" t="n"/>
    </row>
    <row r="3083">
      <c r="A3083" s="568" t="n">
        <v>44676</v>
      </c>
      <c r="B3083" s="392" t="n">
        <v>9060</v>
      </c>
      <c r="C3083" s="392" t="n">
        <v>92</v>
      </c>
      <c r="D3083" s="392" t="n"/>
      <c r="E3083" s="392" t="n"/>
      <c r="F3083" s="392" t="n"/>
      <c r="G3083" s="392" t="n">
        <v>20</v>
      </c>
      <c r="H3083" s="446">
        <f>H3082-G3083</f>
        <v/>
      </c>
      <c r="I3083" s="392" t="n"/>
      <c r="J3083" s="392" t="n"/>
      <c r="K3083" s="392" t="n"/>
      <c r="L3083" s="392" t="n"/>
      <c r="M3083" s="392" t="n"/>
    </row>
    <row r="3084">
      <c r="A3084" s="568" t="n">
        <v>44678</v>
      </c>
      <c r="B3084" s="392" t="n">
        <v>9064</v>
      </c>
      <c r="C3084" s="392" t="n">
        <v>97</v>
      </c>
      <c r="D3084" s="392" t="n"/>
      <c r="E3084" s="392" t="n"/>
      <c r="F3084" s="392" t="n"/>
      <c r="G3084" s="392" t="n">
        <v>30</v>
      </c>
      <c r="H3084" s="446">
        <f>H3083-G3084</f>
        <v/>
      </c>
      <c r="I3084" s="392" t="n"/>
      <c r="J3084" s="392" t="n"/>
      <c r="K3084" s="392" t="n"/>
      <c r="L3084" s="392" t="n"/>
      <c r="M3084" s="392" t="n"/>
    </row>
    <row r="3085">
      <c r="A3085" s="568" t="n">
        <v>44678</v>
      </c>
      <c r="B3085" s="392" t="n">
        <v>9065</v>
      </c>
      <c r="C3085" s="392" t="n">
        <v>88</v>
      </c>
      <c r="D3085" s="392" t="n"/>
      <c r="E3085" s="392" t="n"/>
      <c r="F3085" s="392" t="n"/>
      <c r="G3085" s="392" t="n">
        <v>100</v>
      </c>
      <c r="H3085" s="446">
        <f>H3084-G3085</f>
        <v/>
      </c>
      <c r="I3085" s="392" t="n"/>
      <c r="J3085" s="392" t="n"/>
      <c r="K3085" s="392" t="n"/>
      <c r="L3085" s="392" t="n"/>
      <c r="M3085" s="392" t="n"/>
    </row>
    <row r="3086">
      <c r="A3086" s="568" t="n">
        <v>44678</v>
      </c>
      <c r="B3086" s="392" t="n">
        <v>9068</v>
      </c>
      <c r="C3086" s="392" t="n">
        <v>92.5</v>
      </c>
      <c r="D3086" s="392" t="n"/>
      <c r="E3086" s="392" t="n"/>
      <c r="F3086" s="392" t="n"/>
      <c r="G3086" s="392" t="n">
        <v>30</v>
      </c>
      <c r="H3086" s="446">
        <f>H3085-G3086</f>
        <v/>
      </c>
      <c r="I3086" s="392" t="n"/>
      <c r="J3086" s="392" t="n"/>
      <c r="K3086" s="392" t="n"/>
      <c r="L3086" s="392" t="n"/>
      <c r="M3086" s="392" t="n"/>
    </row>
    <row r="3087">
      <c r="A3087" s="568" t="n">
        <v>44678</v>
      </c>
      <c r="B3087" s="392" t="n">
        <v>9069</v>
      </c>
      <c r="C3087" s="392" t="n">
        <v>85</v>
      </c>
      <c r="D3087" s="392" t="n"/>
      <c r="E3087" s="392" t="n"/>
      <c r="F3087" s="392" t="n"/>
      <c r="G3087" s="392" t="n">
        <v>200</v>
      </c>
      <c r="H3087" s="446">
        <f>H3086-G3087</f>
        <v/>
      </c>
      <c r="I3087" s="392" t="n"/>
      <c r="J3087" s="392" t="n"/>
      <c r="K3087" s="392" t="n"/>
      <c r="L3087" s="392" t="n"/>
      <c r="M3087" s="392" t="n"/>
    </row>
    <row r="3088">
      <c r="A3088" s="304" t="n">
        <v>44681</v>
      </c>
      <c r="B3088" s="401" t="n">
        <v>189885</v>
      </c>
      <c r="C3088" s="401" t="n">
        <v>81</v>
      </c>
      <c r="D3088" s="401" t="n"/>
      <c r="E3088" s="401" t="n"/>
      <c r="F3088" s="401" t="n">
        <v>100</v>
      </c>
      <c r="G3088" s="401" t="n"/>
      <c r="H3088" s="322" t="n">
        <v>2717</v>
      </c>
      <c r="I3088" s="392" t="n"/>
      <c r="J3088" s="392" t="n"/>
      <c r="K3088" s="392" t="n"/>
      <c r="L3088" s="392" t="n"/>
      <c r="M3088" s="392" t="n"/>
    </row>
    <row r="3089">
      <c r="A3089" s="304" t="n">
        <v>44681</v>
      </c>
      <c r="B3089" s="401" t="n">
        <v>189885</v>
      </c>
      <c r="C3089" s="401" t="n">
        <v>80</v>
      </c>
      <c r="D3089" s="401" t="n"/>
      <c r="E3089" s="401" t="n"/>
      <c r="F3089" s="401" t="n">
        <v>180</v>
      </c>
      <c r="G3089" s="401" t="n"/>
      <c r="H3089" s="322" t="n">
        <v>2897</v>
      </c>
      <c r="I3089" s="392" t="n"/>
      <c r="J3089" s="392" t="n"/>
      <c r="K3089" s="392" t="n"/>
      <c r="L3089" s="392" t="n"/>
      <c r="M3089" s="392" t="n"/>
    </row>
    <row r="3090" ht="15.75" customHeight="1" s="436" thickBot="1">
      <c r="A3090" s="304" t="n"/>
      <c r="B3090" s="401" t="n"/>
      <c r="C3090" s="401" t="n"/>
      <c r="D3090" s="401" t="n"/>
      <c r="E3090" s="401" t="n"/>
      <c r="F3090" s="401" t="n"/>
      <c r="G3090" s="401" t="n"/>
      <c r="H3090" s="322" t="n"/>
      <c r="I3090" s="392" t="n"/>
      <c r="J3090" s="392" t="n"/>
      <c r="K3090" s="392" t="n"/>
      <c r="L3090" s="392" t="n"/>
      <c r="M3090" s="392" t="n"/>
    </row>
    <row r="3091" ht="32.25" customHeight="1" s="436" thickBot="1">
      <c r="A3091" s="735" t="inlineStr">
        <is>
          <t>Maio</t>
        </is>
      </c>
      <c r="B3091" s="697" t="n"/>
      <c r="C3091" s="697" t="n"/>
      <c r="D3091" s="697" t="n"/>
      <c r="E3091" s="697" t="n"/>
      <c r="F3091" s="697" t="n"/>
      <c r="G3091" s="697" t="n"/>
      <c r="H3091" s="697" t="n"/>
      <c r="I3091" s="697" t="n"/>
      <c r="J3091" s="697" t="n"/>
      <c r="K3091" s="697" t="n"/>
      <c r="L3091" s="697" t="n"/>
      <c r="M3091" s="698" t="n"/>
    </row>
    <row r="3092" ht="27" customHeight="1" s="436" thickBot="1">
      <c r="A3092" s="720" t="inlineStr">
        <is>
          <t xml:space="preserve"> FARINHA DE TRIGO TIPO: 1 - 25 KG</t>
        </is>
      </c>
      <c r="B3092" s="697" t="n"/>
      <c r="C3092" s="697" t="n"/>
      <c r="D3092" s="697" t="n"/>
      <c r="E3092" s="697" t="n"/>
      <c r="F3092" s="697" t="n"/>
      <c r="G3092" s="697" t="n"/>
      <c r="H3092" s="697" t="n"/>
      <c r="I3092" s="697" t="n"/>
      <c r="J3092" s="697" t="n"/>
      <c r="K3092" s="697" t="n"/>
      <c r="L3092" s="697" t="n"/>
      <c r="M3092" s="698" t="n"/>
    </row>
    <row r="3093">
      <c r="A3093" s="643" t="inlineStr">
        <is>
          <t>DATA</t>
        </is>
      </c>
      <c r="B3093" s="633" t="inlineStr">
        <is>
          <t>N.F.</t>
        </is>
      </c>
      <c r="C3093" s="633" t="inlineStr">
        <is>
          <t>TIPO</t>
        </is>
      </c>
      <c r="D3093" s="670" t="inlineStr">
        <is>
          <t>PREÇO UNITÁRIO</t>
        </is>
      </c>
      <c r="E3093" s="701" t="n"/>
      <c r="F3093" s="633" t="inlineStr">
        <is>
          <t>QUANTIDADE / KG</t>
        </is>
      </c>
      <c r="H3093" s="701" t="n"/>
      <c r="I3093" s="632" t="inlineStr">
        <is>
          <t>PREÇO</t>
        </is>
      </c>
      <c r="J3093" s="632" t="inlineStr">
        <is>
          <t>VALORES</t>
        </is>
      </c>
      <c r="L3093" s="701" t="n"/>
      <c r="M3093" s="649" t="n"/>
    </row>
    <row r="3094" ht="15.75" customHeight="1" s="436" thickBot="1">
      <c r="A3094" s="703" t="n"/>
      <c r="B3094" s="704" t="n"/>
      <c r="C3094" s="704" t="n"/>
      <c r="D3094" s="703" t="n"/>
      <c r="E3094" s="701" t="n"/>
      <c r="F3094" s="705" t="n"/>
      <c r="G3094" s="706" t="n"/>
      <c r="H3094" s="707" t="n"/>
      <c r="I3094" s="704" t="n"/>
      <c r="J3094" s="703" t="n"/>
      <c r="L3094" s="701" t="n"/>
      <c r="M3094" s="704" t="n"/>
    </row>
    <row r="3095" ht="15.75" customHeight="1" s="436" thickBot="1">
      <c r="A3095" s="703" t="n"/>
      <c r="B3095" s="704" t="n"/>
      <c r="C3095" s="704" t="n"/>
      <c r="D3095" s="705" t="n"/>
      <c r="E3095" s="707" t="n"/>
      <c r="F3095" s="3" t="inlineStr">
        <is>
          <t>ENTRADA</t>
        </is>
      </c>
      <c r="G3095" s="3" t="inlineStr">
        <is>
          <t>SAÍDA</t>
        </is>
      </c>
      <c r="H3095" s="640" t="n"/>
      <c r="I3095" s="633" t="inlineStr">
        <is>
          <t>MÉDIO</t>
        </is>
      </c>
      <c r="J3095" s="652" t="inlineStr">
        <is>
          <t>SALDO EM 30/11/2017</t>
        </is>
      </c>
      <c r="K3095" s="706" t="n"/>
      <c r="L3095" s="17" t="n"/>
      <c r="M3095" s="704" t="n"/>
    </row>
    <row r="3096" ht="18" customHeight="1" s="436" thickBot="1">
      <c r="A3096" s="705" t="n"/>
      <c r="B3096" s="695" t="n"/>
      <c r="C3096" s="695" t="n"/>
      <c r="D3096" s="3" t="inlineStr">
        <is>
          <t>C/ICMS</t>
        </is>
      </c>
      <c r="E3096" s="3" t="inlineStr">
        <is>
          <t>S/ICMS</t>
        </is>
      </c>
      <c r="F3096" s="695" t="n"/>
      <c r="G3096" s="695" t="n"/>
      <c r="H3096" s="84" t="inlineStr">
        <is>
          <t>Saldo em 01/05/2022</t>
        </is>
      </c>
      <c r="I3096" s="695" t="n"/>
      <c r="J3096" s="645" t="inlineStr">
        <is>
          <t>ENTRADA</t>
        </is>
      </c>
      <c r="K3096" s="633" t="inlineStr">
        <is>
          <t>SAÍDA / CMV</t>
        </is>
      </c>
      <c r="L3096" s="643" t="inlineStr">
        <is>
          <t>SALDO</t>
        </is>
      </c>
      <c r="M3096" s="392" t="n"/>
    </row>
    <row r="3097">
      <c r="A3097" s="392" t="n"/>
      <c r="B3097" s="392" t="n"/>
      <c r="C3097" s="392" t="n"/>
      <c r="D3097" s="392" t="n"/>
      <c r="E3097" s="392" t="n"/>
      <c r="F3097" s="392" t="n"/>
      <c r="G3097" s="392" t="n"/>
      <c r="H3097" s="446" t="n">
        <v>2897</v>
      </c>
      <c r="I3097" s="392" t="n"/>
      <c r="J3097" s="392" t="n"/>
      <c r="K3097" s="392" t="n"/>
      <c r="L3097" s="392" t="n"/>
      <c r="M3097" s="392" t="n"/>
    </row>
    <row r="3098">
      <c r="A3098" s="568" t="n">
        <v>44683</v>
      </c>
      <c r="B3098" s="392" t="n">
        <v>9071</v>
      </c>
      <c r="C3098" s="392" t="n">
        <v>93</v>
      </c>
      <c r="D3098" s="392" t="n"/>
      <c r="E3098" s="392" t="n"/>
      <c r="F3098" s="392" t="n"/>
      <c r="G3098" s="392" t="n">
        <v>20</v>
      </c>
      <c r="H3098" s="446">
        <f>H3089-G3098</f>
        <v/>
      </c>
      <c r="I3098" s="392" t="n"/>
      <c r="J3098" s="392" t="n"/>
      <c r="K3098" s="392" t="n"/>
      <c r="L3098" s="392" t="n"/>
      <c r="M3098" s="392" t="n"/>
    </row>
    <row r="3099">
      <c r="A3099" s="568" t="n">
        <v>44683</v>
      </c>
      <c r="B3099" s="392" t="n">
        <v>9072</v>
      </c>
      <c r="C3099" s="392" t="n">
        <v>93</v>
      </c>
      <c r="D3099" s="392" t="n"/>
      <c r="E3099" s="392" t="n"/>
      <c r="F3099" s="392" t="n"/>
      <c r="G3099" s="392" t="n">
        <v>50</v>
      </c>
      <c r="H3099" s="446">
        <f>H3098-G3099</f>
        <v/>
      </c>
      <c r="I3099" s="392" t="n"/>
      <c r="J3099" s="392" t="n"/>
      <c r="K3099" s="392" t="n"/>
      <c r="L3099" s="392" t="n"/>
      <c r="M3099" s="392" t="n"/>
    </row>
    <row r="3100">
      <c r="A3100" s="568" t="n">
        <v>44683</v>
      </c>
      <c r="B3100" s="392" t="n">
        <v>9073</v>
      </c>
      <c r="C3100" s="392" t="n">
        <v>93.56</v>
      </c>
      <c r="D3100" s="392" t="n"/>
      <c r="E3100" s="392" t="n"/>
      <c r="F3100" s="392" t="n"/>
      <c r="G3100" s="392" t="n">
        <v>45</v>
      </c>
      <c r="H3100" s="446">
        <f>H3099-G3100</f>
        <v/>
      </c>
      <c r="I3100" s="392" t="n"/>
      <c r="J3100" s="392" t="n"/>
      <c r="K3100" s="392" t="n"/>
      <c r="L3100" s="392" t="n"/>
      <c r="M3100" s="392" t="n"/>
    </row>
    <row r="3101">
      <c r="A3101" s="568" t="n">
        <v>44683</v>
      </c>
      <c r="B3101" s="392" t="n">
        <v>9074</v>
      </c>
      <c r="C3101" s="392" t="n">
        <v>90</v>
      </c>
      <c r="D3101" s="392" t="n"/>
      <c r="E3101" s="392" t="n"/>
      <c r="F3101" s="392" t="n"/>
      <c r="G3101" s="392" t="n">
        <v>50</v>
      </c>
      <c r="H3101" s="446">
        <f>H3100-G3101</f>
        <v/>
      </c>
      <c r="I3101" s="392" t="n"/>
      <c r="J3101" s="392" t="n"/>
      <c r="K3101" s="392" t="n"/>
      <c r="L3101" s="392" t="n"/>
      <c r="M3101" s="392" t="n"/>
    </row>
    <row r="3102">
      <c r="A3102" s="568" t="n">
        <v>44683</v>
      </c>
      <c r="B3102" s="392" t="n">
        <v>9075</v>
      </c>
      <c r="C3102" s="392" t="n">
        <v>94</v>
      </c>
      <c r="D3102" s="392" t="n"/>
      <c r="E3102" s="392" t="n"/>
      <c r="F3102" s="392" t="n"/>
      <c r="G3102" s="392" t="n">
        <v>30</v>
      </c>
      <c r="H3102" s="446">
        <f>H3101-G3102</f>
        <v/>
      </c>
      <c r="I3102" s="392" t="n"/>
      <c r="J3102" s="392" t="n"/>
      <c r="K3102" s="392" t="n"/>
      <c r="L3102" s="392" t="n"/>
      <c r="M3102" s="392" t="n"/>
    </row>
    <row r="3103">
      <c r="A3103" s="568" t="n">
        <v>44683</v>
      </c>
      <c r="B3103" s="392" t="n">
        <v>9077</v>
      </c>
      <c r="C3103" s="392" t="n">
        <v>98</v>
      </c>
      <c r="D3103" s="392" t="n"/>
      <c r="E3103" s="392" t="n"/>
      <c r="F3103" s="392" t="n"/>
      <c r="G3103" s="392" t="n">
        <v>20</v>
      </c>
      <c r="H3103" s="446">
        <f>H3102-G3103</f>
        <v/>
      </c>
      <c r="I3103" s="392" t="n"/>
      <c r="J3103" s="392" t="n"/>
      <c r="K3103" s="392" t="n"/>
      <c r="L3103" s="392" t="n"/>
      <c r="M3103" s="392" t="n"/>
    </row>
    <row r="3104">
      <c r="A3104" s="568" t="n">
        <v>44683</v>
      </c>
      <c r="B3104" s="392" t="n">
        <v>9080</v>
      </c>
      <c r="C3104" s="392" t="n">
        <v>94</v>
      </c>
      <c r="D3104" s="392" t="n"/>
      <c r="E3104" s="392" t="n"/>
      <c r="F3104" s="392" t="n"/>
      <c r="G3104" s="392" t="n">
        <v>20</v>
      </c>
      <c r="H3104" s="446">
        <f>H3103-G3104</f>
        <v/>
      </c>
      <c r="I3104" s="392" t="n"/>
      <c r="J3104" s="392" t="n"/>
      <c r="K3104" s="392" t="n"/>
      <c r="L3104" s="392" t="n"/>
      <c r="M3104" s="392" t="n"/>
    </row>
    <row r="3105">
      <c r="A3105" s="568" t="n">
        <v>44685</v>
      </c>
      <c r="B3105" s="392" t="n">
        <v>9082</v>
      </c>
      <c r="C3105" s="392" t="n">
        <v>93</v>
      </c>
      <c r="D3105" s="392" t="n"/>
      <c r="E3105" s="392" t="n"/>
      <c r="F3105" s="392" t="n"/>
      <c r="G3105" s="392" t="n">
        <v>35</v>
      </c>
      <c r="H3105" s="446">
        <f>H3104-G3105</f>
        <v/>
      </c>
      <c r="I3105" s="392" t="n"/>
      <c r="J3105" s="392" t="n"/>
      <c r="K3105" s="392" t="n"/>
      <c r="L3105" s="392" t="n"/>
      <c r="M3105" s="392" t="n"/>
    </row>
    <row r="3106">
      <c r="A3106" s="568" t="n">
        <v>44690</v>
      </c>
      <c r="B3106" s="392" t="n">
        <v>9091</v>
      </c>
      <c r="C3106" s="392" t="n">
        <v>100</v>
      </c>
      <c r="D3106" s="392" t="n"/>
      <c r="E3106" s="392" t="n"/>
      <c r="F3106" s="392" t="n"/>
      <c r="G3106" s="392" t="n">
        <v>150</v>
      </c>
      <c r="H3106" s="446">
        <f>H3105-G3106</f>
        <v/>
      </c>
      <c r="I3106" s="392" t="n"/>
      <c r="J3106" s="392" t="n"/>
      <c r="K3106" s="392" t="n"/>
      <c r="L3106" s="392" t="n"/>
      <c r="M3106" s="392" t="n"/>
    </row>
    <row r="3107">
      <c r="A3107" s="568" t="n">
        <v>44690</v>
      </c>
      <c r="B3107" s="392" t="n">
        <v>9092</v>
      </c>
      <c r="C3107" s="392" t="n">
        <v>95</v>
      </c>
      <c r="D3107" s="392" t="n"/>
      <c r="E3107" s="392" t="n"/>
      <c r="F3107" s="392" t="n"/>
      <c r="G3107" s="392" t="n">
        <v>50</v>
      </c>
      <c r="H3107" s="446">
        <f>H3106-G3107</f>
        <v/>
      </c>
      <c r="I3107" s="392" t="n"/>
      <c r="J3107" s="392" t="n"/>
      <c r="K3107" s="392" t="n"/>
      <c r="L3107" s="392" t="n"/>
      <c r="M3107" s="392" t="n"/>
    </row>
    <row r="3108">
      <c r="A3108" s="568" t="n">
        <v>44690</v>
      </c>
      <c r="B3108" s="392" t="n">
        <v>9095</v>
      </c>
      <c r="C3108" s="392" t="n">
        <v>96</v>
      </c>
      <c r="D3108" s="392" t="n"/>
      <c r="E3108" s="392" t="n"/>
      <c r="F3108" s="392" t="n"/>
      <c r="G3108" s="392" t="n">
        <v>30</v>
      </c>
      <c r="H3108" s="446">
        <f>H3107-G3108</f>
        <v/>
      </c>
      <c r="I3108" s="392" t="n"/>
      <c r="J3108" s="392" t="n"/>
      <c r="K3108" s="392" t="n"/>
      <c r="L3108" s="392" t="n"/>
      <c r="M3108" s="392" t="n"/>
    </row>
    <row r="3109">
      <c r="A3109" s="568" t="n">
        <v>44690</v>
      </c>
      <c r="B3109" s="392" t="n">
        <v>9096</v>
      </c>
      <c r="C3109" s="392" t="n">
        <v>96</v>
      </c>
      <c r="D3109" s="392" t="n"/>
      <c r="E3109" s="392" t="n"/>
      <c r="F3109" s="392" t="n"/>
      <c r="G3109" s="392" t="n">
        <v>30</v>
      </c>
      <c r="H3109" s="446">
        <f>H3108-G3109</f>
        <v/>
      </c>
      <c r="I3109" s="392" t="n"/>
      <c r="J3109" s="392" t="n"/>
      <c r="K3109" s="392" t="n"/>
      <c r="L3109" s="392" t="n"/>
      <c r="M3109" s="392" t="n"/>
    </row>
    <row r="3110">
      <c r="A3110" s="568" t="n">
        <v>44690</v>
      </c>
      <c r="B3110" s="392" t="n">
        <v>9097</v>
      </c>
      <c r="C3110" s="392" t="n">
        <v>95.5</v>
      </c>
      <c r="D3110" s="392" t="n"/>
      <c r="E3110" s="392" t="n"/>
      <c r="F3110" s="392" t="n"/>
      <c r="G3110" s="392" t="n">
        <v>20</v>
      </c>
      <c r="H3110" s="446">
        <f>H3109-G3110</f>
        <v/>
      </c>
      <c r="I3110" s="392" t="n"/>
      <c r="J3110" s="392" t="n"/>
      <c r="K3110" s="392" t="n"/>
      <c r="L3110" s="392" t="n"/>
      <c r="M3110" s="392" t="n"/>
    </row>
    <row r="3111">
      <c r="A3111" s="568" t="n">
        <v>44690</v>
      </c>
      <c r="B3111" s="392" t="n">
        <v>9098</v>
      </c>
      <c r="C3111" s="392" t="n">
        <v>94</v>
      </c>
      <c r="D3111" s="392" t="n"/>
      <c r="E3111" s="392" t="n"/>
      <c r="F3111" s="392" t="n"/>
      <c r="G3111" s="392" t="n">
        <v>25</v>
      </c>
      <c r="H3111" s="446">
        <f>H3110-G3111</f>
        <v/>
      </c>
      <c r="I3111" s="392" t="n"/>
      <c r="J3111" s="392" t="n"/>
      <c r="K3111" s="392" t="n"/>
      <c r="L3111" s="392" t="n"/>
      <c r="M3111" s="392" t="n"/>
    </row>
    <row r="3112">
      <c r="A3112" s="568" t="n">
        <v>44690</v>
      </c>
      <c r="B3112" s="392" t="n">
        <v>9099</v>
      </c>
      <c r="C3112" s="392" t="n">
        <v>99</v>
      </c>
      <c r="D3112" s="392" t="n"/>
      <c r="E3112" s="392" t="n"/>
      <c r="F3112" s="392" t="n"/>
      <c r="G3112" s="392" t="n">
        <v>30</v>
      </c>
      <c r="H3112" s="446">
        <f>H3111-G3112</f>
        <v/>
      </c>
      <c r="I3112" s="392" t="n"/>
      <c r="J3112" s="392" t="n"/>
      <c r="K3112" s="392" t="n"/>
      <c r="L3112" s="392" t="n"/>
      <c r="M3112" s="392" t="n"/>
    </row>
    <row r="3113">
      <c r="A3113" s="568" t="n">
        <v>44691</v>
      </c>
      <c r="B3113" s="392" t="n">
        <v>9100</v>
      </c>
      <c r="C3113" s="392" t="n">
        <v>96</v>
      </c>
      <c r="D3113" s="392" t="n"/>
      <c r="E3113" s="392" t="n"/>
      <c r="F3113" s="392" t="n"/>
      <c r="G3113" s="392" t="n">
        <v>30</v>
      </c>
      <c r="H3113" s="446">
        <f>H3112-G3113</f>
        <v/>
      </c>
      <c r="I3113" s="392" t="n"/>
      <c r="J3113" s="392" t="n"/>
      <c r="K3113" s="392" t="n"/>
      <c r="L3113" s="392" t="n"/>
      <c r="M3113" s="392" t="n"/>
    </row>
    <row r="3114">
      <c r="A3114" s="568" t="n">
        <v>44692</v>
      </c>
      <c r="B3114" s="392" t="n">
        <v>9104</v>
      </c>
      <c r="C3114" s="392" t="n">
        <v>95</v>
      </c>
      <c r="D3114" s="392" t="n"/>
      <c r="E3114" s="392" t="n"/>
      <c r="F3114" s="392" t="n"/>
      <c r="G3114" s="392" t="n">
        <v>30</v>
      </c>
      <c r="H3114" s="446">
        <f>H3113-G3114</f>
        <v/>
      </c>
      <c r="I3114" s="392" t="n"/>
      <c r="J3114" s="392" t="n"/>
      <c r="K3114" s="392" t="n"/>
      <c r="L3114" s="392" t="n"/>
      <c r="M3114" s="392" t="n"/>
    </row>
    <row r="3115">
      <c r="A3115" s="568" t="n">
        <v>44692</v>
      </c>
      <c r="B3115" s="392" t="n">
        <v>9108</v>
      </c>
      <c r="C3115" s="392" t="n">
        <v>90.40000000000001</v>
      </c>
      <c r="D3115" s="392" t="n"/>
      <c r="E3115" s="392" t="n"/>
      <c r="F3115" s="392" t="n"/>
      <c r="G3115" s="392" t="n">
        <v>50</v>
      </c>
      <c r="H3115" s="446">
        <f>H3114-G3115</f>
        <v/>
      </c>
      <c r="I3115" s="392" t="n"/>
      <c r="J3115" s="392" t="n"/>
      <c r="K3115" s="392" t="n"/>
      <c r="L3115" s="392" t="n"/>
      <c r="M3115" s="392" t="n"/>
    </row>
    <row r="3116">
      <c r="A3116" s="568" t="n">
        <v>44692</v>
      </c>
      <c r="B3116" s="392" t="n">
        <v>9109</v>
      </c>
      <c r="C3116" s="392" t="n">
        <v>96</v>
      </c>
      <c r="D3116" s="392" t="n"/>
      <c r="E3116" s="392" t="n"/>
      <c r="F3116" s="392" t="n"/>
      <c r="G3116" s="392" t="n">
        <v>50</v>
      </c>
      <c r="H3116" s="446">
        <f>H3115-G3116</f>
        <v/>
      </c>
      <c r="I3116" s="392" t="n"/>
      <c r="J3116" s="392" t="n"/>
      <c r="K3116" s="392" t="n"/>
      <c r="L3116" s="392" t="n"/>
      <c r="M3116" s="392" t="n"/>
    </row>
    <row r="3117">
      <c r="A3117" s="304" t="n">
        <v>44693</v>
      </c>
      <c r="B3117" s="401" t="n">
        <v>190276</v>
      </c>
      <c r="C3117" s="401" t="n">
        <v>81</v>
      </c>
      <c r="D3117" s="401" t="n"/>
      <c r="E3117" s="401" t="n"/>
      <c r="F3117" s="401" t="n">
        <v>150</v>
      </c>
      <c r="G3117" s="401" t="n"/>
      <c r="H3117" s="322" t="n">
        <v>2282</v>
      </c>
      <c r="I3117" s="392" t="n"/>
      <c r="J3117" s="392" t="n"/>
      <c r="K3117" s="392" t="n"/>
      <c r="L3117" s="392" t="n"/>
      <c r="M3117" s="392" t="n"/>
    </row>
    <row r="3118">
      <c r="A3118" s="304" t="n">
        <v>44693</v>
      </c>
      <c r="B3118" s="401" t="n">
        <v>190276</v>
      </c>
      <c r="C3118" s="401" t="n">
        <v>80</v>
      </c>
      <c r="D3118" s="401" t="n"/>
      <c r="E3118" s="401" t="n"/>
      <c r="F3118" s="401" t="n">
        <v>150</v>
      </c>
      <c r="G3118" s="401" t="n"/>
      <c r="H3118" s="322" t="n">
        <v>2432</v>
      </c>
      <c r="I3118" s="392" t="n"/>
      <c r="J3118" s="392" t="n"/>
      <c r="K3118" s="392" t="n"/>
      <c r="L3118" s="392" t="n"/>
      <c r="M3118" s="392" t="n"/>
    </row>
    <row r="3119">
      <c r="A3119" s="568" t="n">
        <v>44697</v>
      </c>
      <c r="B3119" s="392" t="n">
        <v>9112</v>
      </c>
      <c r="C3119" s="392" t="n">
        <v>93</v>
      </c>
      <c r="D3119" s="392" t="n"/>
      <c r="E3119" s="392" t="n"/>
      <c r="F3119" s="392" t="n"/>
      <c r="G3119" s="392" t="n">
        <v>50</v>
      </c>
      <c r="H3119" s="446">
        <f>H3118-G3119</f>
        <v/>
      </c>
      <c r="I3119" s="392" t="n"/>
      <c r="J3119" s="392" t="n"/>
      <c r="K3119" s="392" t="n"/>
      <c r="L3119" s="392" t="n"/>
      <c r="M3119" s="392" t="n"/>
    </row>
    <row r="3120">
      <c r="A3120" s="568" t="n">
        <v>44697</v>
      </c>
      <c r="B3120" s="392" t="n">
        <v>9114</v>
      </c>
      <c r="C3120" s="392" t="n">
        <v>94</v>
      </c>
      <c r="D3120" s="392" t="n"/>
      <c r="E3120" s="392" t="n"/>
      <c r="F3120" s="392" t="n"/>
      <c r="G3120" s="392" t="n">
        <v>25</v>
      </c>
      <c r="H3120" s="446">
        <f>H3119-G3120</f>
        <v/>
      </c>
      <c r="I3120" s="392" t="n"/>
      <c r="J3120" s="392" t="n"/>
      <c r="K3120" s="392" t="n"/>
      <c r="L3120" s="392" t="n"/>
      <c r="M3120" s="392" t="n"/>
    </row>
    <row r="3121">
      <c r="A3121" s="568" t="n">
        <v>44697</v>
      </c>
      <c r="B3121" s="392" t="n">
        <v>9118</v>
      </c>
      <c r="C3121" s="392" t="n">
        <v>95</v>
      </c>
      <c r="D3121" s="392" t="n"/>
      <c r="E3121" s="392" t="n"/>
      <c r="F3121" s="392" t="n"/>
      <c r="G3121" s="392" t="n">
        <v>15</v>
      </c>
      <c r="H3121" s="446">
        <f>H3120-G3121</f>
        <v/>
      </c>
      <c r="I3121" s="392" t="n"/>
      <c r="J3121" s="392" t="n"/>
      <c r="K3121" s="392" t="n"/>
      <c r="L3121" s="392" t="n"/>
      <c r="M3121" s="392" t="n"/>
    </row>
    <row r="3122">
      <c r="A3122" s="568" t="n">
        <v>44697</v>
      </c>
      <c r="B3122" s="392" t="n">
        <v>9119</v>
      </c>
      <c r="C3122" s="392" t="n">
        <v>100</v>
      </c>
      <c r="D3122" s="392" t="n"/>
      <c r="E3122" s="392" t="n"/>
      <c r="F3122" s="392" t="n"/>
      <c r="G3122" s="392" t="n">
        <v>30</v>
      </c>
      <c r="H3122" s="446">
        <f>H3121-G3122</f>
        <v/>
      </c>
      <c r="I3122" s="392" t="n"/>
      <c r="J3122" s="392" t="n"/>
      <c r="K3122" s="392" t="n"/>
      <c r="L3122" s="392" t="n"/>
      <c r="M3122" s="392" t="n"/>
    </row>
    <row r="3123">
      <c r="A3123" s="568" t="n">
        <v>44699</v>
      </c>
      <c r="B3123" s="392" t="n">
        <v>9125</v>
      </c>
      <c r="C3123" s="392" t="n">
        <v>96</v>
      </c>
      <c r="D3123" s="392" t="n"/>
      <c r="E3123" s="392" t="n"/>
      <c r="F3123" s="392" t="n"/>
      <c r="G3123" s="392" t="n">
        <v>20</v>
      </c>
      <c r="H3123" s="446">
        <f>H3122-G3123</f>
        <v/>
      </c>
      <c r="I3123" s="392" t="n"/>
      <c r="J3123" s="392" t="n"/>
      <c r="K3123" s="392" t="n"/>
      <c r="L3123" s="392" t="n"/>
      <c r="M3123" s="392" t="n"/>
    </row>
    <row r="3124">
      <c r="A3124" s="568" t="n">
        <v>44699</v>
      </c>
      <c r="B3124" s="392" t="n">
        <v>9127</v>
      </c>
      <c r="C3124" s="392" t="n">
        <v>96</v>
      </c>
      <c r="D3124" s="392" t="n"/>
      <c r="E3124" s="392" t="n"/>
      <c r="F3124" s="392" t="n"/>
      <c r="G3124" s="392" t="n">
        <v>50</v>
      </c>
      <c r="H3124" s="446">
        <f>H3123-G3124</f>
        <v/>
      </c>
      <c r="I3124" s="392" t="n"/>
      <c r="J3124" s="392" t="n"/>
      <c r="K3124" s="392" t="n"/>
      <c r="L3124" s="392" t="n"/>
      <c r="M3124" s="392" t="n"/>
    </row>
    <row r="3125">
      <c r="A3125" s="568" t="n">
        <v>44704</v>
      </c>
      <c r="B3125" s="392" t="n">
        <v>9133</v>
      </c>
      <c r="C3125" s="392" t="n">
        <v>105</v>
      </c>
      <c r="D3125" s="392" t="n"/>
      <c r="E3125" s="392" t="n"/>
      <c r="F3125" s="392" t="n"/>
      <c r="G3125" s="392" t="n">
        <v>30</v>
      </c>
      <c r="H3125" s="446">
        <f>H3124-G3125</f>
        <v/>
      </c>
      <c r="I3125" s="392" t="n"/>
      <c r="J3125" s="392" t="n"/>
      <c r="K3125" s="392" t="n"/>
      <c r="L3125" s="392" t="n"/>
      <c r="M3125" s="392" t="n"/>
    </row>
    <row r="3126">
      <c r="A3126" s="568" t="n">
        <v>44704</v>
      </c>
      <c r="B3126" s="392" t="n">
        <v>9137</v>
      </c>
      <c r="C3126" s="392" t="n">
        <v>96</v>
      </c>
      <c r="D3126" s="392" t="n"/>
      <c r="E3126" s="392" t="n"/>
      <c r="F3126" s="392" t="n"/>
      <c r="G3126" s="392" t="n">
        <v>30</v>
      </c>
      <c r="H3126" s="446">
        <f>H3125-G3126</f>
        <v/>
      </c>
      <c r="I3126" s="392" t="n"/>
      <c r="J3126" s="392" t="n"/>
      <c r="K3126" s="392" t="n"/>
      <c r="L3126" s="392" t="n"/>
      <c r="M3126" s="392" t="n"/>
    </row>
    <row r="3127">
      <c r="A3127" s="568" t="n">
        <v>44705</v>
      </c>
      <c r="B3127" s="392" t="n">
        <v>9139</v>
      </c>
      <c r="C3127" s="392" t="n">
        <v>96</v>
      </c>
      <c r="D3127" s="392" t="n"/>
      <c r="E3127" s="392" t="n"/>
      <c r="F3127" s="392" t="n"/>
      <c r="G3127" s="392" t="n">
        <v>30</v>
      </c>
      <c r="H3127" s="446">
        <f>H3126-G3127</f>
        <v/>
      </c>
      <c r="I3127" s="392" t="n"/>
      <c r="J3127" s="392" t="n"/>
      <c r="K3127" s="392" t="n"/>
      <c r="L3127" s="392" t="n"/>
      <c r="M3127" s="392" t="n"/>
    </row>
    <row r="3128">
      <c r="A3128" s="568" t="n">
        <v>44706</v>
      </c>
      <c r="B3128" s="392" t="n">
        <v>9142</v>
      </c>
      <c r="C3128" s="392" t="n">
        <v>95</v>
      </c>
      <c r="D3128" s="392" t="n"/>
      <c r="E3128" s="392" t="n"/>
      <c r="F3128" s="392" t="n"/>
      <c r="G3128" s="392" t="n">
        <v>50</v>
      </c>
      <c r="H3128" s="446">
        <f>H3127-G3128</f>
        <v/>
      </c>
      <c r="I3128" s="392" t="n"/>
      <c r="J3128" s="392" t="n"/>
      <c r="K3128" s="392" t="n"/>
      <c r="L3128" s="392" t="n"/>
      <c r="M3128" s="392" t="n"/>
    </row>
    <row r="3129">
      <c r="A3129" s="568" t="n">
        <v>44706</v>
      </c>
      <c r="B3129" s="392" t="n">
        <v>9143</v>
      </c>
      <c r="C3129" s="392" t="n">
        <v>103</v>
      </c>
      <c r="D3129" s="392" t="n"/>
      <c r="E3129" s="392" t="n"/>
      <c r="F3129" s="392" t="n"/>
      <c r="G3129" s="392" t="n">
        <v>50</v>
      </c>
      <c r="H3129" s="446">
        <f>H3128-G3129</f>
        <v/>
      </c>
      <c r="I3129" s="392" t="n"/>
      <c r="J3129" s="392" t="n"/>
      <c r="K3129" s="392" t="n"/>
      <c r="L3129" s="392" t="n"/>
      <c r="M3129" s="392" t="n"/>
    </row>
    <row r="3130">
      <c r="A3130" s="568" t="n">
        <v>44706</v>
      </c>
      <c r="B3130" s="392" t="n">
        <v>9144</v>
      </c>
      <c r="C3130" s="392" t="n">
        <v>97.3</v>
      </c>
      <c r="D3130" s="392" t="n"/>
      <c r="E3130" s="392" t="n"/>
      <c r="F3130" s="392" t="n"/>
      <c r="G3130" s="392" t="n">
        <v>30</v>
      </c>
      <c r="H3130" s="446">
        <f>H3129-G3130</f>
        <v/>
      </c>
      <c r="I3130" s="392" t="n"/>
      <c r="J3130" s="392" t="n"/>
      <c r="K3130" s="392" t="n"/>
      <c r="L3130" s="392" t="n"/>
      <c r="M3130" s="392" t="n"/>
    </row>
    <row r="3131">
      <c r="A3131" s="568" t="n">
        <v>44711</v>
      </c>
      <c r="B3131" s="392" t="n">
        <v>9152</v>
      </c>
      <c r="C3131" s="392" t="n">
        <v>80</v>
      </c>
      <c r="D3131" s="392" t="n"/>
      <c r="E3131" s="392" t="n"/>
      <c r="F3131" s="392" t="n"/>
      <c r="G3131" s="392" t="n">
        <v>75</v>
      </c>
      <c r="H3131" s="446">
        <f>H3130-G3131</f>
        <v/>
      </c>
      <c r="I3131" s="392" t="n"/>
      <c r="J3131" s="392" t="n"/>
      <c r="K3131" s="392" t="n"/>
      <c r="L3131" s="392" t="n"/>
      <c r="M3131" s="392" t="n"/>
    </row>
    <row r="3132">
      <c r="A3132" s="568" t="n">
        <v>44711</v>
      </c>
      <c r="B3132" s="392" t="n">
        <v>9157</v>
      </c>
      <c r="C3132" s="392" t="n">
        <v>97</v>
      </c>
      <c r="D3132" s="392" t="n"/>
      <c r="E3132" s="392" t="n"/>
      <c r="F3132" s="392" t="n"/>
      <c r="G3132" s="392" t="n">
        <v>15</v>
      </c>
      <c r="H3132" s="446">
        <f>H3131-G3132</f>
        <v/>
      </c>
      <c r="I3132" s="392" t="n"/>
      <c r="J3132" s="392" t="n"/>
      <c r="K3132" s="392" t="n"/>
      <c r="L3132" s="392" t="n"/>
      <c r="M3132" s="392" t="n"/>
    </row>
    <row r="3133">
      <c r="A3133" s="568" t="n">
        <v>44711</v>
      </c>
      <c r="B3133" s="392" t="n">
        <v>9158</v>
      </c>
      <c r="C3133" s="392" t="n">
        <v>98</v>
      </c>
      <c r="D3133" s="392" t="n"/>
      <c r="E3133" s="392" t="n"/>
      <c r="F3133" s="392" t="n"/>
      <c r="G3133" s="392" t="n">
        <v>30</v>
      </c>
      <c r="H3133" s="446">
        <f>H3132-G3133</f>
        <v/>
      </c>
      <c r="I3133" s="392" t="n"/>
      <c r="J3133" s="392" t="n"/>
      <c r="K3133" s="392" t="n"/>
      <c r="L3133" s="392" t="n"/>
      <c r="M3133" s="392" t="n"/>
    </row>
    <row r="3134">
      <c r="A3134" s="568" t="n">
        <v>44711</v>
      </c>
      <c r="B3134" s="392" t="n">
        <v>9159</v>
      </c>
      <c r="C3134" s="392" t="n">
        <v>98</v>
      </c>
      <c r="D3134" s="392" t="n"/>
      <c r="E3134" s="392" t="n"/>
      <c r="F3134" s="392" t="n"/>
      <c r="G3134" s="392" t="n">
        <v>30</v>
      </c>
      <c r="H3134" s="446">
        <f>H3133-G3134</f>
        <v/>
      </c>
      <c r="I3134" s="392" t="n"/>
      <c r="J3134" s="392" t="n"/>
      <c r="K3134" s="392" t="n"/>
      <c r="L3134" s="392" t="n"/>
      <c r="M3134" s="392" t="n"/>
    </row>
    <row r="3135">
      <c r="A3135" s="568" t="n">
        <v>44712</v>
      </c>
      <c r="B3135" s="392" t="n">
        <v>9163</v>
      </c>
      <c r="C3135" s="392" t="n">
        <v>98</v>
      </c>
      <c r="D3135" s="392" t="n"/>
      <c r="E3135" s="392" t="n"/>
      <c r="F3135" s="392" t="n"/>
      <c r="G3135" s="392" t="n">
        <v>20</v>
      </c>
      <c r="H3135" s="446">
        <f>H3134-G3135</f>
        <v/>
      </c>
      <c r="I3135" s="392" t="n"/>
      <c r="J3135" s="392" t="n"/>
      <c r="K3135" s="392" t="n"/>
      <c r="L3135" s="392" t="n"/>
      <c r="M3135" s="392" t="n"/>
    </row>
    <row r="3136">
      <c r="A3136" s="304" t="n">
        <v>44712</v>
      </c>
      <c r="B3136" s="401" t="n">
        <v>191485</v>
      </c>
      <c r="C3136" s="401" t="n">
        <v>81</v>
      </c>
      <c r="D3136" s="401" t="n"/>
      <c r="E3136" s="401" t="n"/>
      <c r="F3136" s="401" t="n">
        <v>150</v>
      </c>
      <c r="G3136" s="401" t="n"/>
      <c r="H3136" s="322" t="n">
        <v>2002</v>
      </c>
      <c r="I3136" s="392" t="n"/>
      <c r="J3136" s="392" t="n"/>
      <c r="K3136" s="392" t="n"/>
      <c r="L3136" s="392" t="n"/>
      <c r="M3136" s="392" t="n"/>
    </row>
    <row r="3137">
      <c r="A3137" s="304" t="n">
        <v>44712</v>
      </c>
      <c r="B3137" s="401" t="n">
        <v>191485</v>
      </c>
      <c r="C3137" s="401" t="n">
        <v>80</v>
      </c>
      <c r="D3137" s="401" t="n"/>
      <c r="E3137" s="401" t="n"/>
      <c r="F3137" s="401" t="n">
        <v>250</v>
      </c>
      <c r="G3137" s="401" t="n"/>
      <c r="H3137" s="322" t="n">
        <v>2252</v>
      </c>
      <c r="I3137" s="392" t="n"/>
      <c r="J3137" s="392" t="n"/>
      <c r="K3137" s="392" t="n"/>
      <c r="L3137" s="392" t="n"/>
      <c r="M3137" s="392" t="n"/>
    </row>
    <row r="3138">
      <c r="A3138" s="392" t="n"/>
      <c r="B3138" s="392" t="n"/>
      <c r="C3138" s="392" t="n"/>
      <c r="D3138" s="392" t="n"/>
      <c r="E3138" s="392" t="n"/>
      <c r="F3138" s="392" t="n"/>
      <c r="G3138" s="392" t="n"/>
      <c r="H3138" s="322" t="n">
        <v>2252</v>
      </c>
      <c r="I3138" s="392" t="n"/>
      <c r="J3138" s="392" t="n"/>
      <c r="K3138" s="392" t="n"/>
      <c r="L3138" s="392" t="n"/>
      <c r="M3138" s="392" t="n"/>
    </row>
    <row r="3139">
      <c r="A3139" s="392" t="n"/>
      <c r="B3139" s="392" t="n"/>
      <c r="C3139" s="392" t="n"/>
      <c r="D3139" s="392" t="n"/>
      <c r="E3139" s="392" t="n"/>
      <c r="F3139" s="392" t="n"/>
      <c r="G3139" s="392" t="n"/>
      <c r="H3139" s="322" t="n">
        <v>2252</v>
      </c>
      <c r="I3139" s="392" t="n"/>
      <c r="J3139" s="392" t="n"/>
      <c r="K3139" s="392" t="n"/>
      <c r="L3139" s="392" t="n"/>
      <c r="M3139" s="392" t="n"/>
    </row>
    <row r="3140">
      <c r="A3140" s="392" t="n"/>
      <c r="B3140" s="392" t="n"/>
      <c r="C3140" s="392" t="n"/>
      <c r="D3140" s="392" t="n"/>
      <c r="E3140" s="392" t="n"/>
      <c r="F3140" s="392" t="n"/>
      <c r="G3140" s="392" t="n"/>
      <c r="H3140" s="446" t="n"/>
      <c r="I3140" s="392" t="n"/>
      <c r="J3140" s="392" t="n"/>
      <c r="K3140" s="392" t="n"/>
      <c r="L3140" s="392" t="n"/>
      <c r="M3140" s="392" t="n"/>
    </row>
    <row r="3141">
      <c r="A3141" s="392" t="n"/>
      <c r="B3141" s="392" t="n"/>
      <c r="C3141" s="392" t="n"/>
      <c r="D3141" s="392" t="n"/>
      <c r="E3141" s="392" t="n"/>
      <c r="F3141" s="392" t="n"/>
      <c r="G3141" s="392" t="n"/>
      <c r="H3141" s="446" t="n"/>
      <c r="I3141" s="392" t="n"/>
      <c r="J3141" s="392" t="n"/>
      <c r="K3141" s="392" t="n"/>
      <c r="L3141" s="392" t="n"/>
      <c r="M3141" s="392" t="n"/>
    </row>
    <row r="3142">
      <c r="H3142" s="390" t="n"/>
    </row>
    <row r="3143">
      <c r="H3143" s="390" t="n"/>
    </row>
    <row r="3144" ht="15.75" customHeight="1" s="436" thickBot="1">
      <c r="H3144" s="390" t="n"/>
    </row>
    <row r="3145" ht="32.25" customHeight="1" s="436" thickBot="1">
      <c r="A3145" s="735" t="inlineStr">
        <is>
          <t>Junho</t>
        </is>
      </c>
      <c r="B3145" s="697" t="n"/>
      <c r="C3145" s="697" t="n"/>
      <c r="D3145" s="697" t="n"/>
      <c r="E3145" s="697" t="n"/>
      <c r="F3145" s="697" t="n"/>
      <c r="G3145" s="697" t="n"/>
      <c r="H3145" s="697" t="n"/>
      <c r="I3145" s="697" t="n"/>
      <c r="J3145" s="697" t="n"/>
      <c r="K3145" s="697" t="n"/>
      <c r="L3145" s="697" t="n"/>
      <c r="M3145" s="698" t="n"/>
    </row>
    <row r="3146" ht="27" customHeight="1" s="436" thickBot="1">
      <c r="A3146" s="720" t="inlineStr">
        <is>
          <t xml:space="preserve"> FARINHA DE TRIGO TIPO: 1 - 25 KG</t>
        </is>
      </c>
      <c r="B3146" s="697" t="n"/>
      <c r="C3146" s="697" t="n"/>
      <c r="D3146" s="697" t="n"/>
      <c r="E3146" s="697" t="n"/>
      <c r="F3146" s="697" t="n"/>
      <c r="G3146" s="697" t="n"/>
      <c r="H3146" s="697" t="n"/>
      <c r="I3146" s="697" t="n"/>
      <c r="J3146" s="697" t="n"/>
      <c r="K3146" s="697" t="n"/>
      <c r="L3146" s="697" t="n"/>
      <c r="M3146" s="698" t="n"/>
    </row>
    <row r="3147">
      <c r="A3147" s="643" t="inlineStr">
        <is>
          <t>DATA</t>
        </is>
      </c>
      <c r="B3147" s="633" t="inlineStr">
        <is>
          <t>N.F.</t>
        </is>
      </c>
      <c r="C3147" s="633" t="inlineStr">
        <is>
          <t>TIPO</t>
        </is>
      </c>
      <c r="D3147" s="670" t="inlineStr">
        <is>
          <t>PREÇO UNITÁRIO</t>
        </is>
      </c>
      <c r="E3147" s="701" t="n"/>
      <c r="F3147" s="633" t="inlineStr">
        <is>
          <t>QUANTIDADE / KG</t>
        </is>
      </c>
      <c r="H3147" s="701" t="n"/>
      <c r="I3147" s="632" t="inlineStr">
        <is>
          <t>PREÇO</t>
        </is>
      </c>
      <c r="J3147" s="632" t="inlineStr">
        <is>
          <t>VALORES</t>
        </is>
      </c>
      <c r="L3147" s="701" t="n"/>
      <c r="M3147" s="649" t="n"/>
    </row>
    <row r="3148" ht="15.75" customHeight="1" s="436" thickBot="1">
      <c r="A3148" s="703" t="n"/>
      <c r="B3148" s="704" t="n"/>
      <c r="C3148" s="704" t="n"/>
      <c r="D3148" s="703" t="n"/>
      <c r="E3148" s="701" t="n"/>
      <c r="F3148" s="705" t="n"/>
      <c r="G3148" s="706" t="n"/>
      <c r="H3148" s="707" t="n"/>
      <c r="I3148" s="704" t="n"/>
      <c r="J3148" s="703" t="n"/>
      <c r="L3148" s="701" t="n"/>
      <c r="M3148" s="704" t="n"/>
    </row>
    <row r="3149" ht="15.75" customHeight="1" s="436" thickBot="1">
      <c r="A3149" s="703" t="n"/>
      <c r="B3149" s="704" t="n"/>
      <c r="C3149" s="704" t="n"/>
      <c r="D3149" s="705" t="n"/>
      <c r="E3149" s="707" t="n"/>
      <c r="F3149" s="3" t="inlineStr">
        <is>
          <t>ENTRADA</t>
        </is>
      </c>
      <c r="G3149" s="3" t="inlineStr">
        <is>
          <t>SAÍDA</t>
        </is>
      </c>
      <c r="H3149" s="640" t="n"/>
      <c r="I3149" s="633" t="inlineStr">
        <is>
          <t>MÉDIO</t>
        </is>
      </c>
      <c r="J3149" s="652" t="inlineStr">
        <is>
          <t>SALDO EM 30/11/2017</t>
        </is>
      </c>
      <c r="K3149" s="706" t="n"/>
      <c r="L3149" s="17" t="n"/>
      <c r="M3149" s="704" t="n"/>
    </row>
    <row r="3150" ht="18" customHeight="1" s="436" thickBot="1">
      <c r="A3150" s="705" t="n"/>
      <c r="B3150" s="695" t="n"/>
      <c r="C3150" s="695" t="n"/>
      <c r="D3150" s="3" t="inlineStr">
        <is>
          <t>C/ICMS</t>
        </is>
      </c>
      <c r="E3150" s="3" t="inlineStr">
        <is>
          <t>S/ICMS</t>
        </is>
      </c>
      <c r="F3150" s="695" t="n"/>
      <c r="G3150" s="695" t="n"/>
      <c r="H3150" s="84" t="inlineStr">
        <is>
          <t>Saldo em 31/05/2022</t>
        </is>
      </c>
      <c r="I3150" s="695" t="n"/>
      <c r="J3150" s="645" t="inlineStr">
        <is>
          <t>ENTRADA</t>
        </is>
      </c>
      <c r="K3150" s="633" t="inlineStr">
        <is>
          <t>SAÍDA / CMV</t>
        </is>
      </c>
      <c r="L3150" s="643" t="inlineStr">
        <is>
          <t>SALDO</t>
        </is>
      </c>
      <c r="M3150" s="392" t="n"/>
    </row>
    <row r="3151">
      <c r="A3151" s="392" t="n"/>
      <c r="B3151" s="392" t="n"/>
      <c r="C3151" s="392" t="n"/>
      <c r="D3151" s="392" t="n"/>
      <c r="E3151" s="392" t="n"/>
      <c r="F3151" s="392" t="n"/>
      <c r="G3151" s="392" t="n"/>
      <c r="H3151" s="446" t="n">
        <v>2252</v>
      </c>
      <c r="I3151" s="392" t="n"/>
      <c r="J3151" s="392" t="n"/>
      <c r="K3151" s="392" t="n"/>
      <c r="L3151" s="392" t="n"/>
      <c r="M3151" s="392" t="n"/>
    </row>
    <row r="3152">
      <c r="A3152" s="568" t="n">
        <v>44713</v>
      </c>
      <c r="B3152" s="392" t="n">
        <v>9165</v>
      </c>
      <c r="C3152" s="392" t="n">
        <v>98</v>
      </c>
      <c r="D3152" s="392" t="n"/>
      <c r="E3152" s="392" t="n"/>
      <c r="F3152" s="392" t="n"/>
      <c r="G3152" s="392" t="n">
        <v>50</v>
      </c>
      <c r="H3152" s="446">
        <f>H3151-G3152</f>
        <v/>
      </c>
      <c r="I3152" s="392" t="n"/>
      <c r="J3152" s="392" t="n"/>
      <c r="K3152" s="392" t="n"/>
      <c r="L3152" s="392" t="n"/>
      <c r="M3152" s="392" t="n"/>
    </row>
    <row r="3153">
      <c r="A3153" s="568" t="n">
        <v>44713</v>
      </c>
      <c r="B3153" s="392" t="n">
        <v>9169</v>
      </c>
      <c r="C3153" s="392" t="n">
        <v>96</v>
      </c>
      <c r="D3153" s="392" t="n"/>
      <c r="E3153" s="392" t="n"/>
      <c r="F3153" s="392" t="n"/>
      <c r="G3153" s="392" t="n">
        <v>20</v>
      </c>
      <c r="H3153" s="446">
        <f>H3152-G3153</f>
        <v/>
      </c>
      <c r="I3153" s="392" t="n"/>
      <c r="J3153" s="392" t="n"/>
      <c r="K3153" s="392" t="n"/>
      <c r="L3153" s="392" t="n"/>
      <c r="M3153" s="392" t="n"/>
    </row>
    <row r="3154">
      <c r="A3154" s="568" t="n">
        <v>44720</v>
      </c>
      <c r="B3154" s="392" t="n">
        <v>9177</v>
      </c>
      <c r="C3154" s="392" t="n">
        <v>105</v>
      </c>
      <c r="D3154" s="392" t="n"/>
      <c r="E3154" s="392" t="n"/>
      <c r="F3154" s="392" t="n"/>
      <c r="G3154" s="392" t="n">
        <v>20</v>
      </c>
      <c r="H3154" s="446">
        <f>H3153-G3154</f>
        <v/>
      </c>
      <c r="I3154" s="392" t="n"/>
      <c r="J3154" s="392" t="n"/>
      <c r="K3154" s="392" t="n"/>
      <c r="L3154" s="392" t="n"/>
      <c r="M3154" s="392" t="n"/>
    </row>
    <row r="3155">
      <c r="A3155" s="568" t="n">
        <v>44720</v>
      </c>
      <c r="B3155" s="392" t="n">
        <v>9178</v>
      </c>
      <c r="C3155" s="392" t="n">
        <v>98</v>
      </c>
      <c r="D3155" s="392" t="n"/>
      <c r="E3155" s="392" t="n"/>
      <c r="F3155" s="392" t="n"/>
      <c r="G3155" s="392" t="n">
        <v>30</v>
      </c>
      <c r="H3155" s="446">
        <f>H3154-G3155</f>
        <v/>
      </c>
      <c r="I3155" s="392" t="n"/>
      <c r="J3155" s="392" t="n"/>
      <c r="K3155" s="392" t="n"/>
      <c r="L3155" s="392" t="n"/>
      <c r="M3155" s="392" t="n"/>
    </row>
    <row r="3156">
      <c r="A3156" s="568" t="n">
        <v>44720</v>
      </c>
      <c r="B3156" s="392" t="n">
        <v>9179</v>
      </c>
      <c r="C3156" s="392" t="n">
        <v>98</v>
      </c>
      <c r="D3156" s="392" t="n"/>
      <c r="E3156" s="392" t="n"/>
      <c r="F3156" s="392" t="n"/>
      <c r="G3156" s="392" t="n">
        <v>15</v>
      </c>
      <c r="H3156" s="446">
        <f>H3155-G3156</f>
        <v/>
      </c>
      <c r="I3156" s="392" t="n"/>
      <c r="J3156" s="392" t="n"/>
      <c r="K3156" s="392" t="n"/>
      <c r="L3156" s="392" t="n"/>
      <c r="M3156" s="392" t="n"/>
    </row>
    <row r="3157">
      <c r="A3157" s="568" t="n">
        <v>44720</v>
      </c>
      <c r="B3157" s="392" t="n">
        <v>9180</v>
      </c>
      <c r="C3157" s="392" t="n">
        <v>97</v>
      </c>
      <c r="D3157" s="392" t="n"/>
      <c r="E3157" s="392" t="n"/>
      <c r="F3157" s="392" t="n"/>
      <c r="G3157" s="392" t="n">
        <v>50</v>
      </c>
      <c r="H3157" s="446">
        <f>H3156-G3157</f>
        <v/>
      </c>
      <c r="I3157" s="392" t="n"/>
      <c r="J3157" s="392" t="n"/>
      <c r="K3157" s="392" t="n"/>
      <c r="L3157" s="392" t="n"/>
      <c r="M3157" s="392" t="n"/>
    </row>
    <row r="3158">
      <c r="A3158" s="568" t="n">
        <v>44720</v>
      </c>
      <c r="B3158" s="392" t="n">
        <v>9181</v>
      </c>
      <c r="C3158" s="392" t="n">
        <v>98</v>
      </c>
      <c r="D3158" s="392" t="n"/>
      <c r="E3158" s="392" t="n"/>
      <c r="F3158" s="392" t="n"/>
      <c r="G3158" s="392" t="n">
        <v>20</v>
      </c>
      <c r="H3158" s="446">
        <f>H3157-G3158</f>
        <v/>
      </c>
      <c r="I3158" s="392" t="n"/>
      <c r="J3158" s="392" t="n"/>
      <c r="K3158" s="392" t="n"/>
      <c r="L3158" s="392" t="n"/>
      <c r="M3158" s="392" t="n"/>
    </row>
    <row r="3159">
      <c r="A3159" s="568" t="n">
        <v>44720</v>
      </c>
      <c r="B3159" s="392" t="n">
        <v>9188</v>
      </c>
      <c r="C3159" s="392" t="n">
        <v>106</v>
      </c>
      <c r="D3159" s="392" t="n"/>
      <c r="E3159" s="392" t="n"/>
      <c r="F3159" s="392" t="n"/>
      <c r="G3159" s="392" t="n">
        <v>30</v>
      </c>
      <c r="H3159" s="446">
        <f>H3158-G3159</f>
        <v/>
      </c>
      <c r="I3159" s="392" t="n"/>
      <c r="J3159" s="392" t="n"/>
      <c r="K3159" s="392" t="n"/>
      <c r="L3159" s="392" t="n"/>
      <c r="M3159" s="392" t="n"/>
    </row>
    <row r="3160">
      <c r="A3160" s="568" t="n">
        <v>44725</v>
      </c>
      <c r="B3160" s="392" t="n">
        <v>9193</v>
      </c>
      <c r="C3160" s="392" t="n">
        <v>98</v>
      </c>
      <c r="D3160" s="392" t="n"/>
      <c r="E3160" s="392" t="n"/>
      <c r="F3160" s="392" t="n"/>
      <c r="G3160" s="392" t="n">
        <v>30</v>
      </c>
      <c r="H3160" s="446">
        <f>H3159-G3160</f>
        <v/>
      </c>
      <c r="I3160" s="392" t="n"/>
      <c r="J3160" s="392" t="n"/>
      <c r="K3160" s="392" t="n"/>
      <c r="L3160" s="392" t="n"/>
      <c r="M3160" s="392" t="n"/>
    </row>
    <row r="3161">
      <c r="A3161" s="568" t="n">
        <v>44725</v>
      </c>
      <c r="B3161" s="392" t="n">
        <v>9194</v>
      </c>
      <c r="C3161" s="392" t="n">
        <v>98</v>
      </c>
      <c r="D3161" s="392" t="n"/>
      <c r="E3161" s="392" t="n"/>
      <c r="F3161" s="392" t="n"/>
      <c r="G3161" s="392" t="n">
        <v>50</v>
      </c>
      <c r="H3161" s="446">
        <f>H3160-G3161</f>
        <v/>
      </c>
      <c r="I3161" s="392" t="n"/>
      <c r="J3161" s="392" t="n"/>
      <c r="K3161" s="392" t="n"/>
      <c r="L3161" s="392" t="n"/>
      <c r="M3161" s="392" t="n"/>
    </row>
    <row r="3162">
      <c r="A3162" s="568" t="n">
        <v>44725</v>
      </c>
      <c r="B3162" s="392" t="n">
        <v>9197</v>
      </c>
      <c r="C3162" s="392" t="n">
        <v>100.5</v>
      </c>
      <c r="D3162" s="392" t="n"/>
      <c r="E3162" s="392" t="n"/>
      <c r="F3162" s="392" t="n"/>
      <c r="G3162" s="392" t="n">
        <v>60</v>
      </c>
      <c r="H3162" s="446">
        <f>H3161-G3162</f>
        <v/>
      </c>
      <c r="I3162" s="392" t="n"/>
      <c r="J3162" s="392" t="n"/>
      <c r="K3162" s="392" t="n"/>
      <c r="L3162" s="392" t="n"/>
      <c r="M3162" s="392" t="n"/>
    </row>
    <row r="3163">
      <c r="A3163" s="568" t="n">
        <v>44725</v>
      </c>
      <c r="B3163" s="392" t="n">
        <v>9198</v>
      </c>
      <c r="C3163" s="392" t="n">
        <v>97</v>
      </c>
      <c r="D3163" s="392" t="n"/>
      <c r="E3163" s="392" t="n"/>
      <c r="F3163" s="392" t="n"/>
      <c r="G3163" s="392" t="n">
        <v>40</v>
      </c>
      <c r="H3163" s="446">
        <f>H3162-G3163</f>
        <v/>
      </c>
      <c r="I3163" s="392" t="n"/>
      <c r="J3163" s="392" t="n"/>
      <c r="K3163" s="392" t="n"/>
      <c r="L3163" s="392" t="n"/>
      <c r="M3163" s="392" t="n"/>
    </row>
    <row r="3164">
      <c r="A3164" s="568" t="n">
        <v>44732</v>
      </c>
      <c r="B3164" s="392" t="n">
        <v>9207</v>
      </c>
      <c r="C3164" s="392" t="n">
        <v>107</v>
      </c>
      <c r="D3164" s="392" t="n"/>
      <c r="E3164" s="392" t="n"/>
      <c r="F3164" s="392" t="n"/>
      <c r="G3164" s="392" t="n">
        <v>25</v>
      </c>
      <c r="H3164" s="446">
        <f>H3163-G3164</f>
        <v/>
      </c>
      <c r="I3164" s="392" t="n"/>
      <c r="J3164" s="392" t="n"/>
      <c r="K3164" s="392" t="n"/>
      <c r="L3164" s="392" t="n"/>
      <c r="M3164" s="392" t="n"/>
    </row>
    <row r="3165">
      <c r="A3165" s="568" t="n">
        <v>44732</v>
      </c>
      <c r="B3165" s="392" t="n">
        <v>9208</v>
      </c>
      <c r="C3165" s="392" t="n">
        <v>97</v>
      </c>
      <c r="D3165" s="392" t="n"/>
      <c r="E3165" s="392" t="n"/>
      <c r="F3165" s="392" t="n"/>
      <c r="G3165" s="392" t="n">
        <v>15</v>
      </c>
      <c r="H3165" s="446">
        <f>H3164-G3165</f>
        <v/>
      </c>
      <c r="I3165" s="392" t="n"/>
      <c r="J3165" s="392" t="n"/>
      <c r="K3165" s="392" t="n"/>
      <c r="L3165" s="392" t="n"/>
      <c r="M3165" s="392" t="n"/>
    </row>
    <row r="3166">
      <c r="A3166" s="568" t="n">
        <v>44732</v>
      </c>
      <c r="B3166" s="392" t="n">
        <v>9209</v>
      </c>
      <c r="C3166" s="392" t="n">
        <v>99</v>
      </c>
      <c r="D3166" s="392" t="n"/>
      <c r="E3166" s="392" t="n"/>
      <c r="F3166" s="392" t="n"/>
      <c r="G3166" s="392" t="n">
        <v>10</v>
      </c>
      <c r="H3166" s="446">
        <f>H3165-G3166</f>
        <v/>
      </c>
      <c r="I3166" s="392" t="n"/>
      <c r="J3166" s="392" t="n"/>
      <c r="K3166" s="392" t="n"/>
      <c r="L3166" s="392" t="n"/>
      <c r="M3166" s="392" t="n"/>
    </row>
    <row r="3167">
      <c r="A3167" s="568" t="n">
        <v>44732</v>
      </c>
      <c r="B3167" s="392" t="n">
        <v>9212</v>
      </c>
      <c r="C3167" s="392" t="n">
        <v>100.25</v>
      </c>
      <c r="D3167" s="392" t="n"/>
      <c r="E3167" s="392" t="n"/>
      <c r="F3167" s="392" t="n"/>
      <c r="G3167" s="392" t="n">
        <v>20</v>
      </c>
      <c r="H3167" s="446">
        <f>H3166-G3167</f>
        <v/>
      </c>
      <c r="I3167" s="392" t="n"/>
      <c r="J3167" s="392" t="n"/>
      <c r="K3167" s="392" t="n"/>
      <c r="L3167" s="392" t="n"/>
      <c r="M3167" s="392" t="n"/>
    </row>
    <row r="3168">
      <c r="A3168" s="568" t="n">
        <v>44732</v>
      </c>
      <c r="B3168" s="392" t="n">
        <v>9214</v>
      </c>
      <c r="C3168" s="392" t="n">
        <v>95</v>
      </c>
      <c r="D3168" s="392" t="n"/>
      <c r="E3168" s="392" t="n"/>
      <c r="F3168" s="392" t="n"/>
      <c r="G3168" s="392" t="n">
        <v>20</v>
      </c>
      <c r="H3168" s="446">
        <f>H3167-G3168</f>
        <v/>
      </c>
      <c r="I3168" s="392" t="n"/>
      <c r="J3168" s="392" t="n"/>
      <c r="K3168" s="392" t="n"/>
      <c r="L3168" s="392" t="n"/>
      <c r="M3168" s="392" t="n"/>
    </row>
    <row r="3169">
      <c r="A3169" s="568" t="n">
        <v>44732</v>
      </c>
      <c r="B3169" s="392" t="n">
        <v>9215</v>
      </c>
      <c r="C3169" s="392" t="n">
        <v>96.59999999999999</v>
      </c>
      <c r="D3169" s="392" t="n"/>
      <c r="E3169" s="392" t="n"/>
      <c r="F3169" s="392" t="n"/>
      <c r="G3169" s="392" t="n">
        <v>50</v>
      </c>
      <c r="H3169" s="446">
        <f>H3168-G3169</f>
        <v/>
      </c>
      <c r="I3169" s="392" t="n"/>
      <c r="J3169" s="392" t="n"/>
      <c r="K3169" s="392" t="n"/>
      <c r="L3169" s="392" t="n"/>
      <c r="M3169" s="392" t="n"/>
    </row>
    <row r="3170">
      <c r="A3170" s="568" t="n">
        <v>44732</v>
      </c>
      <c r="B3170" s="392" t="n">
        <v>9216</v>
      </c>
      <c r="C3170" s="392" t="n">
        <v>96.5</v>
      </c>
      <c r="D3170" s="392" t="n"/>
      <c r="E3170" s="392" t="n"/>
      <c r="F3170" s="392" t="n"/>
      <c r="G3170" s="392" t="n">
        <v>30</v>
      </c>
      <c r="H3170" s="446">
        <f>H3169-G3170</f>
        <v/>
      </c>
      <c r="I3170" s="392" t="n"/>
      <c r="J3170" s="392" t="n"/>
      <c r="K3170" s="392" t="n"/>
      <c r="L3170" s="392" t="n"/>
      <c r="M3170" s="392" t="n"/>
    </row>
    <row r="3171">
      <c r="A3171" s="568" t="n">
        <v>44732</v>
      </c>
      <c r="B3171" s="392" t="n">
        <v>9217</v>
      </c>
      <c r="C3171" s="392" t="n">
        <v>107</v>
      </c>
      <c r="D3171" s="392" t="n"/>
      <c r="E3171" s="392" t="n"/>
      <c r="F3171" s="392" t="n"/>
      <c r="G3171" s="392" t="n">
        <v>20</v>
      </c>
      <c r="H3171" s="446">
        <f>H3170-G3171</f>
        <v/>
      </c>
      <c r="I3171" s="392" t="n"/>
      <c r="J3171" s="392" t="n"/>
      <c r="K3171" s="392" t="n"/>
      <c r="L3171" s="392" t="n"/>
      <c r="M3171" s="392" t="n"/>
    </row>
    <row r="3172">
      <c r="A3172" s="568" t="n">
        <v>44732</v>
      </c>
      <c r="B3172" s="392" t="n">
        <v>9219</v>
      </c>
      <c r="C3172" s="392" t="n">
        <v>101</v>
      </c>
      <c r="D3172" s="392" t="n"/>
      <c r="E3172" s="392" t="n"/>
      <c r="F3172" s="392" t="n"/>
      <c r="G3172" s="392" t="n">
        <v>40</v>
      </c>
      <c r="H3172" s="446">
        <f>H3171-G3172</f>
        <v/>
      </c>
      <c r="I3172" s="392" t="n"/>
      <c r="J3172" s="392" t="n"/>
      <c r="K3172" s="392" t="n"/>
      <c r="L3172" s="392" t="n"/>
      <c r="M3172" s="392" t="n"/>
    </row>
    <row r="3173">
      <c r="A3173" s="568" t="n">
        <v>44732</v>
      </c>
      <c r="B3173" s="392" t="n">
        <v>9220</v>
      </c>
      <c r="C3173" s="392" t="n">
        <v>95</v>
      </c>
      <c r="D3173" s="392" t="n"/>
      <c r="E3173" s="392" t="n"/>
      <c r="F3173" s="392" t="n"/>
      <c r="G3173" s="392" t="n">
        <v>10</v>
      </c>
      <c r="H3173" s="446">
        <f>H3172-G3173</f>
        <v/>
      </c>
      <c r="I3173" s="392" t="n"/>
      <c r="J3173" s="392" t="n"/>
      <c r="K3173" s="392" t="n"/>
      <c r="L3173" s="392" t="n"/>
      <c r="M3173" s="392" t="n"/>
    </row>
    <row r="3174">
      <c r="A3174" s="304" t="n">
        <v>44733</v>
      </c>
      <c r="B3174" s="401" t="n">
        <v>22113</v>
      </c>
      <c r="C3174" s="401" t="n">
        <v>77.3</v>
      </c>
      <c r="D3174" s="401" t="n"/>
      <c r="E3174" s="401" t="n"/>
      <c r="F3174" s="401" t="n">
        <v>1200</v>
      </c>
      <c r="G3174" s="401" t="n"/>
      <c r="H3174" s="322" t="n">
        <v>2797</v>
      </c>
      <c r="I3174" s="392" t="n"/>
      <c r="J3174" s="392" t="n"/>
      <c r="K3174" s="392" t="n"/>
      <c r="L3174" s="392" t="n"/>
      <c r="M3174" s="392" t="n"/>
    </row>
    <row r="3175">
      <c r="A3175" s="568" t="n">
        <v>44733</v>
      </c>
      <c r="B3175" s="392" t="n">
        <v>9228</v>
      </c>
      <c r="C3175" s="392" t="n">
        <v>107</v>
      </c>
      <c r="D3175" s="392" t="n"/>
      <c r="E3175" s="392" t="n"/>
      <c r="F3175" s="392" t="n"/>
      <c r="G3175" s="392" t="n">
        <v>150</v>
      </c>
      <c r="H3175" s="446">
        <f>H3174-G3175</f>
        <v/>
      </c>
      <c r="I3175" s="392" t="n"/>
      <c r="J3175" s="392" t="n"/>
      <c r="K3175" s="392" t="n"/>
      <c r="L3175" s="392" t="n"/>
      <c r="M3175" s="392" t="n"/>
    </row>
    <row r="3176">
      <c r="A3176" s="568" t="n">
        <v>44733</v>
      </c>
      <c r="B3176" s="392" t="n">
        <v>9229</v>
      </c>
      <c r="C3176" s="392" t="n">
        <v>95</v>
      </c>
      <c r="D3176" s="392" t="n"/>
      <c r="E3176" s="392" t="n"/>
      <c r="F3176" s="392" t="n"/>
      <c r="G3176" s="392" t="n">
        <v>100</v>
      </c>
      <c r="H3176" s="446">
        <f>H3175-G3176</f>
        <v/>
      </c>
      <c r="I3176" s="392" t="n"/>
      <c r="J3176" s="392" t="n"/>
      <c r="K3176" s="392" t="n"/>
      <c r="L3176" s="392" t="n"/>
      <c r="M3176" s="392" t="n"/>
    </row>
    <row r="3177">
      <c r="A3177" s="568" t="n">
        <v>44734</v>
      </c>
      <c r="B3177" s="392" t="n">
        <v>9230</v>
      </c>
      <c r="C3177" s="392" t="n">
        <v>99</v>
      </c>
      <c r="D3177" s="392" t="n"/>
      <c r="E3177" s="392" t="n"/>
      <c r="F3177" s="392" t="n"/>
      <c r="G3177" s="392" t="n">
        <v>20</v>
      </c>
      <c r="H3177" s="446">
        <f>H3176-G3177</f>
        <v/>
      </c>
      <c r="I3177" s="392" t="n"/>
      <c r="J3177" s="392" t="n"/>
      <c r="K3177" s="392" t="n"/>
      <c r="L3177" s="392" t="n"/>
      <c r="M3177" s="392" t="n"/>
    </row>
    <row r="3178">
      <c r="A3178" s="568" t="n">
        <v>44734</v>
      </c>
      <c r="B3178" s="392" t="n">
        <v>9231</v>
      </c>
      <c r="C3178" s="392" t="n">
        <v>98</v>
      </c>
      <c r="D3178" s="392" t="n"/>
      <c r="E3178" s="392" t="n"/>
      <c r="F3178" s="392" t="n"/>
      <c r="G3178" s="392" t="n">
        <v>30</v>
      </c>
      <c r="H3178" s="446">
        <f>H3177-G3178</f>
        <v/>
      </c>
      <c r="I3178" s="392" t="n"/>
      <c r="J3178" s="392" t="n"/>
      <c r="K3178" s="392" t="n"/>
      <c r="L3178" s="392" t="n"/>
      <c r="M3178" s="392" t="n"/>
    </row>
    <row r="3179">
      <c r="A3179" s="304" t="n">
        <v>44739</v>
      </c>
      <c r="B3179" s="401" t="n">
        <v>192922</v>
      </c>
      <c r="C3179" s="401" t="n">
        <v>86</v>
      </c>
      <c r="D3179" s="401" t="n"/>
      <c r="E3179" s="401" t="n"/>
      <c r="F3179" s="401" t="n">
        <v>200</v>
      </c>
      <c r="G3179" s="401" t="n"/>
      <c r="H3179" s="322" t="n">
        <v>2697</v>
      </c>
      <c r="I3179" s="392" t="n"/>
      <c r="J3179" s="392" t="n"/>
      <c r="K3179" s="392" t="n"/>
      <c r="L3179" s="392" t="n"/>
      <c r="M3179" s="392" t="n"/>
    </row>
    <row r="3180">
      <c r="A3180" s="304" t="n">
        <v>44739</v>
      </c>
      <c r="B3180" s="401" t="n">
        <v>19222</v>
      </c>
      <c r="C3180" s="401" t="n">
        <v>85</v>
      </c>
      <c r="D3180" s="401" t="n"/>
      <c r="E3180" s="401" t="n"/>
      <c r="F3180" s="401" t="n">
        <v>200</v>
      </c>
      <c r="G3180" s="401" t="n"/>
      <c r="H3180" s="322" t="n">
        <v>2897</v>
      </c>
      <c r="I3180" s="392" t="n"/>
      <c r="J3180" s="392" t="n"/>
      <c r="K3180" s="392" t="n"/>
      <c r="L3180" s="392" t="n"/>
      <c r="M3180" s="392" t="n"/>
    </row>
    <row r="3181">
      <c r="A3181" s="568" t="n">
        <v>44740</v>
      </c>
      <c r="B3181" s="392" t="n">
        <v>9240</v>
      </c>
      <c r="C3181" s="392" t="n">
        <v>98.3</v>
      </c>
      <c r="D3181" s="392" t="n"/>
      <c r="E3181" s="392" t="n"/>
      <c r="F3181" s="392" t="n"/>
      <c r="G3181" s="392" t="n">
        <v>31</v>
      </c>
      <c r="H3181" s="446">
        <f>H3180-G3181</f>
        <v/>
      </c>
      <c r="I3181" s="392" t="n"/>
      <c r="J3181" s="392" t="n"/>
      <c r="K3181" s="392" t="n"/>
      <c r="L3181" s="392" t="n"/>
      <c r="M3181" s="392" t="n"/>
    </row>
    <row r="3182">
      <c r="A3182" s="568" t="n">
        <v>44740</v>
      </c>
      <c r="B3182" s="392" t="n">
        <v>9243</v>
      </c>
      <c r="C3182" s="392" t="n">
        <v>98</v>
      </c>
      <c r="D3182" s="392" t="n"/>
      <c r="E3182" s="392" t="n"/>
      <c r="F3182" s="392" t="n"/>
      <c r="G3182" s="392" t="n">
        <v>30</v>
      </c>
      <c r="H3182" s="446">
        <f>H3181-G3182</f>
        <v/>
      </c>
      <c r="I3182" s="392" t="n"/>
      <c r="J3182" s="392" t="n"/>
      <c r="K3182" s="392" t="n"/>
      <c r="L3182" s="392" t="n"/>
      <c r="M3182" s="392" t="n"/>
    </row>
    <row r="3183">
      <c r="A3183" s="568" t="n">
        <v>44740</v>
      </c>
      <c r="B3183" s="392" t="n">
        <v>9244</v>
      </c>
      <c r="C3183" s="392" t="n">
        <v>98</v>
      </c>
      <c r="D3183" s="392" t="n"/>
      <c r="E3183" s="392" t="n"/>
      <c r="F3183" s="392" t="n"/>
      <c r="G3183" s="392" t="n">
        <v>50</v>
      </c>
      <c r="H3183" s="446">
        <f>H3182-G3183</f>
        <v/>
      </c>
      <c r="I3183" s="392" t="n"/>
      <c r="J3183" s="392" t="n"/>
      <c r="K3183" s="392" t="n"/>
      <c r="L3183" s="392" t="n"/>
      <c r="M3183" s="392" t="n"/>
    </row>
    <row r="3184">
      <c r="A3184" s="568" t="n">
        <v>44740</v>
      </c>
      <c r="B3184" s="392" t="n">
        <v>9245</v>
      </c>
      <c r="C3184" s="392" t="n">
        <v>99</v>
      </c>
      <c r="D3184" s="392" t="n"/>
      <c r="E3184" s="392" t="n"/>
      <c r="F3184" s="392" t="n"/>
      <c r="G3184" s="392" t="n">
        <v>25</v>
      </c>
      <c r="H3184" s="446">
        <f>H3183-G3184</f>
        <v/>
      </c>
      <c r="I3184" s="392" t="n"/>
      <c r="J3184" s="392" t="n"/>
      <c r="K3184" s="392" t="n"/>
      <c r="L3184" s="392" t="n"/>
      <c r="M3184" s="392" t="n"/>
    </row>
    <row r="3185">
      <c r="A3185" s="568" t="n">
        <v>44741</v>
      </c>
      <c r="B3185" s="392" t="n">
        <v>9247</v>
      </c>
      <c r="C3185" s="392" t="n">
        <v>98</v>
      </c>
      <c r="D3185" s="392" t="n"/>
      <c r="E3185" s="392" t="n"/>
      <c r="F3185" s="392" t="n"/>
      <c r="G3185" s="392" t="n">
        <v>15</v>
      </c>
      <c r="H3185" s="446">
        <f>H3184-G3185</f>
        <v/>
      </c>
      <c r="I3185" s="392" t="n"/>
      <c r="J3185" s="392" t="n"/>
      <c r="K3185" s="392" t="n"/>
      <c r="L3185" s="392" t="n"/>
      <c r="M3185" s="392" t="n"/>
    </row>
    <row r="3186">
      <c r="A3186" s="568" t="n">
        <v>44741</v>
      </c>
      <c r="B3186" s="392" t="n">
        <v>9249</v>
      </c>
      <c r="C3186" s="392" t="n">
        <v>97</v>
      </c>
      <c r="D3186" s="392" t="n"/>
      <c r="E3186" s="392" t="n"/>
      <c r="F3186" s="392" t="n"/>
      <c r="G3186" s="392" t="n">
        <v>30</v>
      </c>
      <c r="H3186" s="446">
        <f>H3185-G3186</f>
        <v/>
      </c>
      <c r="I3186" s="392" t="n"/>
      <c r="J3186" s="392" t="n"/>
      <c r="K3186" s="392" t="n"/>
      <c r="L3186" s="392" t="n"/>
      <c r="M3186" s="392" t="n"/>
    </row>
    <row r="3187">
      <c r="A3187" s="568" t="n">
        <v>44741</v>
      </c>
      <c r="B3187" s="392" t="n">
        <v>9251</v>
      </c>
      <c r="C3187" s="392" t="n">
        <v>97.2</v>
      </c>
      <c r="D3187" s="392" t="n"/>
      <c r="E3187" s="392" t="n"/>
      <c r="F3187" s="392" t="n"/>
      <c r="G3187" s="392" t="n">
        <v>50</v>
      </c>
      <c r="H3187" s="446">
        <f>H3186-G3187</f>
        <v/>
      </c>
      <c r="I3187" s="392" t="n"/>
      <c r="J3187" s="392" t="n"/>
      <c r="K3187" s="392" t="n"/>
      <c r="L3187" s="392" t="n"/>
      <c r="M3187" s="392" t="n"/>
    </row>
    <row r="3188">
      <c r="A3188" s="568" t="n">
        <v>44741</v>
      </c>
      <c r="B3188" s="392" t="n">
        <v>9252</v>
      </c>
      <c r="C3188" s="392" t="n">
        <v>96.5</v>
      </c>
      <c r="D3188" s="392" t="n"/>
      <c r="E3188" s="392" t="n"/>
      <c r="F3188" s="392" t="n"/>
      <c r="G3188" s="392" t="n">
        <v>10</v>
      </c>
      <c r="H3188" s="446">
        <f>H3187-G3188</f>
        <v/>
      </c>
      <c r="I3188" s="392" t="n"/>
      <c r="J3188" s="392" t="n"/>
      <c r="K3188" s="392" t="n"/>
      <c r="L3188" s="392" t="n"/>
      <c r="M3188" s="392" t="n"/>
    </row>
    <row r="3189">
      <c r="A3189" s="392" t="n"/>
      <c r="B3189" s="392" t="n"/>
      <c r="C3189" s="392" t="n"/>
      <c r="D3189" s="392" t="n"/>
      <c r="E3189" s="392" t="n"/>
      <c r="F3189" s="392" t="n"/>
      <c r="G3189" s="392" t="n"/>
      <c r="H3189" s="446">
        <f>H3188-G3189</f>
        <v/>
      </c>
      <c r="I3189" s="392" t="n"/>
      <c r="J3189" s="392" t="n"/>
      <c r="K3189" s="392" t="n"/>
      <c r="L3189" s="392" t="n"/>
      <c r="M3189" s="392" t="n"/>
    </row>
    <row r="3190" ht="15.75" customHeight="1" s="436" thickBot="1">
      <c r="H3190" s="390" t="n"/>
    </row>
    <row r="3191" ht="32.25" customHeight="1" s="436" thickBot="1">
      <c r="A3191" s="735" t="inlineStr">
        <is>
          <t>Junho</t>
        </is>
      </c>
      <c r="B3191" s="697" t="n"/>
      <c r="C3191" s="697" t="n"/>
      <c r="D3191" s="697" t="n"/>
      <c r="E3191" s="697" t="n"/>
      <c r="F3191" s="697" t="n"/>
      <c r="G3191" s="697" t="n"/>
      <c r="H3191" s="697" t="n"/>
      <c r="I3191" s="697" t="n"/>
      <c r="J3191" s="697" t="n"/>
      <c r="K3191" s="697" t="n"/>
      <c r="L3191" s="697" t="n"/>
      <c r="M3191" s="698" t="n"/>
    </row>
    <row r="3192" ht="27" customHeight="1" s="436" thickBot="1">
      <c r="A3192" s="720" t="inlineStr">
        <is>
          <t xml:space="preserve"> FARINHA DE TRIGO TIPO: 1 - 25 KG</t>
        </is>
      </c>
      <c r="B3192" s="697" t="n"/>
      <c r="C3192" s="697" t="n"/>
      <c r="D3192" s="697" t="n"/>
      <c r="E3192" s="697" t="n"/>
      <c r="F3192" s="697" t="n"/>
      <c r="G3192" s="697" t="n"/>
      <c r="H3192" s="697" t="n"/>
      <c r="I3192" s="697" t="n"/>
      <c r="J3192" s="697" t="n"/>
      <c r="K3192" s="697" t="n"/>
      <c r="L3192" s="697" t="n"/>
      <c r="M3192" s="698" t="n"/>
    </row>
    <row r="3193">
      <c r="A3193" s="643" t="inlineStr">
        <is>
          <t>DATA</t>
        </is>
      </c>
      <c r="B3193" s="633" t="inlineStr">
        <is>
          <t>N.F.</t>
        </is>
      </c>
      <c r="C3193" s="633" t="inlineStr">
        <is>
          <t>TIPO</t>
        </is>
      </c>
      <c r="D3193" s="670" t="inlineStr">
        <is>
          <t>PREÇO UNITÁRIO</t>
        </is>
      </c>
      <c r="E3193" s="701" t="n"/>
      <c r="F3193" s="633" t="inlineStr">
        <is>
          <t>QUANTIDADE / KG</t>
        </is>
      </c>
      <c r="H3193" s="701" t="n"/>
      <c r="I3193" s="632" t="inlineStr">
        <is>
          <t>PREÇO</t>
        </is>
      </c>
      <c r="J3193" s="632" t="inlineStr">
        <is>
          <t>VALORES</t>
        </is>
      </c>
      <c r="L3193" s="701" t="n"/>
      <c r="M3193" s="649" t="n"/>
    </row>
    <row r="3194" ht="15.75" customHeight="1" s="436" thickBot="1">
      <c r="A3194" s="703" t="n"/>
      <c r="B3194" s="704" t="n"/>
      <c r="C3194" s="704" t="n"/>
      <c r="D3194" s="703" t="n"/>
      <c r="E3194" s="701" t="n"/>
      <c r="F3194" s="705" t="n"/>
      <c r="G3194" s="706" t="n"/>
      <c r="H3194" s="707" t="n"/>
      <c r="I3194" s="704" t="n"/>
      <c r="J3194" s="703" t="n"/>
      <c r="L3194" s="701" t="n"/>
      <c r="M3194" s="704" t="n"/>
    </row>
    <row r="3195" ht="15.75" customHeight="1" s="436" thickBot="1">
      <c r="A3195" s="703" t="n"/>
      <c r="B3195" s="704" t="n"/>
      <c r="C3195" s="704" t="n"/>
      <c r="D3195" s="705" t="n"/>
      <c r="E3195" s="707" t="n"/>
      <c r="F3195" s="3" t="inlineStr">
        <is>
          <t>ENTRADA</t>
        </is>
      </c>
      <c r="G3195" s="3" t="inlineStr">
        <is>
          <t>SAÍDA</t>
        </is>
      </c>
      <c r="H3195" s="640" t="n"/>
      <c r="I3195" s="633" t="inlineStr">
        <is>
          <t>MÉDIO</t>
        </is>
      </c>
      <c r="J3195" s="652" t="inlineStr">
        <is>
          <t>SALDO EM 30/11/2017</t>
        </is>
      </c>
      <c r="K3195" s="706" t="n"/>
      <c r="L3195" s="17" t="n"/>
      <c r="M3195" s="704" t="n"/>
    </row>
    <row r="3196" ht="18" customHeight="1" s="436" thickBot="1">
      <c r="A3196" s="705" t="n"/>
      <c r="B3196" s="695" t="n"/>
      <c r="C3196" s="695" t="n"/>
      <c r="D3196" s="3" t="inlineStr">
        <is>
          <t>C/ICMS</t>
        </is>
      </c>
      <c r="E3196" s="3" t="inlineStr">
        <is>
          <t>S/ICMS</t>
        </is>
      </c>
      <c r="F3196" s="695" t="n"/>
      <c r="G3196" s="695" t="n"/>
      <c r="H3196" s="84" t="inlineStr">
        <is>
          <t>Saldo em 31/05/2022</t>
        </is>
      </c>
      <c r="I3196" s="695" t="n"/>
      <c r="J3196" s="645" t="inlineStr">
        <is>
          <t>ENTRADA</t>
        </is>
      </c>
      <c r="K3196" s="633" t="inlineStr">
        <is>
          <t>SAÍDA / CMV</t>
        </is>
      </c>
      <c r="L3196" s="643" t="inlineStr">
        <is>
          <t>SALDO</t>
        </is>
      </c>
      <c r="M3196" s="392" t="n"/>
    </row>
    <row r="3197">
      <c r="A3197" s="392" t="n"/>
      <c r="B3197" s="392" t="n"/>
      <c r="C3197" s="392" t="n"/>
      <c r="D3197" s="392" t="n"/>
      <c r="E3197" s="392" t="n"/>
      <c r="F3197" s="392" t="n"/>
      <c r="G3197" s="392" t="n"/>
      <c r="H3197" s="446" t="n">
        <v>2656</v>
      </c>
      <c r="I3197" s="392" t="n"/>
      <c r="J3197" s="392" t="n"/>
      <c r="K3197" s="392" t="n"/>
      <c r="L3197" s="392" t="n"/>
      <c r="M3197" s="392" t="n"/>
    </row>
    <row r="3198">
      <c r="A3198" s="568" t="n">
        <v>44746</v>
      </c>
      <c r="B3198" s="392" t="n">
        <v>9253</v>
      </c>
      <c r="C3198" s="392" t="n">
        <v>98</v>
      </c>
      <c r="D3198" s="392" t="n"/>
      <c r="E3198" s="392" t="n"/>
      <c r="F3198" s="392" t="n"/>
      <c r="G3198" s="392" t="n">
        <v>15</v>
      </c>
      <c r="H3198" s="446">
        <f>H3197-G3198</f>
        <v/>
      </c>
      <c r="I3198" s="392" t="n"/>
      <c r="J3198" s="392" t="n"/>
      <c r="K3198" s="392" t="n"/>
      <c r="L3198" s="392" t="n"/>
      <c r="M3198" s="392" t="n"/>
    </row>
    <row r="3199">
      <c r="A3199" s="568" t="n">
        <v>44746</v>
      </c>
      <c r="B3199" s="392" t="n">
        <v>9254</v>
      </c>
      <c r="C3199" s="392" t="n">
        <v>97</v>
      </c>
      <c r="D3199" s="392" t="n"/>
      <c r="E3199" s="392" t="n"/>
      <c r="F3199" s="392" t="n"/>
      <c r="G3199" s="392" t="n">
        <v>30</v>
      </c>
      <c r="H3199" s="446">
        <f>H3198-G3199</f>
        <v/>
      </c>
      <c r="I3199" s="392" t="n"/>
      <c r="J3199" s="392" t="n"/>
      <c r="K3199" s="392" t="n"/>
      <c r="L3199" s="392" t="n"/>
      <c r="M3199" s="392" t="n"/>
    </row>
    <row r="3200">
      <c r="A3200" s="568" t="n">
        <v>44746</v>
      </c>
      <c r="B3200" s="392" t="n">
        <v>9260</v>
      </c>
      <c r="C3200" s="392" t="n">
        <v>107</v>
      </c>
      <c r="D3200" s="392" t="n"/>
      <c r="E3200" s="392" t="n"/>
      <c r="F3200" s="392" t="n"/>
      <c r="G3200" s="392" t="n">
        <v>20</v>
      </c>
      <c r="H3200" s="446">
        <f>H3199-G3200</f>
        <v/>
      </c>
      <c r="I3200" s="392" t="n"/>
      <c r="J3200" s="392" t="n"/>
      <c r="K3200" s="392" t="n"/>
      <c r="L3200" s="392" t="n"/>
      <c r="M3200" s="392" t="n"/>
    </row>
    <row r="3201">
      <c r="A3201" s="568" t="n">
        <v>44746</v>
      </c>
      <c r="B3201" s="392" t="n">
        <v>9261</v>
      </c>
      <c r="C3201" s="392" t="n">
        <v>107</v>
      </c>
      <c r="D3201" s="392" t="n"/>
      <c r="E3201" s="392" t="n"/>
      <c r="F3201" s="392" t="n"/>
      <c r="G3201" s="392" t="n">
        <v>20</v>
      </c>
      <c r="H3201" s="446">
        <f>H3200-G3201</f>
        <v/>
      </c>
      <c r="I3201" s="392" t="n"/>
      <c r="J3201" s="392" t="n"/>
      <c r="K3201" s="392" t="n"/>
      <c r="L3201" s="392" t="n"/>
      <c r="M3201" s="392" t="n"/>
    </row>
    <row r="3202">
      <c r="A3202" s="568" t="n">
        <v>44746</v>
      </c>
      <c r="B3202" s="392" t="n">
        <v>9262</v>
      </c>
      <c r="C3202" s="392" t="n">
        <v>97</v>
      </c>
      <c r="D3202" s="392" t="n"/>
      <c r="E3202" s="392" t="n"/>
      <c r="F3202" s="392" t="n"/>
      <c r="G3202" s="392" t="n">
        <v>16</v>
      </c>
      <c r="H3202" s="446">
        <f>H3201-G3202</f>
        <v/>
      </c>
      <c r="I3202" s="392" t="n"/>
      <c r="J3202" s="392" t="n"/>
      <c r="K3202" s="392" t="n"/>
      <c r="L3202" s="392" t="n"/>
      <c r="M3202" s="392" t="n"/>
    </row>
    <row r="3203">
      <c r="A3203" s="568" t="n">
        <v>44746</v>
      </c>
      <c r="B3203" s="392" t="n">
        <v>9263</v>
      </c>
      <c r="C3203" s="392" t="n">
        <v>95.59999999999999</v>
      </c>
      <c r="D3203" s="392" t="n"/>
      <c r="E3203" s="392" t="n"/>
      <c r="F3203" s="392" t="n"/>
      <c r="G3203" s="392" t="n">
        <v>25</v>
      </c>
      <c r="H3203" s="446">
        <f>H3202-G3203</f>
        <v/>
      </c>
      <c r="I3203" s="392" t="n"/>
      <c r="J3203" s="392" t="n"/>
      <c r="K3203" s="392" t="n"/>
      <c r="L3203" s="392" t="n"/>
      <c r="M3203" s="392" t="n"/>
    </row>
    <row r="3204">
      <c r="A3204" s="568" t="n">
        <v>44746</v>
      </c>
      <c r="B3204" s="392" t="n">
        <v>9264</v>
      </c>
      <c r="C3204" s="392" t="n">
        <v>99</v>
      </c>
      <c r="D3204" s="392" t="n"/>
      <c r="E3204" s="392" t="n"/>
      <c r="F3204" s="392" t="n"/>
      <c r="G3204" s="392" t="n">
        <v>30</v>
      </c>
      <c r="H3204" s="446">
        <f>H3203-G3204</f>
        <v/>
      </c>
      <c r="I3204" s="392" t="n"/>
      <c r="J3204" s="392" t="n"/>
      <c r="K3204" s="392" t="n"/>
      <c r="L3204" s="392" t="n"/>
      <c r="M3204" s="392" t="n"/>
    </row>
    <row r="3205">
      <c r="A3205" s="568" t="n">
        <v>44748</v>
      </c>
      <c r="B3205" s="392" t="n">
        <v>9265</v>
      </c>
      <c r="C3205" s="392" t="n">
        <v>97</v>
      </c>
      <c r="D3205" s="392" t="n"/>
      <c r="E3205" s="392" t="n"/>
      <c r="F3205" s="392" t="n"/>
      <c r="G3205" s="392" t="n">
        <v>50</v>
      </c>
      <c r="H3205" s="446">
        <f>H3204-G3205</f>
        <v/>
      </c>
      <c r="I3205" s="392" t="n"/>
      <c r="J3205" s="392" t="n"/>
      <c r="K3205" s="392" t="n"/>
      <c r="L3205" s="392" t="n"/>
      <c r="M3205" s="392" t="n"/>
    </row>
    <row r="3206">
      <c r="A3206" s="568" t="n">
        <v>44748</v>
      </c>
      <c r="B3206" s="392" t="n">
        <v>9273</v>
      </c>
      <c r="C3206" s="392" t="n">
        <v>98</v>
      </c>
      <c r="D3206" s="392" t="n"/>
      <c r="E3206" s="392" t="n"/>
      <c r="F3206" s="392" t="n"/>
      <c r="G3206" s="392" t="n">
        <v>27</v>
      </c>
      <c r="H3206" s="446">
        <f>H3205-G3206</f>
        <v/>
      </c>
      <c r="I3206" s="392" t="n"/>
      <c r="J3206" s="392" t="n"/>
      <c r="K3206" s="392" t="n"/>
      <c r="L3206" s="392" t="n"/>
      <c r="M3206" s="392" t="n"/>
    </row>
    <row r="3207">
      <c r="A3207" s="568" t="n">
        <v>44750</v>
      </c>
      <c r="B3207" s="392" t="n">
        <v>9277</v>
      </c>
      <c r="C3207" s="392" t="n">
        <v>95</v>
      </c>
      <c r="D3207" s="392" t="n"/>
      <c r="E3207" s="392" t="n"/>
      <c r="F3207" s="392" t="n"/>
      <c r="G3207" s="392" t="n">
        <v>30</v>
      </c>
      <c r="H3207" s="446">
        <f>H3206-G3207</f>
        <v/>
      </c>
      <c r="I3207" s="392" t="n"/>
      <c r="J3207" s="392" t="n"/>
      <c r="K3207" s="392" t="n"/>
      <c r="L3207" s="392" t="n"/>
      <c r="M3207" s="392" t="n"/>
    </row>
    <row r="3208">
      <c r="A3208" s="568" t="n">
        <v>44750</v>
      </c>
      <c r="B3208" s="392" t="n">
        <v>9280</v>
      </c>
      <c r="C3208" s="392" t="n">
        <v>103.14</v>
      </c>
      <c r="D3208" s="392" t="n"/>
      <c r="E3208" s="392" t="n"/>
      <c r="F3208" s="392" t="n"/>
      <c r="G3208" s="392" t="n">
        <v>21</v>
      </c>
      <c r="H3208" s="446">
        <f>H3207-G3208</f>
        <v/>
      </c>
      <c r="I3208" s="392" t="n"/>
      <c r="J3208" s="392" t="n"/>
      <c r="K3208" s="392" t="n"/>
      <c r="L3208" s="392" t="n"/>
      <c r="M3208" s="392" t="n"/>
    </row>
    <row r="3209">
      <c r="A3209" s="568" t="n">
        <v>44750</v>
      </c>
      <c r="B3209" s="392" t="n">
        <v>9281</v>
      </c>
      <c r="C3209" s="392" t="n">
        <v>102</v>
      </c>
      <c r="D3209" s="392" t="n"/>
      <c r="E3209" s="392" t="n"/>
      <c r="F3209" s="392" t="n"/>
      <c r="G3209" s="392" t="n">
        <v>30</v>
      </c>
      <c r="H3209" s="446">
        <f>H3208-G3209</f>
        <v/>
      </c>
      <c r="I3209" s="392" t="n"/>
      <c r="J3209" s="392" t="n"/>
      <c r="K3209" s="392" t="n"/>
      <c r="L3209" s="392" t="n"/>
      <c r="M3209" s="392" t="n"/>
    </row>
    <row r="3210">
      <c r="A3210" s="568" t="n">
        <v>44754</v>
      </c>
      <c r="B3210" s="392" t="n">
        <v>9282</v>
      </c>
      <c r="C3210" s="392" t="n">
        <v>107</v>
      </c>
      <c r="D3210" s="392" t="n"/>
      <c r="E3210" s="392" t="n"/>
      <c r="F3210" s="392" t="n"/>
      <c r="G3210" s="392" t="n">
        <v>20</v>
      </c>
      <c r="H3210" s="446">
        <f>H3209-G3210</f>
        <v/>
      </c>
      <c r="I3210" s="392" t="n"/>
      <c r="J3210" s="392" t="n"/>
      <c r="K3210" s="392" t="n"/>
      <c r="L3210" s="392" t="n"/>
      <c r="M3210" s="392" t="n"/>
    </row>
    <row r="3211">
      <c r="A3211" s="568" t="n">
        <v>44754</v>
      </c>
      <c r="B3211" s="392" t="n">
        <v>9283</v>
      </c>
      <c r="C3211" s="392" t="n">
        <v>98</v>
      </c>
      <c r="D3211" s="392" t="n"/>
      <c r="E3211" s="392" t="n"/>
      <c r="F3211" s="392" t="n"/>
      <c r="G3211" s="392" t="n">
        <v>50</v>
      </c>
      <c r="H3211" s="446">
        <f>H3210-G3211</f>
        <v/>
      </c>
      <c r="I3211" s="392" t="n"/>
      <c r="J3211" s="392" t="n"/>
      <c r="K3211" s="392" t="n"/>
      <c r="L3211" s="392" t="n"/>
      <c r="M3211" s="392" t="n"/>
    </row>
    <row r="3212">
      <c r="A3212" s="568" t="n">
        <v>44754</v>
      </c>
      <c r="B3212" s="392" t="n">
        <v>9284</v>
      </c>
      <c r="C3212" s="392" t="n">
        <v>96</v>
      </c>
      <c r="D3212" s="392" t="n"/>
      <c r="E3212" s="392" t="n"/>
      <c r="F3212" s="392" t="n"/>
      <c r="G3212" s="392" t="n">
        <v>200</v>
      </c>
      <c r="H3212" s="446">
        <f>H3211-G3212</f>
        <v/>
      </c>
      <c r="I3212" s="392" t="n"/>
      <c r="J3212" s="392" t="n"/>
      <c r="K3212" s="392" t="n"/>
      <c r="L3212" s="392" t="n"/>
      <c r="M3212" s="392" t="n"/>
    </row>
    <row r="3213">
      <c r="A3213" s="568" t="n">
        <v>44754</v>
      </c>
      <c r="B3213" s="392" t="n">
        <v>9285</v>
      </c>
      <c r="C3213" s="392" t="n">
        <v>103</v>
      </c>
      <c r="D3213" s="392" t="n"/>
      <c r="E3213" s="392" t="n"/>
      <c r="F3213" s="392" t="n"/>
      <c r="G3213" s="392" t="n">
        <v>45</v>
      </c>
      <c r="H3213" s="446">
        <f>H3212-G3213</f>
        <v/>
      </c>
      <c r="I3213" s="392" t="n"/>
      <c r="J3213" s="392" t="n"/>
      <c r="K3213" s="392" t="n"/>
      <c r="L3213" s="392" t="n"/>
      <c r="M3213" s="392" t="n"/>
    </row>
    <row r="3214">
      <c r="A3214" s="568" t="n">
        <v>44754</v>
      </c>
      <c r="B3214" s="392" t="n">
        <v>22669</v>
      </c>
      <c r="C3214" s="392" t="n">
        <v>103</v>
      </c>
      <c r="D3214" s="392" t="n"/>
      <c r="E3214" s="392" t="n"/>
      <c r="F3214" s="392" t="n">
        <v>1120</v>
      </c>
      <c r="G3214" s="392" t="n"/>
      <c r="H3214" s="446" t="n">
        <v>3147</v>
      </c>
      <c r="I3214" s="392" t="n"/>
      <c r="J3214" s="392" t="n"/>
      <c r="K3214" s="392" t="n"/>
      <c r="L3214" s="392" t="n"/>
      <c r="M3214" s="392" t="n"/>
    </row>
    <row r="3215">
      <c r="A3215" s="568" t="n">
        <v>44755</v>
      </c>
      <c r="B3215" s="392" t="n">
        <v>9288</v>
      </c>
      <c r="C3215" s="392" t="n">
        <v>99</v>
      </c>
      <c r="D3215" s="392" t="n"/>
      <c r="E3215" s="392" t="n"/>
      <c r="F3215" s="392" t="n"/>
      <c r="G3215" s="392" t="n">
        <v>50</v>
      </c>
      <c r="H3215" s="446">
        <f>H3214-G3215</f>
        <v/>
      </c>
      <c r="I3215" s="392" t="n"/>
      <c r="J3215" s="392" t="n"/>
      <c r="K3215" s="392" t="n"/>
      <c r="L3215" s="392" t="n"/>
      <c r="M3215" s="392" t="n"/>
    </row>
    <row r="3216">
      <c r="A3216" s="568" t="n">
        <v>44755</v>
      </c>
      <c r="B3216" s="392" t="n">
        <v>9289</v>
      </c>
      <c r="C3216" s="392" t="n">
        <v>110</v>
      </c>
      <c r="D3216" s="392" t="n"/>
      <c r="E3216" s="392" t="n"/>
      <c r="F3216" s="392" t="n"/>
      <c r="G3216" s="392" t="n">
        <v>20</v>
      </c>
      <c r="H3216" s="446">
        <f>H3215-G3216</f>
        <v/>
      </c>
      <c r="I3216" s="392" t="n"/>
      <c r="J3216" s="392" t="n"/>
      <c r="K3216" s="392" t="n"/>
      <c r="L3216" s="392" t="n"/>
      <c r="M3216" s="392" t="n"/>
    </row>
    <row r="3217">
      <c r="A3217" s="568" t="n">
        <v>44755</v>
      </c>
      <c r="B3217" s="392" t="n">
        <v>9292</v>
      </c>
      <c r="C3217" s="392" t="n">
        <v>96</v>
      </c>
      <c r="D3217" s="392" t="n"/>
      <c r="E3217" s="392" t="n"/>
      <c r="F3217" s="392" t="n"/>
      <c r="G3217" s="392" t="n">
        <v>30</v>
      </c>
      <c r="H3217" s="446">
        <f>H3216-G3217</f>
        <v/>
      </c>
      <c r="I3217" s="392" t="n"/>
      <c r="J3217" s="392" t="n"/>
      <c r="K3217" s="392" t="n"/>
      <c r="L3217" s="392" t="n"/>
      <c r="M3217" s="392" t="n"/>
    </row>
    <row r="3218">
      <c r="A3218" s="568" t="n">
        <v>44755</v>
      </c>
      <c r="B3218" s="392" t="n">
        <v>9293</v>
      </c>
      <c r="C3218" s="392" t="n">
        <v>107</v>
      </c>
      <c r="D3218" s="392" t="n"/>
      <c r="E3218" s="392" t="n"/>
      <c r="F3218" s="392" t="n"/>
      <c r="G3218" s="392" t="n">
        <v>20</v>
      </c>
      <c r="H3218" s="446">
        <f>H3217-G3218</f>
        <v/>
      </c>
      <c r="I3218" s="392" t="n"/>
      <c r="J3218" s="392" t="n"/>
      <c r="K3218" s="392" t="n"/>
      <c r="L3218" s="392" t="n"/>
      <c r="M3218" s="392" t="n"/>
    </row>
    <row r="3219">
      <c r="A3219" s="568" t="n">
        <v>44755</v>
      </c>
      <c r="B3219" s="392" t="n">
        <v>9297</v>
      </c>
      <c r="C3219" s="392" t="n">
        <v>101</v>
      </c>
      <c r="D3219" s="392" t="n"/>
      <c r="E3219" s="392" t="n"/>
      <c r="F3219" s="392" t="n"/>
      <c r="G3219" s="392" t="n">
        <v>10</v>
      </c>
      <c r="H3219" s="446">
        <f>H3218-G3219</f>
        <v/>
      </c>
      <c r="I3219" s="392" t="n"/>
      <c r="J3219" s="392" t="n"/>
      <c r="K3219" s="392" t="n"/>
      <c r="L3219" s="392" t="n"/>
      <c r="M3219" s="392" t="n"/>
    </row>
    <row r="3220">
      <c r="A3220" s="568" t="n">
        <v>44755</v>
      </c>
      <c r="B3220" s="392" t="n">
        <v>9298</v>
      </c>
      <c r="C3220" s="392" t="n">
        <v>103</v>
      </c>
      <c r="D3220" s="392" t="n"/>
      <c r="E3220" s="392" t="n"/>
      <c r="F3220" s="392" t="n"/>
      <c r="G3220" s="392" t="n">
        <v>35</v>
      </c>
      <c r="H3220" s="446">
        <f>H3219-G3220</f>
        <v/>
      </c>
      <c r="I3220" s="392" t="n"/>
      <c r="J3220" s="392" t="n"/>
      <c r="K3220" s="392" t="n"/>
      <c r="L3220" s="392" t="n"/>
      <c r="M3220" s="392" t="n"/>
    </row>
    <row r="3221">
      <c r="A3221" s="304" t="n">
        <v>44757</v>
      </c>
      <c r="B3221" s="401" t="n">
        <v>193485</v>
      </c>
      <c r="C3221" s="401" t="n">
        <v>90.5</v>
      </c>
      <c r="D3221" s="401" t="n"/>
      <c r="E3221" s="401" t="n"/>
      <c r="F3221" s="401" t="n">
        <v>100</v>
      </c>
      <c r="G3221" s="401" t="n"/>
      <c r="H3221" s="322" t="n">
        <v>3082</v>
      </c>
      <c r="I3221" s="392" t="n"/>
      <c r="J3221" s="392" t="n"/>
      <c r="K3221" s="392" t="n"/>
      <c r="L3221" s="392" t="n"/>
      <c r="M3221" s="392" t="n"/>
    </row>
    <row r="3222">
      <c r="A3222" s="568" t="n">
        <v>44759</v>
      </c>
      <c r="B3222" s="392" t="n">
        <v>9299</v>
      </c>
      <c r="C3222" s="392" t="n">
        <v>101.98</v>
      </c>
      <c r="D3222" s="392" t="n"/>
      <c r="E3222" s="392" t="n"/>
      <c r="F3222" s="392" t="n"/>
      <c r="G3222" s="392" t="n">
        <v>82</v>
      </c>
      <c r="H3222" s="446">
        <f>H3221-G3222</f>
        <v/>
      </c>
      <c r="I3222" s="392" t="n"/>
      <c r="J3222" s="392" t="n"/>
      <c r="K3222" s="392" t="n"/>
      <c r="L3222" s="392" t="n"/>
      <c r="M3222" s="392" t="n"/>
    </row>
    <row r="3223">
      <c r="A3223" s="568" t="n">
        <v>44761</v>
      </c>
      <c r="B3223" s="392" t="n">
        <v>9302</v>
      </c>
      <c r="C3223" s="392" t="n">
        <v>106.5</v>
      </c>
      <c r="D3223" s="392" t="n"/>
      <c r="E3223" s="392" t="n"/>
      <c r="F3223" s="392" t="n"/>
      <c r="G3223" s="392" t="n">
        <v>40</v>
      </c>
      <c r="H3223" s="446">
        <f>H3222-G3223</f>
        <v/>
      </c>
      <c r="I3223" s="392" t="n"/>
      <c r="J3223" s="392" t="n"/>
      <c r="K3223" s="392" t="n"/>
      <c r="L3223" s="392" t="n"/>
      <c r="M3223" s="392" t="n"/>
    </row>
    <row r="3224">
      <c r="A3224" s="568" t="n">
        <v>44761</v>
      </c>
      <c r="B3224" s="392" t="n">
        <v>9310</v>
      </c>
      <c r="C3224" s="392" t="n">
        <v>102</v>
      </c>
      <c r="D3224" s="392" t="n"/>
      <c r="E3224" s="392" t="n"/>
      <c r="F3224" s="392" t="n"/>
      <c r="G3224" s="392" t="n">
        <v>20</v>
      </c>
      <c r="H3224" s="446">
        <f>H3223-G3224</f>
        <v/>
      </c>
      <c r="I3224" s="392" t="n"/>
      <c r="J3224" s="392" t="n"/>
      <c r="K3224" s="392" t="n"/>
      <c r="L3224" s="392" t="n"/>
      <c r="M3224" s="392" t="n"/>
    </row>
    <row r="3225">
      <c r="A3225" s="568" t="n">
        <v>44761</v>
      </c>
      <c r="B3225" s="392" t="n">
        <v>9311</v>
      </c>
      <c r="C3225" s="392" t="n">
        <v>110</v>
      </c>
      <c r="D3225" s="392" t="n"/>
      <c r="E3225" s="392" t="n"/>
      <c r="F3225" s="392" t="n"/>
      <c r="G3225" s="392" t="n">
        <v>30</v>
      </c>
      <c r="H3225" s="446">
        <f>H3224-G3225</f>
        <v/>
      </c>
      <c r="I3225" s="392" t="n"/>
      <c r="J3225" s="392" t="n"/>
      <c r="K3225" s="392" t="n"/>
      <c r="L3225" s="392" t="n"/>
      <c r="M3225" s="392" t="n"/>
    </row>
    <row r="3226">
      <c r="A3226" s="568" t="n">
        <v>44761</v>
      </c>
      <c r="B3226" s="392" t="n">
        <v>9313</v>
      </c>
      <c r="C3226" s="392" t="n">
        <v>101</v>
      </c>
      <c r="D3226" s="392" t="n"/>
      <c r="E3226" s="392" t="n"/>
      <c r="F3226" s="392" t="n"/>
      <c r="G3226" s="392" t="n">
        <v>20</v>
      </c>
      <c r="H3226" s="446">
        <f>H3225-G3226</f>
        <v/>
      </c>
      <c r="I3226" s="392" t="n"/>
      <c r="J3226" s="392" t="n"/>
      <c r="K3226" s="392" t="n"/>
      <c r="L3226" s="392" t="n"/>
      <c r="M3226" s="392" t="n"/>
    </row>
    <row r="3227">
      <c r="A3227" s="568" t="n">
        <v>44767</v>
      </c>
      <c r="B3227" s="392" t="n">
        <v>9322</v>
      </c>
      <c r="C3227" s="392" t="n">
        <v>106.3</v>
      </c>
      <c r="D3227" s="392" t="n"/>
      <c r="E3227" s="392" t="n"/>
      <c r="F3227" s="392" t="n"/>
      <c r="G3227" s="392" t="n">
        <v>32</v>
      </c>
      <c r="H3227" s="446">
        <f>H3226-G3227</f>
        <v/>
      </c>
      <c r="I3227" s="392" t="n"/>
      <c r="J3227" s="392" t="n"/>
      <c r="K3227" s="392" t="n"/>
      <c r="L3227" s="392" t="n"/>
      <c r="M3227" s="392" t="n"/>
    </row>
    <row r="3228">
      <c r="A3228" s="568" t="n">
        <v>44767</v>
      </c>
      <c r="B3228" s="392" t="n">
        <v>9323</v>
      </c>
      <c r="C3228" s="392" t="n">
        <v>102</v>
      </c>
      <c r="D3228" s="392" t="n"/>
      <c r="E3228" s="392" t="n"/>
      <c r="F3228" s="392" t="n"/>
      <c r="G3228" s="392" t="n">
        <v>30</v>
      </c>
      <c r="H3228" s="446">
        <f>H3227-G3228</f>
        <v/>
      </c>
      <c r="I3228" s="392" t="n"/>
      <c r="J3228" s="392" t="n"/>
      <c r="K3228" s="392" t="n"/>
      <c r="L3228" s="392" t="n"/>
      <c r="M3228" s="392" t="n"/>
    </row>
    <row r="3229">
      <c r="A3229" s="568" t="n">
        <v>44767</v>
      </c>
      <c r="B3229" s="392" t="n">
        <v>9324</v>
      </c>
      <c r="C3229" s="392" t="n">
        <v>102.25</v>
      </c>
      <c r="D3229" s="392" t="n"/>
      <c r="E3229" s="392" t="n"/>
      <c r="F3229" s="392" t="n"/>
      <c r="G3229" s="392" t="n">
        <v>80</v>
      </c>
      <c r="H3229" s="446">
        <f>H3228-G3229</f>
        <v/>
      </c>
      <c r="I3229" s="392" t="n"/>
      <c r="J3229" s="392" t="n"/>
      <c r="K3229" s="392" t="n"/>
      <c r="L3229" s="392" t="n"/>
      <c r="M3229" s="392" t="n"/>
    </row>
    <row r="3230">
      <c r="A3230" s="568" t="n">
        <v>44767</v>
      </c>
      <c r="B3230" s="392" t="n">
        <v>9325</v>
      </c>
      <c r="C3230" s="392" t="n">
        <v>110</v>
      </c>
      <c r="D3230" s="392" t="n"/>
      <c r="E3230" s="392" t="n"/>
      <c r="F3230" s="392" t="n"/>
      <c r="G3230" s="392" t="n">
        <v>150</v>
      </c>
      <c r="H3230" s="446">
        <f>H3229-G3230</f>
        <v/>
      </c>
      <c r="I3230" s="392" t="n"/>
      <c r="J3230" s="392" t="n"/>
      <c r="K3230" s="392" t="n"/>
      <c r="L3230" s="392" t="n"/>
      <c r="M3230" s="392" t="n"/>
    </row>
    <row r="3231">
      <c r="A3231" s="568" t="n">
        <v>44767</v>
      </c>
      <c r="B3231" s="392" t="n">
        <v>9326</v>
      </c>
      <c r="C3231" s="392" t="n">
        <v>100</v>
      </c>
      <c r="D3231" s="392" t="n"/>
      <c r="E3231" s="392" t="n"/>
      <c r="F3231" s="392" t="n"/>
      <c r="G3231" s="392" t="n">
        <v>30</v>
      </c>
      <c r="H3231" s="446">
        <f>H3230-G3231</f>
        <v/>
      </c>
      <c r="I3231" s="392" t="n"/>
      <c r="J3231" s="392" t="n"/>
      <c r="K3231" s="392" t="n"/>
      <c r="L3231" s="392" t="n"/>
      <c r="M3231" s="392" t="n"/>
    </row>
    <row r="3232">
      <c r="A3232" s="568" t="n">
        <v>44767</v>
      </c>
      <c r="B3232" s="392" t="n">
        <v>9327</v>
      </c>
      <c r="C3232" s="392" t="n">
        <v>100</v>
      </c>
      <c r="D3232" s="392" t="n"/>
      <c r="E3232" s="392" t="n"/>
      <c r="F3232" s="392" t="n"/>
      <c r="G3232" s="392" t="n">
        <v>20</v>
      </c>
      <c r="H3232" s="446">
        <f>H3231-G3232</f>
        <v/>
      </c>
      <c r="I3232" s="392" t="n"/>
      <c r="J3232" s="392" t="n"/>
      <c r="K3232" s="392" t="n"/>
      <c r="L3232" s="392" t="n"/>
      <c r="M3232" s="392" t="n"/>
    </row>
    <row r="3233">
      <c r="A3233" s="568" t="n">
        <v>44767</v>
      </c>
      <c r="B3233" s="392" t="n">
        <v>9328</v>
      </c>
      <c r="C3233" s="392" t="n">
        <v>103</v>
      </c>
      <c r="D3233" s="392" t="n"/>
      <c r="E3233" s="392" t="n"/>
      <c r="F3233" s="392" t="n"/>
      <c r="G3233" s="392" t="n">
        <v>50</v>
      </c>
      <c r="H3233" s="446">
        <f>H3232-G3233</f>
        <v/>
      </c>
      <c r="I3233" s="392" t="n"/>
      <c r="J3233" s="392" t="n"/>
      <c r="K3233" s="392" t="n"/>
      <c r="L3233" s="392" t="n"/>
      <c r="M3233" s="392" t="n"/>
    </row>
    <row r="3234">
      <c r="A3234" s="568" t="n">
        <v>44769</v>
      </c>
      <c r="B3234" s="392" t="n">
        <v>9329</v>
      </c>
      <c r="C3234" s="392" t="n">
        <v>102</v>
      </c>
      <c r="D3234" s="392" t="n"/>
      <c r="E3234" s="392" t="n"/>
      <c r="F3234" s="392" t="n"/>
      <c r="G3234" s="392" t="n">
        <v>30</v>
      </c>
      <c r="H3234" s="446">
        <f>H3233-G3234</f>
        <v/>
      </c>
      <c r="I3234" s="392" t="n"/>
      <c r="J3234" s="392" t="n"/>
      <c r="K3234" s="392" t="n"/>
      <c r="L3234" s="392" t="n"/>
      <c r="M3234" s="392" t="n"/>
    </row>
    <row r="3235">
      <c r="A3235" s="568" t="n">
        <v>44769</v>
      </c>
      <c r="B3235" s="392" t="n">
        <v>9330</v>
      </c>
      <c r="C3235" s="392" t="n">
        <v>102</v>
      </c>
      <c r="D3235" s="392" t="n"/>
      <c r="E3235" s="392" t="n"/>
      <c r="F3235" s="392" t="n"/>
      <c r="G3235" s="392" t="n">
        <v>30</v>
      </c>
      <c r="H3235" s="446">
        <f>H3234-G3235</f>
        <v/>
      </c>
      <c r="I3235" s="392" t="n"/>
      <c r="J3235" s="392" t="n"/>
      <c r="K3235" s="392" t="n"/>
      <c r="L3235" s="392" t="n"/>
      <c r="M3235" s="392" t="n"/>
    </row>
    <row r="3236">
      <c r="A3236" s="568" t="n">
        <v>44769</v>
      </c>
      <c r="B3236" s="392" t="n">
        <v>9331</v>
      </c>
      <c r="C3236" s="392" t="n">
        <v>102</v>
      </c>
      <c r="D3236" s="392" t="n"/>
      <c r="E3236" s="392" t="n"/>
      <c r="F3236" s="392" t="n"/>
      <c r="G3236" s="392" t="n">
        <v>100</v>
      </c>
      <c r="H3236" s="446">
        <f>H3235-G3236</f>
        <v/>
      </c>
      <c r="I3236" s="392" t="n"/>
      <c r="J3236" s="392" t="n"/>
      <c r="K3236" s="392" t="n"/>
      <c r="L3236" s="392" t="n"/>
      <c r="M3236" s="392" t="n"/>
    </row>
    <row r="3237">
      <c r="A3237" s="568" t="n">
        <v>44769</v>
      </c>
      <c r="B3237" s="392" t="n">
        <v>9335</v>
      </c>
      <c r="C3237" s="392" t="n">
        <v>102</v>
      </c>
      <c r="D3237" s="392" t="n"/>
      <c r="E3237" s="392" t="n"/>
      <c r="F3237" s="392" t="n"/>
      <c r="G3237" s="392" t="n">
        <v>30</v>
      </c>
      <c r="H3237" s="446">
        <f>H3236-G3237</f>
        <v/>
      </c>
      <c r="I3237" s="392" t="n"/>
      <c r="J3237" s="392" t="n"/>
      <c r="K3237" s="392" t="n"/>
      <c r="L3237" s="392" t="n"/>
      <c r="M3237" s="392" t="n"/>
    </row>
    <row r="3238">
      <c r="A3238" s="568" t="n">
        <v>44769</v>
      </c>
      <c r="B3238" s="392" t="n">
        <v>9336</v>
      </c>
      <c r="C3238" s="392" t="n">
        <v>102</v>
      </c>
      <c r="D3238" s="392" t="n"/>
      <c r="E3238" s="392" t="n"/>
      <c r="F3238" s="392" t="n"/>
      <c r="G3238" s="392" t="n">
        <v>30</v>
      </c>
      <c r="H3238" s="446">
        <f>H3237-G3238</f>
        <v/>
      </c>
      <c r="I3238" s="392" t="n"/>
      <c r="J3238" s="392" t="n"/>
      <c r="K3238" s="392" t="n"/>
      <c r="L3238" s="392" t="n"/>
      <c r="M3238" s="392" t="n"/>
    </row>
    <row r="3239">
      <c r="A3239" s="568" t="n">
        <v>44769</v>
      </c>
      <c r="B3239" s="392" t="n">
        <v>9339</v>
      </c>
      <c r="C3239" s="392" t="n">
        <v>101.5</v>
      </c>
      <c r="D3239" s="392" t="n"/>
      <c r="E3239" s="392" t="n"/>
      <c r="F3239" s="392" t="n"/>
      <c r="G3239" s="392" t="n">
        <v>30</v>
      </c>
      <c r="H3239" s="446">
        <f>H3238-G3239</f>
        <v/>
      </c>
      <c r="I3239" s="392" t="n"/>
      <c r="J3239" s="392" t="n"/>
      <c r="K3239" s="392" t="n"/>
      <c r="L3239" s="392" t="n"/>
      <c r="M3239" s="392" t="n"/>
    </row>
    <row r="3240">
      <c r="A3240" s="568" t="n">
        <v>44769</v>
      </c>
      <c r="B3240" s="392" t="n">
        <v>9340</v>
      </c>
      <c r="C3240" s="392" t="n">
        <v>103</v>
      </c>
      <c r="D3240" s="392" t="n"/>
      <c r="E3240" s="392" t="n"/>
      <c r="F3240" s="392" t="n"/>
      <c r="G3240" s="392" t="n">
        <v>32</v>
      </c>
      <c r="H3240" s="446">
        <f>H3239-G3240</f>
        <v/>
      </c>
      <c r="I3240" s="392" t="n"/>
      <c r="J3240" s="392" t="n"/>
      <c r="K3240" s="392" t="n"/>
      <c r="L3240" s="392" t="n"/>
      <c r="M3240" s="392" t="n"/>
    </row>
    <row r="3241" ht="15.75" customHeight="1" s="436" thickBot="1">
      <c r="H3241" s="390" t="n"/>
    </row>
    <row r="3242" ht="32.25" customHeight="1" s="436" thickBot="1">
      <c r="A3242" s="735" t="inlineStr">
        <is>
          <t>Agosto</t>
        </is>
      </c>
      <c r="B3242" s="697" t="n"/>
      <c r="C3242" s="697" t="n"/>
      <c r="D3242" s="697" t="n"/>
      <c r="E3242" s="697" t="n"/>
      <c r="F3242" s="697" t="n"/>
      <c r="G3242" s="697" t="n"/>
      <c r="H3242" s="697" t="n"/>
      <c r="I3242" s="697" t="n"/>
      <c r="J3242" s="697" t="n"/>
      <c r="K3242" s="697" t="n"/>
      <c r="L3242" s="697" t="n"/>
      <c r="M3242" s="698" t="n"/>
    </row>
    <row r="3243" ht="27" customHeight="1" s="436" thickBot="1">
      <c r="A3243" s="720" t="inlineStr">
        <is>
          <t xml:space="preserve"> FARINHA DE TRIGO TIPO: 1 - 25 KG</t>
        </is>
      </c>
      <c r="B3243" s="697" t="n"/>
      <c r="C3243" s="697" t="n"/>
      <c r="D3243" s="697" t="n"/>
      <c r="E3243" s="697" t="n"/>
      <c r="F3243" s="697" t="n"/>
      <c r="G3243" s="697" t="n"/>
      <c r="H3243" s="697" t="n"/>
      <c r="I3243" s="697" t="n"/>
      <c r="J3243" s="697" t="n"/>
      <c r="K3243" s="697" t="n"/>
      <c r="L3243" s="697" t="n"/>
      <c r="M3243" s="698" t="n"/>
    </row>
    <row r="3244">
      <c r="A3244" s="643" t="inlineStr">
        <is>
          <t>DATA</t>
        </is>
      </c>
      <c r="B3244" s="633" t="inlineStr">
        <is>
          <t>N.F.</t>
        </is>
      </c>
      <c r="C3244" s="633" t="inlineStr">
        <is>
          <t>TIPO</t>
        </is>
      </c>
      <c r="D3244" s="670" t="inlineStr">
        <is>
          <t>PREÇO UNITÁRIO</t>
        </is>
      </c>
      <c r="E3244" s="701" t="n"/>
      <c r="F3244" s="633" t="inlineStr">
        <is>
          <t>QUANTIDADE / KG</t>
        </is>
      </c>
      <c r="H3244" s="701" t="n"/>
      <c r="I3244" s="632" t="inlineStr">
        <is>
          <t>PREÇO</t>
        </is>
      </c>
      <c r="J3244" s="632" t="inlineStr">
        <is>
          <t>VALORES</t>
        </is>
      </c>
      <c r="L3244" s="701" t="n"/>
      <c r="M3244" s="649" t="n"/>
    </row>
    <row r="3245" ht="15.75" customHeight="1" s="436" thickBot="1">
      <c r="A3245" s="703" t="n"/>
      <c r="B3245" s="704" t="n"/>
      <c r="C3245" s="704" t="n"/>
      <c r="D3245" s="703" t="n"/>
      <c r="E3245" s="701" t="n"/>
      <c r="F3245" s="705" t="n"/>
      <c r="G3245" s="706" t="n"/>
      <c r="H3245" s="707" t="n"/>
      <c r="I3245" s="704" t="n"/>
      <c r="J3245" s="703" t="n"/>
      <c r="L3245" s="701" t="n"/>
      <c r="M3245" s="704" t="n"/>
    </row>
    <row r="3246" ht="15.75" customHeight="1" s="436" thickBot="1">
      <c r="A3246" s="703" t="n"/>
      <c r="B3246" s="704" t="n"/>
      <c r="C3246" s="704" t="n"/>
      <c r="D3246" s="705" t="n"/>
      <c r="E3246" s="707" t="n"/>
      <c r="F3246" s="3" t="inlineStr">
        <is>
          <t>ENTRADA</t>
        </is>
      </c>
      <c r="G3246" s="3" t="inlineStr">
        <is>
          <t>SAÍDA</t>
        </is>
      </c>
      <c r="H3246" s="640" t="n"/>
      <c r="I3246" s="633" t="inlineStr">
        <is>
          <t>MÉDIO</t>
        </is>
      </c>
      <c r="J3246" s="652" t="inlineStr">
        <is>
          <t>SALDO EM 30/11/2017</t>
        </is>
      </c>
      <c r="K3246" s="706" t="n"/>
      <c r="L3246" s="17" t="n"/>
      <c r="M3246" s="704" t="n"/>
    </row>
    <row r="3247" ht="18" customHeight="1" s="436" thickBot="1">
      <c r="A3247" s="705" t="n"/>
      <c r="B3247" s="695" t="n"/>
      <c r="C3247" s="695" t="n"/>
      <c r="D3247" s="3" t="inlineStr">
        <is>
          <t>C/ICMS</t>
        </is>
      </c>
      <c r="E3247" s="3" t="inlineStr">
        <is>
          <t>S/ICMS</t>
        </is>
      </c>
      <c r="F3247" s="695" t="n"/>
      <c r="G3247" s="695" t="n"/>
      <c r="H3247" s="84" t="inlineStr">
        <is>
          <t>Saldo em 31/07/2022</t>
        </is>
      </c>
      <c r="I3247" s="695" t="n"/>
      <c r="J3247" s="645" t="inlineStr">
        <is>
          <t>ENTRADA</t>
        </is>
      </c>
      <c r="K3247" s="633" t="inlineStr">
        <is>
          <t>SAÍDA / CMV</t>
        </is>
      </c>
      <c r="L3247" s="643" t="inlineStr">
        <is>
          <t>SALDO</t>
        </is>
      </c>
      <c r="M3247" s="392" t="n"/>
    </row>
    <row r="3248">
      <c r="A3248" s="392" t="n"/>
      <c r="B3248" s="392" t="n"/>
      <c r="C3248" s="392" t="n"/>
      <c r="D3248" s="392" t="n"/>
      <c r="E3248" s="392" t="n"/>
      <c r="F3248" s="392" t="n"/>
      <c r="G3248" s="392" t="n"/>
      <c r="H3248" s="446" t="n">
        <v>2216</v>
      </c>
      <c r="I3248" s="392" t="n"/>
      <c r="J3248" s="392" t="n"/>
      <c r="K3248" s="392" t="n"/>
      <c r="L3248" s="392" t="n"/>
      <c r="M3248" s="392" t="n"/>
    </row>
    <row r="3249">
      <c r="A3249" s="568" t="n">
        <v>44775</v>
      </c>
      <c r="B3249" s="392" t="n">
        <v>9348</v>
      </c>
      <c r="C3249" s="392" t="n">
        <v>101</v>
      </c>
      <c r="D3249" s="392" t="n"/>
      <c r="E3249" s="392" t="n"/>
      <c r="F3249" s="392" t="n"/>
      <c r="G3249" s="392" t="n">
        <v>30</v>
      </c>
      <c r="H3249" s="446">
        <f>H3248-G3249</f>
        <v/>
      </c>
      <c r="I3249" s="392" t="n"/>
      <c r="J3249" s="392" t="n"/>
      <c r="K3249" s="392" t="n"/>
      <c r="L3249" s="392" t="n"/>
      <c r="M3249" s="392" t="n"/>
    </row>
    <row r="3250">
      <c r="A3250" s="568" t="n">
        <v>44775</v>
      </c>
      <c r="B3250" s="392" t="n">
        <v>9351</v>
      </c>
      <c r="C3250" s="392" t="n">
        <v>99</v>
      </c>
      <c r="D3250" s="392" t="n"/>
      <c r="E3250" s="392" t="n"/>
      <c r="F3250" s="392" t="n"/>
      <c r="G3250" s="392" t="n">
        <v>50</v>
      </c>
      <c r="H3250" s="446">
        <f>H3249-G3250</f>
        <v/>
      </c>
      <c r="I3250" s="392" t="n"/>
      <c r="J3250" s="392" t="n"/>
      <c r="K3250" s="392" t="n"/>
      <c r="L3250" s="392" t="n"/>
      <c r="M3250" s="392" t="n"/>
    </row>
    <row r="3251">
      <c r="A3251" s="568" t="n">
        <v>44775</v>
      </c>
      <c r="B3251" s="392" t="n">
        <v>9352</v>
      </c>
      <c r="C3251" s="392" t="n">
        <v>110</v>
      </c>
      <c r="D3251" s="392" t="n"/>
      <c r="E3251" s="392" t="n"/>
      <c r="F3251" s="392" t="n"/>
      <c r="G3251" s="392" t="n">
        <v>36</v>
      </c>
      <c r="H3251" s="446">
        <f>H3250-G3251</f>
        <v/>
      </c>
      <c r="I3251" s="392" t="n"/>
      <c r="J3251" s="392" t="n"/>
      <c r="K3251" s="392" t="n"/>
      <c r="L3251" s="392" t="n"/>
      <c r="M3251" s="392" t="n"/>
    </row>
    <row r="3252">
      <c r="A3252" s="568" t="n">
        <v>44775</v>
      </c>
      <c r="B3252" s="392" t="n">
        <v>9361</v>
      </c>
      <c r="C3252" s="392" t="n">
        <v>110</v>
      </c>
      <c r="D3252" s="392" t="n"/>
      <c r="E3252" s="392" t="n"/>
      <c r="F3252" s="392" t="n"/>
      <c r="G3252" s="392" t="n">
        <v>15</v>
      </c>
      <c r="H3252" s="446">
        <f>H3251-G3252</f>
        <v/>
      </c>
      <c r="I3252" s="392" t="n"/>
      <c r="J3252" s="392" t="n"/>
      <c r="K3252" s="392" t="n"/>
      <c r="L3252" s="392" t="n"/>
      <c r="M3252" s="392" t="n"/>
    </row>
    <row r="3253">
      <c r="A3253" s="568" t="n">
        <v>44776</v>
      </c>
      <c r="B3253" s="392" t="n">
        <v>9365</v>
      </c>
      <c r="C3253" s="392" t="n">
        <v>102</v>
      </c>
      <c r="D3253" s="392" t="n"/>
      <c r="E3253" s="392" t="n"/>
      <c r="F3253" s="392" t="n"/>
      <c r="G3253" s="392" t="n">
        <v>20</v>
      </c>
      <c r="H3253" s="446">
        <f>H3252-G3253</f>
        <v/>
      </c>
      <c r="I3253" s="392" t="n"/>
      <c r="J3253" s="392" t="n"/>
      <c r="K3253" s="392" t="n"/>
      <c r="L3253" s="392" t="n"/>
      <c r="M3253" s="392" t="n"/>
    </row>
    <row r="3254">
      <c r="A3254" s="568" t="n">
        <v>44776</v>
      </c>
      <c r="B3254" s="392" t="n">
        <v>9366</v>
      </c>
      <c r="C3254" s="392" t="n">
        <v>102</v>
      </c>
      <c r="D3254" s="392" t="n"/>
      <c r="E3254" s="392" t="n"/>
      <c r="F3254" s="392" t="n"/>
      <c r="G3254" s="392" t="n">
        <v>15</v>
      </c>
      <c r="H3254" s="446">
        <f>H3253-G3254</f>
        <v/>
      </c>
      <c r="I3254" s="392" t="n"/>
      <c r="J3254" s="392" t="n"/>
      <c r="K3254" s="392" t="n"/>
      <c r="L3254" s="392" t="n"/>
      <c r="M3254" s="392" t="n"/>
    </row>
    <row r="3255">
      <c r="A3255" s="568" t="n">
        <v>44777</v>
      </c>
      <c r="B3255" s="392" t="n">
        <v>9367</v>
      </c>
      <c r="C3255" s="392" t="n">
        <v>103</v>
      </c>
      <c r="D3255" s="392" t="n"/>
      <c r="E3255" s="392" t="n"/>
      <c r="F3255" s="392" t="n"/>
      <c r="G3255" s="392" t="n">
        <v>60</v>
      </c>
      <c r="H3255" s="446">
        <f>H3254-G3255</f>
        <v/>
      </c>
      <c r="I3255" s="392" t="n"/>
      <c r="J3255" s="392" t="n"/>
      <c r="K3255" s="392" t="n"/>
      <c r="L3255" s="392" t="n"/>
      <c r="M3255" s="392" t="n"/>
    </row>
    <row r="3256">
      <c r="A3256" s="568" t="n">
        <v>44782</v>
      </c>
      <c r="B3256" s="392" t="n">
        <v>9372</v>
      </c>
      <c r="C3256" s="392" t="n">
        <v>103</v>
      </c>
      <c r="D3256" s="392" t="n"/>
      <c r="E3256" s="392" t="n"/>
      <c r="F3256" s="392" t="n"/>
      <c r="G3256" s="392" t="n">
        <v>30</v>
      </c>
      <c r="H3256" s="446">
        <f>H3255-G3256</f>
        <v/>
      </c>
      <c r="I3256" s="392" t="n"/>
      <c r="J3256" s="392" t="n"/>
      <c r="K3256" s="392" t="n"/>
      <c r="L3256" s="392" t="n"/>
      <c r="M3256" s="392" t="n"/>
    </row>
    <row r="3257">
      <c r="A3257" s="568" t="n">
        <v>44782</v>
      </c>
      <c r="B3257" s="392" t="n">
        <v>9374</v>
      </c>
      <c r="C3257" s="392" t="n">
        <v>102</v>
      </c>
      <c r="D3257" s="392" t="n"/>
      <c r="E3257" s="392" t="n"/>
      <c r="F3257" s="392" t="n"/>
      <c r="G3257" s="392" t="n">
        <v>30</v>
      </c>
      <c r="H3257" s="446">
        <f>H3256-G3257</f>
        <v/>
      </c>
      <c r="I3257" s="392" t="n"/>
      <c r="J3257" s="392" t="n"/>
      <c r="K3257" s="392" t="n"/>
      <c r="L3257" s="392" t="n"/>
      <c r="M3257" s="392" t="n"/>
    </row>
    <row r="3258">
      <c r="A3258" s="568" t="n">
        <v>44782</v>
      </c>
      <c r="B3258" s="392" t="n">
        <v>9375</v>
      </c>
      <c r="C3258" s="392" t="n">
        <v>110</v>
      </c>
      <c r="D3258" s="392" t="n"/>
      <c r="E3258" s="392" t="n"/>
      <c r="F3258" s="392" t="n"/>
      <c r="G3258" s="392" t="n">
        <v>22</v>
      </c>
      <c r="H3258" s="446">
        <f>H3257-G3258</f>
        <v/>
      </c>
      <c r="I3258" s="392" t="n"/>
      <c r="J3258" s="392" t="n"/>
      <c r="K3258" s="392" t="n"/>
      <c r="L3258" s="392" t="n"/>
      <c r="M3258" s="392" t="n"/>
    </row>
    <row r="3259">
      <c r="A3259" s="568" t="n">
        <v>44783</v>
      </c>
      <c r="B3259" s="392" t="n">
        <v>9381</v>
      </c>
      <c r="C3259" s="392" t="n">
        <v>110</v>
      </c>
      <c r="D3259" s="392" t="n"/>
      <c r="E3259" s="392" t="n"/>
      <c r="F3259" s="392" t="n"/>
      <c r="G3259" s="392" t="n">
        <v>20</v>
      </c>
      <c r="H3259" s="446">
        <f>H3258-G3259</f>
        <v/>
      </c>
      <c r="I3259" s="392" t="n"/>
      <c r="J3259" s="392" t="n"/>
      <c r="K3259" s="392" t="n"/>
      <c r="L3259" s="392" t="n"/>
      <c r="M3259" s="392" t="n"/>
    </row>
    <row r="3260">
      <c r="A3260" s="568" t="n">
        <v>44783</v>
      </c>
      <c r="B3260" s="392" t="n">
        <v>9382</v>
      </c>
      <c r="C3260" s="392" t="n">
        <v>106</v>
      </c>
      <c r="D3260" s="392" t="n"/>
      <c r="E3260" s="392" t="n"/>
      <c r="F3260" s="392" t="n"/>
      <c r="G3260" s="392" t="n">
        <v>12</v>
      </c>
      <c r="H3260" s="446">
        <f>H3259-G3260</f>
        <v/>
      </c>
      <c r="I3260" s="392" t="n"/>
      <c r="J3260" s="392" t="n"/>
      <c r="K3260" s="392" t="n"/>
      <c r="L3260" s="392" t="n"/>
      <c r="M3260" s="392" t="n"/>
    </row>
    <row r="3261">
      <c r="A3261" s="568" t="n">
        <v>44788</v>
      </c>
      <c r="B3261" s="392" t="n">
        <v>9383</v>
      </c>
      <c r="C3261" s="392" t="n">
        <v>100</v>
      </c>
      <c r="D3261" s="392" t="n"/>
      <c r="E3261" s="392" t="n"/>
      <c r="F3261" s="392" t="n"/>
      <c r="G3261" s="392" t="n">
        <v>30</v>
      </c>
      <c r="H3261" s="446">
        <f>H3260-G3261</f>
        <v/>
      </c>
      <c r="I3261" s="392" t="n"/>
      <c r="J3261" s="392" t="n"/>
      <c r="K3261" s="392" t="n"/>
      <c r="L3261" s="392" t="n"/>
      <c r="M3261" s="392" t="n"/>
    </row>
    <row r="3262">
      <c r="A3262" s="568" t="n">
        <v>44788</v>
      </c>
      <c r="B3262" s="392" t="n">
        <v>9390</v>
      </c>
      <c r="C3262" s="392" t="n">
        <v>102</v>
      </c>
      <c r="D3262" s="392" t="n"/>
      <c r="E3262" s="392" t="n"/>
      <c r="F3262" s="392" t="n"/>
      <c r="G3262" s="392" t="n">
        <v>20</v>
      </c>
      <c r="H3262" s="446">
        <f>H3261-G3262</f>
        <v/>
      </c>
      <c r="I3262" s="392" t="n"/>
      <c r="J3262" s="392" t="n"/>
      <c r="K3262" s="392" t="n"/>
      <c r="L3262" s="392" t="n"/>
      <c r="M3262" s="392" t="n"/>
    </row>
    <row r="3263">
      <c r="A3263" s="568" t="n">
        <v>44788</v>
      </c>
      <c r="B3263" s="392" t="n">
        <v>9391</v>
      </c>
      <c r="C3263" s="392" t="n">
        <v>102</v>
      </c>
      <c r="D3263" s="392" t="n"/>
      <c r="E3263" s="392" t="n"/>
      <c r="F3263" s="392" t="n"/>
      <c r="G3263" s="392" t="n">
        <v>20</v>
      </c>
      <c r="H3263" s="446">
        <f>H3262-G3263</f>
        <v/>
      </c>
      <c r="I3263" s="392" t="n"/>
      <c r="J3263" s="392" t="n"/>
      <c r="K3263" s="392" t="n"/>
      <c r="L3263" s="392" t="n"/>
      <c r="M3263" s="392" t="n"/>
    </row>
    <row r="3264">
      <c r="A3264" s="568" t="n">
        <v>44788</v>
      </c>
      <c r="B3264" s="392" t="n">
        <v>9395</v>
      </c>
      <c r="C3264" s="392" t="n">
        <v>102</v>
      </c>
      <c r="D3264" s="392" t="n"/>
      <c r="E3264" s="392" t="n"/>
      <c r="F3264" s="392" t="n"/>
      <c r="G3264" s="392" t="n">
        <v>60</v>
      </c>
      <c r="H3264" s="446">
        <f>H3263-G3264</f>
        <v/>
      </c>
      <c r="I3264" s="392" t="n"/>
      <c r="J3264" s="392" t="n"/>
      <c r="K3264" s="392" t="n"/>
      <c r="L3264" s="392" t="n"/>
      <c r="M3264" s="392" t="n"/>
    </row>
    <row r="3265">
      <c r="A3265" s="304" t="n">
        <v>44788</v>
      </c>
      <c r="B3265" s="401" t="n">
        <v>195251</v>
      </c>
      <c r="C3265" s="401" t="n">
        <v>87</v>
      </c>
      <c r="D3265" s="401" t="n"/>
      <c r="E3265" s="401" t="n"/>
      <c r="F3265" s="401" t="n">
        <v>200</v>
      </c>
      <c r="G3265" s="401" t="n"/>
      <c r="H3265" s="322" t="n">
        <v>1946</v>
      </c>
      <c r="I3265" s="392" t="n"/>
      <c r="J3265" s="392" t="n"/>
      <c r="K3265" s="392" t="n"/>
      <c r="L3265" s="392" t="n"/>
      <c r="M3265" s="392" t="n"/>
    </row>
    <row r="3266">
      <c r="A3266" s="304" t="n">
        <v>44788</v>
      </c>
      <c r="B3266" s="401" t="n">
        <v>195251</v>
      </c>
      <c r="C3266" s="401" t="n">
        <v>88</v>
      </c>
      <c r="D3266" s="401" t="n"/>
      <c r="E3266" s="401" t="n"/>
      <c r="F3266" s="401" t="n">
        <v>200</v>
      </c>
      <c r="G3266" s="401" t="n"/>
      <c r="H3266" s="322" t="n">
        <v>2146</v>
      </c>
      <c r="I3266" s="392" t="n"/>
      <c r="J3266" s="392" t="n"/>
      <c r="K3266" s="392" t="n"/>
      <c r="L3266" s="392" t="n"/>
      <c r="M3266" s="392" t="n"/>
    </row>
    <row r="3267">
      <c r="A3267" s="568" t="n">
        <v>44790</v>
      </c>
      <c r="B3267" s="392" t="n">
        <v>9399</v>
      </c>
      <c r="C3267" s="392" t="n">
        <v>110.3</v>
      </c>
      <c r="D3267" s="392" t="n"/>
      <c r="E3267" s="392" t="n"/>
      <c r="F3267" s="392" t="n"/>
      <c r="G3267" s="392" t="n">
        <v>20</v>
      </c>
      <c r="H3267" s="446">
        <f>H3266-G3267</f>
        <v/>
      </c>
      <c r="I3267" s="392" t="n"/>
      <c r="J3267" s="392" t="n"/>
      <c r="K3267" s="392" t="n"/>
      <c r="L3267" s="392" t="n"/>
      <c r="M3267" s="392" t="n"/>
    </row>
    <row r="3268">
      <c r="A3268" s="568" t="n">
        <v>44790</v>
      </c>
      <c r="B3268" s="392" t="n">
        <v>9405</v>
      </c>
      <c r="C3268" s="392" t="n">
        <v>101</v>
      </c>
      <c r="D3268" s="392" t="n"/>
      <c r="E3268" s="392" t="n"/>
      <c r="F3268" s="392" t="n"/>
      <c r="G3268" s="392" t="n">
        <v>30</v>
      </c>
      <c r="H3268" s="446">
        <f>H3267-G3268</f>
        <v/>
      </c>
      <c r="I3268" s="392" t="n"/>
      <c r="J3268" s="392" t="n"/>
      <c r="K3268" s="392" t="n"/>
      <c r="L3268" s="392" t="n"/>
      <c r="M3268" s="392" t="n"/>
    </row>
    <row r="3269">
      <c r="A3269" s="568" t="n">
        <v>44790</v>
      </c>
      <c r="B3269" s="392" t="n">
        <v>9410</v>
      </c>
      <c r="C3269" s="392" t="n">
        <v>103.6</v>
      </c>
      <c r="D3269" s="392" t="n"/>
      <c r="E3269" s="392" t="n"/>
      <c r="F3269" s="392" t="n"/>
      <c r="G3269" s="392" t="n">
        <v>25</v>
      </c>
      <c r="H3269" s="446">
        <f>H3268-G3269</f>
        <v/>
      </c>
      <c r="I3269" s="392" t="n"/>
      <c r="J3269" s="392" t="n"/>
      <c r="K3269" s="392" t="n"/>
      <c r="L3269" s="392" t="n"/>
      <c r="M3269" s="392" t="n"/>
    </row>
    <row r="3270">
      <c r="A3270" s="568" t="n">
        <v>44790</v>
      </c>
      <c r="B3270" s="392" t="n">
        <v>9411</v>
      </c>
      <c r="C3270" s="392" t="n">
        <v>106.7</v>
      </c>
      <c r="D3270" s="392" t="n"/>
      <c r="E3270" s="392" t="n"/>
      <c r="F3270" s="392" t="n"/>
      <c r="G3270" s="392" t="n">
        <v>15</v>
      </c>
      <c r="H3270" s="446">
        <f>H3269-G3270</f>
        <v/>
      </c>
      <c r="I3270" s="392" t="n"/>
      <c r="J3270" s="392" t="n"/>
      <c r="K3270" s="392" t="n"/>
      <c r="L3270" s="392" t="n"/>
      <c r="M3270" s="392" t="n"/>
    </row>
    <row r="3271">
      <c r="A3271" s="304" t="n">
        <v>44791</v>
      </c>
      <c r="B3271" s="401" t="n">
        <v>23554</v>
      </c>
      <c r="C3271" s="401" t="n">
        <v>87</v>
      </c>
      <c r="D3271" s="401" t="n"/>
      <c r="E3271" s="401" t="n"/>
      <c r="F3271" s="401" t="n">
        <v>1120</v>
      </c>
      <c r="G3271" s="401" t="n"/>
      <c r="H3271" s="322" t="n">
        <v>3176</v>
      </c>
      <c r="I3271" s="392" t="n"/>
      <c r="J3271" s="392" t="n"/>
      <c r="K3271" s="392" t="n"/>
      <c r="L3271" s="392" t="n"/>
      <c r="M3271" s="392" t="n"/>
    </row>
    <row r="3272">
      <c r="A3272" s="568" t="n">
        <v>44791</v>
      </c>
      <c r="B3272" s="392" t="n">
        <v>9412</v>
      </c>
      <c r="C3272" s="392" t="n">
        <v>103</v>
      </c>
      <c r="D3272" s="392" t="n"/>
      <c r="E3272" s="392" t="n"/>
      <c r="F3272" s="392" t="n"/>
      <c r="G3272" s="392" t="n">
        <v>15</v>
      </c>
      <c r="H3272" s="446">
        <f>H3271-G3272</f>
        <v/>
      </c>
      <c r="I3272" s="392" t="n"/>
      <c r="J3272" s="392" t="n"/>
      <c r="K3272" s="392" t="n"/>
      <c r="L3272" s="392" t="n"/>
      <c r="M3272" s="392" t="n"/>
    </row>
    <row r="3273">
      <c r="A3273" s="568" t="n">
        <v>44791</v>
      </c>
      <c r="B3273" s="392" t="n">
        <v>9413</v>
      </c>
      <c r="C3273" s="392" t="n">
        <v>103</v>
      </c>
      <c r="D3273" s="392" t="n"/>
      <c r="E3273" s="392" t="n"/>
      <c r="F3273" s="392" t="n"/>
      <c r="G3273" s="392" t="n">
        <v>30</v>
      </c>
      <c r="H3273" s="446">
        <f>H3272-G3273</f>
        <v/>
      </c>
      <c r="I3273" s="392" t="n"/>
      <c r="J3273" s="392" t="n"/>
      <c r="K3273" s="392" t="n"/>
      <c r="L3273" s="392" t="n"/>
      <c r="M3273" s="392" t="n"/>
    </row>
    <row r="3274">
      <c r="A3274" s="568" t="n">
        <v>44795</v>
      </c>
      <c r="B3274" s="392" t="n">
        <v>9414</v>
      </c>
      <c r="C3274" s="392" t="n">
        <v>100</v>
      </c>
      <c r="D3274" s="392" t="n"/>
      <c r="E3274" s="392" t="n"/>
      <c r="F3274" s="392" t="n"/>
      <c r="G3274" s="392" t="n">
        <v>30</v>
      </c>
      <c r="H3274" s="446">
        <f>H3273-G3274</f>
        <v/>
      </c>
      <c r="I3274" s="392" t="n"/>
      <c r="J3274" s="392" t="n"/>
      <c r="K3274" s="392" t="n"/>
      <c r="L3274" s="392" t="n"/>
      <c r="M3274" s="392" t="n"/>
    </row>
    <row r="3275">
      <c r="A3275" s="568" t="n">
        <v>44795</v>
      </c>
      <c r="B3275" s="392" t="n">
        <v>9415</v>
      </c>
      <c r="C3275" s="392" t="n">
        <v>150</v>
      </c>
      <c r="D3275" s="392" t="n"/>
      <c r="E3275" s="392" t="n"/>
      <c r="F3275" s="392" t="n"/>
      <c r="G3275" s="392" t="n">
        <v>98</v>
      </c>
      <c r="H3275" s="446">
        <f>H3274-G3275</f>
        <v/>
      </c>
      <c r="I3275" s="392" t="n"/>
      <c r="J3275" s="392" t="n"/>
      <c r="K3275" s="392" t="n"/>
      <c r="L3275" s="392" t="n"/>
      <c r="M3275" s="392" t="n"/>
    </row>
    <row r="3276">
      <c r="A3276" s="568" t="n">
        <v>44795</v>
      </c>
      <c r="B3276" s="392" t="n">
        <v>9418</v>
      </c>
      <c r="C3276" s="392" t="n">
        <v>102</v>
      </c>
      <c r="D3276" s="392" t="n"/>
      <c r="E3276" s="392" t="n"/>
      <c r="F3276" s="392" t="n"/>
      <c r="G3276" s="392" t="n">
        <v>30</v>
      </c>
      <c r="H3276" s="446">
        <f>H3275-G3276</f>
        <v/>
      </c>
      <c r="I3276" s="392" t="n"/>
      <c r="J3276" s="392" t="n"/>
      <c r="K3276" s="392" t="n"/>
      <c r="L3276" s="392" t="n"/>
      <c r="M3276" s="392" t="n"/>
    </row>
    <row r="3277">
      <c r="A3277" s="568" t="n">
        <v>44797</v>
      </c>
      <c r="B3277" s="392" t="n">
        <v>9421</v>
      </c>
      <c r="C3277" s="392" t="n">
        <v>100</v>
      </c>
      <c r="D3277" s="392" t="n"/>
      <c r="E3277" s="392" t="n"/>
      <c r="F3277" s="392" t="n"/>
      <c r="G3277" s="392" t="n">
        <v>20</v>
      </c>
      <c r="H3277" s="446">
        <f>H3276-G3277</f>
        <v/>
      </c>
      <c r="I3277" s="392" t="n"/>
      <c r="J3277" s="392" t="n"/>
      <c r="K3277" s="392" t="n"/>
      <c r="L3277" s="392" t="n"/>
      <c r="M3277" s="392" t="n"/>
    </row>
    <row r="3278">
      <c r="A3278" s="568" t="n">
        <v>44797</v>
      </c>
      <c r="B3278" s="392" t="n">
        <v>9428</v>
      </c>
      <c r="C3278" s="392" t="n">
        <v>106.5</v>
      </c>
      <c r="D3278" s="392" t="n"/>
      <c r="E3278" s="392" t="n"/>
      <c r="F3278" s="392" t="n"/>
      <c r="G3278" s="392" t="n">
        <v>12</v>
      </c>
      <c r="H3278" s="446">
        <f>H3277-G3278</f>
        <v/>
      </c>
      <c r="I3278" s="392" t="n"/>
      <c r="J3278" s="392" t="n"/>
      <c r="K3278" s="392" t="n"/>
      <c r="L3278" s="392" t="n"/>
      <c r="M3278" s="392" t="n"/>
    </row>
    <row r="3279">
      <c r="A3279" s="568" t="n">
        <v>44797</v>
      </c>
      <c r="B3279" s="392" t="n">
        <v>9430</v>
      </c>
      <c r="C3279" s="392" t="n">
        <v>102</v>
      </c>
      <c r="D3279" s="392" t="n"/>
      <c r="E3279" s="392" t="n"/>
      <c r="F3279" s="392" t="n"/>
      <c r="G3279" s="392" t="n">
        <v>5</v>
      </c>
      <c r="H3279" s="446">
        <f>H3278-G3279</f>
        <v/>
      </c>
      <c r="I3279" s="392" t="n"/>
      <c r="J3279" s="392" t="n"/>
      <c r="K3279" s="392" t="n"/>
      <c r="L3279" s="392" t="n"/>
      <c r="M3279" s="392" t="n"/>
    </row>
    <row r="3280">
      <c r="A3280" s="568" t="n">
        <v>44797</v>
      </c>
      <c r="B3280" s="392" t="n">
        <v>9432</v>
      </c>
      <c r="C3280" s="392" t="n">
        <v>84.62</v>
      </c>
      <c r="D3280" s="392" t="n"/>
      <c r="E3280" s="392" t="n"/>
      <c r="F3280" s="392" t="n"/>
      <c r="G3280" s="392" t="n">
        <v>130</v>
      </c>
      <c r="H3280" s="446">
        <f>H3279-G3280</f>
        <v/>
      </c>
      <c r="I3280" s="392" t="n"/>
      <c r="J3280" s="392" t="n"/>
      <c r="K3280" s="392" t="n"/>
      <c r="L3280" s="392" t="n"/>
      <c r="M3280" s="392" t="n"/>
    </row>
    <row r="3281">
      <c r="A3281" s="568" t="n">
        <v>44802</v>
      </c>
      <c r="B3281" s="392" t="n">
        <v>9436</v>
      </c>
      <c r="C3281" s="392" t="n">
        <v>108</v>
      </c>
      <c r="D3281" s="392" t="n"/>
      <c r="E3281" s="392" t="n"/>
      <c r="F3281" s="392" t="n"/>
      <c r="G3281" s="392" t="n">
        <v>50</v>
      </c>
      <c r="H3281" s="446">
        <f>H3280-G3281</f>
        <v/>
      </c>
      <c r="I3281" s="392" t="n"/>
      <c r="J3281" s="392" t="n"/>
      <c r="K3281" s="392" t="n"/>
      <c r="L3281" s="392" t="n"/>
      <c r="M3281" s="392" t="n"/>
    </row>
    <row r="3282">
      <c r="A3282" s="568" t="n">
        <v>44802</v>
      </c>
      <c r="B3282" s="392" t="n">
        <v>9437</v>
      </c>
      <c r="C3282" s="392" t="n">
        <v>102</v>
      </c>
      <c r="D3282" s="392" t="n"/>
      <c r="E3282" s="392" t="n"/>
      <c r="F3282" s="392" t="n"/>
      <c r="G3282" s="392" t="n">
        <v>30</v>
      </c>
      <c r="H3282" s="446">
        <f>H3281-G3282</f>
        <v/>
      </c>
      <c r="I3282" s="392" t="n"/>
      <c r="J3282" s="392" t="n"/>
      <c r="K3282" s="392" t="n"/>
      <c r="L3282" s="392" t="n"/>
      <c r="M3282" s="392" t="n"/>
    </row>
    <row r="3283">
      <c r="A3283" s="568" t="n">
        <v>44802</v>
      </c>
      <c r="B3283" s="392" t="n">
        <v>9439</v>
      </c>
      <c r="C3283" s="392" t="n">
        <v>100</v>
      </c>
      <c r="D3283" s="392" t="n"/>
      <c r="E3283" s="392" t="n"/>
      <c r="F3283" s="392" t="n"/>
      <c r="G3283" s="392" t="n">
        <v>30</v>
      </c>
      <c r="H3283" s="446">
        <f>H3282-G3283</f>
        <v/>
      </c>
      <c r="I3283" s="392" t="n"/>
      <c r="J3283" s="392" t="n"/>
      <c r="K3283" s="392" t="n"/>
      <c r="L3283" s="392" t="n"/>
      <c r="M3283" s="392" t="n"/>
    </row>
    <row r="3284">
      <c r="A3284" s="568" t="n">
        <v>44802</v>
      </c>
      <c r="B3284" s="392" t="n">
        <v>9441</v>
      </c>
      <c r="C3284" s="392" t="n">
        <v>110</v>
      </c>
      <c r="D3284" s="392" t="n"/>
      <c r="E3284" s="392" t="n"/>
      <c r="F3284" s="392" t="n"/>
      <c r="G3284" s="392" t="n">
        <v>20</v>
      </c>
      <c r="H3284" s="446">
        <f>H3283-G3284</f>
        <v/>
      </c>
      <c r="I3284" s="392" t="n"/>
      <c r="J3284" s="392" t="n"/>
      <c r="K3284" s="392" t="n"/>
      <c r="L3284" s="392" t="n"/>
      <c r="M3284" s="392" t="n"/>
    </row>
    <row r="3285">
      <c r="A3285" s="568" t="n">
        <v>44803</v>
      </c>
      <c r="B3285" s="392" t="n">
        <v>9444</v>
      </c>
      <c r="C3285" s="392" t="n">
        <v>103.15</v>
      </c>
      <c r="D3285" s="392" t="n"/>
      <c r="E3285" s="392" t="n"/>
      <c r="F3285" s="392" t="n"/>
      <c r="G3285" s="392" t="n">
        <v>35</v>
      </c>
      <c r="H3285" s="446">
        <f>H3284-G3285</f>
        <v/>
      </c>
      <c r="I3285" s="392" t="n"/>
      <c r="J3285" s="392" t="n"/>
      <c r="K3285" s="392" t="n"/>
      <c r="L3285" s="392" t="n"/>
      <c r="M3285" s="392" t="n"/>
    </row>
    <row r="3286">
      <c r="A3286" s="304" t="n">
        <v>44803</v>
      </c>
      <c r="B3286" s="401" t="n">
        <v>196107</v>
      </c>
      <c r="C3286" s="401" t="n">
        <v>88</v>
      </c>
      <c r="D3286" s="401" t="n"/>
      <c r="E3286" s="401" t="n"/>
      <c r="F3286" s="401" t="n">
        <v>150</v>
      </c>
      <c r="G3286" s="401" t="n"/>
      <c r="H3286" s="322" t="n">
        <v>2791</v>
      </c>
      <c r="I3286" s="392" t="n"/>
      <c r="J3286" s="392" t="n"/>
      <c r="K3286" s="392" t="n"/>
      <c r="L3286" s="392" t="n"/>
      <c r="M3286" s="392" t="n"/>
    </row>
    <row r="3287">
      <c r="A3287" s="568" t="n">
        <v>44804</v>
      </c>
      <c r="B3287" s="392" t="n">
        <v>9447</v>
      </c>
      <c r="C3287" s="392" t="n">
        <v>102</v>
      </c>
      <c r="D3287" s="392" t="n"/>
      <c r="E3287" s="392" t="n"/>
      <c r="F3287" s="392" t="n"/>
      <c r="G3287" s="392" t="n">
        <v>30</v>
      </c>
      <c r="H3287" s="446">
        <f>H3286-G3287</f>
        <v/>
      </c>
      <c r="I3287" s="392" t="n"/>
      <c r="J3287" s="392" t="n"/>
      <c r="K3287" s="392" t="n"/>
      <c r="L3287" s="392" t="n"/>
      <c r="M3287" s="392" t="n"/>
    </row>
    <row r="3288">
      <c r="A3288" s="568" t="n">
        <v>44804</v>
      </c>
      <c r="B3288" s="392" t="n">
        <v>9448</v>
      </c>
      <c r="C3288" s="392" t="n">
        <v>102</v>
      </c>
      <c r="D3288" s="392" t="n"/>
      <c r="E3288" s="392" t="n"/>
      <c r="F3288" s="392" t="n"/>
      <c r="G3288" s="392" t="n">
        <v>30</v>
      </c>
      <c r="H3288" s="446">
        <f>H3287-G3288</f>
        <v/>
      </c>
      <c r="I3288" s="392" t="n"/>
      <c r="J3288" s="392" t="n"/>
      <c r="K3288" s="392" t="n"/>
      <c r="L3288" s="392" t="n"/>
      <c r="M3288" s="392" t="n"/>
    </row>
    <row r="3289">
      <c r="A3289" s="568" t="n">
        <v>44804</v>
      </c>
      <c r="B3289" s="392" t="n">
        <v>9449</v>
      </c>
      <c r="C3289" s="392" t="n">
        <v>106.5</v>
      </c>
      <c r="D3289" s="392" t="n"/>
      <c r="E3289" s="392" t="n"/>
      <c r="F3289" s="392" t="n"/>
      <c r="G3289" s="392" t="n">
        <v>12</v>
      </c>
      <c r="H3289" s="446">
        <f>H3288-G3289</f>
        <v/>
      </c>
      <c r="I3289" s="392" t="n"/>
      <c r="J3289" s="392" t="n"/>
      <c r="K3289" s="392" t="n"/>
      <c r="L3289" s="392" t="n"/>
      <c r="M3289" s="392" t="n"/>
    </row>
    <row r="3290">
      <c r="A3290" s="568" t="n">
        <v>44804</v>
      </c>
      <c r="B3290" s="392" t="n">
        <v>9450</v>
      </c>
      <c r="C3290" s="392" t="n">
        <v>102</v>
      </c>
      <c r="D3290" s="392" t="n"/>
      <c r="E3290" s="392" t="n"/>
      <c r="F3290" s="392" t="n"/>
      <c r="G3290" s="392" t="n">
        <v>111</v>
      </c>
      <c r="H3290" s="446">
        <f>H3289-G3290</f>
        <v/>
      </c>
      <c r="I3290" s="392" t="n"/>
      <c r="J3290" s="392" t="n"/>
      <c r="K3290" s="392" t="n"/>
      <c r="L3290" s="392" t="n"/>
      <c r="M3290" s="392" t="n"/>
    </row>
    <row r="3291">
      <c r="A3291" s="568" t="n">
        <v>44804</v>
      </c>
      <c r="B3291" s="392" t="n">
        <v>9454</v>
      </c>
      <c r="C3291" s="392" t="n">
        <v>100</v>
      </c>
      <c r="D3291" s="392" t="n"/>
      <c r="E3291" s="392" t="n"/>
      <c r="F3291" s="392" t="n"/>
      <c r="G3291" s="392" t="n">
        <v>20</v>
      </c>
      <c r="H3291" s="446">
        <f>H3290-G3291</f>
        <v/>
      </c>
      <c r="I3291" s="392" t="n"/>
      <c r="J3291" s="392" t="n"/>
      <c r="K3291" s="392" t="n"/>
      <c r="L3291" s="392" t="n"/>
      <c r="M3291" s="392" t="n"/>
    </row>
    <row r="3292">
      <c r="A3292" s="568" t="n"/>
      <c r="B3292" s="392" t="n"/>
      <c r="C3292" s="392" t="n"/>
      <c r="D3292" s="392" t="n"/>
      <c r="E3292" s="392" t="n"/>
      <c r="F3292" s="392" t="n"/>
      <c r="G3292" s="392" t="n"/>
      <c r="H3292" s="446" t="n"/>
      <c r="I3292" s="392" t="n"/>
      <c r="J3292" s="392" t="n"/>
      <c r="K3292" s="392" t="n"/>
      <c r="L3292" s="392" t="n"/>
      <c r="M3292" s="392" t="n"/>
    </row>
    <row r="3293">
      <c r="H3293" s="390" t="n"/>
    </row>
    <row r="3294" ht="15.75" customHeight="1" s="436" thickBot="1">
      <c r="H3294" s="390" t="n"/>
    </row>
    <row r="3295" ht="32.25" customHeight="1" s="436" thickBot="1">
      <c r="A3295" s="735" t="inlineStr">
        <is>
          <t>Setembro</t>
        </is>
      </c>
      <c r="B3295" s="697" t="n"/>
      <c r="C3295" s="697" t="n"/>
      <c r="D3295" s="697" t="n"/>
      <c r="E3295" s="697" t="n"/>
      <c r="F3295" s="697" t="n"/>
      <c r="G3295" s="697" t="n"/>
      <c r="H3295" s="697" t="n"/>
      <c r="I3295" s="697" t="n"/>
      <c r="J3295" s="697" t="n"/>
      <c r="K3295" s="697" t="n"/>
      <c r="L3295" s="697" t="n"/>
      <c r="M3295" s="698" t="n"/>
    </row>
    <row r="3296" ht="27" customHeight="1" s="436" thickBot="1">
      <c r="A3296" s="720" t="inlineStr">
        <is>
          <t xml:space="preserve"> FARINHA DE TRIGO TIPO: 1 - 25 KG</t>
        </is>
      </c>
      <c r="B3296" s="697" t="n"/>
      <c r="C3296" s="697" t="n"/>
      <c r="D3296" s="697" t="n"/>
      <c r="E3296" s="697" t="n"/>
      <c r="F3296" s="697" t="n"/>
      <c r="G3296" s="697" t="n"/>
      <c r="H3296" s="697" t="n"/>
      <c r="I3296" s="697" t="n"/>
      <c r="J3296" s="697" t="n"/>
      <c r="K3296" s="697" t="n"/>
      <c r="L3296" s="697" t="n"/>
      <c r="M3296" s="698" t="n"/>
    </row>
    <row r="3297">
      <c r="A3297" s="643" t="inlineStr">
        <is>
          <t>DATA</t>
        </is>
      </c>
      <c r="B3297" s="633" t="inlineStr">
        <is>
          <t>N.F.</t>
        </is>
      </c>
      <c r="C3297" s="633" t="inlineStr">
        <is>
          <t>TIPO</t>
        </is>
      </c>
      <c r="D3297" s="670" t="inlineStr">
        <is>
          <t>PREÇO UNITÁRIO</t>
        </is>
      </c>
      <c r="E3297" s="701" t="n"/>
      <c r="F3297" s="633" t="inlineStr">
        <is>
          <t>QUANTIDADE / KG</t>
        </is>
      </c>
      <c r="H3297" s="701" t="n"/>
      <c r="I3297" s="632" t="inlineStr">
        <is>
          <t>PREÇO</t>
        </is>
      </c>
      <c r="J3297" s="632" t="inlineStr">
        <is>
          <t>VALORES</t>
        </is>
      </c>
      <c r="L3297" s="701" t="n"/>
      <c r="M3297" s="649" t="n"/>
    </row>
    <row r="3298" ht="15.75" customHeight="1" s="436" thickBot="1">
      <c r="A3298" s="703" t="n"/>
      <c r="B3298" s="704" t="n"/>
      <c r="C3298" s="704" t="n"/>
      <c r="D3298" s="703" t="n"/>
      <c r="E3298" s="701" t="n"/>
      <c r="F3298" s="705" t="n"/>
      <c r="G3298" s="706" t="n"/>
      <c r="H3298" s="707" t="n"/>
      <c r="I3298" s="704" t="n"/>
      <c r="J3298" s="703" t="n"/>
      <c r="L3298" s="701" t="n"/>
      <c r="M3298" s="704" t="n"/>
    </row>
    <row r="3299" ht="15.75" customHeight="1" s="436" thickBot="1">
      <c r="A3299" s="703" t="n"/>
      <c r="B3299" s="704" t="n"/>
      <c r="C3299" s="704" t="n"/>
      <c r="D3299" s="705" t="n"/>
      <c r="E3299" s="707" t="n"/>
      <c r="F3299" s="3" t="inlineStr">
        <is>
          <t>ENTRADA</t>
        </is>
      </c>
      <c r="G3299" s="3" t="inlineStr">
        <is>
          <t>SAÍDA</t>
        </is>
      </c>
      <c r="H3299" s="640" t="n"/>
      <c r="I3299" s="633" t="inlineStr">
        <is>
          <t>MÉDIO</t>
        </is>
      </c>
      <c r="J3299" s="652" t="inlineStr">
        <is>
          <t>SALDO EM 30/11/2017</t>
        </is>
      </c>
      <c r="K3299" s="706" t="n"/>
      <c r="L3299" s="17" t="n"/>
      <c r="M3299" s="704" t="n"/>
    </row>
    <row r="3300" ht="18" customHeight="1" s="436" thickBot="1">
      <c r="A3300" s="705" t="n"/>
      <c r="B3300" s="695" t="n"/>
      <c r="C3300" s="695" t="n"/>
      <c r="D3300" s="3" t="inlineStr">
        <is>
          <t>C/ICMS</t>
        </is>
      </c>
      <c r="E3300" s="3" t="inlineStr">
        <is>
          <t>S/ICMS</t>
        </is>
      </c>
      <c r="F3300" s="695" t="n"/>
      <c r="G3300" s="695" t="n"/>
      <c r="H3300" s="84" t="inlineStr">
        <is>
          <t>Saldo em 31/08/2022</t>
        </is>
      </c>
      <c r="I3300" s="695" t="n"/>
      <c r="J3300" s="645" t="inlineStr">
        <is>
          <t>ENTRADA</t>
        </is>
      </c>
      <c r="K3300" s="633" t="inlineStr">
        <is>
          <t>SAÍDA / CMV</t>
        </is>
      </c>
      <c r="L3300" s="643" t="inlineStr">
        <is>
          <t>SALDO</t>
        </is>
      </c>
      <c r="M3300" s="392" t="n"/>
    </row>
    <row r="3301">
      <c r="A3301" s="392" t="n"/>
      <c r="B3301" s="392" t="n"/>
      <c r="C3301" s="392" t="n"/>
      <c r="D3301" s="392" t="n"/>
      <c r="E3301" s="392" t="n"/>
      <c r="F3301" s="392" t="n"/>
      <c r="G3301" s="392" t="n"/>
      <c r="H3301" s="446" t="n">
        <v>2588</v>
      </c>
      <c r="I3301" s="392" t="n"/>
      <c r="J3301" s="392" t="n"/>
      <c r="K3301" s="392" t="n"/>
      <c r="L3301" s="392" t="n"/>
      <c r="M3301" s="392" t="n"/>
    </row>
    <row r="3302">
      <c r="A3302" s="568" t="n">
        <v>44809</v>
      </c>
      <c r="B3302" s="392" t="n">
        <v>9458</v>
      </c>
      <c r="C3302" s="392" t="n">
        <v>106</v>
      </c>
      <c r="D3302" s="392" t="n"/>
      <c r="E3302" s="392" t="n"/>
      <c r="F3302" s="392" t="n"/>
      <c r="G3302" s="392" t="n">
        <v>30</v>
      </c>
      <c r="H3302" s="446">
        <f>H3301-G3302</f>
        <v/>
      </c>
      <c r="I3302" s="392" t="n"/>
      <c r="J3302" s="392" t="n"/>
      <c r="K3302" s="392" t="n"/>
      <c r="L3302" s="392" t="n"/>
      <c r="M3302" s="392" t="n"/>
    </row>
    <row r="3303">
      <c r="A3303" s="568" t="n">
        <v>44809</v>
      </c>
      <c r="B3303" s="392" t="n">
        <v>9459</v>
      </c>
      <c r="C3303" s="392" t="n">
        <v>100</v>
      </c>
      <c r="D3303" s="392" t="n"/>
      <c r="E3303" s="392" t="n"/>
      <c r="F3303" s="392" t="n"/>
      <c r="G3303" s="392" t="n">
        <v>20</v>
      </c>
      <c r="H3303" s="446">
        <f>H3302-G3303</f>
        <v/>
      </c>
      <c r="I3303" s="392" t="n"/>
      <c r="J3303" s="392" t="n"/>
      <c r="K3303" s="392" t="n"/>
      <c r="L3303" s="392" t="n"/>
      <c r="M3303" s="392" t="n"/>
    </row>
    <row r="3304">
      <c r="A3304" s="568" t="n">
        <v>44809</v>
      </c>
      <c r="B3304" s="392" t="n">
        <v>9461</v>
      </c>
      <c r="C3304" s="392" t="n">
        <v>100</v>
      </c>
      <c r="D3304" s="392" t="n"/>
      <c r="E3304" s="392" t="n"/>
      <c r="F3304" s="392" t="n"/>
      <c r="G3304" s="392" t="n">
        <v>20</v>
      </c>
      <c r="H3304" s="446">
        <f>H3303-G3304</f>
        <v/>
      </c>
      <c r="I3304" s="392" t="n"/>
      <c r="J3304" s="392" t="n"/>
      <c r="K3304" s="392" t="n"/>
      <c r="L3304" s="392" t="n"/>
      <c r="M3304" s="392" t="n"/>
    </row>
    <row r="3305">
      <c r="A3305" s="568" t="n">
        <v>44811</v>
      </c>
      <c r="B3305" s="392" t="n">
        <v>9466</v>
      </c>
      <c r="C3305" s="392" t="n">
        <v>100</v>
      </c>
      <c r="D3305" s="392" t="n"/>
      <c r="E3305" s="392" t="n"/>
      <c r="F3305" s="392" t="n"/>
      <c r="G3305" s="392" t="n">
        <v>30</v>
      </c>
      <c r="H3305" s="446">
        <f>H3304-G3305</f>
        <v/>
      </c>
      <c r="I3305" s="392" t="n"/>
      <c r="J3305" s="392" t="n"/>
      <c r="K3305" s="392" t="n"/>
      <c r="L3305" s="392" t="n"/>
      <c r="M3305" s="392" t="n"/>
    </row>
    <row r="3306">
      <c r="A3306" s="568" t="n">
        <v>44816</v>
      </c>
      <c r="B3306" s="392" t="n">
        <v>9479</v>
      </c>
      <c r="C3306" s="392" t="n">
        <v>100</v>
      </c>
      <c r="D3306" s="392" t="n"/>
      <c r="E3306" s="392" t="n"/>
      <c r="F3306" s="392" t="n"/>
      <c r="G3306" s="392" t="n">
        <v>40</v>
      </c>
      <c r="H3306" s="446">
        <f>H3305-G3306</f>
        <v/>
      </c>
      <c r="I3306" s="392" t="n"/>
      <c r="J3306" s="392" t="n"/>
      <c r="K3306" s="392" t="n"/>
      <c r="L3306" s="392" t="n"/>
      <c r="M3306" s="392" t="n"/>
    </row>
    <row r="3307">
      <c r="A3307" s="568" t="n">
        <v>44816</v>
      </c>
      <c r="B3307" s="392" t="n">
        <v>9480</v>
      </c>
      <c r="C3307" s="392" t="n">
        <v>108</v>
      </c>
      <c r="D3307" s="392" t="n"/>
      <c r="E3307" s="392" t="n"/>
      <c r="F3307" s="392" t="n"/>
      <c r="G3307" s="392" t="n">
        <v>30</v>
      </c>
      <c r="H3307" s="446">
        <f>H3306-G3307</f>
        <v/>
      </c>
      <c r="I3307" s="392" t="n"/>
      <c r="J3307" s="392" t="n"/>
      <c r="K3307" s="392" t="n"/>
      <c r="L3307" s="392" t="n"/>
      <c r="M3307" s="392" t="n"/>
    </row>
    <row r="3308">
      <c r="A3308" s="568" t="n">
        <v>44816</v>
      </c>
      <c r="B3308" s="392" t="n">
        <v>9481</v>
      </c>
      <c r="C3308" s="392" t="n">
        <v>98</v>
      </c>
      <c r="D3308" s="392" t="n"/>
      <c r="E3308" s="392" t="n"/>
      <c r="F3308" s="392" t="n"/>
      <c r="G3308" s="392" t="n">
        <v>20</v>
      </c>
      <c r="H3308" s="446">
        <f>H3307-G3308</f>
        <v/>
      </c>
      <c r="I3308" s="392" t="n"/>
      <c r="J3308" s="392" t="n"/>
      <c r="K3308" s="392" t="n"/>
      <c r="L3308" s="392" t="n"/>
      <c r="M3308" s="392" t="n"/>
    </row>
    <row r="3309">
      <c r="A3309" s="568" t="n">
        <v>44816</v>
      </c>
      <c r="B3309" s="392" t="n">
        <v>9483</v>
      </c>
      <c r="C3309" s="392" t="n">
        <v>97</v>
      </c>
      <c r="D3309" s="392" t="n"/>
      <c r="E3309" s="392" t="n"/>
      <c r="F3309" s="392" t="n"/>
      <c r="G3309" s="392" t="n">
        <v>50</v>
      </c>
      <c r="H3309" s="446">
        <f>H3308-G3309</f>
        <v/>
      </c>
      <c r="I3309" s="392" t="n"/>
      <c r="J3309" s="392" t="n"/>
      <c r="K3309" s="392" t="n"/>
      <c r="L3309" s="392" t="n"/>
      <c r="M3309" s="392" t="n"/>
    </row>
    <row r="3310">
      <c r="A3310" s="568" t="n">
        <v>44816</v>
      </c>
      <c r="B3310" s="392" t="n">
        <v>9484</v>
      </c>
      <c r="C3310" s="392" t="n">
        <v>108</v>
      </c>
      <c r="D3310" s="392" t="n"/>
      <c r="E3310" s="392" t="n"/>
      <c r="F3310" s="392" t="n"/>
      <c r="G3310" s="392" t="n">
        <v>20</v>
      </c>
      <c r="H3310" s="446">
        <f>H3309-G3310</f>
        <v/>
      </c>
      <c r="I3310" s="392" t="n"/>
      <c r="J3310" s="392" t="n"/>
      <c r="K3310" s="392" t="n"/>
      <c r="L3310" s="392" t="n"/>
      <c r="M3310" s="392" t="n"/>
    </row>
    <row r="3311">
      <c r="A3311" s="568" t="n">
        <v>44816</v>
      </c>
      <c r="B3311" s="392" t="n">
        <v>9485</v>
      </c>
      <c r="C3311" s="392" t="n">
        <v>99</v>
      </c>
      <c r="D3311" s="392" t="n"/>
      <c r="E3311" s="392" t="n"/>
      <c r="F3311" s="392" t="n"/>
      <c r="G3311" s="392" t="n">
        <v>30</v>
      </c>
      <c r="H3311" s="446">
        <f>H3310-G3311</f>
        <v/>
      </c>
      <c r="I3311" s="392" t="n"/>
      <c r="J3311" s="392" t="n"/>
      <c r="K3311" s="392" t="n"/>
      <c r="L3311" s="392" t="n"/>
      <c r="M3311" s="392" t="n"/>
    </row>
    <row r="3312">
      <c r="A3312" s="568" t="n">
        <v>44816</v>
      </c>
      <c r="B3312" s="392" t="n">
        <v>9486</v>
      </c>
      <c r="C3312" s="392" t="n">
        <v>103.69</v>
      </c>
      <c r="D3312" s="392" t="n"/>
      <c r="E3312" s="392" t="n"/>
      <c r="F3312" s="392" t="n"/>
      <c r="G3312" s="392" t="n">
        <v>38</v>
      </c>
      <c r="H3312" s="446">
        <f>H3311-G3312</f>
        <v/>
      </c>
      <c r="I3312" s="392" t="n"/>
      <c r="J3312" s="392" t="n"/>
      <c r="K3312" s="392" t="n"/>
      <c r="L3312" s="392" t="n"/>
      <c r="M3312" s="392" t="n"/>
    </row>
    <row r="3313">
      <c r="A3313" s="568" t="n">
        <v>44816</v>
      </c>
      <c r="B3313" s="392" t="n">
        <v>9487</v>
      </c>
      <c r="C3313" s="392" t="n">
        <v>100</v>
      </c>
      <c r="D3313" s="392" t="n"/>
      <c r="E3313" s="392" t="n"/>
      <c r="F3313" s="392" t="n"/>
      <c r="G3313" s="392" t="n">
        <v>30</v>
      </c>
      <c r="H3313" s="446">
        <f>H3312-G3313</f>
        <v/>
      </c>
      <c r="I3313" s="392" t="n"/>
      <c r="J3313" s="392" t="n"/>
      <c r="K3313" s="392" t="n"/>
      <c r="L3313" s="392" t="n"/>
      <c r="M3313" s="392" t="n"/>
    </row>
    <row r="3314">
      <c r="A3314" s="568" t="n">
        <v>44817</v>
      </c>
      <c r="B3314" s="392" t="n">
        <v>9491</v>
      </c>
      <c r="C3314" s="392" t="n">
        <v>98</v>
      </c>
      <c r="D3314" s="392" t="n"/>
      <c r="E3314" s="392" t="n"/>
      <c r="F3314" s="392" t="n"/>
      <c r="G3314" s="392" t="n">
        <v>20</v>
      </c>
      <c r="H3314" s="446">
        <f>H3313-G3314</f>
        <v/>
      </c>
      <c r="I3314" s="392" t="n"/>
      <c r="J3314" s="392" t="n"/>
      <c r="K3314" s="392" t="n"/>
      <c r="L3314" s="392" t="n"/>
      <c r="M3314" s="392" t="n"/>
    </row>
    <row r="3315">
      <c r="A3315" s="568" t="n">
        <v>44818</v>
      </c>
      <c r="B3315" s="392" t="n">
        <v>9495</v>
      </c>
      <c r="C3315" s="392" t="n">
        <v>99</v>
      </c>
      <c r="D3315" s="392" t="n"/>
      <c r="E3315" s="392" t="n"/>
      <c r="F3315" s="392" t="n"/>
      <c r="G3315" s="392" t="n">
        <v>20</v>
      </c>
      <c r="H3315" s="446">
        <f>H3314-G3315</f>
        <v/>
      </c>
      <c r="I3315" s="392" t="n"/>
      <c r="J3315" s="392" t="n"/>
      <c r="K3315" s="392" t="n"/>
      <c r="L3315" s="392" t="n"/>
      <c r="M3315" s="392" t="n"/>
    </row>
    <row r="3316">
      <c r="A3316" s="568" t="n">
        <v>44818</v>
      </c>
      <c r="B3316" s="392" t="n">
        <v>9500</v>
      </c>
      <c r="C3316" s="392" t="n">
        <v>107</v>
      </c>
      <c r="D3316" s="392" t="n"/>
      <c r="E3316" s="392" t="n"/>
      <c r="F3316" s="392" t="n"/>
      <c r="G3316" s="392" t="n">
        <v>20</v>
      </c>
      <c r="H3316" s="446">
        <f>H3315-G3316</f>
        <v/>
      </c>
      <c r="I3316" s="392" t="n"/>
      <c r="J3316" s="392" t="n"/>
      <c r="K3316" s="392" t="n"/>
      <c r="L3316" s="392" t="n"/>
      <c r="M3316" s="392" t="n"/>
    </row>
    <row r="3317">
      <c r="A3317" s="304" t="n">
        <v>44824</v>
      </c>
      <c r="B3317" s="401" t="n">
        <v>197551</v>
      </c>
      <c r="C3317" s="401" t="n">
        <v>83</v>
      </c>
      <c r="D3317" s="401" t="n"/>
      <c r="E3317" s="401" t="n"/>
      <c r="F3317" s="401" t="n">
        <v>150</v>
      </c>
      <c r="G3317" s="401" t="n"/>
      <c r="H3317" s="322" t="n">
        <v>2320</v>
      </c>
      <c r="I3317" s="392" t="n"/>
      <c r="J3317" s="392" t="n"/>
      <c r="K3317" s="392" t="n"/>
      <c r="L3317" s="392" t="n"/>
      <c r="M3317" s="392" t="n"/>
    </row>
    <row r="3318">
      <c r="A3318" s="304" t="n">
        <v>44824</v>
      </c>
      <c r="B3318" s="401" t="n">
        <v>197551</v>
      </c>
      <c r="C3318" s="401" t="n">
        <v>84</v>
      </c>
      <c r="D3318" s="401" t="n"/>
      <c r="E3318" s="401" t="n"/>
      <c r="F3318" s="401" t="n">
        <v>150</v>
      </c>
      <c r="G3318" s="401" t="n"/>
      <c r="H3318" s="322" t="n">
        <v>2470</v>
      </c>
      <c r="I3318" s="392" t="n"/>
      <c r="J3318" s="392" t="n"/>
      <c r="K3318" s="392" t="n"/>
      <c r="L3318" s="392" t="n"/>
      <c r="M3318" s="392" t="n"/>
    </row>
    <row r="3319">
      <c r="A3319" s="568" t="n">
        <v>44824</v>
      </c>
      <c r="B3319" s="392" t="n">
        <v>9503</v>
      </c>
      <c r="C3319" s="392" t="n">
        <v>98</v>
      </c>
      <c r="D3319" s="392" t="n"/>
      <c r="E3319" s="392" t="n"/>
      <c r="F3319" s="392" t="n"/>
      <c r="G3319" s="392" t="n">
        <v>45</v>
      </c>
      <c r="H3319" s="446">
        <f>H3318-G3319</f>
        <v/>
      </c>
      <c r="I3319" s="392" t="n"/>
      <c r="J3319" s="392" t="n"/>
      <c r="K3319" s="392" t="n"/>
      <c r="L3319" s="392" t="n"/>
      <c r="M3319" s="392" t="n"/>
    </row>
    <row r="3320">
      <c r="A3320" s="568" t="n">
        <v>44824</v>
      </c>
      <c r="B3320" s="392" t="n">
        <v>9504</v>
      </c>
      <c r="C3320" s="392" t="n">
        <v>100</v>
      </c>
      <c r="D3320" s="392" t="n"/>
      <c r="E3320" s="392" t="n"/>
      <c r="F3320" s="392" t="n"/>
      <c r="G3320" s="392" t="n">
        <v>30</v>
      </c>
      <c r="H3320" s="446">
        <f>H3319-G3320</f>
        <v/>
      </c>
      <c r="I3320" s="392" t="n"/>
      <c r="J3320" s="392" t="n"/>
      <c r="K3320" s="392" t="n"/>
      <c r="L3320" s="392" t="n"/>
      <c r="M3320" s="392" t="n"/>
    </row>
    <row r="3321">
      <c r="A3321" s="568" t="n">
        <v>44824</v>
      </c>
      <c r="B3321" s="392" t="n">
        <v>9506</v>
      </c>
      <c r="C3321" s="392" t="n">
        <v>100</v>
      </c>
      <c r="D3321" s="392" t="n"/>
      <c r="E3321" s="392" t="n"/>
      <c r="F3321" s="392" t="n"/>
      <c r="G3321" s="392" t="n">
        <v>50</v>
      </c>
      <c r="H3321" s="446">
        <f>H3320-G3321</f>
        <v/>
      </c>
      <c r="I3321" s="392" t="n"/>
      <c r="J3321" s="392" t="n"/>
      <c r="K3321" s="392" t="n"/>
      <c r="L3321" s="392" t="n"/>
      <c r="M3321" s="392" t="n"/>
    </row>
    <row r="3322">
      <c r="A3322" s="568" t="n">
        <v>44824</v>
      </c>
      <c r="B3322" s="392" t="n">
        <v>9507</v>
      </c>
      <c r="C3322" s="392" t="n">
        <v>100</v>
      </c>
      <c r="D3322" s="392" t="n"/>
      <c r="E3322" s="392" t="n"/>
      <c r="F3322" s="392" t="n"/>
      <c r="G3322" s="392" t="n">
        <v>30</v>
      </c>
      <c r="H3322" s="446">
        <f>H3321-G3322</f>
        <v/>
      </c>
      <c r="I3322" s="392" t="n"/>
      <c r="J3322" s="392" t="n"/>
      <c r="K3322" s="392" t="n"/>
      <c r="L3322" s="392" t="n"/>
      <c r="M3322" s="392" t="n"/>
    </row>
    <row r="3323">
      <c r="A3323" s="568" t="n">
        <v>44824</v>
      </c>
      <c r="B3323" s="392" t="n">
        <v>9508</v>
      </c>
      <c r="C3323" s="392" t="n">
        <v>95</v>
      </c>
      <c r="D3323" s="392" t="n"/>
      <c r="E3323" s="392" t="n"/>
      <c r="F3323" s="392" t="n"/>
      <c r="G3323" s="392" t="n">
        <v>50</v>
      </c>
      <c r="H3323" s="446">
        <f>H3322-G3323</f>
        <v/>
      </c>
      <c r="I3323" s="392" t="n"/>
      <c r="J3323" s="392" t="n"/>
      <c r="K3323" s="392" t="n"/>
      <c r="L3323" s="392" t="n"/>
      <c r="M3323" s="392" t="n"/>
    </row>
    <row r="3324">
      <c r="A3324" s="568" t="n">
        <v>44824</v>
      </c>
      <c r="B3324" s="392" t="n">
        <v>9509</v>
      </c>
      <c r="C3324" s="392" t="n">
        <v>101.34</v>
      </c>
      <c r="D3324" s="392" t="n"/>
      <c r="E3324" s="392" t="n"/>
      <c r="F3324" s="392" t="n"/>
      <c r="G3324" s="392" t="n">
        <v>30</v>
      </c>
      <c r="H3324" s="446">
        <f>H3323-G3324</f>
        <v/>
      </c>
      <c r="I3324" s="392" t="n"/>
      <c r="J3324" s="392" t="n"/>
      <c r="K3324" s="392" t="n"/>
      <c r="L3324" s="392" t="n"/>
      <c r="M3324" s="392" t="n"/>
    </row>
    <row r="3325">
      <c r="A3325" s="568" t="n">
        <v>44824</v>
      </c>
      <c r="B3325" s="392" t="n">
        <v>9512</v>
      </c>
      <c r="C3325" s="392" t="n">
        <v>98</v>
      </c>
      <c r="D3325" s="392" t="n"/>
      <c r="E3325" s="392" t="n"/>
      <c r="F3325" s="392" t="n"/>
      <c r="G3325" s="392" t="n">
        <v>30</v>
      </c>
      <c r="H3325" s="446">
        <f>H3324-G3325</f>
        <v/>
      </c>
      <c r="I3325" s="392" t="n"/>
      <c r="J3325" s="392" t="n"/>
      <c r="K3325" s="392" t="n"/>
      <c r="L3325" s="392" t="n"/>
      <c r="M3325" s="392" t="n"/>
    </row>
    <row r="3326">
      <c r="A3326" s="568" t="n">
        <v>44824</v>
      </c>
      <c r="B3326" s="392" t="n">
        <v>9514</v>
      </c>
      <c r="C3326" s="392" t="n">
        <v>98</v>
      </c>
      <c r="D3326" s="392" t="n"/>
      <c r="E3326" s="392" t="n"/>
      <c r="F3326" s="392" t="n"/>
      <c r="G3326" s="392" t="n">
        <v>20</v>
      </c>
      <c r="H3326" s="446">
        <f>H3325-G3326</f>
        <v/>
      </c>
      <c r="I3326" s="392" t="n"/>
      <c r="J3326" s="392" t="n"/>
      <c r="K3326" s="392" t="n"/>
      <c r="L3326" s="392" t="n"/>
      <c r="M3326" s="392" t="n"/>
    </row>
    <row r="3327">
      <c r="A3327" s="568" t="n">
        <v>44824</v>
      </c>
      <c r="B3327" s="392" t="n">
        <v>9516</v>
      </c>
      <c r="C3327" s="392" t="n">
        <v>100</v>
      </c>
      <c r="D3327" s="392" t="n"/>
      <c r="E3327" s="392" t="n"/>
      <c r="F3327" s="392" t="n"/>
      <c r="G3327" s="392" t="n">
        <v>36</v>
      </c>
      <c r="H3327" s="446">
        <f>H3326-G3327</f>
        <v/>
      </c>
      <c r="I3327" s="392" t="n"/>
      <c r="J3327" s="392" t="n"/>
      <c r="K3327" s="392" t="n"/>
      <c r="L3327" s="392" t="n"/>
      <c r="M3327" s="392" t="n"/>
    </row>
    <row r="3328">
      <c r="A3328" s="568" t="n">
        <v>44824</v>
      </c>
      <c r="B3328" s="392" t="n">
        <v>9517</v>
      </c>
      <c r="C3328" s="392" t="n">
        <v>98</v>
      </c>
      <c r="D3328" s="392" t="n"/>
      <c r="E3328" s="392" t="n"/>
      <c r="F3328" s="392" t="n"/>
      <c r="G3328" s="392" t="n">
        <v>10</v>
      </c>
      <c r="H3328" s="446">
        <f>H3327-G3328</f>
        <v/>
      </c>
      <c r="I3328" s="392" t="n"/>
      <c r="J3328" s="392" t="n"/>
      <c r="K3328" s="392" t="n"/>
      <c r="L3328" s="392" t="n"/>
      <c r="M3328" s="392" t="n"/>
    </row>
    <row r="3329">
      <c r="A3329" s="568" t="n">
        <v>44824</v>
      </c>
      <c r="B3329" s="392" t="n">
        <v>9519</v>
      </c>
      <c r="C3329" s="392" t="n">
        <v>98</v>
      </c>
      <c r="D3329" s="392" t="n"/>
      <c r="E3329" s="392" t="n"/>
      <c r="F3329" s="392" t="n"/>
      <c r="G3329" s="392" t="n">
        <v>20</v>
      </c>
      <c r="H3329" s="446">
        <f>H3328-G3329</f>
        <v/>
      </c>
      <c r="I3329" s="392" t="n"/>
      <c r="J3329" s="392" t="n"/>
      <c r="K3329" s="392" t="n"/>
      <c r="L3329" s="392" t="n"/>
      <c r="M3329" s="392" t="n"/>
    </row>
    <row r="3330">
      <c r="A3330" s="568" t="n">
        <v>44825</v>
      </c>
      <c r="B3330" s="392" t="n">
        <v>9522</v>
      </c>
      <c r="C3330" s="392" t="n">
        <v>100</v>
      </c>
      <c r="D3330" s="392" t="n"/>
      <c r="E3330" s="392" t="n"/>
      <c r="F3330" s="392" t="n"/>
      <c r="G3330" s="392" t="n">
        <v>10</v>
      </c>
      <c r="H3330" s="446">
        <f>H3329-G3330</f>
        <v/>
      </c>
      <c r="I3330" s="392" t="n"/>
      <c r="J3330" s="392" t="n"/>
      <c r="K3330" s="392" t="n"/>
      <c r="L3330" s="392" t="n"/>
      <c r="M3330" s="392" t="n"/>
    </row>
    <row r="3331">
      <c r="A3331" s="568" t="n">
        <v>44825</v>
      </c>
      <c r="B3331" s="392" t="n">
        <v>9523</v>
      </c>
      <c r="C3331" s="392" t="n">
        <v>99</v>
      </c>
      <c r="D3331" s="392" t="n"/>
      <c r="E3331" s="392" t="n"/>
      <c r="F3331" s="392" t="n"/>
      <c r="G3331" s="392" t="n">
        <v>10</v>
      </c>
      <c r="H3331" s="446">
        <f>H3330-G3331</f>
        <v/>
      </c>
      <c r="I3331" s="392" t="n"/>
      <c r="J3331" s="392" t="n"/>
      <c r="K3331" s="392" t="n"/>
      <c r="L3331" s="392" t="n"/>
      <c r="M3331" s="392" t="n"/>
    </row>
    <row r="3332">
      <c r="A3332" s="568" t="n">
        <v>44826</v>
      </c>
      <c r="B3332" s="392" t="n">
        <v>9524</v>
      </c>
      <c r="C3332" s="392" t="n">
        <v>100</v>
      </c>
      <c r="D3332" s="392" t="n"/>
      <c r="E3332" s="392" t="n"/>
      <c r="F3332" s="392" t="n"/>
      <c r="G3332" s="392" t="n">
        <v>10</v>
      </c>
      <c r="H3332" s="446">
        <f>H3331-G3332</f>
        <v/>
      </c>
      <c r="I3332" s="392" t="n"/>
      <c r="J3332" s="392" t="n"/>
      <c r="K3332" s="392" t="n"/>
      <c r="L3332" s="392" t="n"/>
      <c r="M3332" s="392" t="n"/>
    </row>
    <row r="3333">
      <c r="A3333" s="568" t="n">
        <v>44831</v>
      </c>
      <c r="B3333" s="392" t="n">
        <v>9527</v>
      </c>
      <c r="C3333" s="392" t="n">
        <v>98</v>
      </c>
      <c r="D3333" s="392" t="n"/>
      <c r="E3333" s="392" t="n"/>
      <c r="F3333" s="392" t="n"/>
      <c r="G3333" s="392" t="n">
        <v>20</v>
      </c>
      <c r="H3333" s="446">
        <f>H3332-G3333</f>
        <v/>
      </c>
      <c r="I3333" s="392" t="n"/>
      <c r="J3333" s="392" t="n"/>
      <c r="K3333" s="392" t="n"/>
      <c r="L3333" s="392" t="n"/>
      <c r="M3333" s="392" t="n"/>
    </row>
    <row r="3334">
      <c r="A3334" s="568" t="n">
        <v>44831</v>
      </c>
      <c r="B3334" s="392" t="n">
        <v>9529</v>
      </c>
      <c r="C3334" s="392" t="n">
        <v>101.25</v>
      </c>
      <c r="D3334" s="392" t="n"/>
      <c r="E3334" s="392" t="n"/>
      <c r="F3334" s="392" t="n"/>
      <c r="G3334" s="392" t="n">
        <v>20</v>
      </c>
      <c r="H3334" s="446">
        <f>H3333-G3334</f>
        <v/>
      </c>
      <c r="I3334" s="392" t="n"/>
      <c r="J3334" s="392" t="n"/>
      <c r="K3334" s="392" t="n"/>
      <c r="L3334" s="392" t="n"/>
      <c r="M3334" s="392" t="n"/>
    </row>
    <row r="3335">
      <c r="A3335" s="568" t="n">
        <v>44831</v>
      </c>
      <c r="B3335" s="392" t="n">
        <v>9530</v>
      </c>
      <c r="C3335" s="392" t="n">
        <v>100</v>
      </c>
      <c r="D3335" s="392" t="n"/>
      <c r="E3335" s="392" t="n"/>
      <c r="F3335" s="392" t="n"/>
      <c r="G3335" s="392" t="n">
        <v>30</v>
      </c>
      <c r="H3335" s="446">
        <f>H3334-G3335</f>
        <v/>
      </c>
      <c r="I3335" s="392" t="n"/>
      <c r="J3335" s="392" t="n"/>
      <c r="K3335" s="392" t="n"/>
      <c r="L3335" s="392" t="n"/>
      <c r="M3335" s="392" t="n"/>
    </row>
    <row r="3336">
      <c r="A3336" s="568" t="n">
        <v>44831</v>
      </c>
      <c r="B3336" s="392" t="n">
        <v>9532</v>
      </c>
      <c r="C3336" s="392" t="n">
        <v>100.6</v>
      </c>
      <c r="D3336" s="392" t="n"/>
      <c r="E3336" s="392" t="n"/>
      <c r="F3336" s="392" t="n"/>
      <c r="G3336" s="392" t="n">
        <v>25</v>
      </c>
      <c r="H3336" s="446">
        <f>H3335-G3336</f>
        <v/>
      </c>
      <c r="I3336" s="392" t="n"/>
      <c r="J3336" s="392" t="n"/>
      <c r="K3336" s="392" t="n"/>
      <c r="L3336" s="392" t="n"/>
      <c r="M3336" s="392" t="n"/>
    </row>
    <row r="3337">
      <c r="A3337" s="568" t="n">
        <v>44831</v>
      </c>
      <c r="B3337" s="392" t="n">
        <v>9533</v>
      </c>
      <c r="C3337" s="392" t="n">
        <v>108</v>
      </c>
      <c r="D3337" s="392" t="n"/>
      <c r="E3337" s="392" t="n"/>
      <c r="F3337" s="392" t="n"/>
      <c r="G3337" s="392" t="n">
        <v>30</v>
      </c>
      <c r="H3337" s="446">
        <f>H3336-G3337</f>
        <v/>
      </c>
      <c r="I3337" s="392" t="n"/>
      <c r="J3337" s="392" t="n"/>
      <c r="K3337" s="392" t="n"/>
      <c r="L3337" s="392" t="n"/>
      <c r="M3337" s="392" t="n"/>
    </row>
    <row r="3338">
      <c r="A3338" s="568" t="n">
        <v>44832</v>
      </c>
      <c r="B3338" s="392" t="n">
        <v>9537</v>
      </c>
      <c r="C3338" s="392" t="n">
        <v>98</v>
      </c>
      <c r="D3338" s="392" t="n"/>
      <c r="E3338" s="392" t="n"/>
      <c r="F3338" s="392" t="n"/>
      <c r="G3338" s="392" t="n">
        <v>10</v>
      </c>
      <c r="H3338" s="446">
        <f>H3337-G3338</f>
        <v/>
      </c>
      <c r="I3338" s="392" t="n"/>
      <c r="J3338" s="392" t="n"/>
      <c r="K3338" s="392" t="n"/>
      <c r="L3338" s="392" t="n"/>
      <c r="M3338" s="392" t="n"/>
    </row>
    <row r="3339" ht="15.75" customHeight="1" s="436" thickBot="1">
      <c r="H3339" s="390" t="n"/>
    </row>
    <row r="3340" ht="32.25" customHeight="1" s="436" thickBot="1">
      <c r="A3340" s="735" t="inlineStr">
        <is>
          <t>Outubro</t>
        </is>
      </c>
      <c r="B3340" s="697" t="n"/>
      <c r="C3340" s="697" t="n"/>
      <c r="D3340" s="697" t="n"/>
      <c r="E3340" s="697" t="n"/>
      <c r="F3340" s="697" t="n"/>
      <c r="G3340" s="697" t="n"/>
      <c r="H3340" s="697" t="n"/>
      <c r="I3340" s="697" t="n"/>
      <c r="J3340" s="697" t="n"/>
      <c r="K3340" s="697" t="n"/>
      <c r="L3340" s="697" t="n"/>
      <c r="M3340" s="698" t="n"/>
    </row>
    <row r="3341" ht="27" customHeight="1" s="436" thickBot="1">
      <c r="A3341" s="720" t="inlineStr">
        <is>
          <t xml:space="preserve"> FARINHA DE TRIGO TIPO: 1 - 25 KG</t>
        </is>
      </c>
      <c r="B3341" s="697" t="n"/>
      <c r="C3341" s="697" t="n"/>
      <c r="D3341" s="697" t="n"/>
      <c r="E3341" s="697" t="n"/>
      <c r="F3341" s="697" t="n"/>
      <c r="G3341" s="697" t="n"/>
      <c r="H3341" s="697" t="n"/>
      <c r="I3341" s="697" t="n"/>
      <c r="J3341" s="697" t="n"/>
      <c r="K3341" s="697" t="n"/>
      <c r="L3341" s="697" t="n"/>
      <c r="M3341" s="698" t="n"/>
    </row>
    <row r="3342">
      <c r="A3342" s="643" t="inlineStr">
        <is>
          <t>DATA</t>
        </is>
      </c>
      <c r="B3342" s="633" t="inlineStr">
        <is>
          <t>N.F.</t>
        </is>
      </c>
      <c r="C3342" s="633" t="inlineStr">
        <is>
          <t>TIPO</t>
        </is>
      </c>
      <c r="D3342" s="670" t="inlineStr">
        <is>
          <t>PREÇO UNITÁRIO</t>
        </is>
      </c>
      <c r="E3342" s="701" t="n"/>
      <c r="F3342" s="633" t="inlineStr">
        <is>
          <t>QUANTIDADE / KG</t>
        </is>
      </c>
      <c r="H3342" s="701" t="n"/>
      <c r="I3342" s="632" t="inlineStr">
        <is>
          <t>PREÇO</t>
        </is>
      </c>
      <c r="J3342" s="632" t="inlineStr">
        <is>
          <t>VALORES</t>
        </is>
      </c>
      <c r="L3342" s="701" t="n"/>
      <c r="M3342" s="649" t="n"/>
    </row>
    <row r="3343" ht="15.75" customHeight="1" s="436" thickBot="1">
      <c r="A3343" s="703" t="n"/>
      <c r="B3343" s="704" t="n"/>
      <c r="C3343" s="704" t="n"/>
      <c r="D3343" s="703" t="n"/>
      <c r="E3343" s="701" t="n"/>
      <c r="F3343" s="705" t="n"/>
      <c r="G3343" s="706" t="n"/>
      <c r="H3343" s="707" t="n"/>
      <c r="I3343" s="704" t="n"/>
      <c r="J3343" s="703" t="n"/>
      <c r="L3343" s="701" t="n"/>
      <c r="M3343" s="704" t="n"/>
    </row>
    <row r="3344" ht="15.75" customHeight="1" s="436" thickBot="1">
      <c r="A3344" s="703" t="n"/>
      <c r="B3344" s="704" t="n"/>
      <c r="C3344" s="704" t="n"/>
      <c r="D3344" s="705" t="n"/>
      <c r="E3344" s="707" t="n"/>
      <c r="F3344" s="3" t="inlineStr">
        <is>
          <t>ENTRADA</t>
        </is>
      </c>
      <c r="G3344" s="3" t="inlineStr">
        <is>
          <t>SAÍDA</t>
        </is>
      </c>
      <c r="H3344" s="640" t="n"/>
      <c r="I3344" s="633" t="inlineStr">
        <is>
          <t>MÉDIO</t>
        </is>
      </c>
      <c r="J3344" s="652" t="inlineStr">
        <is>
          <t>SALDO EM 30/11/2017</t>
        </is>
      </c>
      <c r="K3344" s="706" t="n"/>
      <c r="L3344" s="17" t="n"/>
      <c r="M3344" s="704" t="n"/>
    </row>
    <row r="3345" ht="18" customHeight="1" s="436" thickBot="1">
      <c r="A3345" s="705" t="n"/>
      <c r="B3345" s="695" t="n"/>
      <c r="C3345" s="695" t="n"/>
      <c r="D3345" s="3" t="inlineStr">
        <is>
          <t>C/ICMS</t>
        </is>
      </c>
      <c r="E3345" s="3" t="inlineStr">
        <is>
          <t>S/ICMS</t>
        </is>
      </c>
      <c r="F3345" s="695" t="n"/>
      <c r="G3345" s="695" t="n"/>
      <c r="H3345" s="84" t="inlineStr">
        <is>
          <t>Saldo em 30/09/2022</t>
        </is>
      </c>
      <c r="I3345" s="695" t="n"/>
      <c r="J3345" s="645" t="inlineStr">
        <is>
          <t>ENTRADA</t>
        </is>
      </c>
      <c r="K3345" s="633" t="inlineStr">
        <is>
          <t>SAÍDA / CMV</t>
        </is>
      </c>
      <c r="L3345" s="643" t="inlineStr">
        <is>
          <t>SALDO</t>
        </is>
      </c>
      <c r="M3345" s="392" t="n"/>
    </row>
    <row r="3346">
      <c r="A3346" s="392" t="n"/>
      <c r="B3346" s="392" t="n"/>
      <c r="C3346" s="392" t="n"/>
      <c r="D3346" s="392" t="n"/>
      <c r="E3346" s="392" t="n"/>
      <c r="F3346" s="392" t="n"/>
      <c r="G3346" s="392" t="n"/>
      <c r="H3346" s="446" t="n">
        <v>1954</v>
      </c>
      <c r="I3346" s="392" t="n"/>
      <c r="J3346" s="392" t="n"/>
      <c r="K3346" s="392" t="n"/>
      <c r="L3346" s="392" t="n"/>
      <c r="M3346" s="392" t="n"/>
    </row>
    <row r="3347">
      <c r="A3347" s="568" t="n">
        <v>44837</v>
      </c>
      <c r="B3347" s="392" t="n">
        <v>9541</v>
      </c>
      <c r="C3347" s="392" t="n">
        <v>107</v>
      </c>
      <c r="D3347" s="392" t="n"/>
      <c r="E3347" s="392" t="n"/>
      <c r="F3347" s="392" t="n"/>
      <c r="G3347" s="392" t="n">
        <v>150</v>
      </c>
      <c r="H3347" s="446">
        <f>H3346-G3347</f>
        <v/>
      </c>
      <c r="I3347" s="392" t="n"/>
      <c r="J3347" s="392" t="n"/>
      <c r="K3347" s="392" t="n"/>
      <c r="L3347" s="392" t="n"/>
      <c r="M3347" s="392" t="n"/>
    </row>
    <row r="3348">
      <c r="A3348" s="568" t="n">
        <v>44837</v>
      </c>
      <c r="B3348" s="392" t="n">
        <v>9542</v>
      </c>
      <c r="C3348" s="392" t="n">
        <v>108</v>
      </c>
      <c r="D3348" s="392" t="n"/>
      <c r="E3348" s="392" t="n"/>
      <c r="F3348" s="392" t="n"/>
      <c r="G3348" s="392" t="n">
        <v>20</v>
      </c>
      <c r="H3348" s="446">
        <f>H3347-G3348</f>
        <v/>
      </c>
      <c r="I3348" s="392" t="n"/>
      <c r="J3348" s="392" t="n"/>
      <c r="K3348" s="392" t="n"/>
      <c r="L3348" s="392" t="n"/>
      <c r="M3348" s="392" t="n"/>
    </row>
    <row r="3349">
      <c r="A3349" s="568" t="n">
        <v>44839</v>
      </c>
      <c r="B3349" s="392" t="n">
        <v>9551</v>
      </c>
      <c r="C3349" s="392" t="n">
        <v>100</v>
      </c>
      <c r="D3349" s="392" t="n"/>
      <c r="E3349" s="392" t="n"/>
      <c r="F3349" s="392" t="n"/>
      <c r="G3349" s="392" t="n">
        <v>30</v>
      </c>
      <c r="H3349" s="446">
        <f>H3348-G3349</f>
        <v/>
      </c>
      <c r="I3349" s="392" t="n"/>
      <c r="J3349" s="392" t="n"/>
      <c r="K3349" s="392" t="n"/>
      <c r="L3349" s="392" t="n"/>
      <c r="M3349" s="392" t="n"/>
    </row>
    <row r="3350">
      <c r="A3350" s="568" t="n">
        <v>44839</v>
      </c>
      <c r="B3350" s="392" t="n">
        <v>9552</v>
      </c>
      <c r="C3350" s="392" t="n">
        <v>99</v>
      </c>
      <c r="D3350" s="392" t="n"/>
      <c r="E3350" s="392" t="n"/>
      <c r="F3350" s="392" t="n"/>
      <c r="G3350" s="392" t="n">
        <v>25</v>
      </c>
      <c r="H3350" s="446">
        <f>H3349-G3350</f>
        <v/>
      </c>
      <c r="I3350" s="392" t="n"/>
      <c r="J3350" s="392" t="n"/>
      <c r="K3350" s="392" t="n"/>
      <c r="L3350" s="392" t="n"/>
      <c r="M3350" s="392" t="n"/>
    </row>
    <row r="3351">
      <c r="A3351" s="568" t="n">
        <v>44839</v>
      </c>
      <c r="B3351" s="392" t="n">
        <v>9553</v>
      </c>
      <c r="C3351" s="392" t="n">
        <v>100.85</v>
      </c>
      <c r="D3351" s="392" t="n"/>
      <c r="E3351" s="392" t="n"/>
      <c r="F3351" s="392" t="n"/>
      <c r="G3351" s="392" t="n">
        <v>13</v>
      </c>
      <c r="H3351" s="446">
        <f>H3350-G3351</f>
        <v/>
      </c>
      <c r="I3351" s="392" t="n"/>
      <c r="J3351" s="392" t="n"/>
      <c r="K3351" s="392" t="n"/>
      <c r="L3351" s="392" t="n"/>
      <c r="M3351" s="392" t="n"/>
    </row>
    <row r="3352">
      <c r="A3352" s="568" t="n">
        <v>44839</v>
      </c>
      <c r="B3352" s="392" t="n">
        <v>9558</v>
      </c>
      <c r="C3352" s="392" t="n">
        <v>99</v>
      </c>
      <c r="D3352" s="392" t="n"/>
      <c r="E3352" s="392" t="n"/>
      <c r="F3352" s="392" t="n"/>
      <c r="G3352" s="392" t="n">
        <v>30</v>
      </c>
      <c r="H3352" s="446">
        <f>H3351-G3352</f>
        <v/>
      </c>
      <c r="I3352" s="392" t="n"/>
      <c r="J3352" s="392" t="n"/>
      <c r="K3352" s="392" t="n"/>
      <c r="L3352" s="392" t="n"/>
      <c r="M3352" s="392" t="n"/>
    </row>
    <row r="3353">
      <c r="A3353" s="568" t="n">
        <v>44839</v>
      </c>
      <c r="B3353" s="392" t="n">
        <v>9559</v>
      </c>
      <c r="C3353" s="392" t="n">
        <v>103.5</v>
      </c>
      <c r="D3353" s="392" t="n"/>
      <c r="E3353" s="392" t="n"/>
      <c r="F3353" s="392" t="n"/>
      <c r="G3353" s="392" t="n">
        <v>30</v>
      </c>
      <c r="H3353" s="446">
        <f>H3352-G3353</f>
        <v/>
      </c>
      <c r="I3353" s="392" t="n"/>
      <c r="J3353" s="392" t="n"/>
      <c r="K3353" s="392" t="n"/>
      <c r="L3353" s="392" t="n"/>
      <c r="M3353" s="392" t="n"/>
    </row>
    <row r="3354">
      <c r="A3354" s="568" t="n">
        <v>44839</v>
      </c>
      <c r="B3354" s="392" t="n">
        <v>9560</v>
      </c>
      <c r="C3354" s="392" t="n">
        <v>108</v>
      </c>
      <c r="D3354" s="392" t="n"/>
      <c r="E3354" s="392" t="n"/>
      <c r="F3354" s="392" t="n"/>
      <c r="G3354" s="392" t="n">
        <v>30</v>
      </c>
      <c r="H3354" s="446">
        <f>H3353-G3354</f>
        <v/>
      </c>
      <c r="I3354" s="392" t="n"/>
      <c r="J3354" s="392" t="n"/>
      <c r="K3354" s="392" t="n"/>
      <c r="L3354" s="392" t="n"/>
      <c r="M3354" s="392" t="n"/>
    </row>
    <row r="3355">
      <c r="A3355" s="568" t="n">
        <v>44839</v>
      </c>
      <c r="B3355" s="392" t="n">
        <v>9562</v>
      </c>
      <c r="C3355" s="392" t="n">
        <v>98</v>
      </c>
      <c r="D3355" s="392" t="n"/>
      <c r="E3355" s="392" t="n"/>
      <c r="F3355" s="392" t="n"/>
      <c r="G3355" s="392" t="n">
        <v>4</v>
      </c>
      <c r="H3355" s="446">
        <f>H3354-G3355</f>
        <v/>
      </c>
      <c r="I3355" s="392" t="n"/>
      <c r="J3355" s="392" t="n"/>
      <c r="K3355" s="392" t="n"/>
      <c r="L3355" s="392" t="n"/>
      <c r="M3355" s="392" t="n"/>
    </row>
    <row r="3356">
      <c r="A3356" s="568" t="n">
        <v>44839</v>
      </c>
      <c r="B3356" s="392" t="n">
        <v>9563</v>
      </c>
      <c r="C3356" s="392" t="n">
        <v>100</v>
      </c>
      <c r="D3356" s="392" t="n"/>
      <c r="E3356" s="392" t="n"/>
      <c r="F3356" s="392" t="n"/>
      <c r="G3356" s="392" t="n">
        <v>30</v>
      </c>
      <c r="H3356" s="446">
        <f>H3355-G3356</f>
        <v/>
      </c>
      <c r="I3356" s="392" t="n"/>
      <c r="J3356" s="392" t="n"/>
      <c r="K3356" s="392" t="n"/>
      <c r="L3356" s="392" t="n"/>
      <c r="M3356" s="392" t="n"/>
    </row>
    <row r="3357">
      <c r="A3357" s="304" t="n">
        <v>44840</v>
      </c>
      <c r="B3357" s="401" t="n">
        <v>24868</v>
      </c>
      <c r="C3357" s="401" t="n">
        <v>85</v>
      </c>
      <c r="D3357" s="401" t="n"/>
      <c r="E3357" s="401" t="n"/>
      <c r="F3357" s="401" t="n">
        <v>1200</v>
      </c>
      <c r="G3357" s="401" t="n"/>
      <c r="H3357" s="322" t="n">
        <v>2792</v>
      </c>
      <c r="I3357" s="392" t="n"/>
      <c r="J3357" s="392" t="n"/>
      <c r="K3357" s="392" t="n"/>
      <c r="L3357" s="392" t="n"/>
      <c r="M3357" s="392" t="n"/>
    </row>
    <row r="3358">
      <c r="A3358" s="568" t="n">
        <v>44841</v>
      </c>
      <c r="B3358" s="392" t="n">
        <v>9564</v>
      </c>
      <c r="C3358" s="392" t="n">
        <v>104</v>
      </c>
      <c r="D3358" s="392" t="n"/>
      <c r="E3358" s="392" t="n"/>
      <c r="F3358" s="392" t="n"/>
      <c r="G3358" s="392" t="n">
        <v>35</v>
      </c>
      <c r="H3358" s="446">
        <f>H3357-G3358</f>
        <v/>
      </c>
      <c r="I3358" s="392" t="n"/>
      <c r="J3358" s="392" t="n"/>
      <c r="K3358" s="392" t="n"/>
      <c r="L3358" s="392" t="n"/>
      <c r="M3358" s="392" t="n"/>
    </row>
    <row r="3359">
      <c r="A3359" s="568" t="n">
        <v>44841</v>
      </c>
      <c r="B3359" s="392" t="n">
        <v>9565</v>
      </c>
      <c r="C3359" s="392" t="n">
        <v>98</v>
      </c>
      <c r="D3359" s="392" t="n"/>
      <c r="E3359" s="392" t="n"/>
      <c r="F3359" s="392" t="n"/>
      <c r="G3359" s="392" t="n">
        <v>20</v>
      </c>
      <c r="H3359" s="446">
        <f>H3358-G3359</f>
        <v/>
      </c>
      <c r="I3359" s="392" t="n"/>
      <c r="J3359" s="392" t="n"/>
      <c r="K3359" s="392" t="n"/>
      <c r="L3359" s="392" t="n"/>
      <c r="M3359" s="392" t="n"/>
    </row>
    <row r="3360">
      <c r="A3360" s="304" t="n">
        <v>44842</v>
      </c>
      <c r="B3360" s="401" t="n">
        <v>198993</v>
      </c>
      <c r="C3360" s="401" t="n">
        <v>84</v>
      </c>
      <c r="D3360" s="401" t="n"/>
      <c r="E3360" s="401" t="n"/>
      <c r="F3360" s="401" t="n">
        <v>100</v>
      </c>
      <c r="G3360" s="401" t="n"/>
      <c r="H3360" s="322" t="n">
        <v>2837</v>
      </c>
      <c r="I3360" s="392" t="n"/>
      <c r="J3360" s="392" t="n"/>
      <c r="K3360" s="392" t="n"/>
      <c r="L3360" s="392" t="n"/>
      <c r="M3360" s="392" t="n"/>
    </row>
    <row r="3361">
      <c r="A3361" s="568" t="n">
        <v>44844</v>
      </c>
      <c r="B3361" s="392" t="n">
        <v>9567</v>
      </c>
      <c r="C3361" s="392" t="n">
        <v>100</v>
      </c>
      <c r="D3361" s="392" t="n"/>
      <c r="E3361" s="392" t="n"/>
      <c r="F3361" s="392" t="n"/>
      <c r="G3361" s="392" t="n">
        <v>20</v>
      </c>
      <c r="H3361" s="446">
        <f>H3360-G3361</f>
        <v/>
      </c>
      <c r="I3361" s="392" t="n"/>
      <c r="J3361" s="392" t="n"/>
      <c r="K3361" s="392" t="n"/>
      <c r="L3361" s="392" t="n"/>
      <c r="M3361" s="392" t="n"/>
    </row>
    <row r="3362">
      <c r="A3362" s="568" t="n">
        <v>44846</v>
      </c>
      <c r="B3362" s="392" t="n">
        <v>9571</v>
      </c>
      <c r="C3362" s="392" t="n">
        <v>98</v>
      </c>
      <c r="D3362" s="392" t="n"/>
      <c r="E3362" s="392" t="n"/>
      <c r="F3362" s="392" t="n"/>
      <c r="G3362" s="392" t="n">
        <v>30</v>
      </c>
      <c r="H3362" s="446">
        <f>H3361-G3362</f>
        <v/>
      </c>
      <c r="I3362" s="392" t="n"/>
      <c r="J3362" s="392" t="n"/>
      <c r="K3362" s="392" t="n"/>
      <c r="L3362" s="392" t="n"/>
      <c r="M3362" s="392" t="n"/>
    </row>
    <row r="3363">
      <c r="A3363" s="568" t="n">
        <v>44846</v>
      </c>
      <c r="B3363" s="392" t="n">
        <v>9572</v>
      </c>
      <c r="C3363" s="392" t="n">
        <v>98</v>
      </c>
      <c r="D3363" s="392" t="n"/>
      <c r="E3363" s="392" t="n"/>
      <c r="F3363" s="392" t="n"/>
      <c r="G3363" s="392" t="n">
        <v>30</v>
      </c>
      <c r="H3363" s="446">
        <f>H3362-G3363</f>
        <v/>
      </c>
      <c r="I3363" s="392" t="n"/>
      <c r="J3363" s="392" t="n"/>
      <c r="K3363" s="392" t="n"/>
      <c r="L3363" s="392" t="n"/>
      <c r="M3363" s="392" t="n"/>
    </row>
    <row r="3364">
      <c r="A3364" s="568" t="n">
        <v>44846</v>
      </c>
      <c r="B3364" s="392" t="n">
        <v>9574</v>
      </c>
      <c r="C3364" s="392" t="n">
        <v>98</v>
      </c>
      <c r="D3364" s="392" t="n"/>
      <c r="E3364" s="392" t="n"/>
      <c r="F3364" s="392" t="n"/>
      <c r="G3364" s="392" t="n">
        <v>15</v>
      </c>
      <c r="H3364" s="446">
        <f>H3363-G3364</f>
        <v/>
      </c>
      <c r="I3364" s="392" t="n"/>
      <c r="J3364" s="392" t="n"/>
      <c r="K3364" s="392" t="n"/>
      <c r="L3364" s="392" t="n"/>
      <c r="M3364" s="392" t="n"/>
    </row>
    <row r="3365">
      <c r="A3365" s="568" t="n">
        <v>44846</v>
      </c>
      <c r="B3365" s="392" t="n">
        <v>9575</v>
      </c>
      <c r="C3365" s="392" t="n">
        <v>98</v>
      </c>
      <c r="D3365" s="392" t="n"/>
      <c r="E3365" s="392" t="n"/>
      <c r="F3365" s="392" t="n"/>
      <c r="G3365" s="392" t="n">
        <v>15</v>
      </c>
      <c r="H3365" s="446">
        <f>H3364-G3365</f>
        <v/>
      </c>
      <c r="I3365" s="392" t="n"/>
      <c r="J3365" s="392" t="n"/>
      <c r="K3365" s="392" t="n"/>
      <c r="L3365" s="392" t="n"/>
      <c r="M3365" s="392" t="n"/>
    </row>
    <row r="3366">
      <c r="A3366" s="568" t="n">
        <v>44846</v>
      </c>
      <c r="B3366" s="392" t="n">
        <v>9580</v>
      </c>
      <c r="C3366" s="392" t="n">
        <v>99</v>
      </c>
      <c r="D3366" s="392" t="n"/>
      <c r="E3366" s="392" t="n"/>
      <c r="F3366" s="392" t="n"/>
      <c r="G3366" s="392" t="n">
        <v>15</v>
      </c>
      <c r="H3366" s="446">
        <f>H3365-G3366</f>
        <v/>
      </c>
      <c r="I3366" s="392" t="n"/>
      <c r="J3366" s="392" t="n"/>
      <c r="K3366" s="392" t="n"/>
      <c r="L3366" s="392" t="n"/>
      <c r="M3366" s="392" t="n"/>
    </row>
    <row r="3367">
      <c r="A3367" s="568" t="n">
        <v>44846</v>
      </c>
      <c r="B3367" s="392" t="n">
        <v>9581</v>
      </c>
      <c r="C3367" s="392" t="n">
        <v>101.34</v>
      </c>
      <c r="D3367" s="392" t="n"/>
      <c r="E3367" s="392" t="n"/>
      <c r="F3367" s="392" t="n"/>
      <c r="G3367" s="392" t="n">
        <v>30</v>
      </c>
      <c r="H3367" s="446">
        <f>H3366-G3367</f>
        <v/>
      </c>
      <c r="I3367" s="392" t="n"/>
      <c r="J3367" s="392" t="n"/>
      <c r="K3367" s="392" t="n"/>
      <c r="L3367" s="392" t="n"/>
      <c r="M3367" s="392" t="n"/>
    </row>
    <row r="3368">
      <c r="A3368" s="568" t="n">
        <v>44850</v>
      </c>
      <c r="B3368" s="392" t="n">
        <v>9591</v>
      </c>
      <c r="C3368" s="392" t="n">
        <v>98</v>
      </c>
      <c r="D3368" s="392" t="n"/>
      <c r="E3368" s="392" t="n"/>
      <c r="F3368" s="392" t="n"/>
      <c r="G3368" s="392" t="n">
        <v>20</v>
      </c>
      <c r="H3368" s="446">
        <f>H3367-G3368</f>
        <v/>
      </c>
      <c r="I3368" s="392" t="n"/>
      <c r="J3368" s="392" t="n"/>
      <c r="K3368" s="392" t="n"/>
      <c r="L3368" s="392" t="n"/>
      <c r="M3368" s="392" t="n"/>
    </row>
    <row r="3369">
      <c r="A3369" s="568" t="n">
        <v>44851</v>
      </c>
      <c r="B3369" s="392" t="n">
        <v>9593</v>
      </c>
      <c r="C3369" s="392" t="n">
        <v>95</v>
      </c>
      <c r="D3369" s="392" t="n"/>
      <c r="E3369" s="392" t="n"/>
      <c r="F3369" s="392" t="n"/>
      <c r="G3369" s="392" t="n">
        <v>30</v>
      </c>
      <c r="H3369" s="446">
        <f>H3368-G3369</f>
        <v/>
      </c>
      <c r="I3369" s="392" t="n"/>
      <c r="J3369" s="392" t="n"/>
      <c r="K3369" s="392" t="n"/>
      <c r="L3369" s="392" t="n"/>
      <c r="M3369" s="392" t="n"/>
    </row>
    <row r="3370">
      <c r="A3370" s="568" t="n">
        <v>44851</v>
      </c>
      <c r="B3370" s="392" t="n">
        <v>9594</v>
      </c>
      <c r="C3370" s="392" t="n">
        <v>96</v>
      </c>
      <c r="D3370" s="392" t="n"/>
      <c r="E3370" s="392" t="n"/>
      <c r="F3370" s="392" t="n"/>
      <c r="G3370" s="392" t="n">
        <v>200</v>
      </c>
      <c r="H3370" s="446">
        <f>H3369-G3370</f>
        <v/>
      </c>
      <c r="I3370" s="392" t="n"/>
      <c r="J3370" s="392" t="n"/>
      <c r="K3370" s="392" t="n"/>
      <c r="L3370" s="392" t="n"/>
      <c r="M3370" s="392" t="n"/>
    </row>
    <row r="3371">
      <c r="A3371" s="568" t="n">
        <v>44851</v>
      </c>
      <c r="B3371" s="392" t="n">
        <v>9595</v>
      </c>
      <c r="C3371" s="392" t="n">
        <v>98</v>
      </c>
      <c r="D3371" s="392" t="n"/>
      <c r="E3371" s="392" t="n"/>
      <c r="F3371" s="392" t="n"/>
      <c r="G3371" s="392" t="n">
        <v>50</v>
      </c>
      <c r="H3371" s="446">
        <f>H3370-G3371</f>
        <v/>
      </c>
      <c r="I3371" s="392" t="n"/>
      <c r="J3371" s="392" t="n"/>
      <c r="K3371" s="392" t="n"/>
      <c r="L3371" s="392" t="n"/>
      <c r="M3371" s="392" t="n"/>
    </row>
    <row r="3372">
      <c r="A3372" s="568" t="n">
        <v>44851</v>
      </c>
      <c r="B3372" s="392" t="n">
        <v>9596</v>
      </c>
      <c r="C3372" s="392" t="n">
        <v>108</v>
      </c>
      <c r="D3372" s="392" t="n"/>
      <c r="E3372" s="392" t="n"/>
      <c r="F3372" s="392" t="n"/>
      <c r="G3372" s="392" t="n">
        <v>20</v>
      </c>
      <c r="H3372" s="446">
        <f>H3371-G3372</f>
        <v/>
      </c>
      <c r="I3372" s="392" t="n"/>
      <c r="J3372" s="392" t="n"/>
      <c r="K3372" s="392" t="n"/>
      <c r="L3372" s="392" t="n"/>
      <c r="M3372" s="392" t="n"/>
    </row>
    <row r="3373">
      <c r="A3373" s="568" t="n">
        <v>44851</v>
      </c>
      <c r="B3373" s="392" t="n">
        <v>9597</v>
      </c>
      <c r="C3373" s="392" t="n">
        <v>100</v>
      </c>
      <c r="D3373" s="392" t="n"/>
      <c r="E3373" s="392" t="n"/>
      <c r="F3373" s="392" t="n"/>
      <c r="G3373" s="392" t="n">
        <v>30</v>
      </c>
      <c r="H3373" s="446">
        <f>H3372-G3373</f>
        <v/>
      </c>
      <c r="I3373" s="392" t="n"/>
      <c r="J3373" s="392" t="n"/>
      <c r="K3373" s="392" t="n"/>
      <c r="L3373" s="392" t="n"/>
      <c r="M3373" s="392" t="n"/>
    </row>
    <row r="3374">
      <c r="A3374" s="568" t="n">
        <v>44853</v>
      </c>
      <c r="B3374" s="392" t="n">
        <v>9598</v>
      </c>
      <c r="C3374" s="392" t="n">
        <v>99.5</v>
      </c>
      <c r="D3374" s="392" t="n"/>
      <c r="E3374" s="392" t="n"/>
      <c r="F3374" s="392" t="n"/>
      <c r="G3374" s="392" t="n">
        <v>10</v>
      </c>
      <c r="H3374" s="446">
        <f>H3373-G3374</f>
        <v/>
      </c>
      <c r="I3374" s="392" t="n"/>
      <c r="J3374" s="392" t="n"/>
      <c r="K3374" s="392" t="n"/>
      <c r="L3374" s="392" t="n"/>
      <c r="M3374" s="392" t="n"/>
    </row>
    <row r="3375">
      <c r="A3375" s="568" t="n">
        <v>44853</v>
      </c>
      <c r="B3375" s="392" t="n">
        <v>9599</v>
      </c>
      <c r="C3375" s="392" t="n">
        <v>95</v>
      </c>
      <c r="D3375" s="392" t="n"/>
      <c r="E3375" s="392" t="n"/>
      <c r="F3375" s="392" t="n"/>
      <c r="G3375" s="392" t="n">
        <v>50</v>
      </c>
      <c r="H3375" s="446">
        <f>H3374-G3375</f>
        <v/>
      </c>
      <c r="I3375" s="392" t="n"/>
      <c r="J3375" s="392" t="n"/>
      <c r="K3375" s="392" t="n"/>
      <c r="L3375" s="392" t="n"/>
      <c r="M3375" s="392" t="n"/>
    </row>
    <row r="3376">
      <c r="A3376" s="304" t="n">
        <v>44856</v>
      </c>
      <c r="B3376" s="401" t="n">
        <v>199991</v>
      </c>
      <c r="C3376" s="401" t="n">
        <v>85</v>
      </c>
      <c r="D3376" s="401" t="n"/>
      <c r="E3376" s="401" t="n"/>
      <c r="F3376" s="401" t="n">
        <v>160</v>
      </c>
      <c r="G3376" s="401" t="n"/>
      <c r="H3376" s="322" t="n">
        <v>2432</v>
      </c>
      <c r="I3376" s="392" t="n"/>
      <c r="J3376" s="392" t="n"/>
      <c r="K3376" s="392" t="n"/>
      <c r="L3376" s="392" t="n"/>
      <c r="M3376" s="392" t="n"/>
    </row>
    <row r="3377">
      <c r="A3377" s="304" t="n">
        <v>44856</v>
      </c>
      <c r="B3377" s="401" t="n">
        <v>199991</v>
      </c>
      <c r="C3377" s="401" t="n">
        <v>84</v>
      </c>
      <c r="D3377" s="401" t="n"/>
      <c r="E3377" s="401" t="n"/>
      <c r="F3377" s="401" t="n">
        <v>100</v>
      </c>
      <c r="G3377" s="401" t="n"/>
      <c r="H3377" s="322" t="n">
        <v>2532</v>
      </c>
      <c r="I3377" s="392" t="n"/>
      <c r="J3377" s="392" t="n"/>
      <c r="K3377" s="392" t="n"/>
      <c r="L3377" s="392" t="n"/>
      <c r="M3377" s="392" t="n"/>
    </row>
    <row r="3378">
      <c r="A3378" s="568" t="n">
        <v>44858</v>
      </c>
      <c r="B3378" s="392" t="n">
        <v>9612</v>
      </c>
      <c r="C3378" s="392" t="n">
        <v>100</v>
      </c>
      <c r="D3378" s="392" t="n"/>
      <c r="E3378" s="392" t="n"/>
      <c r="F3378" s="392" t="n"/>
      <c r="G3378" s="392" t="n">
        <v>20</v>
      </c>
      <c r="H3378" s="446">
        <f>H3377-G3378</f>
        <v/>
      </c>
      <c r="I3378" s="392" t="n"/>
      <c r="J3378" s="392" t="n"/>
      <c r="K3378" s="392" t="n"/>
      <c r="L3378" s="392" t="n"/>
      <c r="M3378" s="392" t="n"/>
    </row>
    <row r="3379">
      <c r="A3379" s="568" t="n">
        <v>44858</v>
      </c>
      <c r="B3379" s="392" t="n">
        <v>9618</v>
      </c>
      <c r="C3379" s="392" t="n">
        <v>98</v>
      </c>
      <c r="D3379" s="392" t="n"/>
      <c r="E3379" s="392" t="n"/>
      <c r="F3379" s="392" t="n"/>
      <c r="G3379" s="392" t="n">
        <v>30</v>
      </c>
      <c r="H3379" s="446">
        <f>H3378-G3379</f>
        <v/>
      </c>
      <c r="I3379" s="392" t="n"/>
      <c r="J3379" s="392" t="n"/>
      <c r="K3379" s="392" t="n"/>
      <c r="L3379" s="392" t="n"/>
      <c r="M3379" s="392" t="n"/>
    </row>
    <row r="3380">
      <c r="A3380" s="568" t="n">
        <v>44860</v>
      </c>
      <c r="B3380" s="392" t="n">
        <v>9620</v>
      </c>
      <c r="C3380" s="392" t="n">
        <v>100</v>
      </c>
      <c r="D3380" s="392" t="n"/>
      <c r="E3380" s="392" t="n"/>
      <c r="F3380" s="392" t="n"/>
      <c r="G3380" s="392" t="n">
        <v>30</v>
      </c>
      <c r="H3380" s="446">
        <f>H3379-G3380</f>
        <v/>
      </c>
      <c r="I3380" s="392" t="n"/>
      <c r="J3380" s="392" t="n"/>
      <c r="K3380" s="392" t="n"/>
      <c r="L3380" s="392" t="n"/>
      <c r="M3380" s="392" t="n"/>
    </row>
    <row r="3381">
      <c r="A3381" s="568" t="n">
        <v>44860</v>
      </c>
      <c r="B3381" s="392" t="n">
        <v>9621</v>
      </c>
      <c r="C3381" s="392" t="n">
        <v>101.33</v>
      </c>
      <c r="D3381" s="392" t="n"/>
      <c r="E3381" s="392" t="n"/>
      <c r="F3381" s="392" t="n"/>
      <c r="G3381" s="392" t="n">
        <v>30</v>
      </c>
      <c r="H3381" s="446">
        <f>H3380-G3381</f>
        <v/>
      </c>
      <c r="I3381" s="392" t="n"/>
      <c r="J3381" s="392" t="n"/>
      <c r="K3381" s="392" t="n"/>
      <c r="L3381" s="392" t="n"/>
      <c r="M3381" s="392" t="n"/>
    </row>
    <row r="3382">
      <c r="A3382" s="568" t="n">
        <v>44860</v>
      </c>
      <c r="B3382" s="392" t="n">
        <v>9622</v>
      </c>
      <c r="C3382" s="392" t="n">
        <v>100</v>
      </c>
      <c r="D3382" s="392" t="n"/>
      <c r="E3382" s="392" t="n"/>
      <c r="F3382" s="392" t="n"/>
      <c r="G3382" s="392" t="n">
        <v>30</v>
      </c>
      <c r="H3382" s="446">
        <f>H3381-G3382</f>
        <v/>
      </c>
      <c r="I3382" s="392" t="n"/>
      <c r="J3382" s="392" t="n"/>
      <c r="K3382" s="392" t="n"/>
      <c r="L3382" s="392" t="n"/>
      <c r="M3382" s="392" t="n"/>
    </row>
    <row r="3383">
      <c r="A3383" s="568" t="n">
        <v>44860</v>
      </c>
      <c r="B3383" s="392" t="n">
        <v>9623</v>
      </c>
      <c r="C3383" s="392" t="n">
        <v>108</v>
      </c>
      <c r="D3383" s="392" t="n"/>
      <c r="E3383" s="392" t="n"/>
      <c r="F3383" s="392" t="n"/>
      <c r="G3383" s="392" t="n">
        <v>20</v>
      </c>
      <c r="H3383" s="446">
        <f>H3382-G3383</f>
        <v/>
      </c>
      <c r="I3383" s="392" t="n"/>
      <c r="J3383" s="392" t="n"/>
      <c r="K3383" s="392" t="n"/>
      <c r="L3383" s="392" t="n"/>
      <c r="M3383" s="392" t="n"/>
    </row>
    <row r="3384">
      <c r="A3384" s="568" t="n">
        <v>44860</v>
      </c>
      <c r="B3384" s="392" t="n">
        <v>9624</v>
      </c>
      <c r="C3384" s="392" t="n">
        <v>99</v>
      </c>
      <c r="D3384" s="392" t="n"/>
      <c r="E3384" s="392" t="n"/>
      <c r="F3384" s="392" t="n"/>
      <c r="G3384" s="392" t="n">
        <v>25</v>
      </c>
      <c r="H3384" s="446">
        <f>H3383-G3384</f>
        <v/>
      </c>
      <c r="I3384" s="392" t="n"/>
      <c r="J3384" s="392" t="n"/>
      <c r="K3384" s="392" t="n"/>
      <c r="L3384" s="392" t="n"/>
      <c r="M3384" s="392" t="n"/>
    </row>
    <row r="3385">
      <c r="A3385" s="568" t="n">
        <v>44860</v>
      </c>
      <c r="B3385" s="392" t="n">
        <v>9627</v>
      </c>
      <c r="C3385" s="392" t="n">
        <v>107</v>
      </c>
      <c r="D3385" s="392" t="n"/>
      <c r="E3385" s="392" t="n"/>
      <c r="F3385" s="392" t="n"/>
      <c r="G3385" s="392" t="n">
        <v>150</v>
      </c>
      <c r="H3385" s="446">
        <f>H3384-G3385</f>
        <v/>
      </c>
      <c r="I3385" s="392" t="n"/>
      <c r="J3385" s="392" t="n"/>
      <c r="K3385" s="392" t="n"/>
      <c r="L3385" s="392" t="n"/>
      <c r="M3385" s="392" t="n"/>
    </row>
    <row r="3386">
      <c r="A3386" s="568" t="n">
        <v>44860</v>
      </c>
      <c r="B3386" s="392" t="n">
        <v>9631</v>
      </c>
      <c r="C3386" s="392" t="n">
        <v>98</v>
      </c>
      <c r="D3386" s="392" t="n"/>
      <c r="E3386" s="392" t="n"/>
      <c r="F3386" s="392" t="n"/>
      <c r="G3386" s="392" t="n">
        <v>20</v>
      </c>
      <c r="H3386" s="446">
        <f>H3385-G3386</f>
        <v/>
      </c>
      <c r="I3386" s="392" t="n"/>
      <c r="J3386" s="392" t="n"/>
      <c r="K3386" s="392" t="n"/>
      <c r="L3386" s="392" t="n"/>
      <c r="M3386" s="392" t="n"/>
    </row>
    <row r="3387">
      <c r="A3387" s="568" t="n">
        <v>44860</v>
      </c>
      <c r="B3387" s="392" t="n">
        <v>9633</v>
      </c>
      <c r="C3387" s="392" t="n">
        <v>108</v>
      </c>
      <c r="D3387" s="392" t="n"/>
      <c r="E3387" s="392" t="n"/>
      <c r="F3387" s="392" t="n"/>
      <c r="G3387" s="392" t="n">
        <v>15</v>
      </c>
      <c r="H3387" s="446">
        <f>H3386-G3387</f>
        <v/>
      </c>
      <c r="I3387" s="392" t="n"/>
      <c r="J3387" s="392" t="n"/>
      <c r="K3387" s="392" t="n"/>
      <c r="L3387" s="392" t="n"/>
      <c r="M3387" s="392" t="n"/>
    </row>
    <row r="3388">
      <c r="A3388" s="568" t="n">
        <v>44860</v>
      </c>
      <c r="B3388" s="392" t="n">
        <v>9635</v>
      </c>
      <c r="C3388" s="392" t="n">
        <v>101.4</v>
      </c>
      <c r="D3388" s="392" t="n"/>
      <c r="E3388" s="392" t="n"/>
      <c r="F3388" s="392" t="n"/>
      <c r="G3388" s="392" t="n">
        <v>25</v>
      </c>
      <c r="H3388" s="446">
        <f>H3387-G3388</f>
        <v/>
      </c>
      <c r="I3388" s="392" t="n"/>
      <c r="J3388" s="392" t="n"/>
      <c r="K3388" s="392" t="n"/>
      <c r="L3388" s="392" t="n"/>
      <c r="M3388" s="392" t="n"/>
    </row>
    <row r="3389">
      <c r="A3389" s="568" t="n">
        <v>44860</v>
      </c>
      <c r="B3389" s="392" t="n">
        <v>9638</v>
      </c>
      <c r="C3389" s="392" t="n">
        <v>99</v>
      </c>
      <c r="D3389" s="392" t="n"/>
      <c r="E3389" s="392" t="n"/>
      <c r="F3389" s="392" t="n"/>
      <c r="G3389" s="392" t="n">
        <v>10</v>
      </c>
      <c r="H3389" s="446">
        <f>H3388-G3389</f>
        <v/>
      </c>
      <c r="I3389" s="392" t="n"/>
      <c r="J3389" s="392" t="n"/>
      <c r="K3389" s="392" t="n"/>
      <c r="L3389" s="392" t="n"/>
      <c r="M3389" s="392" t="n"/>
    </row>
    <row r="3390">
      <c r="A3390" s="568" t="n">
        <v>44861</v>
      </c>
      <c r="B3390" s="392" t="n">
        <v>9639</v>
      </c>
      <c r="C3390" s="392" t="n">
        <v>99.8</v>
      </c>
      <c r="D3390" s="392" t="n"/>
      <c r="E3390" s="392" t="n"/>
      <c r="F3390" s="392" t="n"/>
      <c r="G3390" s="392" t="n">
        <v>15</v>
      </c>
      <c r="H3390" s="446">
        <f>H3389-G3390</f>
        <v/>
      </c>
      <c r="I3390" s="392" t="n"/>
      <c r="J3390" s="392" t="n"/>
      <c r="K3390" s="392" t="n"/>
      <c r="L3390" s="392" t="n"/>
      <c r="M3390" s="392" t="n"/>
    </row>
    <row r="3391">
      <c r="A3391" s="568" t="n">
        <v>44861</v>
      </c>
      <c r="B3391" s="392" t="n">
        <v>9640</v>
      </c>
      <c r="C3391" s="392" t="n">
        <v>100</v>
      </c>
      <c r="D3391" s="392" t="n"/>
      <c r="E3391" s="392" t="n"/>
      <c r="F3391" s="392" t="n"/>
      <c r="G3391" s="392" t="n">
        <v>10</v>
      </c>
      <c r="H3391" s="446">
        <f>H3390-G3391</f>
        <v/>
      </c>
      <c r="I3391" s="392" t="n"/>
      <c r="J3391" s="392" t="n"/>
      <c r="K3391" s="392" t="n"/>
      <c r="L3391" s="392" t="n"/>
      <c r="M3391" s="392" t="n"/>
    </row>
    <row r="3392">
      <c r="A3392" s="568" t="n">
        <v>44861</v>
      </c>
      <c r="B3392" s="392" t="n">
        <v>9641</v>
      </c>
      <c r="C3392" s="392" t="n">
        <v>100</v>
      </c>
      <c r="D3392" s="392" t="n"/>
      <c r="E3392" s="392" t="n"/>
      <c r="F3392" s="392" t="n"/>
      <c r="G3392" s="392" t="n">
        <v>20</v>
      </c>
      <c r="H3392" s="446">
        <f>H3391-G3392</f>
        <v/>
      </c>
      <c r="I3392" s="392" t="n"/>
      <c r="J3392" s="392" t="n"/>
      <c r="K3392" s="392" t="n"/>
      <c r="L3392" s="392" t="n"/>
      <c r="M3392" s="392" t="n"/>
    </row>
    <row r="3393" ht="15.75" customHeight="1" s="436" thickBot="1">
      <c r="H3393" s="390" t="n"/>
    </row>
    <row r="3394" ht="32.25" customHeight="1" s="436" thickBot="1">
      <c r="A3394" s="735" t="inlineStr">
        <is>
          <t>Novembro</t>
        </is>
      </c>
      <c r="B3394" s="697" t="n"/>
      <c r="C3394" s="697" t="n"/>
      <c r="D3394" s="697" t="n"/>
      <c r="E3394" s="697" t="n"/>
      <c r="F3394" s="697" t="n"/>
      <c r="G3394" s="697" t="n"/>
      <c r="H3394" s="697" t="n"/>
      <c r="I3394" s="697" t="n"/>
      <c r="J3394" s="697" t="n"/>
      <c r="K3394" s="697" t="n"/>
      <c r="L3394" s="697" t="n"/>
      <c r="M3394" s="698" t="n"/>
    </row>
    <row r="3395" ht="27" customHeight="1" s="436" thickBot="1">
      <c r="A3395" s="720" t="inlineStr">
        <is>
          <t xml:space="preserve"> FARINHA DE TRIGO TIPO: 1 - 25 KG</t>
        </is>
      </c>
      <c r="B3395" s="697" t="n"/>
      <c r="C3395" s="697" t="n"/>
      <c r="D3395" s="697" t="n"/>
      <c r="E3395" s="697" t="n"/>
      <c r="F3395" s="697" t="n"/>
      <c r="G3395" s="697" t="n"/>
      <c r="H3395" s="697" t="n"/>
      <c r="I3395" s="697" t="n"/>
      <c r="J3395" s="697" t="n"/>
      <c r="K3395" s="697" t="n"/>
      <c r="L3395" s="697" t="n"/>
      <c r="M3395" s="698" t="n"/>
    </row>
    <row r="3396">
      <c r="A3396" s="643" t="inlineStr">
        <is>
          <t>DATA</t>
        </is>
      </c>
      <c r="B3396" s="633" t="inlineStr">
        <is>
          <t>N.F.</t>
        </is>
      </c>
      <c r="C3396" s="633" t="inlineStr">
        <is>
          <t>TIPO</t>
        </is>
      </c>
      <c r="D3396" s="670" t="inlineStr">
        <is>
          <t>PREÇO UNITÁRIO</t>
        </is>
      </c>
      <c r="E3396" s="701" t="n"/>
      <c r="F3396" s="633" t="inlineStr">
        <is>
          <t>QUANTIDADE / KG</t>
        </is>
      </c>
      <c r="H3396" s="701" t="n"/>
      <c r="I3396" s="632" t="inlineStr">
        <is>
          <t>PREÇO</t>
        </is>
      </c>
      <c r="J3396" s="632" t="inlineStr">
        <is>
          <t>VALORES</t>
        </is>
      </c>
      <c r="L3396" s="701" t="n"/>
      <c r="M3396" s="649" t="n"/>
    </row>
    <row r="3397" ht="15.75" customHeight="1" s="436" thickBot="1">
      <c r="A3397" s="703" t="n"/>
      <c r="B3397" s="704" t="n"/>
      <c r="C3397" s="704" t="n"/>
      <c r="D3397" s="703" t="n"/>
      <c r="E3397" s="701" t="n"/>
      <c r="F3397" s="705" t="n"/>
      <c r="G3397" s="706" t="n"/>
      <c r="H3397" s="707" t="n"/>
      <c r="I3397" s="704" t="n"/>
      <c r="J3397" s="703" t="n"/>
      <c r="L3397" s="701" t="n"/>
      <c r="M3397" s="704" t="n"/>
    </row>
    <row r="3398" ht="15.75" customHeight="1" s="436" thickBot="1">
      <c r="A3398" s="703" t="n"/>
      <c r="B3398" s="704" t="n"/>
      <c r="C3398" s="704" t="n"/>
      <c r="D3398" s="705" t="n"/>
      <c r="E3398" s="707" t="n"/>
      <c r="F3398" s="3" t="inlineStr">
        <is>
          <t>ENTRADA</t>
        </is>
      </c>
      <c r="G3398" s="3" t="inlineStr">
        <is>
          <t>SAÍDA</t>
        </is>
      </c>
      <c r="H3398" s="640" t="n"/>
      <c r="I3398" s="633" t="inlineStr">
        <is>
          <t>MÉDIO</t>
        </is>
      </c>
      <c r="J3398" s="652" t="inlineStr">
        <is>
          <t>SALDO EM 30/11/2017</t>
        </is>
      </c>
      <c r="K3398" s="706" t="n"/>
      <c r="L3398" s="17" t="n"/>
      <c r="M3398" s="704" t="n"/>
    </row>
    <row r="3399" ht="18" customHeight="1" s="436" thickBot="1">
      <c r="A3399" s="705" t="n"/>
      <c r="B3399" s="695" t="n"/>
      <c r="C3399" s="695" t="n"/>
      <c r="D3399" s="3" t="inlineStr">
        <is>
          <t>C/ICMS</t>
        </is>
      </c>
      <c r="E3399" s="3" t="inlineStr">
        <is>
          <t>S/ICMS</t>
        </is>
      </c>
      <c r="F3399" s="695" t="n"/>
      <c r="G3399" s="695" t="n"/>
      <c r="H3399" s="84" t="inlineStr">
        <is>
          <t>Saldo em 31/10/2022</t>
        </is>
      </c>
      <c r="I3399" s="695" t="n"/>
      <c r="J3399" s="645" t="inlineStr">
        <is>
          <t>ENTRADA</t>
        </is>
      </c>
      <c r="K3399" s="633" t="inlineStr">
        <is>
          <t>SAÍDA / CMV</t>
        </is>
      </c>
      <c r="L3399" s="643" t="inlineStr">
        <is>
          <t>SALDO</t>
        </is>
      </c>
      <c r="M3399" s="392" t="n"/>
    </row>
    <row r="3400">
      <c r="A3400" s="392" t="n"/>
      <c r="B3400" s="392" t="n"/>
      <c r="C3400" s="392" t="n"/>
      <c r="D3400" s="392" t="n"/>
      <c r="E3400" s="392" t="n"/>
      <c r="F3400" s="392" t="n"/>
      <c r="G3400" s="392" t="n"/>
      <c r="H3400" s="446" t="n">
        <v>2082</v>
      </c>
      <c r="I3400" s="392" t="n"/>
      <c r="J3400" s="392" t="n"/>
      <c r="K3400" s="392" t="n"/>
      <c r="L3400" s="392" t="n"/>
      <c r="M3400" s="392" t="n"/>
    </row>
    <row r="3401">
      <c r="A3401" s="568" t="n">
        <v>44867</v>
      </c>
      <c r="B3401" s="392" t="n">
        <v>9643</v>
      </c>
      <c r="C3401" s="392" t="n">
        <v>102.2</v>
      </c>
      <c r="D3401" s="392" t="n"/>
      <c r="E3401" s="392" t="n"/>
      <c r="F3401" s="392" t="n"/>
      <c r="G3401" s="392" t="n">
        <v>20</v>
      </c>
      <c r="H3401" s="446">
        <f>H3400-G3401</f>
        <v/>
      </c>
      <c r="I3401" s="392" t="n"/>
      <c r="J3401" s="392" t="n"/>
      <c r="K3401" s="392" t="n"/>
      <c r="L3401" s="392" t="n"/>
      <c r="M3401" s="392" t="n"/>
    </row>
    <row r="3402">
      <c r="A3402" s="568" t="n">
        <v>44867</v>
      </c>
      <c r="B3402" s="392" t="n">
        <v>9646</v>
      </c>
      <c r="C3402" s="392" t="n">
        <v>98</v>
      </c>
      <c r="D3402" s="392" t="n"/>
      <c r="E3402" s="392" t="n"/>
      <c r="F3402" s="392" t="n"/>
      <c r="G3402" s="392" t="n">
        <v>15</v>
      </c>
      <c r="H3402" s="446">
        <f>H3401-G3402</f>
        <v/>
      </c>
      <c r="I3402" s="392" t="n"/>
      <c r="J3402" s="392" t="n"/>
      <c r="K3402" s="392" t="n"/>
      <c r="L3402" s="392" t="n"/>
      <c r="M3402" s="392" t="n"/>
    </row>
    <row r="3403">
      <c r="A3403" s="568" t="n">
        <v>44872</v>
      </c>
      <c r="B3403" s="392" t="n">
        <v>9654</v>
      </c>
      <c r="C3403" s="392" t="n">
        <v>99</v>
      </c>
      <c r="D3403" s="392" t="n"/>
      <c r="E3403" s="392" t="n"/>
      <c r="F3403" s="392" t="n"/>
      <c r="G3403" s="392" t="n">
        <v>15</v>
      </c>
      <c r="H3403" s="446">
        <f>H3402-G3403</f>
        <v/>
      </c>
      <c r="I3403" s="392" t="n"/>
      <c r="J3403" s="392" t="n"/>
      <c r="K3403" s="392" t="n"/>
      <c r="L3403" s="392" t="n"/>
      <c r="M3403" s="392" t="n"/>
    </row>
    <row r="3404">
      <c r="A3404" s="568" t="n">
        <v>44872</v>
      </c>
      <c r="B3404" s="392" t="n">
        <v>9656</v>
      </c>
      <c r="C3404" s="392" t="n">
        <v>97</v>
      </c>
      <c r="D3404" s="392" t="n"/>
      <c r="E3404" s="392" t="n"/>
      <c r="F3404" s="392" t="n"/>
      <c r="G3404" s="392" t="n">
        <v>50</v>
      </c>
      <c r="H3404" s="446">
        <f>H3403-G3404</f>
        <v/>
      </c>
      <c r="I3404" s="392" t="n"/>
      <c r="J3404" s="392" t="n"/>
      <c r="K3404" s="392" t="n"/>
      <c r="L3404" s="392" t="n"/>
      <c r="M3404" s="392" t="n"/>
    </row>
    <row r="3405">
      <c r="A3405" s="568" t="n">
        <v>44872</v>
      </c>
      <c r="B3405" s="392" t="n">
        <v>9657</v>
      </c>
      <c r="C3405" s="392" t="n">
        <v>100</v>
      </c>
      <c r="D3405" s="392" t="n"/>
      <c r="E3405" s="392" t="n"/>
      <c r="F3405" s="392" t="n"/>
      <c r="G3405" s="392" t="n">
        <v>25</v>
      </c>
      <c r="H3405" s="446">
        <f>H3404-G3405</f>
        <v/>
      </c>
      <c r="I3405" s="392" t="n"/>
      <c r="J3405" s="392" t="n"/>
      <c r="K3405" s="392" t="n"/>
      <c r="L3405" s="392" t="n"/>
      <c r="M3405" s="392" t="n"/>
    </row>
    <row r="3406">
      <c r="A3406" s="568" t="n">
        <v>44872</v>
      </c>
      <c r="B3406" s="392" t="n">
        <v>9658</v>
      </c>
      <c r="C3406" s="392" t="n">
        <v>98</v>
      </c>
      <c r="D3406" s="392" t="n"/>
      <c r="E3406" s="392" t="n"/>
      <c r="F3406" s="392" t="n"/>
      <c r="G3406" s="392" t="n">
        <v>50</v>
      </c>
      <c r="H3406" s="446">
        <f>H3405-G3406</f>
        <v/>
      </c>
      <c r="I3406" s="392" t="n"/>
      <c r="J3406" s="392" t="n"/>
      <c r="K3406" s="392" t="n"/>
      <c r="L3406" s="392" t="n"/>
      <c r="M3406" s="392" t="n"/>
    </row>
    <row r="3407">
      <c r="A3407" s="568" t="n">
        <v>44872</v>
      </c>
      <c r="B3407" s="392" t="n">
        <v>9660</v>
      </c>
      <c r="C3407" s="392" t="n">
        <v>102.8</v>
      </c>
      <c r="D3407" s="392" t="n"/>
      <c r="E3407" s="392" t="n"/>
      <c r="F3407" s="392" t="n"/>
      <c r="G3407" s="392" t="n">
        <v>25</v>
      </c>
      <c r="H3407" s="446">
        <f>H3406-G3407</f>
        <v/>
      </c>
      <c r="I3407" s="392" t="n"/>
      <c r="J3407" s="392" t="n"/>
      <c r="K3407" s="392" t="n"/>
      <c r="L3407" s="392" t="n"/>
      <c r="M3407" s="392" t="n"/>
    </row>
    <row r="3408">
      <c r="A3408" s="568" t="n">
        <v>44872</v>
      </c>
      <c r="B3408" s="392" t="n">
        <v>9662</v>
      </c>
      <c r="C3408" s="392" t="n">
        <v>103.6</v>
      </c>
      <c r="D3408" s="392" t="n"/>
      <c r="E3408" s="392" t="n"/>
      <c r="F3408" s="392" t="n"/>
      <c r="G3408" s="392" t="n">
        <v>25</v>
      </c>
      <c r="H3408" s="446">
        <f>H3407-G3408</f>
        <v/>
      </c>
      <c r="I3408" s="392" t="n"/>
      <c r="J3408" s="392" t="n"/>
      <c r="K3408" s="392" t="n"/>
      <c r="L3408" s="392" t="n"/>
      <c r="M3408" s="392" t="n"/>
    </row>
    <row r="3409">
      <c r="A3409" s="568" t="n">
        <v>44872</v>
      </c>
      <c r="B3409" s="392" t="n">
        <v>9663</v>
      </c>
      <c r="C3409" s="392" t="n">
        <v>108</v>
      </c>
      <c r="D3409" s="392" t="n"/>
      <c r="E3409" s="392" t="n"/>
      <c r="F3409" s="392" t="n"/>
      <c r="G3409" s="392" t="n">
        <v>30</v>
      </c>
      <c r="H3409" s="446">
        <f>H3408-G3409</f>
        <v/>
      </c>
      <c r="I3409" s="392" t="n"/>
      <c r="J3409" s="392" t="n"/>
      <c r="K3409" s="392" t="n"/>
      <c r="L3409" s="392" t="n"/>
      <c r="M3409" s="392" t="n"/>
    </row>
    <row r="3410">
      <c r="A3410" s="568" t="n">
        <v>44873</v>
      </c>
      <c r="B3410" s="392" t="n">
        <v>9665</v>
      </c>
      <c r="C3410" s="392" t="n">
        <v>98</v>
      </c>
      <c r="D3410" s="392" t="n"/>
      <c r="E3410" s="392" t="n"/>
      <c r="F3410" s="392" t="n"/>
      <c r="G3410" s="392" t="n">
        <v>100</v>
      </c>
      <c r="H3410" s="446">
        <f>H3409-G3410</f>
        <v/>
      </c>
      <c r="I3410" s="392" t="n"/>
      <c r="J3410" s="392" t="n"/>
      <c r="K3410" s="392" t="n"/>
      <c r="L3410" s="392" t="n"/>
      <c r="M3410" s="392" t="n"/>
    </row>
    <row r="3411">
      <c r="A3411" s="568" t="n">
        <v>44874</v>
      </c>
      <c r="B3411" s="392" t="n">
        <v>9667</v>
      </c>
      <c r="C3411" s="392" t="n">
        <v>108</v>
      </c>
      <c r="D3411" s="392" t="n"/>
      <c r="E3411" s="392" t="n"/>
      <c r="F3411" s="392" t="n"/>
      <c r="G3411" s="392" t="n">
        <v>30</v>
      </c>
      <c r="H3411" s="446">
        <f>H3410-G3411</f>
        <v/>
      </c>
      <c r="I3411" s="392" t="n"/>
      <c r="J3411" s="392" t="n"/>
      <c r="K3411" s="392" t="n"/>
      <c r="L3411" s="392" t="n"/>
      <c r="M3411" s="392" t="n"/>
    </row>
    <row r="3412">
      <c r="A3412" s="568" t="n">
        <v>44874</v>
      </c>
      <c r="B3412" s="392" t="n">
        <v>9669</v>
      </c>
      <c r="C3412" s="392" t="n">
        <v>101</v>
      </c>
      <c r="D3412" s="392" t="n"/>
      <c r="E3412" s="392" t="n"/>
      <c r="F3412" s="392" t="n"/>
      <c r="G3412" s="392" t="n">
        <v>30</v>
      </c>
      <c r="H3412" s="446">
        <f>H3411-G3412</f>
        <v/>
      </c>
      <c r="I3412" s="392" t="n"/>
      <c r="J3412" s="392" t="n"/>
      <c r="K3412" s="392" t="n"/>
      <c r="L3412" s="392" t="n"/>
      <c r="M3412" s="392" t="n"/>
    </row>
    <row r="3413">
      <c r="A3413" s="568" t="n">
        <v>44874</v>
      </c>
      <c r="B3413" s="392" t="n">
        <v>9670</v>
      </c>
      <c r="C3413" s="392" t="n">
        <v>98</v>
      </c>
      <c r="D3413" s="392" t="n"/>
      <c r="E3413" s="392" t="n"/>
      <c r="F3413" s="392" t="n"/>
      <c r="G3413" s="392" t="n">
        <v>30</v>
      </c>
      <c r="H3413" s="446">
        <f>H3412-G3413</f>
        <v/>
      </c>
      <c r="I3413" s="392" t="n"/>
      <c r="J3413" s="392" t="n"/>
      <c r="K3413" s="392" t="n"/>
      <c r="L3413" s="392" t="n"/>
      <c r="M3413" s="392" t="n"/>
    </row>
    <row r="3414">
      <c r="A3414" s="568" t="n">
        <v>44874</v>
      </c>
      <c r="B3414" s="392" t="n">
        <v>9672</v>
      </c>
      <c r="C3414" s="392" t="n">
        <v>101</v>
      </c>
      <c r="D3414" s="392" t="n"/>
      <c r="E3414" s="392" t="n"/>
      <c r="F3414" s="392" t="n"/>
      <c r="G3414" s="392" t="n">
        <v>20</v>
      </c>
      <c r="H3414" s="446">
        <f>H3413-G3414</f>
        <v/>
      </c>
      <c r="I3414" s="392" t="n"/>
      <c r="J3414" s="392" t="n"/>
      <c r="K3414" s="392" t="n"/>
      <c r="L3414" s="392" t="n"/>
      <c r="M3414" s="392" t="n"/>
    </row>
    <row r="3415">
      <c r="A3415" s="568" t="n">
        <v>44874</v>
      </c>
      <c r="B3415" s="392" t="n">
        <v>9674</v>
      </c>
      <c r="C3415" s="392" t="n">
        <v>100</v>
      </c>
      <c r="D3415" s="392" t="n"/>
      <c r="E3415" s="392" t="n"/>
      <c r="F3415" s="392" t="n"/>
      <c r="G3415" s="392" t="n">
        <v>20</v>
      </c>
      <c r="H3415" s="446">
        <f>H3414-G3415</f>
        <v/>
      </c>
      <c r="I3415" s="392" t="n"/>
      <c r="J3415" s="392" t="n"/>
      <c r="K3415" s="392" t="n"/>
      <c r="L3415" s="392" t="n"/>
      <c r="M3415" s="392" t="n"/>
    </row>
    <row r="3416">
      <c r="A3416" s="568" t="n">
        <v>44874</v>
      </c>
      <c r="B3416" s="392" t="n">
        <v>9675</v>
      </c>
      <c r="C3416" s="392" t="n">
        <v>107</v>
      </c>
      <c r="D3416" s="392" t="n"/>
      <c r="E3416" s="392" t="n"/>
      <c r="F3416" s="392" t="n"/>
      <c r="G3416" s="392" t="n">
        <v>20</v>
      </c>
      <c r="H3416" s="446">
        <f>H3415-G3416</f>
        <v/>
      </c>
      <c r="I3416" s="392" t="n"/>
      <c r="J3416" s="392" t="n"/>
      <c r="K3416" s="392" t="n"/>
      <c r="L3416" s="392" t="n"/>
      <c r="M3416" s="392" t="n"/>
    </row>
    <row r="3417">
      <c r="A3417" s="568" t="n">
        <v>44874</v>
      </c>
      <c r="B3417" s="392" t="n">
        <v>9678</v>
      </c>
      <c r="C3417" s="392" t="n">
        <v>100</v>
      </c>
      <c r="D3417" s="392" t="n"/>
      <c r="E3417" s="392" t="n"/>
      <c r="F3417" s="392" t="n"/>
      <c r="G3417" s="392" t="n">
        <v>50</v>
      </c>
      <c r="H3417" s="446">
        <f>H3416-G3417</f>
        <v/>
      </c>
      <c r="I3417" s="392" t="n"/>
      <c r="J3417" s="392" t="n"/>
      <c r="K3417" s="392" t="n"/>
      <c r="L3417" s="392" t="n"/>
      <c r="M3417" s="392" t="n"/>
    </row>
    <row r="3418">
      <c r="A3418" s="304" t="n">
        <v>44875</v>
      </c>
      <c r="B3418" s="401" t="n">
        <v>201428</v>
      </c>
      <c r="C3418" s="401" t="n">
        <v>87</v>
      </c>
      <c r="D3418" s="401" t="n"/>
      <c r="E3418" s="401" t="n"/>
      <c r="F3418" s="401" t="n">
        <v>250</v>
      </c>
      <c r="G3418" s="401" t="n"/>
      <c r="H3418" s="322" t="n">
        <v>1777</v>
      </c>
      <c r="I3418" s="392" t="n"/>
      <c r="J3418" s="392" t="n"/>
      <c r="K3418" s="392" t="n"/>
      <c r="L3418" s="392" t="n"/>
      <c r="M3418" s="392" t="n"/>
    </row>
    <row r="3419">
      <c r="A3419" s="304" t="n">
        <v>44875</v>
      </c>
      <c r="B3419" s="401" t="n">
        <v>201428</v>
      </c>
      <c r="C3419" s="401" t="n">
        <v>86</v>
      </c>
      <c r="D3419" s="401" t="n"/>
      <c r="E3419" s="401" t="n"/>
      <c r="F3419" s="401" t="n">
        <v>100</v>
      </c>
      <c r="G3419" s="401" t="n"/>
      <c r="H3419" s="322" t="n">
        <v>1877</v>
      </c>
      <c r="I3419" s="392" t="n"/>
      <c r="J3419" s="392" t="n"/>
      <c r="K3419" s="392" t="n"/>
      <c r="L3419" s="392" t="n"/>
      <c r="M3419" s="392" t="n"/>
    </row>
    <row r="3420">
      <c r="A3420" s="568" t="n">
        <v>44880</v>
      </c>
      <c r="B3420" s="392" t="n">
        <v>9683</v>
      </c>
      <c r="C3420" s="392" t="n">
        <v>98</v>
      </c>
      <c r="D3420" s="392" t="n"/>
      <c r="E3420" s="392" t="n"/>
      <c r="F3420" s="392" t="n"/>
      <c r="G3420" s="392" t="n">
        <v>180</v>
      </c>
      <c r="H3420" s="446">
        <f>H3419-G3420</f>
        <v/>
      </c>
      <c r="I3420" s="392" t="n"/>
      <c r="J3420" s="392" t="n"/>
      <c r="K3420" s="392" t="n"/>
      <c r="L3420" s="392" t="n"/>
      <c r="M3420" s="392" t="n"/>
    </row>
    <row r="3421">
      <c r="A3421" s="568" t="n">
        <v>44880</v>
      </c>
      <c r="B3421" s="392" t="n">
        <v>9686</v>
      </c>
      <c r="C3421" s="392" t="n">
        <v>101</v>
      </c>
      <c r="D3421" s="392" t="n"/>
      <c r="E3421" s="392" t="n"/>
      <c r="F3421" s="392" t="n"/>
      <c r="G3421" s="392" t="n">
        <v>30</v>
      </c>
      <c r="H3421" s="446">
        <f>H3420-G3421</f>
        <v/>
      </c>
      <c r="I3421" s="392" t="n"/>
      <c r="J3421" s="392" t="n"/>
      <c r="K3421" s="392" t="n"/>
      <c r="L3421" s="392" t="n"/>
      <c r="M3421" s="392" t="n"/>
    </row>
    <row r="3422">
      <c r="A3422" s="568" t="n">
        <v>44880</v>
      </c>
      <c r="B3422" s="392" t="n">
        <v>9689</v>
      </c>
      <c r="C3422" s="392" t="n">
        <v>97</v>
      </c>
      <c r="D3422" s="392" t="n"/>
      <c r="E3422" s="392" t="n"/>
      <c r="F3422" s="392" t="n"/>
      <c r="G3422" s="392" t="n">
        <v>50</v>
      </c>
      <c r="H3422" s="446">
        <f>H3421-G3422</f>
        <v/>
      </c>
      <c r="I3422" s="392" t="n"/>
      <c r="J3422" s="392" t="n"/>
      <c r="K3422" s="392" t="n"/>
      <c r="L3422" s="392" t="n"/>
      <c r="M3422" s="392" t="n"/>
    </row>
    <row r="3423">
      <c r="A3423" s="568" t="n">
        <v>44880</v>
      </c>
      <c r="B3423" s="392" t="n">
        <v>9690</v>
      </c>
      <c r="C3423" s="392" t="n">
        <v>101</v>
      </c>
      <c r="D3423" s="392" t="n"/>
      <c r="E3423" s="392" t="n"/>
      <c r="F3423" s="392" t="n"/>
      <c r="G3423" s="392" t="n">
        <v>30</v>
      </c>
      <c r="H3423" s="446">
        <f>H3422-G3423</f>
        <v/>
      </c>
      <c r="I3423" s="392" t="n"/>
      <c r="J3423" s="392" t="n"/>
      <c r="K3423" s="392" t="n"/>
      <c r="L3423" s="392" t="n"/>
      <c r="M3423" s="392" t="n"/>
    </row>
    <row r="3424">
      <c r="A3424" s="568" t="n">
        <v>44880</v>
      </c>
      <c r="B3424" s="392" t="n">
        <v>9691</v>
      </c>
      <c r="C3424" s="392" t="n">
        <v>108</v>
      </c>
      <c r="D3424" s="392" t="n"/>
      <c r="E3424" s="392" t="n"/>
      <c r="F3424" s="392" t="n"/>
      <c r="G3424" s="392" t="n">
        <v>20</v>
      </c>
      <c r="H3424" s="446">
        <f>H3423-G3424</f>
        <v/>
      </c>
      <c r="I3424" s="392" t="n"/>
      <c r="J3424" s="392" t="n"/>
      <c r="K3424" s="392" t="n"/>
      <c r="L3424" s="392" t="n"/>
      <c r="M3424" s="392" t="n"/>
    </row>
    <row r="3425">
      <c r="A3425" s="568" t="n">
        <v>44881</v>
      </c>
      <c r="B3425" s="392" t="n">
        <v>9697</v>
      </c>
      <c r="C3425" s="392" t="n">
        <v>100</v>
      </c>
      <c r="D3425" s="392" t="n"/>
      <c r="E3425" s="392" t="n"/>
      <c r="F3425" s="392" t="n"/>
      <c r="G3425" s="392" t="n">
        <v>30</v>
      </c>
      <c r="H3425" s="446">
        <f>H3424-G3425</f>
        <v/>
      </c>
      <c r="I3425" s="392" t="n"/>
      <c r="J3425" s="392" t="n"/>
      <c r="K3425" s="392" t="n"/>
      <c r="L3425" s="392" t="n"/>
      <c r="M3425" s="392" t="n"/>
    </row>
    <row r="3426">
      <c r="A3426" s="568" t="n">
        <v>44881</v>
      </c>
      <c r="B3426" s="392" t="n">
        <v>9699</v>
      </c>
      <c r="C3426" s="392" t="n">
        <v>102</v>
      </c>
      <c r="D3426" s="392" t="n"/>
      <c r="E3426" s="392" t="n"/>
      <c r="F3426" s="392" t="n"/>
      <c r="G3426" s="392" t="n">
        <v>30</v>
      </c>
      <c r="H3426" s="446">
        <f>H3425-G3426</f>
        <v/>
      </c>
      <c r="I3426" s="392" t="n"/>
      <c r="J3426" s="392" t="n"/>
      <c r="K3426" s="392" t="n"/>
      <c r="L3426" s="392" t="n"/>
      <c r="M3426" s="392" t="n"/>
    </row>
    <row r="3427">
      <c r="A3427" s="568" t="n">
        <v>44881</v>
      </c>
      <c r="B3427" s="392" t="n">
        <v>9700</v>
      </c>
      <c r="C3427" s="392" t="n">
        <v>103.33</v>
      </c>
      <c r="D3427" s="392" t="n"/>
      <c r="E3427" s="392" t="n"/>
      <c r="F3427" s="392" t="n"/>
      <c r="G3427" s="392" t="n">
        <v>42</v>
      </c>
      <c r="H3427" s="446">
        <f>H3426-G3427</f>
        <v/>
      </c>
      <c r="I3427" s="392" t="n"/>
      <c r="J3427" s="392" t="n"/>
      <c r="K3427" s="392" t="n"/>
      <c r="L3427" s="392" t="n"/>
      <c r="M3427" s="392" t="n"/>
    </row>
    <row r="3428">
      <c r="A3428" s="568" t="n">
        <v>44887</v>
      </c>
      <c r="B3428" s="392" t="n">
        <v>9703</v>
      </c>
      <c r="C3428" s="392" t="n">
        <v>107</v>
      </c>
      <c r="D3428" s="392" t="n"/>
      <c r="E3428" s="392" t="n"/>
      <c r="F3428" s="392" t="n"/>
      <c r="G3428" s="392" t="n">
        <v>15</v>
      </c>
      <c r="H3428" s="446">
        <f>H3427-G3428</f>
        <v/>
      </c>
      <c r="I3428" s="392" t="n"/>
      <c r="J3428" s="392" t="n"/>
      <c r="K3428" s="392" t="n"/>
      <c r="L3428" s="392" t="n"/>
      <c r="M3428" s="392" t="n"/>
    </row>
    <row r="3429">
      <c r="A3429" s="568" t="n">
        <v>44887</v>
      </c>
      <c r="B3429" s="392" t="n">
        <v>9704</v>
      </c>
      <c r="C3429" s="392" t="n">
        <v>99</v>
      </c>
      <c r="D3429" s="392" t="n"/>
      <c r="E3429" s="392" t="n"/>
      <c r="F3429" s="392" t="n"/>
      <c r="G3429" s="392" t="n">
        <v>100</v>
      </c>
      <c r="H3429" s="446">
        <f>H3428-G3429</f>
        <v/>
      </c>
      <c r="I3429" s="392" t="n"/>
      <c r="J3429" s="392" t="n"/>
      <c r="K3429" s="392" t="n"/>
      <c r="L3429" s="392" t="n"/>
      <c r="M3429" s="392" t="n"/>
    </row>
    <row r="3430">
      <c r="A3430" s="568" t="n">
        <v>44887</v>
      </c>
      <c r="B3430" s="392" t="n">
        <v>9706</v>
      </c>
      <c r="C3430" s="392" t="n">
        <v>104</v>
      </c>
      <c r="D3430" s="392" t="n"/>
      <c r="E3430" s="392" t="n"/>
      <c r="F3430" s="392" t="n"/>
      <c r="G3430" s="392" t="n">
        <v>30</v>
      </c>
      <c r="H3430" s="446">
        <f>H3429-G3430</f>
        <v/>
      </c>
      <c r="I3430" s="392" t="n"/>
      <c r="J3430" s="392" t="n"/>
      <c r="K3430" s="392" t="n"/>
      <c r="L3430" s="392" t="n"/>
      <c r="M3430" s="392" t="n"/>
    </row>
    <row r="3431">
      <c r="A3431" s="568" t="n">
        <v>44887</v>
      </c>
      <c r="B3431" s="392" t="n">
        <v>9708</v>
      </c>
      <c r="C3431" s="392" t="n">
        <v>97</v>
      </c>
      <c r="D3431" s="392" t="n"/>
      <c r="E3431" s="392" t="n"/>
      <c r="F3431" s="392" t="n"/>
      <c r="G3431" s="392" t="n">
        <v>50</v>
      </c>
      <c r="H3431" s="446">
        <f>H3430-G3431</f>
        <v/>
      </c>
      <c r="I3431" s="392" t="n"/>
      <c r="J3431" s="392" t="n"/>
      <c r="K3431" s="392" t="n"/>
      <c r="L3431" s="392" t="n"/>
      <c r="M3431" s="392" t="n"/>
    </row>
    <row r="3432">
      <c r="A3432" s="568" t="n">
        <v>44887</v>
      </c>
      <c r="B3432" s="392" t="n">
        <v>9709</v>
      </c>
      <c r="C3432" s="392" t="n">
        <v>108</v>
      </c>
      <c r="D3432" s="392" t="n"/>
      <c r="E3432" s="392" t="n"/>
      <c r="F3432" s="392" t="n"/>
      <c r="G3432" s="392" t="n">
        <v>30</v>
      </c>
      <c r="H3432" s="446">
        <f>H3431-G3432</f>
        <v/>
      </c>
      <c r="I3432" s="392" t="n"/>
      <c r="J3432" s="392" t="n"/>
      <c r="K3432" s="392" t="n"/>
      <c r="L3432" s="392" t="n"/>
      <c r="M3432" s="392" t="n"/>
    </row>
    <row r="3433">
      <c r="A3433" s="568" t="n">
        <v>44887</v>
      </c>
      <c r="B3433" s="392" t="n">
        <v>9710</v>
      </c>
      <c r="C3433" s="392" t="n">
        <v>101</v>
      </c>
      <c r="D3433" s="392" t="n"/>
      <c r="E3433" s="392" t="n"/>
      <c r="F3433" s="392" t="n"/>
      <c r="G3433" s="392" t="n">
        <v>25</v>
      </c>
      <c r="H3433" s="446">
        <f>H3432-G3433</f>
        <v/>
      </c>
      <c r="I3433" s="392" t="n"/>
      <c r="J3433" s="392" t="n"/>
      <c r="K3433" s="392" t="n"/>
      <c r="L3433" s="392" t="n"/>
      <c r="M3433" s="392" t="n"/>
    </row>
    <row r="3434">
      <c r="A3434" s="568" t="n">
        <v>44887</v>
      </c>
      <c r="B3434" s="392" t="n">
        <v>9712</v>
      </c>
      <c r="C3434" s="392" t="n">
        <v>100</v>
      </c>
      <c r="D3434" s="392" t="n"/>
      <c r="E3434" s="392" t="n"/>
      <c r="F3434" s="392" t="n"/>
      <c r="G3434" s="392" t="n">
        <v>40</v>
      </c>
      <c r="H3434" s="446">
        <f>H3433-G3434</f>
        <v/>
      </c>
      <c r="I3434" s="392" t="n"/>
      <c r="J3434" s="392" t="n"/>
      <c r="K3434" s="392" t="n"/>
      <c r="L3434" s="392" t="n"/>
      <c r="M3434" s="392" t="n"/>
    </row>
    <row r="3435">
      <c r="A3435" s="568" t="n">
        <v>44888</v>
      </c>
      <c r="B3435" s="392" t="n">
        <v>9716</v>
      </c>
      <c r="C3435" s="392" t="n">
        <v>101.5</v>
      </c>
      <c r="D3435" s="392" t="n"/>
      <c r="E3435" s="392" t="n"/>
      <c r="F3435" s="392" t="n"/>
      <c r="G3435" s="392" t="n">
        <v>10</v>
      </c>
      <c r="H3435" s="446">
        <f>H3434-G3435</f>
        <v/>
      </c>
      <c r="I3435" s="392" t="n"/>
      <c r="J3435" s="392" t="n"/>
      <c r="K3435" s="392" t="n"/>
      <c r="L3435" s="392" t="n"/>
      <c r="M3435" s="392" t="n"/>
    </row>
    <row r="3436">
      <c r="A3436" s="568" t="n">
        <v>44888</v>
      </c>
      <c r="B3436" s="392" t="n">
        <v>9718</v>
      </c>
      <c r="C3436" s="392" t="n">
        <v>101</v>
      </c>
      <c r="D3436" s="392" t="n"/>
      <c r="E3436" s="392" t="n"/>
      <c r="F3436" s="392" t="n"/>
      <c r="G3436" s="392" t="n">
        <v>20</v>
      </c>
      <c r="H3436" s="446">
        <f>H3435-G3436</f>
        <v/>
      </c>
      <c r="I3436" s="392" t="n"/>
      <c r="J3436" s="392" t="n"/>
      <c r="K3436" s="392" t="n"/>
      <c r="L3436" s="392" t="n"/>
      <c r="M3436" s="392" t="n"/>
    </row>
    <row r="3437">
      <c r="A3437" s="304" t="n">
        <v>44893</v>
      </c>
      <c r="B3437" s="401" t="n">
        <v>202640</v>
      </c>
      <c r="C3437" s="401" t="n">
        <v>87</v>
      </c>
      <c r="D3437" s="401" t="n">
        <v>400</v>
      </c>
      <c r="E3437" s="401" t="n"/>
      <c r="F3437" s="401" t="n"/>
      <c r="G3437" s="401" t="n"/>
      <c r="H3437" s="322" t="n">
        <v>1545</v>
      </c>
      <c r="I3437" s="392" t="n"/>
      <c r="J3437" s="392" t="n"/>
      <c r="K3437" s="392" t="n"/>
      <c r="L3437" s="392" t="n"/>
      <c r="M3437" s="392" t="n"/>
    </row>
    <row r="3438">
      <c r="A3438" s="304" t="n">
        <v>44893</v>
      </c>
      <c r="B3438" s="401" t="n">
        <v>202640</v>
      </c>
      <c r="C3438" s="401" t="n">
        <v>86</v>
      </c>
      <c r="D3438" s="401" t="n">
        <v>280</v>
      </c>
      <c r="E3438" s="401" t="n"/>
      <c r="F3438" s="401" t="n"/>
      <c r="G3438" s="401" t="n"/>
      <c r="H3438" s="322" t="n">
        <v>1825</v>
      </c>
      <c r="I3438" s="392" t="n"/>
      <c r="J3438" s="392" t="n"/>
      <c r="K3438" s="392" t="n"/>
      <c r="L3438" s="392" t="n"/>
      <c r="M3438" s="392" t="n"/>
    </row>
    <row r="3439">
      <c r="A3439" s="568" t="n">
        <v>44894</v>
      </c>
      <c r="B3439" s="392" t="n">
        <v>9720</v>
      </c>
      <c r="C3439" s="392" t="n">
        <v>150</v>
      </c>
      <c r="D3439" s="392" t="n"/>
      <c r="E3439" s="392" t="n"/>
      <c r="F3439" s="392" t="n"/>
      <c r="G3439" s="392" t="n">
        <v>99</v>
      </c>
      <c r="H3439" s="446">
        <f>H3438-G3439</f>
        <v/>
      </c>
      <c r="I3439" s="392" t="n"/>
      <c r="J3439" s="392" t="n"/>
      <c r="K3439" s="392" t="n"/>
      <c r="L3439" s="392" t="n"/>
      <c r="M3439" s="392" t="n"/>
    </row>
    <row r="3440">
      <c r="A3440" s="568" t="n">
        <v>44894</v>
      </c>
      <c r="B3440" s="392" t="n">
        <v>9721</v>
      </c>
      <c r="C3440" s="392" t="n">
        <v>101</v>
      </c>
      <c r="D3440" s="392" t="n"/>
      <c r="E3440" s="392" t="n"/>
      <c r="F3440" s="392" t="n"/>
      <c r="G3440" s="392" t="n">
        <v>30</v>
      </c>
      <c r="H3440" s="446">
        <f>H3439-G3440</f>
        <v/>
      </c>
      <c r="I3440" s="392" t="n"/>
      <c r="J3440" s="392" t="n"/>
      <c r="K3440" s="392" t="n"/>
      <c r="L3440" s="392" t="n"/>
      <c r="M3440" s="392" t="n"/>
    </row>
    <row r="3441">
      <c r="A3441" s="568" t="n">
        <v>44894</v>
      </c>
      <c r="B3441" s="392" t="n">
        <v>9722</v>
      </c>
      <c r="C3441" s="392" t="n">
        <v>100</v>
      </c>
      <c r="D3441" s="392" t="n"/>
      <c r="E3441" s="392" t="n"/>
      <c r="F3441" s="392" t="n"/>
      <c r="G3441" s="392" t="n">
        <v>33</v>
      </c>
      <c r="H3441" s="446">
        <f>H3440-G3441</f>
        <v/>
      </c>
      <c r="I3441" s="392" t="n"/>
      <c r="J3441" s="392" t="n"/>
      <c r="K3441" s="392" t="n"/>
      <c r="L3441" s="392" t="n"/>
      <c r="M3441" s="392" t="n"/>
    </row>
    <row r="3442">
      <c r="A3442" s="568" t="n">
        <v>44894</v>
      </c>
      <c r="B3442" s="392" t="n">
        <v>9723</v>
      </c>
      <c r="C3442" s="392" t="n">
        <v>104.07</v>
      </c>
      <c r="D3442" s="392" t="n"/>
      <c r="E3442" s="392" t="n"/>
      <c r="F3442" s="392" t="n"/>
      <c r="G3442" s="392" t="n">
        <v>50</v>
      </c>
      <c r="H3442" s="446">
        <f>H3441-G3442</f>
        <v/>
      </c>
      <c r="I3442" s="392" t="n"/>
      <c r="J3442" s="392" t="n"/>
      <c r="K3442" s="392" t="n"/>
      <c r="L3442" s="392" t="n"/>
      <c r="M3442" s="392" t="n"/>
    </row>
    <row r="3443">
      <c r="A3443" s="568" t="n">
        <v>44894</v>
      </c>
      <c r="B3443" s="392" t="n">
        <v>9725</v>
      </c>
      <c r="C3443" s="392" t="n">
        <v>101</v>
      </c>
      <c r="D3443" s="392" t="n"/>
      <c r="E3443" s="392" t="n"/>
      <c r="F3443" s="392" t="n"/>
      <c r="G3443" s="392" t="n">
        <v>30</v>
      </c>
      <c r="H3443" s="446">
        <f>H3442-G3443</f>
        <v/>
      </c>
      <c r="I3443" s="392" t="n"/>
      <c r="J3443" s="392" t="n"/>
      <c r="K3443" s="392" t="n"/>
      <c r="L3443" s="392" t="n"/>
      <c r="M3443" s="392" t="n"/>
    </row>
    <row r="3444">
      <c r="A3444" s="568" t="n">
        <v>44894</v>
      </c>
      <c r="B3444" s="392" t="n">
        <v>9726</v>
      </c>
      <c r="C3444" s="392" t="n">
        <v>110</v>
      </c>
      <c r="D3444" s="392" t="n"/>
      <c r="E3444" s="392" t="n"/>
      <c r="F3444" s="392" t="n"/>
      <c r="G3444" s="392" t="n">
        <v>20</v>
      </c>
      <c r="H3444" s="446">
        <f>H3443-G3444</f>
        <v/>
      </c>
      <c r="I3444" s="392" t="n"/>
      <c r="J3444" s="392" t="n"/>
      <c r="K3444" s="392" t="n"/>
      <c r="L3444" s="392" t="n"/>
      <c r="M3444" s="392" t="n"/>
    </row>
    <row r="3445">
      <c r="A3445" s="568" t="n">
        <v>44894</v>
      </c>
      <c r="B3445" s="392" t="n">
        <v>9729</v>
      </c>
      <c r="C3445" s="392" t="n">
        <v>102.2</v>
      </c>
      <c r="D3445" s="392" t="n"/>
      <c r="E3445" s="392" t="n"/>
      <c r="F3445" s="392" t="n"/>
      <c r="G3445" s="392" t="n">
        <v>20</v>
      </c>
      <c r="H3445" s="446">
        <f>H3444-G3445</f>
        <v/>
      </c>
      <c r="I3445" s="392" t="n"/>
      <c r="J3445" s="392" t="n"/>
      <c r="K3445" s="392" t="n"/>
      <c r="L3445" s="392" t="n"/>
      <c r="M3445" s="392" t="n"/>
    </row>
    <row r="3446">
      <c r="A3446" s="568" t="n">
        <v>44894</v>
      </c>
      <c r="B3446" s="392" t="n">
        <v>9730</v>
      </c>
      <c r="C3446" s="392" t="n">
        <v>107</v>
      </c>
      <c r="D3446" s="392" t="n"/>
      <c r="E3446" s="392" t="n"/>
      <c r="F3446" s="392" t="n"/>
      <c r="G3446" s="392" t="n">
        <v>20</v>
      </c>
      <c r="H3446" s="446">
        <f>H3445-G3446</f>
        <v/>
      </c>
      <c r="I3446" s="392" t="n"/>
      <c r="J3446" s="392" t="n"/>
      <c r="K3446" s="392" t="n"/>
      <c r="L3446" s="392" t="n"/>
      <c r="M3446" s="392" t="n"/>
    </row>
    <row r="3447" ht="15.75" customHeight="1" s="436" thickBot="1">
      <c r="H3447" s="390" t="n"/>
    </row>
    <row r="3448" ht="32.25" customHeight="1" s="436" thickBot="1">
      <c r="A3448" s="735" t="inlineStr">
        <is>
          <t>Dezembro</t>
        </is>
      </c>
      <c r="B3448" s="697" t="n"/>
      <c r="C3448" s="697" t="n"/>
      <c r="D3448" s="697" t="n"/>
      <c r="E3448" s="697" t="n"/>
      <c r="F3448" s="697" t="n"/>
      <c r="G3448" s="697" t="n"/>
      <c r="H3448" s="697" t="n"/>
      <c r="I3448" s="697" t="n"/>
      <c r="J3448" s="697" t="n"/>
      <c r="K3448" s="697" t="n"/>
      <c r="L3448" s="697" t="n"/>
      <c r="M3448" s="698" t="n"/>
    </row>
    <row r="3449" ht="27" customHeight="1" s="436" thickBot="1">
      <c r="A3449" s="720" t="inlineStr">
        <is>
          <t xml:space="preserve"> FARINHA DE TRIGO TIPO: 1 - 25 KG</t>
        </is>
      </c>
      <c r="B3449" s="697" t="n"/>
      <c r="C3449" s="697" t="n"/>
      <c r="D3449" s="697" t="n"/>
      <c r="E3449" s="697" t="n"/>
      <c r="F3449" s="697" t="n"/>
      <c r="G3449" s="697" t="n"/>
      <c r="H3449" s="697" t="n"/>
      <c r="I3449" s="697" t="n"/>
      <c r="J3449" s="697" t="n"/>
      <c r="K3449" s="697" t="n"/>
      <c r="L3449" s="697" t="n"/>
      <c r="M3449" s="698" t="n"/>
    </row>
    <row r="3450">
      <c r="A3450" s="643" t="inlineStr">
        <is>
          <t>DATA</t>
        </is>
      </c>
      <c r="B3450" s="633" t="inlineStr">
        <is>
          <t>N.F.</t>
        </is>
      </c>
      <c r="C3450" s="633" t="inlineStr">
        <is>
          <t>TIPO</t>
        </is>
      </c>
      <c r="D3450" s="670" t="inlineStr">
        <is>
          <t>PREÇO UNITÁRIO</t>
        </is>
      </c>
      <c r="E3450" s="701" t="n"/>
      <c r="F3450" s="633" t="inlineStr">
        <is>
          <t>QUANTIDADE / KG</t>
        </is>
      </c>
      <c r="H3450" s="701" t="n"/>
      <c r="I3450" s="632" t="inlineStr">
        <is>
          <t>PREÇO</t>
        </is>
      </c>
      <c r="J3450" s="632" t="inlineStr">
        <is>
          <t>VALORES</t>
        </is>
      </c>
      <c r="L3450" s="701" t="n"/>
      <c r="M3450" s="649" t="n"/>
    </row>
    <row r="3451" ht="15.75" customHeight="1" s="436" thickBot="1">
      <c r="A3451" s="703" t="n"/>
      <c r="B3451" s="704" t="n"/>
      <c r="C3451" s="704" t="n"/>
      <c r="D3451" s="703" t="n"/>
      <c r="E3451" s="701" t="n"/>
      <c r="F3451" s="705" t="n"/>
      <c r="G3451" s="706" t="n"/>
      <c r="H3451" s="707" t="n"/>
      <c r="I3451" s="704" t="n"/>
      <c r="J3451" s="703" t="n"/>
      <c r="L3451" s="701" t="n"/>
      <c r="M3451" s="704" t="n"/>
    </row>
    <row r="3452" ht="15.75" customHeight="1" s="436" thickBot="1">
      <c r="A3452" s="703" t="n"/>
      <c r="B3452" s="704" t="n"/>
      <c r="C3452" s="704" t="n"/>
      <c r="D3452" s="705" t="n"/>
      <c r="E3452" s="707" t="n"/>
      <c r="F3452" s="3" t="inlineStr">
        <is>
          <t>ENTRADA</t>
        </is>
      </c>
      <c r="G3452" s="3" t="inlineStr">
        <is>
          <t>SAÍDA</t>
        </is>
      </c>
      <c r="H3452" s="640" t="n"/>
      <c r="I3452" s="633" t="inlineStr">
        <is>
          <t>MÉDIO</t>
        </is>
      </c>
      <c r="J3452" s="652" t="inlineStr">
        <is>
          <t>SALDO EM 30/11/2017</t>
        </is>
      </c>
      <c r="K3452" s="706" t="n"/>
      <c r="L3452" s="17" t="n"/>
      <c r="M3452" s="704" t="n"/>
    </row>
    <row r="3453" ht="18" customHeight="1" s="436" thickBot="1">
      <c r="A3453" s="705" t="n"/>
      <c r="B3453" s="695" t="n"/>
      <c r="C3453" s="695" t="n"/>
      <c r="D3453" s="3" t="inlineStr">
        <is>
          <t>C/ICMS</t>
        </is>
      </c>
      <c r="E3453" s="3" t="inlineStr">
        <is>
          <t>S/ICMS</t>
        </is>
      </c>
      <c r="F3453" s="695" t="n"/>
      <c r="G3453" s="695" t="n"/>
      <c r="H3453" s="84" t="inlineStr">
        <is>
          <t>Saldo em 31/11/2022</t>
        </is>
      </c>
      <c r="I3453" s="695" t="n"/>
      <c r="J3453" s="645" t="inlineStr">
        <is>
          <t>ENTRADA</t>
        </is>
      </c>
      <c r="K3453" s="633" t="inlineStr">
        <is>
          <t>SAÍDA / CMV</t>
        </is>
      </c>
      <c r="L3453" s="643" t="inlineStr">
        <is>
          <t>SALDO</t>
        </is>
      </c>
      <c r="M3453" s="392" t="n"/>
    </row>
    <row r="3454">
      <c r="A3454" s="392" t="n"/>
      <c r="B3454" s="392" t="n"/>
      <c r="C3454" s="392" t="n"/>
      <c r="D3454" s="392" t="n"/>
      <c r="E3454" s="392" t="n"/>
      <c r="F3454" s="392" t="n"/>
      <c r="G3454" s="392" t="n"/>
      <c r="H3454" s="446" t="n">
        <v>1523</v>
      </c>
      <c r="I3454" s="392" t="n"/>
      <c r="J3454" s="392" t="n"/>
      <c r="K3454" s="392" t="n"/>
      <c r="L3454" s="392" t="n"/>
      <c r="M3454" s="392" t="n"/>
    </row>
    <row r="3455">
      <c r="A3455" s="568" t="n">
        <v>44896</v>
      </c>
      <c r="B3455" s="392" t="n">
        <v>9738</v>
      </c>
      <c r="C3455" s="392" t="n">
        <v>108</v>
      </c>
      <c r="D3455" s="392" t="n"/>
      <c r="E3455" s="392" t="n"/>
      <c r="F3455" s="392" t="n"/>
      <c r="G3455" s="392" t="n">
        <v>16</v>
      </c>
      <c r="H3455" s="446">
        <f>H3454-G3455</f>
        <v/>
      </c>
      <c r="I3455" s="392" t="n"/>
      <c r="J3455" s="392" t="n"/>
      <c r="K3455" s="392" t="n"/>
      <c r="L3455" s="392" t="n"/>
      <c r="M3455" s="392" t="n"/>
    </row>
    <row r="3456">
      <c r="A3456" s="568" t="n">
        <v>44896</v>
      </c>
      <c r="B3456" s="392" t="n">
        <v>9743</v>
      </c>
      <c r="C3456" s="392" t="n">
        <v>101</v>
      </c>
      <c r="D3456" s="392" t="n"/>
      <c r="E3456" s="392" t="n"/>
      <c r="F3456" s="392" t="n"/>
      <c r="G3456" s="392" t="n">
        <v>30</v>
      </c>
      <c r="H3456" s="446">
        <f>H3455-G3456</f>
        <v/>
      </c>
      <c r="I3456" s="392" t="n"/>
      <c r="J3456" s="392" t="n"/>
      <c r="K3456" s="392" t="n"/>
      <c r="L3456" s="392" t="n"/>
      <c r="M3456" s="392" t="n"/>
    </row>
    <row r="3457">
      <c r="A3457" s="304" t="n">
        <v>44900</v>
      </c>
      <c r="B3457" s="401" t="n">
        <v>26319</v>
      </c>
      <c r="C3457" s="401" t="n">
        <v>89</v>
      </c>
      <c r="D3457" s="401" t="n"/>
      <c r="E3457" s="401" t="n"/>
      <c r="F3457" s="401" t="n">
        <v>1200</v>
      </c>
      <c r="G3457" s="401" t="n"/>
      <c r="H3457" s="322" t="n">
        <v>2677</v>
      </c>
      <c r="I3457" s="392" t="n"/>
      <c r="J3457" s="392" t="n"/>
      <c r="K3457" s="392" t="n"/>
      <c r="L3457" s="392" t="n"/>
      <c r="M3457" s="392" t="n"/>
    </row>
    <row r="3458">
      <c r="A3458" s="568" t="n">
        <v>44900</v>
      </c>
      <c r="B3458" s="392" t="n">
        <v>9744</v>
      </c>
      <c r="C3458" s="392" t="n">
        <v>108</v>
      </c>
      <c r="D3458" s="392" t="n"/>
      <c r="E3458" s="392" t="n"/>
      <c r="F3458" s="392" t="n"/>
      <c r="G3458" s="392" t="n">
        <v>100</v>
      </c>
      <c r="H3458" s="446">
        <f>H3457-G3458</f>
        <v/>
      </c>
      <c r="I3458" s="392" t="n"/>
      <c r="J3458" s="392" t="n"/>
      <c r="K3458" s="392" t="n"/>
      <c r="L3458" s="392" t="n"/>
      <c r="M3458" s="392" t="n"/>
    </row>
    <row r="3459">
      <c r="A3459" s="568" t="n">
        <v>44900</v>
      </c>
      <c r="B3459" s="392" t="n">
        <v>9745</v>
      </c>
      <c r="C3459" s="392" t="n">
        <v>101</v>
      </c>
      <c r="D3459" s="392" t="n"/>
      <c r="E3459" s="392" t="n"/>
      <c r="F3459" s="392" t="n"/>
      <c r="G3459" s="392" t="n">
        <v>30</v>
      </c>
      <c r="H3459" s="446">
        <f>H3458-G3459</f>
        <v/>
      </c>
      <c r="I3459" s="392" t="n"/>
      <c r="J3459" s="392" t="n"/>
      <c r="K3459" s="392" t="n"/>
      <c r="L3459" s="392" t="n"/>
      <c r="M3459" s="392" t="n"/>
    </row>
    <row r="3460">
      <c r="A3460" s="568" t="n">
        <v>44900</v>
      </c>
      <c r="B3460" s="392" t="n">
        <v>9747</v>
      </c>
      <c r="C3460" s="392" t="n">
        <v>101</v>
      </c>
      <c r="D3460" s="392" t="n"/>
      <c r="E3460" s="392" t="n"/>
      <c r="F3460" s="392" t="n"/>
      <c r="G3460" s="392" t="n">
        <v>15</v>
      </c>
      <c r="H3460" s="446">
        <f>H3459-G3460</f>
        <v/>
      </c>
      <c r="I3460" s="392" t="n"/>
      <c r="J3460" s="392" t="n"/>
      <c r="K3460" s="392" t="n"/>
      <c r="L3460" s="392" t="n"/>
      <c r="M3460" s="392" t="n"/>
    </row>
    <row r="3461">
      <c r="A3461" s="568" t="n">
        <v>44900</v>
      </c>
      <c r="B3461" s="392" t="n">
        <v>9749</v>
      </c>
      <c r="C3461" s="392" t="n">
        <v>98</v>
      </c>
      <c r="D3461" s="392" t="n"/>
      <c r="E3461" s="392" t="n"/>
      <c r="F3461" s="392" t="n"/>
      <c r="G3461" s="392" t="n">
        <v>50</v>
      </c>
      <c r="H3461" s="446">
        <f>H3460-G3461</f>
        <v/>
      </c>
      <c r="I3461" s="392" t="n"/>
      <c r="J3461" s="392" t="n"/>
      <c r="K3461" s="392" t="n"/>
      <c r="L3461" s="392" t="n"/>
      <c r="M3461" s="392" t="n"/>
    </row>
    <row r="3462">
      <c r="A3462" s="568" t="n">
        <v>44900</v>
      </c>
      <c r="B3462" s="392" t="n">
        <v>9751</v>
      </c>
      <c r="C3462" s="392" t="n">
        <v>101</v>
      </c>
      <c r="D3462" s="392" t="n"/>
      <c r="E3462" s="392" t="n"/>
      <c r="F3462" s="392" t="n"/>
      <c r="G3462" s="392" t="n">
        <v>40</v>
      </c>
      <c r="H3462" s="446">
        <f>H3461-G3462</f>
        <v/>
      </c>
      <c r="I3462" s="392" t="n"/>
      <c r="J3462" s="392" t="n"/>
      <c r="K3462" s="392" t="n"/>
      <c r="L3462" s="392" t="n"/>
      <c r="M3462" s="392" t="n"/>
    </row>
    <row r="3463">
      <c r="A3463" s="568" t="n">
        <v>44901</v>
      </c>
      <c r="B3463" s="392" t="n">
        <v>9754</v>
      </c>
      <c r="C3463" s="392" t="n">
        <v>108</v>
      </c>
      <c r="D3463" s="392" t="n"/>
      <c r="E3463" s="392" t="n"/>
      <c r="F3463" s="392" t="n"/>
      <c r="G3463" s="392" t="n">
        <v>15</v>
      </c>
      <c r="H3463" s="446">
        <f>H3462-G3463</f>
        <v/>
      </c>
      <c r="I3463" s="392" t="n"/>
      <c r="J3463" s="392" t="n"/>
      <c r="K3463" s="392" t="n"/>
      <c r="L3463" s="392" t="n"/>
      <c r="M3463" s="392" t="n"/>
    </row>
    <row r="3464">
      <c r="A3464" s="568" t="n">
        <v>44901</v>
      </c>
      <c r="B3464" s="392" t="n">
        <v>9755</v>
      </c>
      <c r="C3464" s="392" t="n">
        <v>101</v>
      </c>
      <c r="D3464" s="392" t="n"/>
      <c r="E3464" s="392" t="n"/>
      <c r="F3464" s="392" t="n"/>
      <c r="G3464" s="392" t="n">
        <v>40</v>
      </c>
      <c r="H3464" s="446">
        <f>H3463-G3464</f>
        <v/>
      </c>
      <c r="I3464" s="392" t="n"/>
      <c r="J3464" s="392" t="n"/>
      <c r="K3464" s="392" t="n"/>
      <c r="L3464" s="392" t="n"/>
      <c r="M3464" s="392" t="n"/>
    </row>
    <row r="3465">
      <c r="A3465" s="568" t="n">
        <v>44902</v>
      </c>
      <c r="B3465" s="392" t="n">
        <v>9756</v>
      </c>
      <c r="C3465" s="392" t="n">
        <v>101</v>
      </c>
      <c r="D3465" s="392" t="n"/>
      <c r="E3465" s="392" t="n"/>
      <c r="F3465" s="392" t="n"/>
      <c r="G3465" s="392" t="n">
        <v>15</v>
      </c>
      <c r="H3465" s="446">
        <f>H3464-G3465</f>
        <v/>
      </c>
      <c r="I3465" s="392" t="n"/>
      <c r="J3465" s="392" t="n"/>
      <c r="K3465" s="392" t="n"/>
      <c r="L3465" s="392" t="n"/>
      <c r="M3465" s="392" t="n"/>
    </row>
    <row r="3466">
      <c r="A3466" s="568" t="n">
        <v>44902</v>
      </c>
      <c r="B3466" s="392" t="n">
        <v>9765</v>
      </c>
      <c r="C3466" s="392" t="n">
        <v>101</v>
      </c>
      <c r="D3466" s="392" t="n"/>
      <c r="E3466" s="392" t="n"/>
      <c r="F3466" s="392" t="n"/>
      <c r="G3466" s="392" t="n">
        <v>20</v>
      </c>
      <c r="H3466" s="446">
        <f>H3465-G3466</f>
        <v/>
      </c>
      <c r="I3466" s="392" t="n"/>
      <c r="J3466" s="392" t="n"/>
      <c r="K3466" s="392" t="n"/>
      <c r="L3466" s="392" t="n"/>
      <c r="M3466" s="392" t="n"/>
    </row>
    <row r="3467">
      <c r="A3467" s="568" t="n">
        <v>44907</v>
      </c>
      <c r="B3467" s="392" t="n">
        <v>9766</v>
      </c>
      <c r="C3467" s="392" t="n">
        <v>100</v>
      </c>
      <c r="D3467" s="392" t="n"/>
      <c r="E3467" s="392" t="n"/>
      <c r="F3467" s="392" t="n"/>
      <c r="G3467" s="392" t="n">
        <v>100</v>
      </c>
      <c r="H3467" s="446">
        <f>H3466-G3467</f>
        <v/>
      </c>
      <c r="I3467" s="392" t="n"/>
      <c r="J3467" s="392" t="n"/>
      <c r="K3467" s="392" t="n"/>
      <c r="L3467" s="392" t="n"/>
      <c r="M3467" s="392" t="n"/>
    </row>
    <row r="3468">
      <c r="A3468" s="568" t="n">
        <v>44907</v>
      </c>
      <c r="B3468" s="392" t="n">
        <v>9769</v>
      </c>
      <c r="C3468" s="392" t="n">
        <v>101</v>
      </c>
      <c r="D3468" s="392" t="n"/>
      <c r="E3468" s="392" t="n"/>
      <c r="F3468" s="392" t="n"/>
      <c r="G3468" s="392" t="n">
        <v>30</v>
      </c>
      <c r="H3468" s="446">
        <f>H3467-G3468</f>
        <v/>
      </c>
      <c r="I3468" s="392" t="n"/>
      <c r="J3468" s="392" t="n"/>
      <c r="K3468" s="392" t="n"/>
      <c r="L3468" s="392" t="n"/>
      <c r="M3468" s="392" t="n"/>
    </row>
    <row r="3469">
      <c r="A3469" s="568" t="n">
        <v>44907</v>
      </c>
      <c r="B3469" s="392" t="n">
        <v>9770</v>
      </c>
      <c r="C3469" s="392" t="n">
        <v>101</v>
      </c>
      <c r="D3469" s="392" t="n"/>
      <c r="E3469" s="392" t="n"/>
      <c r="F3469" s="392" t="n"/>
      <c r="G3469" s="392" t="n">
        <v>40</v>
      </c>
      <c r="H3469" s="446">
        <f>H3468-G3469</f>
        <v/>
      </c>
      <c r="I3469" s="392" t="n"/>
      <c r="J3469" s="392" t="n"/>
      <c r="K3469" s="392" t="n"/>
      <c r="L3469" s="392" t="n"/>
      <c r="M3469" s="392" t="n"/>
    </row>
    <row r="3470">
      <c r="A3470" s="568" t="n">
        <v>44907</v>
      </c>
      <c r="B3470" s="392" t="n">
        <v>9771</v>
      </c>
      <c r="C3470" s="392" t="n">
        <v>101</v>
      </c>
      <c r="D3470" s="392" t="n"/>
      <c r="E3470" s="392" t="n"/>
      <c r="F3470" s="392" t="n"/>
      <c r="G3470" s="392" t="n">
        <v>40</v>
      </c>
      <c r="H3470" s="446">
        <f>H3469-G3470</f>
        <v/>
      </c>
      <c r="I3470" s="392" t="n"/>
      <c r="J3470" s="392" t="n"/>
      <c r="K3470" s="392" t="n"/>
      <c r="L3470" s="392" t="n"/>
      <c r="M3470" s="392" t="n"/>
    </row>
    <row r="3471">
      <c r="A3471" s="568" t="n">
        <v>44908</v>
      </c>
      <c r="B3471" s="392" t="n">
        <v>9773</v>
      </c>
      <c r="C3471" s="392" t="n">
        <v>108</v>
      </c>
      <c r="D3471" s="392" t="n"/>
      <c r="E3471" s="392" t="n"/>
      <c r="F3471" s="392" t="n"/>
      <c r="G3471" s="392" t="n">
        <v>150</v>
      </c>
      <c r="H3471" s="446">
        <f>H3470-G3471</f>
        <v/>
      </c>
      <c r="I3471" s="392" t="n"/>
      <c r="J3471" s="392" t="n"/>
      <c r="K3471" s="392" t="n"/>
      <c r="L3471" s="392" t="n"/>
      <c r="M3471" s="392" t="n"/>
    </row>
    <row r="3472">
      <c r="A3472" s="568" t="n">
        <v>44908</v>
      </c>
      <c r="B3472" s="392" t="n">
        <v>9774</v>
      </c>
      <c r="C3472" s="392" t="n">
        <v>100</v>
      </c>
      <c r="D3472" s="392" t="n"/>
      <c r="E3472" s="392" t="n"/>
      <c r="F3472" s="392" t="n"/>
      <c r="G3472" s="392" t="n">
        <v>98</v>
      </c>
      <c r="H3472" s="446">
        <f>H3471-G3472</f>
        <v/>
      </c>
      <c r="I3472" s="392" t="n"/>
      <c r="J3472" s="392" t="n"/>
      <c r="K3472" s="392" t="n"/>
      <c r="L3472" s="392" t="n"/>
      <c r="M3472" s="392" t="n"/>
    </row>
    <row r="3473">
      <c r="A3473" s="568" t="n">
        <v>44908</v>
      </c>
      <c r="B3473" s="392" t="n">
        <v>9775</v>
      </c>
      <c r="C3473" s="392" t="n">
        <v>101</v>
      </c>
      <c r="D3473" s="392" t="n"/>
      <c r="E3473" s="392" t="n"/>
      <c r="F3473" s="392" t="n"/>
      <c r="G3473" s="392" t="n">
        <v>70</v>
      </c>
      <c r="H3473" s="446">
        <f>H3472-G3473</f>
        <v/>
      </c>
      <c r="I3473" s="392" t="n"/>
      <c r="J3473" s="392" t="n"/>
      <c r="K3473" s="392" t="n"/>
      <c r="L3473" s="392" t="n"/>
      <c r="M3473" s="392" t="n"/>
    </row>
    <row r="3474">
      <c r="A3474" s="568" t="n">
        <v>44908</v>
      </c>
      <c r="B3474" s="392" t="n">
        <v>9776</v>
      </c>
      <c r="C3474" s="392" t="n">
        <v>102</v>
      </c>
      <c r="D3474" s="392" t="n"/>
      <c r="E3474" s="392" t="n"/>
      <c r="F3474" s="392" t="n"/>
      <c r="G3474" s="392" t="n">
        <v>30</v>
      </c>
      <c r="H3474" s="446">
        <f>H3473-G3474</f>
        <v/>
      </c>
      <c r="I3474" s="392" t="n"/>
      <c r="J3474" s="392" t="n"/>
      <c r="K3474" s="392" t="n"/>
      <c r="L3474" s="392" t="n"/>
      <c r="M3474" s="392" t="n"/>
    </row>
    <row r="3475">
      <c r="A3475" s="568" t="n">
        <v>44909</v>
      </c>
      <c r="B3475" s="392" t="n">
        <v>9779</v>
      </c>
      <c r="C3475" s="392" t="n">
        <v>101</v>
      </c>
      <c r="D3475" s="392" t="n"/>
      <c r="E3475" s="392" t="n"/>
      <c r="F3475" s="392" t="n"/>
      <c r="G3475" s="392" t="n">
        <v>70</v>
      </c>
      <c r="H3475" s="446">
        <f>H3474-G3475</f>
        <v/>
      </c>
      <c r="I3475" s="392" t="n"/>
      <c r="J3475" s="392" t="n"/>
      <c r="K3475" s="392" t="n"/>
      <c r="L3475" s="392" t="n"/>
      <c r="M3475" s="392" t="n"/>
    </row>
    <row r="3476">
      <c r="A3476" s="568" t="n">
        <v>44909</v>
      </c>
      <c r="B3476" s="392" t="n">
        <v>9786</v>
      </c>
      <c r="C3476" s="392" t="n">
        <v>102</v>
      </c>
      <c r="D3476" s="392" t="n"/>
      <c r="E3476" s="392" t="n"/>
      <c r="F3476" s="392" t="n"/>
      <c r="G3476" s="392" t="n">
        <v>25</v>
      </c>
      <c r="H3476" s="446">
        <f>H3475-G3476</f>
        <v/>
      </c>
      <c r="I3476" s="392" t="n"/>
      <c r="J3476" s="392" t="n"/>
      <c r="K3476" s="392" t="n"/>
      <c r="L3476" s="392" t="n"/>
      <c r="M3476" s="392" t="n"/>
    </row>
    <row r="3477">
      <c r="A3477" s="568" t="n">
        <v>44909</v>
      </c>
      <c r="B3477" s="392" t="n">
        <v>9790</v>
      </c>
      <c r="C3477" s="392" t="n">
        <v>102</v>
      </c>
      <c r="D3477" s="392" t="n"/>
      <c r="E3477" s="392" t="n"/>
      <c r="F3477" s="392" t="n"/>
      <c r="G3477" s="392" t="n">
        <v>30</v>
      </c>
      <c r="H3477" s="446">
        <f>H3476-G3477</f>
        <v/>
      </c>
      <c r="I3477" s="392" t="n"/>
      <c r="J3477" s="392" t="n"/>
      <c r="K3477" s="392" t="n"/>
      <c r="L3477" s="392" t="n"/>
      <c r="M3477" s="392" t="n"/>
    </row>
    <row r="3478">
      <c r="A3478" s="568" t="n">
        <v>44909</v>
      </c>
      <c r="B3478" s="392" t="n">
        <v>9792</v>
      </c>
      <c r="C3478" s="392" t="n">
        <v>102.9</v>
      </c>
      <c r="D3478" s="392" t="n"/>
      <c r="E3478" s="392" t="n"/>
      <c r="F3478" s="392" t="n"/>
      <c r="G3478" s="392" t="n">
        <v>45</v>
      </c>
      <c r="H3478" s="446">
        <f>H3477-G3478</f>
        <v/>
      </c>
      <c r="I3478" s="392" t="n"/>
      <c r="J3478" s="392" t="n"/>
      <c r="K3478" s="392" t="n"/>
      <c r="L3478" s="392" t="n"/>
      <c r="M3478" s="392" t="n"/>
    </row>
    <row r="3479">
      <c r="A3479" s="568" t="n">
        <v>44909</v>
      </c>
      <c r="B3479" s="392" t="n">
        <v>9794</v>
      </c>
      <c r="C3479" s="392" t="n">
        <v>102</v>
      </c>
      <c r="D3479" s="392" t="n"/>
      <c r="E3479" s="392" t="n"/>
      <c r="F3479" s="392" t="n"/>
      <c r="G3479" s="392" t="n">
        <v>10</v>
      </c>
      <c r="H3479" s="446">
        <f>H3478-G3479</f>
        <v/>
      </c>
      <c r="I3479" s="392" t="n"/>
      <c r="J3479" s="392" t="n"/>
      <c r="K3479" s="392" t="n"/>
      <c r="L3479" s="392" t="n"/>
      <c r="M3479" s="392" t="n"/>
    </row>
    <row r="3480">
      <c r="A3480" s="568" t="n">
        <v>44909</v>
      </c>
      <c r="B3480" s="392" t="n">
        <v>9799</v>
      </c>
      <c r="C3480" s="392" t="n">
        <v>104</v>
      </c>
      <c r="D3480" s="392" t="n"/>
      <c r="E3480" s="392" t="n"/>
      <c r="F3480" s="392" t="n"/>
      <c r="G3480" s="392" t="n">
        <v>20</v>
      </c>
      <c r="H3480" s="446">
        <f>H3479-G3480</f>
        <v/>
      </c>
      <c r="I3480" s="392" t="n"/>
      <c r="J3480" s="392" t="n"/>
      <c r="K3480" s="392" t="n"/>
      <c r="L3480" s="392" t="n"/>
      <c r="M3480" s="392" t="n"/>
    </row>
    <row r="3481">
      <c r="A3481" s="568" t="n">
        <v>44909</v>
      </c>
      <c r="B3481" s="392" t="n">
        <v>9800</v>
      </c>
      <c r="C3481" s="392" t="n">
        <v>102</v>
      </c>
      <c r="D3481" s="392" t="n"/>
      <c r="E3481" s="392" t="n"/>
      <c r="F3481" s="392" t="n"/>
      <c r="G3481" s="392" t="n">
        <v>20</v>
      </c>
      <c r="H3481" s="446">
        <f>H3480-G3481</f>
        <v/>
      </c>
      <c r="I3481" s="392" t="n"/>
      <c r="J3481" s="392" t="n"/>
      <c r="K3481" s="392" t="n"/>
      <c r="L3481" s="392" t="n"/>
      <c r="M3481" s="392" t="n"/>
    </row>
    <row r="3482">
      <c r="A3482" s="568" t="n">
        <v>44909</v>
      </c>
      <c r="B3482" s="392" t="n">
        <v>9801</v>
      </c>
      <c r="C3482" s="392" t="n">
        <v>102</v>
      </c>
      <c r="D3482" s="392" t="n"/>
      <c r="E3482" s="392" t="n"/>
      <c r="F3482" s="392" t="n"/>
      <c r="G3482" s="392" t="n">
        <v>20</v>
      </c>
      <c r="H3482" s="446">
        <f>H3481-G3482</f>
        <v/>
      </c>
      <c r="I3482" s="392" t="n"/>
      <c r="J3482" s="392" t="n"/>
      <c r="K3482" s="392" t="n"/>
      <c r="L3482" s="392" t="n"/>
      <c r="M3482" s="392" t="n"/>
    </row>
    <row r="3483">
      <c r="A3483" s="334" t="n">
        <v>44914</v>
      </c>
      <c r="B3483" s="401" t="n">
        <v>205310</v>
      </c>
      <c r="C3483" s="401" t="n">
        <v>87</v>
      </c>
      <c r="D3483" s="401" t="n"/>
      <c r="E3483" s="401" t="n"/>
      <c r="F3483" s="401" t="n">
        <v>300</v>
      </c>
      <c r="G3483" s="401" t="n"/>
      <c r="H3483" s="322" t="n">
        <v>1854</v>
      </c>
      <c r="I3483" s="392" t="n"/>
      <c r="J3483" s="392" t="n"/>
      <c r="K3483" s="392" t="n"/>
      <c r="L3483" s="392" t="n"/>
      <c r="M3483" s="392" t="n"/>
    </row>
    <row r="3484">
      <c r="A3484" s="334" t="n">
        <v>44914</v>
      </c>
      <c r="B3484" s="401" t="n">
        <v>205310</v>
      </c>
      <c r="C3484" s="401" t="n">
        <v>86</v>
      </c>
      <c r="D3484" s="401" t="n"/>
      <c r="E3484" s="401" t="n"/>
      <c r="F3484" s="401" t="n">
        <v>230</v>
      </c>
      <c r="G3484" s="401" t="n"/>
      <c r="H3484" s="322" t="n">
        <v>2084</v>
      </c>
      <c r="I3484" s="392" t="n"/>
      <c r="J3484" s="392" t="n"/>
      <c r="K3484" s="392" t="n"/>
      <c r="L3484" s="392" t="n"/>
      <c r="M3484" s="392" t="n"/>
    </row>
    <row r="3485" ht="15.75" customHeight="1" s="436" thickBot="1">
      <c r="H3485" s="390" t="n"/>
    </row>
    <row r="3486" ht="32.25" customHeight="1" s="436" thickBot="1">
      <c r="A3486" s="735" t="inlineStr">
        <is>
          <t>Janeiro</t>
        </is>
      </c>
      <c r="B3486" s="697" t="n"/>
      <c r="C3486" s="697" t="n"/>
      <c r="D3486" s="697" t="n"/>
      <c r="E3486" s="697" t="n"/>
      <c r="F3486" s="697" t="n"/>
      <c r="G3486" s="697" t="n"/>
      <c r="H3486" s="697" t="n"/>
      <c r="I3486" s="697" t="n"/>
      <c r="J3486" s="697" t="n"/>
      <c r="K3486" s="697" t="n"/>
      <c r="L3486" s="697" t="n"/>
      <c r="M3486" s="698" t="n"/>
    </row>
    <row r="3487" ht="27" customHeight="1" s="436" thickBot="1">
      <c r="A3487" s="720" t="inlineStr">
        <is>
          <t xml:space="preserve"> FARINHA DE TRIGO TIPO: 1 - 25 KG</t>
        </is>
      </c>
      <c r="B3487" s="697" t="n"/>
      <c r="C3487" s="697" t="n"/>
      <c r="D3487" s="697" t="n"/>
      <c r="E3487" s="697" t="n"/>
      <c r="F3487" s="697" t="n"/>
      <c r="G3487" s="697" t="n"/>
      <c r="H3487" s="697" t="n"/>
      <c r="I3487" s="697" t="n"/>
      <c r="J3487" s="697" t="n"/>
      <c r="K3487" s="697" t="n"/>
      <c r="L3487" s="697" t="n"/>
      <c r="M3487" s="698" t="n"/>
    </row>
    <row r="3488">
      <c r="A3488" s="643" t="inlineStr">
        <is>
          <t>DATA</t>
        </is>
      </c>
      <c r="B3488" s="633" t="inlineStr">
        <is>
          <t>N.F.</t>
        </is>
      </c>
      <c r="C3488" s="633" t="inlineStr">
        <is>
          <t>TIPO</t>
        </is>
      </c>
      <c r="D3488" s="670" t="inlineStr">
        <is>
          <t>PREÇO UNITÁRIO</t>
        </is>
      </c>
      <c r="E3488" s="701" t="n"/>
      <c r="F3488" s="633" t="inlineStr">
        <is>
          <t>QUANTIDADE / KG</t>
        </is>
      </c>
      <c r="H3488" s="701" t="n"/>
      <c r="I3488" s="632" t="inlineStr">
        <is>
          <t>PREÇO</t>
        </is>
      </c>
      <c r="J3488" s="632" t="inlineStr">
        <is>
          <t>VALORES</t>
        </is>
      </c>
      <c r="L3488" s="701" t="n"/>
      <c r="M3488" s="649" t="n"/>
    </row>
    <row r="3489" ht="15.75" customHeight="1" s="436" thickBot="1">
      <c r="A3489" s="703" t="n"/>
      <c r="B3489" s="704" t="n"/>
      <c r="C3489" s="704" t="n"/>
      <c r="D3489" s="703" t="n"/>
      <c r="E3489" s="701" t="n"/>
      <c r="F3489" s="705" t="n"/>
      <c r="G3489" s="706" t="n"/>
      <c r="H3489" s="707" t="n"/>
      <c r="I3489" s="704" t="n"/>
      <c r="J3489" s="703" t="n"/>
      <c r="L3489" s="701" t="n"/>
      <c r="M3489" s="704" t="n"/>
    </row>
    <row r="3490" ht="15.75" customHeight="1" s="436" thickBot="1">
      <c r="A3490" s="703" t="n"/>
      <c r="B3490" s="704" t="n"/>
      <c r="C3490" s="704" t="n"/>
      <c r="D3490" s="705" t="n"/>
      <c r="E3490" s="707" t="n"/>
      <c r="F3490" s="3" t="inlineStr">
        <is>
          <t>ENTRADA</t>
        </is>
      </c>
      <c r="G3490" s="3" t="inlineStr">
        <is>
          <t>SAÍDA</t>
        </is>
      </c>
      <c r="H3490" s="640" t="n"/>
      <c r="I3490" s="633" t="inlineStr">
        <is>
          <t>MÉDIO</t>
        </is>
      </c>
      <c r="J3490" s="652" t="inlineStr">
        <is>
          <t>SALDO EM 30/11/2017</t>
        </is>
      </c>
      <c r="K3490" s="706" t="n"/>
      <c r="L3490" s="17" t="n"/>
      <c r="M3490" s="704" t="n"/>
    </row>
    <row r="3491" ht="18" customHeight="1" s="436" thickBot="1">
      <c r="A3491" s="705" t="n"/>
      <c r="B3491" s="695" t="n"/>
      <c r="C3491" s="695" t="n"/>
      <c r="D3491" s="3" t="inlineStr">
        <is>
          <t>C/ICMS</t>
        </is>
      </c>
      <c r="E3491" s="3" t="inlineStr">
        <is>
          <t>S/ICMS</t>
        </is>
      </c>
      <c r="F3491" s="695" t="n"/>
      <c r="G3491" s="695" t="n"/>
      <c r="H3491" s="84" t="inlineStr">
        <is>
          <t>Saldo em 31/12/2022</t>
        </is>
      </c>
      <c r="I3491" s="695" t="n"/>
      <c r="J3491" s="645" t="inlineStr">
        <is>
          <t>ENTRADA</t>
        </is>
      </c>
      <c r="K3491" s="633" t="inlineStr">
        <is>
          <t>SAÍDA / CMV</t>
        </is>
      </c>
      <c r="L3491" s="643" t="inlineStr">
        <is>
          <t>SALDO</t>
        </is>
      </c>
      <c r="M3491" s="392" t="n"/>
    </row>
    <row r="3492">
      <c r="A3492" s="392" t="n"/>
      <c r="B3492" s="392" t="n"/>
      <c r="C3492" s="392" t="n"/>
      <c r="D3492" s="392" t="n"/>
      <c r="E3492" s="392" t="n"/>
      <c r="F3492" s="392" t="n"/>
      <c r="G3492" s="392" t="n"/>
      <c r="H3492" s="446" t="n">
        <v>2084</v>
      </c>
      <c r="I3492" s="392" t="n"/>
      <c r="J3492" s="392" t="n"/>
      <c r="K3492" s="392" t="n"/>
      <c r="L3492" s="392" t="n"/>
      <c r="M3492" s="392" t="n"/>
    </row>
    <row r="3493">
      <c r="A3493" s="568" t="n">
        <v>44930</v>
      </c>
      <c r="B3493" s="392" t="n">
        <v>9805</v>
      </c>
      <c r="C3493" s="392" t="n">
        <v>104</v>
      </c>
      <c r="D3493" s="392" t="n"/>
      <c r="E3493" s="392" t="n"/>
      <c r="F3493" s="392" t="n"/>
      <c r="G3493" s="392" t="n">
        <v>15</v>
      </c>
      <c r="H3493" s="446">
        <f>H3492-G3493</f>
        <v/>
      </c>
      <c r="I3493" s="392" t="n"/>
      <c r="J3493" s="392" t="n"/>
      <c r="K3493" s="392" t="n"/>
      <c r="L3493" s="392" t="n"/>
      <c r="M3493" s="392" t="n"/>
    </row>
    <row r="3494">
      <c r="A3494" s="568" t="n">
        <v>44930</v>
      </c>
      <c r="B3494" s="392" t="n">
        <v>9806</v>
      </c>
      <c r="C3494" s="392" t="n">
        <v>102</v>
      </c>
      <c r="D3494" s="392" t="n"/>
      <c r="E3494" s="392" t="n"/>
      <c r="F3494" s="392" t="n"/>
      <c r="G3494" s="392" t="n">
        <v>30</v>
      </c>
      <c r="H3494" s="446">
        <f>H3493-G3494</f>
        <v/>
      </c>
      <c r="I3494" s="392" t="n"/>
      <c r="J3494" s="392" t="n"/>
      <c r="K3494" s="392" t="n"/>
      <c r="L3494" s="392" t="n"/>
      <c r="M3494" s="392" t="n"/>
    </row>
    <row r="3495">
      <c r="A3495" s="568" t="n">
        <v>44930</v>
      </c>
      <c r="B3495" s="392" t="n">
        <v>9807</v>
      </c>
      <c r="C3495" s="392" t="n">
        <v>104</v>
      </c>
      <c r="D3495" s="392" t="n"/>
      <c r="E3495" s="392" t="n"/>
      <c r="F3495" s="392" t="n"/>
      <c r="G3495" s="392" t="n">
        <v>5</v>
      </c>
      <c r="H3495" s="446">
        <f>H3494-G3495</f>
        <v/>
      </c>
      <c r="I3495" s="392" t="n"/>
      <c r="J3495" s="392" t="n"/>
      <c r="K3495" s="392" t="n"/>
      <c r="L3495" s="392" t="n"/>
      <c r="M3495" s="392" t="n"/>
    </row>
    <row r="3496">
      <c r="A3496" s="568" t="n">
        <v>44930</v>
      </c>
      <c r="B3496" s="392" t="n">
        <v>9809</v>
      </c>
      <c r="C3496" s="392" t="n">
        <v>106</v>
      </c>
      <c r="D3496" s="392" t="n"/>
      <c r="E3496" s="392" t="n"/>
      <c r="F3496" s="392" t="n"/>
      <c r="G3496" s="392" t="n">
        <v>30</v>
      </c>
      <c r="H3496" s="446">
        <f>H3495-G3496</f>
        <v/>
      </c>
      <c r="I3496" s="392" t="n"/>
      <c r="J3496" s="392" t="n"/>
      <c r="K3496" s="392" t="n"/>
      <c r="L3496" s="392" t="n"/>
      <c r="M3496" s="392" t="n"/>
    </row>
    <row r="3497">
      <c r="A3497" s="568" t="n">
        <v>44930</v>
      </c>
      <c r="B3497" s="392" t="n">
        <v>9810</v>
      </c>
      <c r="C3497" s="392" t="n">
        <v>98</v>
      </c>
      <c r="D3497" s="392" t="n"/>
      <c r="E3497" s="392" t="n"/>
      <c r="F3497" s="392" t="n"/>
      <c r="G3497" s="392" t="n">
        <v>50</v>
      </c>
      <c r="H3497" s="446">
        <f>H3496-G3497</f>
        <v/>
      </c>
      <c r="I3497" s="392" t="n"/>
      <c r="J3497" s="392" t="n"/>
      <c r="K3497" s="392" t="n"/>
      <c r="L3497" s="392" t="n"/>
      <c r="M3497" s="392" t="n"/>
    </row>
    <row r="3498">
      <c r="A3498" s="568" t="n">
        <v>44930</v>
      </c>
      <c r="B3498" s="392" t="n">
        <v>9811</v>
      </c>
      <c r="C3498" s="392" t="n">
        <v>105.5</v>
      </c>
      <c r="D3498" s="392" t="n"/>
      <c r="E3498" s="392" t="n"/>
      <c r="F3498" s="392" t="n"/>
      <c r="G3498" s="392" t="n">
        <v>20</v>
      </c>
      <c r="H3498" s="446">
        <f>H3497-G3498</f>
        <v/>
      </c>
      <c r="I3498" s="392" t="n"/>
      <c r="J3498" s="392" t="n"/>
      <c r="K3498" s="392" t="n"/>
      <c r="L3498" s="392" t="n"/>
      <c r="M3498" s="392" t="n"/>
    </row>
    <row r="3499">
      <c r="A3499" s="568" t="n">
        <v>44930</v>
      </c>
      <c r="B3499" s="392" t="n">
        <v>9813</v>
      </c>
      <c r="C3499" s="392" t="n">
        <v>104</v>
      </c>
      <c r="D3499" s="392" t="n"/>
      <c r="E3499" s="392" t="n"/>
      <c r="F3499" s="392" t="n"/>
      <c r="G3499" s="392" t="n">
        <v>20</v>
      </c>
      <c r="H3499" s="446">
        <f>H3498-G3499</f>
        <v/>
      </c>
      <c r="I3499" s="392" t="n"/>
      <c r="J3499" s="392" t="n"/>
      <c r="K3499" s="392" t="n"/>
      <c r="L3499" s="392" t="n"/>
      <c r="M3499" s="392" t="n"/>
    </row>
    <row r="3500">
      <c r="A3500" s="568" t="n">
        <v>44930</v>
      </c>
      <c r="B3500" s="392" t="n">
        <v>9814</v>
      </c>
      <c r="C3500" s="392" t="n">
        <v>104</v>
      </c>
      <c r="D3500" s="392" t="n"/>
      <c r="E3500" s="392" t="n"/>
      <c r="F3500" s="392" t="n"/>
      <c r="G3500" s="392" t="n">
        <v>15</v>
      </c>
      <c r="H3500" s="446">
        <f>H3499-G3500</f>
        <v/>
      </c>
      <c r="I3500" s="392" t="n"/>
      <c r="J3500" s="392" t="n"/>
      <c r="K3500" s="392" t="n"/>
      <c r="L3500" s="392" t="n"/>
      <c r="M3500" s="392" t="n"/>
    </row>
    <row r="3501">
      <c r="A3501" s="568" t="n">
        <v>44931</v>
      </c>
      <c r="B3501" s="392" t="n">
        <v>9815</v>
      </c>
      <c r="C3501" s="392" t="n">
        <v>102</v>
      </c>
      <c r="D3501" s="392" t="n"/>
      <c r="E3501" s="392" t="n"/>
      <c r="F3501" s="392" t="n"/>
      <c r="G3501" s="392" t="n">
        <v>20</v>
      </c>
      <c r="H3501" s="446">
        <f>H3500-G3501</f>
        <v/>
      </c>
      <c r="I3501" s="392" t="n"/>
      <c r="J3501" s="392" t="n"/>
      <c r="K3501" s="392" t="n"/>
      <c r="L3501" s="392" t="n"/>
      <c r="M3501" s="392" t="n"/>
    </row>
    <row r="3502">
      <c r="A3502" s="568" t="n">
        <v>44931</v>
      </c>
      <c r="B3502" s="392" t="n">
        <v>9816</v>
      </c>
      <c r="C3502" s="392" t="n">
        <v>102</v>
      </c>
      <c r="D3502" s="392" t="n"/>
      <c r="E3502" s="392" t="n"/>
      <c r="F3502" s="392" t="n"/>
      <c r="G3502" s="392" t="n">
        <v>20</v>
      </c>
      <c r="H3502" s="446">
        <f>H3501-G3502</f>
        <v/>
      </c>
      <c r="I3502" s="392" t="n"/>
      <c r="J3502" s="392" t="n"/>
      <c r="K3502" s="392" t="n"/>
      <c r="L3502" s="392" t="n"/>
      <c r="M3502" s="392" t="n"/>
    </row>
    <row r="3503">
      <c r="A3503" s="568" t="n">
        <v>44935</v>
      </c>
      <c r="B3503" s="392" t="n">
        <v>9817</v>
      </c>
      <c r="C3503" s="392" t="n">
        <v>110</v>
      </c>
      <c r="D3503" s="392" t="n"/>
      <c r="E3503" s="392" t="n"/>
      <c r="F3503" s="392" t="n"/>
      <c r="G3503" s="392" t="n">
        <v>10</v>
      </c>
      <c r="H3503" s="446">
        <f>H3502-G3503</f>
        <v/>
      </c>
      <c r="I3503" s="392" t="n"/>
      <c r="J3503" s="392" t="n"/>
      <c r="K3503" s="392" t="n"/>
      <c r="L3503" s="392" t="n"/>
      <c r="M3503" s="392" t="n"/>
    </row>
    <row r="3504">
      <c r="A3504" s="568" t="n">
        <v>44935</v>
      </c>
      <c r="B3504" s="392" t="n">
        <v>9818</v>
      </c>
      <c r="C3504" s="392" t="n">
        <v>110</v>
      </c>
      <c r="D3504" s="392" t="n"/>
      <c r="E3504" s="392" t="n"/>
      <c r="F3504" s="392" t="n"/>
      <c r="G3504" s="392" t="n">
        <v>15</v>
      </c>
      <c r="H3504" s="446">
        <f>H3503-G3504</f>
        <v/>
      </c>
      <c r="I3504" s="392" t="n"/>
      <c r="J3504" s="392" t="n"/>
      <c r="K3504" s="392" t="n"/>
      <c r="L3504" s="392" t="n"/>
      <c r="M3504" s="392" t="n"/>
    </row>
    <row r="3505">
      <c r="A3505" s="568" t="n">
        <v>44935</v>
      </c>
      <c r="B3505" s="392" t="n">
        <v>9819</v>
      </c>
      <c r="C3505" s="392" t="n">
        <v>102</v>
      </c>
      <c r="D3505" s="392" t="n"/>
      <c r="E3505" s="392" t="n"/>
      <c r="F3505" s="392" t="n"/>
      <c r="G3505" s="392" t="n">
        <v>40</v>
      </c>
      <c r="H3505" s="446">
        <f>H3504-G3505</f>
        <v/>
      </c>
      <c r="I3505" s="392" t="n"/>
      <c r="J3505" s="392" t="n"/>
      <c r="K3505" s="392" t="n"/>
      <c r="L3505" s="392" t="n"/>
      <c r="M3505" s="392" t="n"/>
    </row>
    <row r="3506">
      <c r="A3506" s="568" t="n">
        <v>44935</v>
      </c>
      <c r="B3506" s="392" t="n">
        <v>9822</v>
      </c>
      <c r="C3506" s="392" t="n">
        <v>104.67</v>
      </c>
      <c r="D3506" s="392" t="n"/>
      <c r="E3506" s="392" t="n"/>
      <c r="F3506" s="392" t="n"/>
      <c r="G3506" s="392" t="n">
        <v>30</v>
      </c>
      <c r="H3506" s="446">
        <f>H3505-G3506</f>
        <v/>
      </c>
      <c r="I3506" s="392" t="n"/>
      <c r="J3506" s="392" t="n"/>
      <c r="K3506" s="392" t="n"/>
      <c r="L3506" s="392" t="n"/>
      <c r="M3506" s="392" t="n"/>
    </row>
    <row r="3507">
      <c r="A3507" s="568" t="n">
        <v>44935</v>
      </c>
      <c r="B3507" s="392" t="n">
        <v>9824</v>
      </c>
      <c r="C3507" s="392" t="n">
        <v>102</v>
      </c>
      <c r="D3507" s="392" t="n"/>
      <c r="E3507" s="392" t="n"/>
      <c r="F3507" s="392" t="n"/>
      <c r="G3507" s="392" t="n">
        <v>15</v>
      </c>
      <c r="H3507" s="446">
        <f>H3506-G3507</f>
        <v/>
      </c>
      <c r="I3507" s="392" t="n"/>
      <c r="J3507" s="392" t="n"/>
      <c r="K3507" s="392" t="n"/>
      <c r="L3507" s="392" t="n"/>
      <c r="M3507" s="392" t="n"/>
    </row>
    <row r="3508">
      <c r="A3508" s="568" t="n">
        <v>44935</v>
      </c>
      <c r="B3508" s="392" t="n">
        <v>9825</v>
      </c>
      <c r="C3508" s="392" t="n">
        <v>105</v>
      </c>
      <c r="D3508" s="392" t="n"/>
      <c r="E3508" s="392" t="n"/>
      <c r="F3508" s="392" t="n"/>
      <c r="G3508" s="392" t="n">
        <v>30</v>
      </c>
      <c r="H3508" s="446">
        <f>H3507-G3508</f>
        <v/>
      </c>
      <c r="I3508" s="392" t="n"/>
      <c r="J3508" s="392" t="n"/>
      <c r="K3508" s="392" t="n"/>
      <c r="L3508" s="392" t="n"/>
      <c r="M3508" s="392" t="n"/>
    </row>
    <row r="3509">
      <c r="A3509" s="568" t="n">
        <v>44935</v>
      </c>
      <c r="B3509" s="392" t="n">
        <v>9826</v>
      </c>
      <c r="C3509" s="392" t="n">
        <v>110</v>
      </c>
      <c r="D3509" s="392" t="n"/>
      <c r="E3509" s="392" t="n"/>
      <c r="F3509" s="392" t="n"/>
      <c r="G3509" s="392" t="n">
        <v>20</v>
      </c>
      <c r="H3509" s="446">
        <f>H3508-G3509</f>
        <v/>
      </c>
      <c r="I3509" s="392" t="n"/>
      <c r="J3509" s="392" t="n"/>
      <c r="K3509" s="392" t="n"/>
      <c r="L3509" s="392" t="n"/>
      <c r="M3509" s="392" t="n"/>
    </row>
    <row r="3510">
      <c r="A3510" s="568" t="n">
        <v>44935</v>
      </c>
      <c r="B3510" s="392" t="n">
        <v>9827</v>
      </c>
      <c r="C3510" s="392" t="n">
        <v>105.7</v>
      </c>
      <c r="D3510" s="392" t="n"/>
      <c r="E3510" s="392" t="n"/>
      <c r="F3510" s="392" t="n"/>
      <c r="G3510" s="392" t="n">
        <v>70</v>
      </c>
      <c r="H3510" s="446">
        <f>H3509-G3510</f>
        <v/>
      </c>
      <c r="I3510" s="392" t="n"/>
      <c r="J3510" s="392" t="n"/>
      <c r="K3510" s="392" t="n"/>
      <c r="L3510" s="392" t="n"/>
      <c r="M3510" s="392" t="n"/>
    </row>
    <row r="3511">
      <c r="A3511" s="568" t="n">
        <v>44936</v>
      </c>
      <c r="B3511" s="392" t="n">
        <v>9829</v>
      </c>
      <c r="C3511" s="392" t="n">
        <v>102</v>
      </c>
      <c r="D3511" s="392" t="n"/>
      <c r="E3511" s="392" t="n"/>
      <c r="F3511" s="392" t="n"/>
      <c r="G3511" s="392" t="n">
        <v>30</v>
      </c>
      <c r="H3511" s="446">
        <f>H3510-G3511</f>
        <v/>
      </c>
      <c r="I3511" s="392" t="n"/>
      <c r="J3511" s="392" t="n"/>
      <c r="K3511" s="392" t="n"/>
      <c r="L3511" s="392" t="n"/>
      <c r="M3511" s="392" t="n"/>
    </row>
    <row r="3512">
      <c r="A3512" s="568" t="n">
        <v>44936</v>
      </c>
      <c r="B3512" s="392" t="n">
        <v>9830</v>
      </c>
      <c r="C3512" s="392" t="n">
        <v>107.3</v>
      </c>
      <c r="D3512" s="392" t="n"/>
      <c r="E3512" s="392" t="n"/>
      <c r="F3512" s="392" t="n"/>
      <c r="G3512" s="392" t="n">
        <v>33</v>
      </c>
      <c r="H3512" s="446">
        <f>H3511-G3512</f>
        <v/>
      </c>
      <c r="I3512" s="392" t="n"/>
      <c r="J3512" s="392" t="n"/>
      <c r="K3512" s="392" t="n"/>
      <c r="L3512" s="392" t="n"/>
      <c r="M3512" s="392" t="n"/>
    </row>
    <row r="3513">
      <c r="A3513" s="568" t="n">
        <v>44936</v>
      </c>
      <c r="B3513" s="392" t="n">
        <v>9833</v>
      </c>
      <c r="C3513" s="392" t="n">
        <v>102</v>
      </c>
      <c r="D3513" s="392" t="n"/>
      <c r="E3513" s="392" t="n"/>
      <c r="F3513" s="392" t="n"/>
      <c r="G3513" s="392" t="n">
        <v>50</v>
      </c>
      <c r="H3513" s="446">
        <f>H3512-G3513</f>
        <v/>
      </c>
      <c r="I3513" s="392" t="n"/>
      <c r="J3513" s="392" t="n"/>
      <c r="K3513" s="392" t="n"/>
      <c r="L3513" s="392" t="n"/>
      <c r="M3513" s="392" t="n"/>
    </row>
    <row r="3514">
      <c r="A3514" s="568" t="n">
        <v>44936</v>
      </c>
      <c r="B3514" s="392" t="n">
        <v>9834</v>
      </c>
      <c r="C3514" s="392" t="n">
        <v>102</v>
      </c>
      <c r="D3514" s="392" t="n"/>
      <c r="E3514" s="392" t="n"/>
      <c r="F3514" s="392" t="n"/>
      <c r="G3514" s="392" t="n">
        <v>15</v>
      </c>
      <c r="H3514" s="446">
        <f>H3513-G3514</f>
        <v/>
      </c>
      <c r="I3514" s="392" t="n"/>
      <c r="J3514" s="392" t="n"/>
      <c r="K3514" s="392" t="n"/>
      <c r="L3514" s="392" t="n"/>
      <c r="M3514" s="392" t="n"/>
    </row>
    <row r="3515">
      <c r="A3515" s="568" t="n">
        <v>44936</v>
      </c>
      <c r="B3515" s="392" t="n">
        <v>9837</v>
      </c>
      <c r="C3515" s="392" t="n">
        <v>102</v>
      </c>
      <c r="D3515" s="392" t="n"/>
      <c r="E3515" s="392" t="n"/>
      <c r="F3515" s="392" t="n"/>
      <c r="G3515" s="392" t="n">
        <v>10</v>
      </c>
      <c r="H3515" s="446">
        <f>H3514-G3515</f>
        <v/>
      </c>
      <c r="I3515" s="392" t="n"/>
      <c r="J3515" s="392" t="n"/>
      <c r="K3515" s="392" t="n"/>
      <c r="L3515" s="392" t="n"/>
      <c r="M3515" s="392" t="n"/>
    </row>
    <row r="3516">
      <c r="A3516" s="568" t="n">
        <v>44936</v>
      </c>
      <c r="B3516" s="392" t="n">
        <v>9838</v>
      </c>
      <c r="C3516" s="392" t="n">
        <v>102</v>
      </c>
      <c r="D3516" s="392" t="n"/>
      <c r="E3516" s="392" t="n"/>
      <c r="F3516" s="392" t="n"/>
      <c r="G3516" s="392" t="n">
        <v>30</v>
      </c>
      <c r="H3516" s="446">
        <f>H3515-G3516</f>
        <v/>
      </c>
      <c r="I3516" s="392" t="n"/>
      <c r="J3516" s="392" t="n"/>
      <c r="K3516" s="392" t="n"/>
      <c r="L3516" s="392" t="n"/>
      <c r="M3516" s="392" t="n"/>
    </row>
    <row r="3517">
      <c r="A3517" s="568" t="n">
        <v>44937</v>
      </c>
      <c r="B3517" s="392" t="n">
        <v>9040</v>
      </c>
      <c r="C3517" s="392" t="n">
        <v>102</v>
      </c>
      <c r="D3517" s="392" t="n"/>
      <c r="E3517" s="392" t="n"/>
      <c r="F3517" s="392" t="n"/>
      <c r="G3517" s="392" t="n">
        <v>30</v>
      </c>
      <c r="H3517" s="446">
        <f>H3516-G3517</f>
        <v/>
      </c>
      <c r="I3517" s="392" t="n"/>
      <c r="J3517" s="392" t="n"/>
      <c r="K3517" s="392" t="n"/>
      <c r="L3517" s="392" t="n"/>
      <c r="M3517" s="392" t="n"/>
    </row>
    <row r="3518">
      <c r="A3518" s="568" t="n">
        <v>44943</v>
      </c>
      <c r="B3518" s="392" t="n">
        <v>9043</v>
      </c>
      <c r="C3518" s="392" t="n">
        <v>102</v>
      </c>
      <c r="D3518" s="392" t="n"/>
      <c r="E3518" s="392" t="n"/>
      <c r="F3518" s="392" t="n"/>
      <c r="G3518" s="392" t="n">
        <v>35</v>
      </c>
      <c r="H3518" s="446">
        <f>H3517-G3518</f>
        <v/>
      </c>
      <c r="I3518" s="392" t="n"/>
      <c r="J3518" s="392" t="n"/>
      <c r="K3518" s="392" t="n"/>
      <c r="L3518" s="392" t="n"/>
      <c r="M3518" s="392" t="n"/>
    </row>
    <row r="3519">
      <c r="A3519" s="568" t="n">
        <v>44943</v>
      </c>
      <c r="B3519" s="392" t="n">
        <v>9044</v>
      </c>
      <c r="C3519" s="392" t="n">
        <v>99</v>
      </c>
      <c r="D3519" s="392" t="n"/>
      <c r="E3519" s="392" t="n"/>
      <c r="F3519" s="392" t="n"/>
      <c r="G3519" s="392" t="n">
        <v>50</v>
      </c>
      <c r="H3519" s="446">
        <f>H3518-G3519</f>
        <v/>
      </c>
      <c r="I3519" s="392" t="n"/>
      <c r="J3519" s="392" t="n"/>
      <c r="K3519" s="392" t="n"/>
      <c r="L3519" s="392" t="n"/>
      <c r="M3519" s="392" t="n"/>
    </row>
    <row r="3520">
      <c r="A3520" s="568" t="n">
        <v>44943</v>
      </c>
      <c r="B3520" s="392" t="n">
        <v>9046</v>
      </c>
      <c r="C3520" s="392" t="n">
        <v>102</v>
      </c>
      <c r="D3520" s="392" t="n"/>
      <c r="E3520" s="392" t="n"/>
      <c r="F3520" s="392" t="n"/>
      <c r="G3520" s="392" t="n">
        <v>30</v>
      </c>
      <c r="H3520" s="446">
        <f>H3519-G3520</f>
        <v/>
      </c>
      <c r="I3520" s="392" t="n"/>
      <c r="J3520" s="392" t="n"/>
      <c r="K3520" s="392" t="n"/>
      <c r="L3520" s="392" t="n"/>
      <c r="M3520" s="392" t="n"/>
    </row>
    <row r="3521">
      <c r="A3521" s="568" t="n">
        <v>44943</v>
      </c>
      <c r="B3521" s="392" t="n">
        <v>9048</v>
      </c>
      <c r="C3521" s="392" t="n">
        <v>110</v>
      </c>
      <c r="D3521" s="392" t="n"/>
      <c r="E3521" s="392" t="n"/>
      <c r="F3521" s="392" t="n"/>
      <c r="G3521" s="392" t="n">
        <v>20</v>
      </c>
      <c r="H3521" s="446">
        <f>H3520-G3521</f>
        <v/>
      </c>
      <c r="I3521" s="392" t="n"/>
      <c r="J3521" s="392" t="n"/>
      <c r="K3521" s="392" t="n"/>
      <c r="L3521" s="392" t="n"/>
      <c r="M3521" s="392" t="n"/>
    </row>
    <row r="3522">
      <c r="A3522" s="304" t="n">
        <v>44944</v>
      </c>
      <c r="B3522" s="401" t="n">
        <v>207905</v>
      </c>
      <c r="C3522" s="401" t="n">
        <v>86</v>
      </c>
      <c r="D3522" s="401" t="n"/>
      <c r="E3522" s="401" t="n"/>
      <c r="F3522" s="401" t="n">
        <v>300</v>
      </c>
      <c r="G3522" s="401" t="n"/>
      <c r="H3522" s="322" t="n">
        <v>1596</v>
      </c>
      <c r="I3522" s="392" t="n"/>
      <c r="J3522" s="392" t="n"/>
      <c r="K3522" s="392" t="n"/>
      <c r="L3522" s="392" t="n"/>
      <c r="M3522" s="392" t="n"/>
    </row>
    <row r="3523">
      <c r="A3523" s="304" t="n">
        <v>44944</v>
      </c>
      <c r="B3523" s="401" t="n">
        <v>207905</v>
      </c>
      <c r="C3523" s="401" t="n">
        <v>85</v>
      </c>
      <c r="D3523" s="401" t="n"/>
      <c r="E3523" s="401" t="n"/>
      <c r="F3523" s="401" t="n">
        <v>150</v>
      </c>
      <c r="G3523" s="401" t="n"/>
      <c r="H3523" s="322" t="n">
        <v>1746</v>
      </c>
      <c r="I3523" s="392" t="n"/>
      <c r="J3523" s="392" t="n"/>
      <c r="K3523" s="392" t="n"/>
      <c r="L3523" s="392" t="n"/>
      <c r="M3523" s="392" t="n"/>
    </row>
    <row r="3524">
      <c r="A3524" s="568" t="n">
        <v>44950</v>
      </c>
      <c r="B3524" s="392" t="n">
        <v>9855</v>
      </c>
      <c r="C3524" s="392" t="n">
        <v>110</v>
      </c>
      <c r="D3524" s="392" t="n"/>
      <c r="E3524" s="392" t="n"/>
      <c r="F3524" s="392" t="n"/>
      <c r="G3524" s="392" t="n">
        <v>30</v>
      </c>
      <c r="H3524" s="446">
        <f>H3523-G3524</f>
        <v/>
      </c>
      <c r="I3524" s="392" t="n"/>
      <c r="J3524" s="392" t="n"/>
      <c r="K3524" s="392" t="n"/>
      <c r="L3524" s="392" t="n"/>
      <c r="M3524" s="392" t="n"/>
    </row>
    <row r="3525">
      <c r="A3525" s="568" t="n">
        <v>44950</v>
      </c>
      <c r="B3525" s="392" t="n">
        <v>9857</v>
      </c>
      <c r="C3525" s="392" t="n">
        <v>103</v>
      </c>
      <c r="D3525" s="392" t="n"/>
      <c r="E3525" s="392" t="n"/>
      <c r="F3525" s="392" t="n"/>
      <c r="G3525" s="392" t="n">
        <v>60</v>
      </c>
      <c r="H3525" s="446">
        <f>H3524-G3525</f>
        <v/>
      </c>
      <c r="I3525" s="392" t="n"/>
      <c r="J3525" s="392" t="n"/>
      <c r="K3525" s="392" t="n"/>
      <c r="L3525" s="392" t="n"/>
      <c r="M3525" s="392" t="n"/>
    </row>
    <row r="3526">
      <c r="A3526" s="568" t="n">
        <v>44950</v>
      </c>
      <c r="B3526" s="392" t="n">
        <v>9860</v>
      </c>
      <c r="C3526" s="392" t="n">
        <v>106</v>
      </c>
      <c r="D3526" s="392" t="n"/>
      <c r="E3526" s="392" t="n"/>
      <c r="F3526" s="392" t="n"/>
      <c r="G3526" s="392" t="n">
        <v>20</v>
      </c>
      <c r="H3526" s="446">
        <f>H3525-G3526</f>
        <v/>
      </c>
      <c r="I3526" s="392" t="n"/>
      <c r="J3526" s="392" t="n"/>
      <c r="K3526" s="392" t="n"/>
      <c r="L3526" s="392" t="n"/>
      <c r="M3526" s="392" t="n"/>
    </row>
    <row r="3527">
      <c r="A3527" s="568" t="n">
        <v>44950</v>
      </c>
      <c r="B3527" s="392" t="n">
        <v>9863</v>
      </c>
      <c r="C3527" s="392" t="n">
        <v>99</v>
      </c>
      <c r="D3527" s="392" t="n"/>
      <c r="E3527" s="392" t="n"/>
      <c r="F3527" s="392" t="n"/>
      <c r="G3527" s="392" t="n">
        <v>200</v>
      </c>
      <c r="H3527" s="446">
        <f>H3526-G3527</f>
        <v/>
      </c>
      <c r="I3527" s="392" t="n"/>
      <c r="J3527" s="392" t="n"/>
      <c r="K3527" s="392" t="n"/>
      <c r="L3527" s="392" t="n"/>
      <c r="M3527" s="392" t="n"/>
    </row>
    <row r="3528">
      <c r="A3528" s="568" t="n">
        <v>44951</v>
      </c>
      <c r="B3528" s="392" t="n">
        <v>9864</v>
      </c>
      <c r="C3528" s="392" t="n">
        <v>104</v>
      </c>
      <c r="D3528" s="392" t="n"/>
      <c r="E3528" s="392" t="n"/>
      <c r="F3528" s="392" t="n"/>
      <c r="G3528" s="392" t="n">
        <v>15</v>
      </c>
      <c r="H3528" s="446">
        <f>H3527-G3528</f>
        <v/>
      </c>
      <c r="I3528" s="392" t="n"/>
      <c r="J3528" s="392" t="n"/>
      <c r="K3528" s="392" t="n"/>
      <c r="L3528" s="392" t="n"/>
      <c r="M3528" s="392" t="n"/>
    </row>
    <row r="3529">
      <c r="A3529" s="568" t="n">
        <v>44951</v>
      </c>
      <c r="B3529" s="392" t="n">
        <v>9869</v>
      </c>
      <c r="C3529" s="392" t="n">
        <v>110</v>
      </c>
      <c r="D3529" s="392" t="n"/>
      <c r="E3529" s="392" t="n"/>
      <c r="F3529" s="392" t="n"/>
      <c r="G3529" s="392" t="n">
        <v>30</v>
      </c>
      <c r="H3529" s="446">
        <f>H3528-G3529</f>
        <v/>
      </c>
      <c r="I3529" s="392" t="n"/>
      <c r="J3529" s="392" t="n"/>
      <c r="K3529" s="392" t="n"/>
      <c r="L3529" s="392" t="n"/>
      <c r="M3529" s="392" t="n"/>
    </row>
    <row r="3530">
      <c r="A3530" s="568" t="n">
        <v>44957</v>
      </c>
      <c r="B3530" s="392" t="n">
        <v>9871</v>
      </c>
      <c r="C3530" s="392" t="n">
        <v>104.67</v>
      </c>
      <c r="D3530" s="392" t="n"/>
      <c r="E3530" s="392" t="n"/>
      <c r="F3530" s="392" t="n"/>
      <c r="G3530" s="392" t="n">
        <v>30</v>
      </c>
      <c r="H3530" s="446">
        <f>H3529-G3530</f>
        <v/>
      </c>
      <c r="I3530" s="392" t="n"/>
      <c r="J3530" s="392" t="n"/>
      <c r="K3530" s="392" t="n"/>
      <c r="L3530" s="392" t="n"/>
      <c r="M3530" s="392" t="n"/>
    </row>
    <row r="3531">
      <c r="A3531" s="568" t="n">
        <v>44957</v>
      </c>
      <c r="B3531" s="392" t="n">
        <v>9872</v>
      </c>
      <c r="C3531" s="392" t="n">
        <v>99</v>
      </c>
      <c r="D3531" s="392" t="n"/>
      <c r="E3531" s="392" t="n"/>
      <c r="F3531" s="392" t="n"/>
      <c r="G3531" s="392" t="n">
        <v>50</v>
      </c>
      <c r="H3531" s="446">
        <f>H3530-G3531</f>
        <v/>
      </c>
      <c r="I3531" s="392" t="n"/>
      <c r="J3531" s="392" t="n"/>
      <c r="K3531" s="392" t="n"/>
      <c r="L3531" s="392" t="n"/>
      <c r="M3531" s="392" t="n"/>
    </row>
    <row r="3532">
      <c r="A3532" s="568" t="n">
        <v>44957</v>
      </c>
      <c r="B3532" s="392" t="n">
        <v>9873</v>
      </c>
      <c r="C3532" s="392" t="n">
        <v>102</v>
      </c>
      <c r="D3532" s="392" t="n"/>
      <c r="E3532" s="392" t="n"/>
      <c r="F3532" s="392" t="n"/>
      <c r="G3532" s="392" t="n">
        <v>30</v>
      </c>
      <c r="H3532" s="446">
        <f>H3531-G3532</f>
        <v/>
      </c>
      <c r="I3532" s="392" t="n"/>
      <c r="J3532" s="392" t="n"/>
      <c r="K3532" s="392" t="n"/>
      <c r="L3532" s="392" t="n"/>
      <c r="M3532" s="392" t="n"/>
    </row>
    <row r="3533">
      <c r="A3533" s="568" t="n">
        <v>44957</v>
      </c>
      <c r="B3533" s="392" t="n">
        <v>9874</v>
      </c>
      <c r="C3533" s="392" t="n">
        <v>110</v>
      </c>
      <c r="D3533" s="392" t="n"/>
      <c r="E3533" s="392" t="n"/>
      <c r="F3533" s="392" t="n"/>
      <c r="G3533" s="392" t="n">
        <v>20</v>
      </c>
      <c r="H3533" s="446">
        <f>H3532-G3533</f>
        <v/>
      </c>
      <c r="I3533" s="392" t="n"/>
      <c r="J3533" s="392" t="n"/>
      <c r="K3533" s="392" t="n"/>
      <c r="L3533" s="392" t="n"/>
      <c r="M3533" s="392" t="n"/>
    </row>
    <row r="3534">
      <c r="A3534" s="568" t="n">
        <v>44957</v>
      </c>
      <c r="B3534" s="392" t="n">
        <v>9877</v>
      </c>
      <c r="C3534" s="392" t="n">
        <v>102</v>
      </c>
      <c r="D3534" s="392" t="n"/>
      <c r="E3534" s="392" t="n"/>
      <c r="F3534" s="392" t="n"/>
      <c r="G3534" s="392" t="n">
        <v>30</v>
      </c>
      <c r="H3534" s="446">
        <f>H3533-G3534</f>
        <v/>
      </c>
      <c r="I3534" s="392" t="n"/>
      <c r="J3534" s="392" t="n"/>
      <c r="K3534" s="392" t="n"/>
      <c r="L3534" s="392" t="n"/>
      <c r="M3534" s="392" t="n"/>
    </row>
    <row r="3535">
      <c r="A3535" s="568" t="n">
        <v>44957</v>
      </c>
      <c r="B3535" s="392" t="n">
        <v>9879</v>
      </c>
      <c r="C3535" s="392" t="n">
        <v>110</v>
      </c>
      <c r="D3535" s="392" t="n"/>
      <c r="E3535" s="392" t="n"/>
      <c r="F3535" s="392" t="n"/>
      <c r="G3535" s="392" t="n">
        <v>20</v>
      </c>
      <c r="H3535" s="446">
        <f>H3534-G3535</f>
        <v/>
      </c>
      <c r="I3535" s="392" t="n"/>
      <c r="J3535" s="392" t="n"/>
      <c r="K3535" s="392" t="n"/>
      <c r="L3535" s="392" t="n"/>
      <c r="M3535" s="392" t="n"/>
    </row>
    <row r="3536">
      <c r="A3536" s="568" t="n">
        <v>44957</v>
      </c>
      <c r="B3536" s="392" t="n">
        <v>9882</v>
      </c>
      <c r="C3536" s="392" t="n">
        <v>102</v>
      </c>
      <c r="D3536" s="392" t="n"/>
      <c r="E3536" s="392" t="n"/>
      <c r="F3536" s="392" t="n"/>
      <c r="G3536" s="392" t="n">
        <v>20</v>
      </c>
      <c r="H3536" s="446">
        <f>H3535-G3536</f>
        <v/>
      </c>
      <c r="I3536" s="392" t="n"/>
      <c r="J3536" s="392" t="n"/>
      <c r="K3536" s="392" t="n"/>
      <c r="L3536" s="392" t="n"/>
      <c r="M3536" s="392" t="n"/>
    </row>
    <row r="3537">
      <c r="A3537" s="304" t="n">
        <v>44957</v>
      </c>
      <c r="B3537" s="401" t="n">
        <v>208929</v>
      </c>
      <c r="C3537" s="401" t="n">
        <v>86</v>
      </c>
      <c r="D3537" s="401" t="n"/>
      <c r="E3537" s="401" t="n"/>
      <c r="F3537" s="401" t="n">
        <v>100</v>
      </c>
      <c r="G3537" s="401" t="n"/>
      <c r="H3537" s="322" t="n">
        <v>1291</v>
      </c>
      <c r="I3537" s="392" t="n"/>
      <c r="J3537" s="392" t="n"/>
      <c r="K3537" s="392" t="n"/>
      <c r="L3537" s="392" t="n"/>
      <c r="M3537" s="392" t="n"/>
    </row>
    <row r="3538">
      <c r="A3538" s="304" t="n">
        <v>44957</v>
      </c>
      <c r="B3538" s="401" t="n">
        <v>208929</v>
      </c>
      <c r="C3538" s="401" t="n">
        <v>85</v>
      </c>
      <c r="D3538" s="401" t="n"/>
      <c r="E3538" s="401" t="n"/>
      <c r="F3538" s="401" t="n">
        <v>200</v>
      </c>
      <c r="G3538" s="401" t="n"/>
      <c r="H3538" s="322" t="n">
        <v>1491</v>
      </c>
      <c r="I3538" s="392" t="n"/>
      <c r="J3538" s="392" t="n"/>
      <c r="K3538" s="392" t="n"/>
      <c r="L3538" s="392" t="n"/>
      <c r="M3538" s="392" t="n"/>
    </row>
    <row r="3539">
      <c r="A3539" s="304" t="n">
        <v>44953</v>
      </c>
      <c r="B3539" s="401" t="n">
        <v>27794</v>
      </c>
      <c r="C3539" s="401" t="n">
        <v>94.27</v>
      </c>
      <c r="D3539" s="401" t="n"/>
      <c r="E3539" s="401" t="n"/>
      <c r="F3539" s="401" t="n">
        <v>1120</v>
      </c>
      <c r="G3539" s="401" t="n"/>
      <c r="H3539" s="322" t="n">
        <v>2611</v>
      </c>
      <c r="I3539" s="392" t="n"/>
      <c r="J3539" s="392" t="n"/>
      <c r="K3539" s="392" t="n"/>
      <c r="L3539" s="392" t="n"/>
      <c r="M3539" s="392" t="n"/>
    </row>
    <row r="3540">
      <c r="A3540" s="304" t="n">
        <v>44957</v>
      </c>
      <c r="B3540" s="401" t="n">
        <v>27919</v>
      </c>
      <c r="C3540" s="401" t="n">
        <v>89.31999999999999</v>
      </c>
      <c r="D3540" s="401" t="n"/>
      <c r="E3540" s="401" t="n"/>
      <c r="F3540" s="401" t="n">
        <v>1200</v>
      </c>
      <c r="G3540" s="401" t="n"/>
      <c r="H3540" s="322" t="n">
        <v>3811</v>
      </c>
      <c r="I3540" s="392" t="n"/>
      <c r="J3540" s="392" t="n"/>
      <c r="K3540" s="392" t="n"/>
      <c r="L3540" s="392" t="n"/>
      <c r="M3540" s="392" t="n"/>
    </row>
    <row r="3541">
      <c r="A3541" s="568" t="n"/>
      <c r="B3541" s="392" t="n"/>
      <c r="C3541" s="392" t="n"/>
      <c r="D3541" s="392" t="n"/>
      <c r="E3541" s="392" t="n"/>
      <c r="F3541" s="392" t="n"/>
      <c r="G3541" s="392" t="n"/>
      <c r="H3541" s="446" t="n"/>
      <c r="I3541" s="392" t="n"/>
      <c r="J3541" s="392" t="n"/>
      <c r="K3541" s="392" t="n"/>
      <c r="L3541" s="392" t="n"/>
      <c r="M3541" s="392" t="n"/>
    </row>
    <row r="3542">
      <c r="A3542" s="414" t="n"/>
      <c r="H3542" s="390" t="n"/>
    </row>
    <row r="3543">
      <c r="A3543" s="414" t="n"/>
      <c r="H3543" s="390" t="n"/>
    </row>
    <row r="3544" ht="15.75" customHeight="1" s="436" thickBot="1">
      <c r="H3544" s="390" t="n"/>
    </row>
    <row r="3545" ht="32.25" customHeight="1" s="436" thickBot="1">
      <c r="A3545" s="735" t="inlineStr">
        <is>
          <t>Fevereiro</t>
        </is>
      </c>
      <c r="B3545" s="697" t="n"/>
      <c r="C3545" s="697" t="n"/>
      <c r="D3545" s="697" t="n"/>
      <c r="E3545" s="697" t="n"/>
      <c r="F3545" s="697" t="n"/>
      <c r="G3545" s="697" t="n"/>
      <c r="H3545" s="697" t="n"/>
      <c r="I3545" s="697" t="n"/>
      <c r="J3545" s="697" t="n"/>
      <c r="K3545" s="697" t="n"/>
      <c r="L3545" s="697" t="n"/>
      <c r="M3545" s="698" t="n"/>
    </row>
    <row r="3546" ht="27" customHeight="1" s="436" thickBot="1">
      <c r="A3546" s="720" t="inlineStr">
        <is>
          <t xml:space="preserve"> FARINHA DE TRIGO TIPO: 1 - 25 KG</t>
        </is>
      </c>
      <c r="B3546" s="697" t="n"/>
      <c r="C3546" s="697" t="n"/>
      <c r="D3546" s="697" t="n"/>
      <c r="E3546" s="697" t="n"/>
      <c r="F3546" s="697" t="n"/>
      <c r="G3546" s="697" t="n"/>
      <c r="H3546" s="697" t="n"/>
      <c r="I3546" s="697" t="n"/>
      <c r="J3546" s="697" t="n"/>
      <c r="K3546" s="697" t="n"/>
      <c r="L3546" s="697" t="n"/>
      <c r="M3546" s="698" t="n"/>
    </row>
    <row r="3547">
      <c r="A3547" s="643" t="inlineStr">
        <is>
          <t>DATA</t>
        </is>
      </c>
      <c r="B3547" s="633" t="inlineStr">
        <is>
          <t>N.F.</t>
        </is>
      </c>
      <c r="C3547" s="633" t="inlineStr">
        <is>
          <t>TIPO</t>
        </is>
      </c>
      <c r="D3547" s="670" t="inlineStr">
        <is>
          <t>PREÇO UNITÁRIO</t>
        </is>
      </c>
      <c r="E3547" s="701" t="n"/>
      <c r="F3547" s="633" t="inlineStr">
        <is>
          <t>QUANTIDADE / KG</t>
        </is>
      </c>
      <c r="H3547" s="701" t="n"/>
      <c r="I3547" s="632" t="inlineStr">
        <is>
          <t>PREÇO</t>
        </is>
      </c>
      <c r="J3547" s="632" t="inlineStr">
        <is>
          <t>VALORES</t>
        </is>
      </c>
      <c r="L3547" s="701" t="n"/>
      <c r="M3547" s="649" t="n"/>
    </row>
    <row r="3548" ht="15.75" customHeight="1" s="436" thickBot="1">
      <c r="A3548" s="703" t="n"/>
      <c r="B3548" s="704" t="n"/>
      <c r="C3548" s="704" t="n"/>
      <c r="D3548" s="703" t="n"/>
      <c r="E3548" s="701" t="n"/>
      <c r="F3548" s="705" t="n"/>
      <c r="G3548" s="706" t="n"/>
      <c r="H3548" s="707" t="n"/>
      <c r="I3548" s="704" t="n"/>
      <c r="J3548" s="703" t="n"/>
      <c r="L3548" s="701" t="n"/>
      <c r="M3548" s="704" t="n"/>
    </row>
    <row r="3549" ht="15.75" customHeight="1" s="436" thickBot="1">
      <c r="A3549" s="703" t="n"/>
      <c r="B3549" s="704" t="n"/>
      <c r="C3549" s="704" t="n"/>
      <c r="D3549" s="705" t="n"/>
      <c r="E3549" s="707" t="n"/>
      <c r="F3549" s="3" t="inlineStr">
        <is>
          <t>ENTRADA</t>
        </is>
      </c>
      <c r="G3549" s="3" t="inlineStr">
        <is>
          <t>SAÍDA</t>
        </is>
      </c>
      <c r="H3549" s="640" t="n"/>
      <c r="I3549" s="633" t="inlineStr">
        <is>
          <t>MÉDIO</t>
        </is>
      </c>
      <c r="J3549" s="652" t="inlineStr">
        <is>
          <t>SALDO EM 30/11/2017</t>
        </is>
      </c>
      <c r="K3549" s="706" t="n"/>
      <c r="L3549" s="17" t="n"/>
      <c r="M3549" s="704" t="n"/>
    </row>
    <row r="3550" ht="18" customHeight="1" s="436" thickBot="1">
      <c r="A3550" s="705" t="n"/>
      <c r="B3550" s="695" t="n"/>
      <c r="C3550" s="695" t="n"/>
      <c r="D3550" s="3" t="inlineStr">
        <is>
          <t>C/ICMS</t>
        </is>
      </c>
      <c r="E3550" s="3" t="inlineStr">
        <is>
          <t>S/ICMS</t>
        </is>
      </c>
      <c r="F3550" s="695" t="n"/>
      <c r="G3550" s="695" t="n"/>
      <c r="H3550" s="84" t="inlineStr">
        <is>
          <t>Saldo em 31/01/2022</t>
        </is>
      </c>
      <c r="I3550" s="695" t="n"/>
      <c r="J3550" s="645" t="inlineStr">
        <is>
          <t>ENTRADA</t>
        </is>
      </c>
      <c r="K3550" s="633" t="inlineStr">
        <is>
          <t>SAÍDA / CMV</t>
        </is>
      </c>
      <c r="L3550" s="643" t="inlineStr">
        <is>
          <t>SALDO</t>
        </is>
      </c>
      <c r="M3550" s="392" t="n"/>
    </row>
    <row r="3551">
      <c r="A3551" s="392" t="n"/>
      <c r="B3551" s="392" t="n"/>
      <c r="C3551" s="392" t="n"/>
      <c r="D3551" s="392" t="n"/>
      <c r="E3551" s="392" t="n"/>
      <c r="F3551" s="392" t="n"/>
      <c r="G3551" s="392" t="n"/>
      <c r="H3551" s="446" t="n">
        <v>3811</v>
      </c>
      <c r="I3551" s="392" t="n"/>
      <c r="J3551" s="392" t="n"/>
      <c r="K3551" s="392" t="n"/>
      <c r="L3551" s="392" t="n"/>
      <c r="M3551" s="392" t="n"/>
    </row>
    <row r="3552">
      <c r="A3552" s="568" t="n">
        <v>44958</v>
      </c>
      <c r="B3552" s="392" t="n">
        <v>9884</v>
      </c>
      <c r="C3552" s="392" t="n">
        <v>102</v>
      </c>
      <c r="D3552" s="392" t="n"/>
      <c r="E3552" s="392" t="n"/>
      <c r="F3552" s="392" t="n"/>
      <c r="G3552" s="392" t="n">
        <v>32</v>
      </c>
      <c r="H3552" s="446">
        <f>H3551-G3552</f>
        <v/>
      </c>
      <c r="I3552" s="392" t="n"/>
      <c r="J3552" s="392" t="n"/>
      <c r="K3552" s="392" t="n"/>
      <c r="L3552" s="392" t="n"/>
      <c r="M3552" s="392" t="n"/>
    </row>
    <row r="3553">
      <c r="A3553" s="568" t="n">
        <v>44958</v>
      </c>
      <c r="B3553" s="392" t="n">
        <v>9886</v>
      </c>
      <c r="C3553" s="392" t="n">
        <v>102</v>
      </c>
      <c r="D3553" s="392" t="n"/>
      <c r="E3553" s="392" t="n"/>
      <c r="F3553" s="392" t="n"/>
      <c r="G3553" s="392" t="n">
        <v>15</v>
      </c>
      <c r="H3553" s="446">
        <f>H3552-G3553</f>
        <v/>
      </c>
      <c r="I3553" s="392" t="n"/>
      <c r="J3553" s="392" t="n"/>
      <c r="K3553" s="392" t="n"/>
      <c r="L3553" s="392" t="n"/>
      <c r="M3553" s="392" t="n"/>
    </row>
    <row r="3554">
      <c r="A3554" s="568" t="n">
        <v>44958</v>
      </c>
      <c r="B3554" s="392" t="n">
        <v>9888</v>
      </c>
      <c r="C3554" s="392" t="n">
        <v>102</v>
      </c>
      <c r="D3554" s="392" t="n"/>
      <c r="E3554" s="392" t="n"/>
      <c r="F3554" s="392" t="n"/>
      <c r="G3554" s="392" t="n">
        <v>30</v>
      </c>
      <c r="H3554" s="446">
        <f>H3553-G3554</f>
        <v/>
      </c>
      <c r="I3554" s="392" t="n"/>
      <c r="J3554" s="392" t="n"/>
      <c r="K3554" s="392" t="n"/>
      <c r="L3554" s="392" t="n"/>
      <c r="M3554" s="392" t="n"/>
    </row>
    <row r="3555">
      <c r="A3555" s="568" t="n">
        <v>44963</v>
      </c>
      <c r="B3555" s="392" t="n">
        <v>9891</v>
      </c>
      <c r="C3555" s="392" t="n">
        <v>110</v>
      </c>
      <c r="D3555" s="392" t="n"/>
      <c r="E3555" s="392" t="n"/>
      <c r="F3555" s="392" t="n"/>
      <c r="G3555" s="392" t="n">
        <v>150</v>
      </c>
      <c r="H3555" s="446">
        <f>H3554-G3555</f>
        <v/>
      </c>
      <c r="I3555" s="392" t="n"/>
      <c r="J3555" s="392" t="n"/>
      <c r="K3555" s="392" t="n"/>
      <c r="L3555" s="392" t="n"/>
      <c r="M3555" s="392" t="n"/>
    </row>
    <row r="3556">
      <c r="A3556" s="568" t="n">
        <v>44963</v>
      </c>
      <c r="B3556" s="392" t="n">
        <v>9892</v>
      </c>
      <c r="C3556" s="392" t="n">
        <v>110</v>
      </c>
      <c r="D3556" s="392" t="n"/>
      <c r="E3556" s="392" t="n"/>
      <c r="F3556" s="392" t="n"/>
      <c r="G3556" s="392" t="n">
        <v>30</v>
      </c>
      <c r="H3556" s="446">
        <f>H3555-G3556</f>
        <v/>
      </c>
      <c r="I3556" s="392" t="n"/>
      <c r="J3556" s="392" t="n"/>
      <c r="K3556" s="392" t="n"/>
      <c r="L3556" s="392" t="n"/>
      <c r="M3556" s="392" t="n"/>
    </row>
    <row r="3557">
      <c r="A3557" s="568" t="n">
        <v>44963</v>
      </c>
      <c r="B3557" s="392" t="n">
        <v>9893</v>
      </c>
      <c r="C3557" s="392" t="n">
        <v>110</v>
      </c>
      <c r="D3557" s="392" t="n"/>
      <c r="E3557" s="392" t="n"/>
      <c r="F3557" s="392" t="n"/>
      <c r="G3557" s="392" t="n">
        <v>30</v>
      </c>
      <c r="H3557" s="446">
        <f>H3556-G3557</f>
        <v/>
      </c>
      <c r="I3557" s="392" t="n"/>
      <c r="J3557" s="392" t="n"/>
      <c r="K3557" s="392" t="n"/>
      <c r="L3557" s="392" t="n"/>
      <c r="M3557" s="392" t="n"/>
    </row>
    <row r="3558">
      <c r="A3558" s="568" t="n">
        <v>44963</v>
      </c>
      <c r="B3558" s="392" t="n">
        <v>9896</v>
      </c>
      <c r="C3558" s="392" t="n">
        <v>102</v>
      </c>
      <c r="D3558" s="392" t="n"/>
      <c r="E3558" s="392" t="n"/>
      <c r="F3558" s="392" t="n"/>
      <c r="G3558" s="392" t="n">
        <v>20</v>
      </c>
      <c r="H3558" s="446">
        <f>H3557-G3558</f>
        <v/>
      </c>
      <c r="I3558" s="392" t="n"/>
      <c r="J3558" s="392" t="n"/>
      <c r="K3558" s="392" t="n"/>
      <c r="L3558" s="392" t="n"/>
      <c r="M3558" s="392" t="n"/>
    </row>
    <row r="3559">
      <c r="A3559" s="568" t="n">
        <v>44963</v>
      </c>
      <c r="B3559" s="392" t="n">
        <v>9897</v>
      </c>
      <c r="C3559" s="392" t="n">
        <v>102</v>
      </c>
      <c r="D3559" s="392" t="n"/>
      <c r="E3559" s="392" t="n"/>
      <c r="F3559" s="392" t="n"/>
      <c r="G3559" s="392" t="n">
        <v>25</v>
      </c>
      <c r="H3559" s="446">
        <f>H3558-G3559</f>
        <v/>
      </c>
      <c r="I3559" s="392" t="n"/>
      <c r="J3559" s="392" t="n"/>
      <c r="K3559" s="392" t="n"/>
      <c r="L3559" s="392" t="n"/>
      <c r="M3559" s="392" t="n"/>
    </row>
    <row r="3560">
      <c r="A3560" s="568" t="n">
        <v>44963</v>
      </c>
      <c r="B3560" s="392" t="n">
        <v>9899</v>
      </c>
      <c r="C3560" s="392" t="n">
        <v>103.5</v>
      </c>
      <c r="D3560" s="392" t="n"/>
      <c r="E3560" s="392" t="n"/>
      <c r="F3560" s="392" t="n"/>
      <c r="G3560" s="392" t="n">
        <v>100</v>
      </c>
      <c r="H3560" s="446">
        <f>H3559-G3560</f>
        <v/>
      </c>
      <c r="I3560" s="392" t="n"/>
      <c r="J3560" s="392" t="n"/>
      <c r="K3560" s="392" t="n"/>
      <c r="L3560" s="392" t="n"/>
      <c r="M3560" s="392" t="n"/>
    </row>
    <row r="3561">
      <c r="A3561" s="568" t="n">
        <v>44963</v>
      </c>
      <c r="B3561" s="392" t="n">
        <v>9902</v>
      </c>
      <c r="C3561" s="392" t="n">
        <v>110</v>
      </c>
      <c r="D3561" s="392" t="n"/>
      <c r="E3561" s="392" t="n"/>
      <c r="F3561" s="392" t="n"/>
      <c r="G3561" s="392" t="n">
        <v>20</v>
      </c>
      <c r="H3561" s="446">
        <f>H3560-G3561</f>
        <v/>
      </c>
      <c r="I3561" s="392" t="n"/>
      <c r="J3561" s="392" t="n"/>
      <c r="K3561" s="392" t="n"/>
      <c r="L3561" s="392" t="n"/>
      <c r="M3561" s="392" t="n"/>
    </row>
    <row r="3562">
      <c r="A3562" s="568" t="n">
        <v>44963</v>
      </c>
      <c r="B3562" s="392" t="n">
        <v>9904</v>
      </c>
      <c r="C3562" s="392" t="n">
        <v>104</v>
      </c>
      <c r="D3562" s="392" t="n"/>
      <c r="E3562" s="392" t="n"/>
      <c r="F3562" s="392" t="n"/>
      <c r="G3562" s="392" t="n">
        <v>15</v>
      </c>
      <c r="H3562" s="446">
        <f>H3561-G3562</f>
        <v/>
      </c>
      <c r="I3562" s="392" t="n"/>
      <c r="J3562" s="392" t="n"/>
      <c r="K3562" s="392" t="n"/>
      <c r="L3562" s="392" t="n"/>
      <c r="M3562" s="392" t="n"/>
    </row>
    <row r="3563" ht="15.75" customHeight="1" s="436">
      <c r="A3563" s="568" t="n">
        <v>44963</v>
      </c>
      <c r="B3563" s="392" t="n">
        <v>9909</v>
      </c>
      <c r="C3563" s="392" t="n">
        <v>102</v>
      </c>
      <c r="D3563" s="392" t="n"/>
      <c r="E3563" s="392" t="n"/>
      <c r="F3563" s="392" t="n"/>
      <c r="G3563" s="392" t="n">
        <v>10</v>
      </c>
      <c r="H3563" s="463">
        <f>H3562-G3563</f>
        <v/>
      </c>
      <c r="I3563" s="392" t="n"/>
      <c r="J3563" s="392" t="n"/>
      <c r="K3563" s="392" t="n"/>
      <c r="L3563" s="392" t="n"/>
      <c r="M3563" s="392" t="n"/>
    </row>
    <row r="3564">
      <c r="A3564" s="568" t="n">
        <v>44970</v>
      </c>
      <c r="B3564" s="392" t="n">
        <v>9911</v>
      </c>
      <c r="C3564" s="392" t="n">
        <v>100</v>
      </c>
      <c r="D3564" s="392" t="n"/>
      <c r="E3564" s="392" t="n"/>
      <c r="F3564" s="392" t="n"/>
      <c r="G3564" s="392" t="n">
        <v>30</v>
      </c>
      <c r="H3564" s="446">
        <f>H3563-G3564</f>
        <v/>
      </c>
      <c r="I3564" s="392" t="n"/>
      <c r="J3564" s="392" t="n"/>
      <c r="K3564" s="392" t="n"/>
      <c r="L3564" s="392" t="n"/>
      <c r="M3564" s="392" t="n"/>
    </row>
    <row r="3565">
      <c r="A3565" s="568" t="n">
        <v>44970</v>
      </c>
      <c r="B3565" s="392" t="n">
        <v>9912</v>
      </c>
      <c r="C3565" s="392" t="n">
        <v>99</v>
      </c>
      <c r="D3565" s="392" t="n"/>
      <c r="E3565" s="392" t="n"/>
      <c r="F3565" s="392" t="n"/>
      <c r="G3565" s="392" t="n">
        <v>50</v>
      </c>
      <c r="H3565" s="446">
        <f>H3564-G3565</f>
        <v/>
      </c>
      <c r="I3565" s="392" t="n"/>
      <c r="J3565" s="392" t="n"/>
      <c r="K3565" s="392" t="n"/>
      <c r="L3565" s="392" t="n"/>
      <c r="M3565" s="392" t="n"/>
    </row>
    <row r="3566">
      <c r="A3566" s="568" t="n">
        <v>44970</v>
      </c>
      <c r="B3566" s="392" t="n">
        <v>9913</v>
      </c>
      <c r="C3566" s="392" t="n">
        <v>103.38</v>
      </c>
      <c r="D3566" s="392" t="n"/>
      <c r="E3566" s="392" t="n"/>
      <c r="F3566" s="392" t="n"/>
      <c r="G3566" s="392" t="n">
        <v>16</v>
      </c>
      <c r="H3566" s="446">
        <f>H3565-G3566</f>
        <v/>
      </c>
      <c r="I3566" s="392" t="n"/>
      <c r="J3566" s="392" t="n"/>
      <c r="K3566" s="392" t="n"/>
      <c r="L3566" s="392" t="n"/>
      <c r="M3566" s="392" t="n"/>
    </row>
    <row r="3567">
      <c r="A3567" s="568" t="n">
        <v>44970</v>
      </c>
      <c r="B3567" s="392" t="n">
        <v>9915</v>
      </c>
      <c r="C3567" s="392" t="n">
        <v>102</v>
      </c>
      <c r="D3567" s="392" t="n"/>
      <c r="E3567" s="392" t="n"/>
      <c r="F3567" s="392" t="n"/>
      <c r="G3567" s="392" t="n">
        <v>30</v>
      </c>
      <c r="H3567" s="446">
        <f>H3566-G3567</f>
        <v/>
      </c>
      <c r="I3567" s="392" t="n"/>
      <c r="J3567" s="392" t="n"/>
      <c r="K3567" s="392" t="n"/>
      <c r="L3567" s="392" t="n"/>
      <c r="M3567" s="392" t="n"/>
    </row>
    <row r="3568">
      <c r="A3568" s="568" t="n">
        <v>44970</v>
      </c>
      <c r="B3568" s="392" t="n">
        <v>9916</v>
      </c>
      <c r="C3568" s="392" t="n">
        <v>102</v>
      </c>
      <c r="D3568" s="392" t="n"/>
      <c r="E3568" s="392" t="n"/>
      <c r="F3568" s="392" t="n"/>
      <c r="G3568" s="392" t="n">
        <v>30</v>
      </c>
      <c r="H3568" s="446">
        <f>H3567-G3568</f>
        <v/>
      </c>
      <c r="I3568" s="392" t="n"/>
      <c r="J3568" s="392" t="n"/>
      <c r="K3568" s="392" t="n"/>
      <c r="L3568" s="392" t="n"/>
      <c r="M3568" s="392" t="n"/>
    </row>
    <row r="3569">
      <c r="A3569" s="568" t="n">
        <v>44970</v>
      </c>
      <c r="B3569" s="392" t="n">
        <v>9917</v>
      </c>
      <c r="C3569" s="392" t="n">
        <v>110</v>
      </c>
      <c r="D3569" s="392" t="n"/>
      <c r="E3569" s="392" t="n"/>
      <c r="F3569" s="392" t="n"/>
      <c r="G3569" s="392" t="n">
        <v>20</v>
      </c>
      <c r="H3569" s="446">
        <f>H3568-G3569</f>
        <v/>
      </c>
      <c r="I3569" s="392" t="n"/>
      <c r="J3569" s="392" t="n"/>
      <c r="K3569" s="392" t="n"/>
      <c r="L3569" s="392" t="n"/>
      <c r="M3569" s="392" t="n"/>
    </row>
    <row r="3570">
      <c r="A3570" s="568" t="n">
        <v>44970</v>
      </c>
      <c r="B3570" s="392" t="n">
        <v>9918</v>
      </c>
      <c r="C3570" s="392" t="n">
        <v>103</v>
      </c>
      <c r="D3570" s="392" t="n"/>
      <c r="E3570" s="392" t="n"/>
      <c r="F3570" s="392" t="n"/>
      <c r="G3570" s="392" t="n">
        <v>70</v>
      </c>
      <c r="H3570" s="446">
        <f>H3569-G3570</f>
        <v/>
      </c>
      <c r="I3570" s="392" t="n"/>
      <c r="J3570" s="392" t="n"/>
      <c r="K3570" s="392" t="n"/>
      <c r="L3570" s="392" t="n"/>
      <c r="M3570" s="392" t="n"/>
    </row>
    <row r="3571">
      <c r="A3571" s="568" t="n">
        <v>44970</v>
      </c>
      <c r="B3571" s="392" t="n">
        <v>9921</v>
      </c>
      <c r="C3571" s="392" t="n">
        <v>107</v>
      </c>
      <c r="D3571" s="392" t="n"/>
      <c r="E3571" s="392" t="n"/>
      <c r="F3571" s="392" t="n"/>
      <c r="G3571" s="392" t="n">
        <v>55</v>
      </c>
      <c r="H3571" s="446">
        <f>H3570-G3571</f>
        <v/>
      </c>
      <c r="I3571" s="392" t="n"/>
      <c r="J3571" s="392" t="n"/>
      <c r="K3571" s="392" t="n"/>
      <c r="L3571" s="392" t="n"/>
      <c r="M3571" s="392" t="n"/>
    </row>
    <row r="3572">
      <c r="A3572" s="568" t="n">
        <v>44970</v>
      </c>
      <c r="B3572" s="392" t="n">
        <v>9923</v>
      </c>
      <c r="C3572" s="392" t="n">
        <v>102</v>
      </c>
      <c r="D3572" s="392" t="n"/>
      <c r="E3572" s="392" t="n"/>
      <c r="F3572" s="392" t="n"/>
      <c r="G3572" s="392" t="n">
        <v>45</v>
      </c>
      <c r="H3572" s="446">
        <f>H3571-G3572</f>
        <v/>
      </c>
      <c r="I3572" s="392" t="n"/>
      <c r="J3572" s="392" t="n"/>
      <c r="K3572" s="392" t="n"/>
      <c r="L3572" s="392" t="n"/>
      <c r="M3572" s="392" t="n"/>
    </row>
    <row r="3573">
      <c r="A3573" s="568" t="n">
        <v>44972</v>
      </c>
      <c r="B3573" s="392" t="n">
        <v>9924</v>
      </c>
      <c r="C3573" s="392" t="n">
        <v>110</v>
      </c>
      <c r="D3573" s="392" t="n"/>
      <c r="E3573" s="392" t="n"/>
      <c r="F3573" s="392" t="n"/>
      <c r="G3573" s="392" t="n">
        <v>30</v>
      </c>
      <c r="H3573" s="446">
        <f>H3572-G3573</f>
        <v/>
      </c>
      <c r="I3573" s="392" t="n"/>
      <c r="J3573" s="392" t="n"/>
      <c r="K3573" s="392" t="n"/>
      <c r="L3573" s="392" t="n"/>
      <c r="M3573" s="392" t="n"/>
    </row>
    <row r="3574">
      <c r="A3574" s="568" t="n">
        <v>44972</v>
      </c>
      <c r="B3574" s="392" t="n">
        <v>9925</v>
      </c>
      <c r="C3574" s="392" t="n">
        <v>102</v>
      </c>
      <c r="D3574" s="392" t="n"/>
      <c r="E3574" s="392" t="n"/>
      <c r="F3574" s="392" t="n"/>
      <c r="G3574" s="392" t="n">
        <v>30</v>
      </c>
      <c r="H3574" s="446">
        <f>H3573-G3574</f>
        <v/>
      </c>
      <c r="I3574" s="392" t="n"/>
      <c r="J3574" s="392" t="n"/>
      <c r="K3574" s="392" t="n"/>
      <c r="L3574" s="392" t="n"/>
      <c r="M3574" s="392" t="n"/>
    </row>
    <row r="3575">
      <c r="A3575" s="568" t="n">
        <v>44972</v>
      </c>
      <c r="B3575" s="392" t="n">
        <v>9929</v>
      </c>
      <c r="C3575" s="392" t="n">
        <v>105</v>
      </c>
      <c r="D3575" s="392" t="n"/>
      <c r="E3575" s="392" t="n"/>
      <c r="F3575" s="392" t="n"/>
      <c r="G3575" s="392" t="n">
        <v>30</v>
      </c>
      <c r="H3575" s="446">
        <f>H3574-G3575</f>
        <v/>
      </c>
      <c r="I3575" s="392" t="n"/>
      <c r="J3575" s="392" t="n"/>
      <c r="K3575" s="392" t="n"/>
      <c r="L3575" s="392" t="n"/>
      <c r="M3575" s="392" t="n"/>
    </row>
    <row r="3576">
      <c r="A3576" s="568" t="n">
        <v>44972</v>
      </c>
      <c r="B3576" s="392" t="n">
        <v>9930</v>
      </c>
      <c r="C3576" s="392" t="n">
        <v>104</v>
      </c>
      <c r="D3576" s="392" t="n"/>
      <c r="E3576" s="392" t="n"/>
      <c r="F3576" s="392" t="n"/>
      <c r="G3576" s="392" t="n">
        <v>15</v>
      </c>
      <c r="H3576" s="446">
        <f>H3575-G3576</f>
        <v/>
      </c>
      <c r="I3576" s="392" t="n"/>
      <c r="J3576" s="392" t="n"/>
      <c r="K3576" s="392" t="n"/>
      <c r="L3576" s="392" t="n"/>
      <c r="M3576" s="392" t="n"/>
    </row>
    <row r="3577">
      <c r="A3577" s="568" t="n">
        <v>44972</v>
      </c>
      <c r="B3577" s="392" t="n">
        <v>9931</v>
      </c>
      <c r="C3577" s="392" t="n">
        <v>102</v>
      </c>
      <c r="D3577" s="392" t="n"/>
      <c r="E3577" s="392" t="n"/>
      <c r="F3577" s="392" t="n"/>
      <c r="G3577" s="392" t="n">
        <v>30</v>
      </c>
      <c r="H3577" s="446">
        <f>H3576-G3577</f>
        <v/>
      </c>
      <c r="I3577" s="392" t="n"/>
      <c r="J3577" s="392" t="n"/>
      <c r="K3577" s="392" t="n"/>
      <c r="L3577" s="392" t="n"/>
      <c r="M3577" s="392" t="n"/>
    </row>
    <row r="3578">
      <c r="A3578" s="568" t="n">
        <v>44980</v>
      </c>
      <c r="B3578" s="392" t="n">
        <v>9933</v>
      </c>
      <c r="C3578" s="392" t="n">
        <v>102</v>
      </c>
      <c r="D3578" s="392" t="n"/>
      <c r="E3578" s="392" t="n"/>
      <c r="F3578" s="392" t="n"/>
      <c r="G3578" s="392" t="n">
        <v>20</v>
      </c>
      <c r="H3578" s="446">
        <f>H3577-G3578</f>
        <v/>
      </c>
      <c r="I3578" s="392" t="n"/>
      <c r="J3578" s="392" t="n"/>
      <c r="K3578" s="392" t="n"/>
      <c r="L3578" s="392" t="n"/>
      <c r="M3578" s="392" t="n"/>
    </row>
    <row r="3579">
      <c r="A3579" s="568" t="n">
        <v>44980</v>
      </c>
      <c r="B3579" s="392" t="n">
        <v>9939</v>
      </c>
      <c r="C3579" s="392" t="n">
        <v>105.2</v>
      </c>
      <c r="D3579" s="392" t="n"/>
      <c r="E3579" s="392" t="n"/>
      <c r="F3579" s="392" t="n"/>
      <c r="G3579" s="392" t="n">
        <v>20</v>
      </c>
      <c r="H3579" s="446">
        <f>H3578-G3579</f>
        <v/>
      </c>
      <c r="I3579" s="392" t="n"/>
      <c r="J3579" s="392" t="n"/>
      <c r="K3579" s="392" t="n"/>
      <c r="L3579" s="392" t="n"/>
      <c r="M3579" s="392" t="n"/>
    </row>
    <row r="3580">
      <c r="A3580" s="568" t="n">
        <v>44985</v>
      </c>
      <c r="B3580" s="392" t="n">
        <v>9945</v>
      </c>
      <c r="C3580" s="392" t="n">
        <v>102</v>
      </c>
      <c r="D3580" s="392" t="n"/>
      <c r="E3580" s="392" t="n"/>
      <c r="F3580" s="392" t="n"/>
      <c r="G3580" s="392" t="n">
        <v>10</v>
      </c>
      <c r="H3580" s="446">
        <f>H3579-G3580</f>
        <v/>
      </c>
      <c r="I3580" s="392" t="n"/>
      <c r="J3580" s="392" t="n"/>
      <c r="K3580" s="392" t="n"/>
      <c r="L3580" s="392" t="n"/>
      <c r="M3580" s="392" t="n"/>
    </row>
    <row r="3581">
      <c r="A3581" s="568" t="n">
        <v>44985</v>
      </c>
      <c r="B3581" s="392" t="n">
        <v>9946</v>
      </c>
      <c r="C3581" s="392" t="n">
        <v>110</v>
      </c>
      <c r="D3581" s="392" t="n"/>
      <c r="E3581" s="392" t="n"/>
      <c r="F3581" s="392" t="n"/>
      <c r="G3581" s="392" t="n">
        <v>20</v>
      </c>
      <c r="H3581" s="446">
        <f>H3580-G3581</f>
        <v/>
      </c>
      <c r="I3581" s="392" t="n"/>
      <c r="J3581" s="392" t="n"/>
      <c r="K3581" s="392" t="n"/>
      <c r="L3581" s="392" t="n"/>
      <c r="M3581" s="392" t="n"/>
    </row>
    <row r="3582">
      <c r="A3582" s="568" t="n">
        <v>44985</v>
      </c>
      <c r="B3582" s="392" t="n">
        <v>9947</v>
      </c>
      <c r="C3582" s="392" t="n">
        <v>102</v>
      </c>
      <c r="D3582" s="392" t="n"/>
      <c r="E3582" s="392" t="n"/>
      <c r="F3582" s="392" t="n"/>
      <c r="G3582" s="392" t="n">
        <v>15</v>
      </c>
      <c r="H3582" s="446">
        <f>H3581-G3582</f>
        <v/>
      </c>
      <c r="I3582" s="392" t="n"/>
      <c r="J3582" s="392" t="n"/>
      <c r="K3582" s="392" t="n"/>
      <c r="L3582" s="392" t="n"/>
      <c r="M3582" s="392" t="n"/>
    </row>
    <row r="3583">
      <c r="A3583" s="568" t="n">
        <v>44985</v>
      </c>
      <c r="B3583" s="392" t="n">
        <v>9948</v>
      </c>
      <c r="C3583" s="392" t="n">
        <v>110</v>
      </c>
      <c r="D3583" s="392" t="n"/>
      <c r="E3583" s="392" t="n"/>
      <c r="F3583" s="392" t="n"/>
      <c r="G3583" s="392" t="n">
        <v>30</v>
      </c>
      <c r="H3583" s="446">
        <f>H3582-G3583</f>
        <v/>
      </c>
      <c r="I3583" s="392" t="n"/>
      <c r="J3583" s="392" t="n"/>
      <c r="K3583" s="392" t="n"/>
      <c r="L3583" s="392" t="n"/>
      <c r="M3583" s="392" t="n"/>
    </row>
    <row r="3584">
      <c r="A3584" s="568" t="n">
        <v>44985</v>
      </c>
      <c r="B3584" s="392" t="n">
        <v>9949</v>
      </c>
      <c r="C3584" s="392" t="n">
        <v>104</v>
      </c>
      <c r="D3584" s="392" t="n"/>
      <c r="E3584" s="392" t="n"/>
      <c r="F3584" s="392" t="n"/>
      <c r="G3584" s="392" t="n">
        <v>15</v>
      </c>
      <c r="H3584" s="446">
        <f>H3583-G3584</f>
        <v/>
      </c>
      <c r="I3584" s="392" t="n"/>
      <c r="J3584" s="392" t="n"/>
      <c r="K3584" s="392" t="n"/>
      <c r="L3584" s="392" t="n"/>
      <c r="M3584" s="392" t="n"/>
    </row>
    <row r="3585">
      <c r="A3585" s="568" t="n">
        <v>44985</v>
      </c>
      <c r="B3585" s="392" t="n">
        <v>9950</v>
      </c>
      <c r="C3585" s="392" t="n">
        <v>103</v>
      </c>
      <c r="D3585" s="392" t="n"/>
      <c r="E3585" s="392" t="n"/>
      <c r="F3585" s="392" t="n"/>
      <c r="G3585" s="392" t="n">
        <v>70</v>
      </c>
      <c r="H3585" s="446">
        <f>H3584-G3585</f>
        <v/>
      </c>
      <c r="I3585" s="392" t="n"/>
      <c r="J3585" s="392" t="n"/>
      <c r="K3585" s="392" t="n"/>
      <c r="L3585" s="392" t="n"/>
      <c r="M3585" s="392" t="n"/>
    </row>
    <row r="3586">
      <c r="A3586" s="568" t="n">
        <v>44985</v>
      </c>
      <c r="B3586" s="392" t="n">
        <v>9951</v>
      </c>
      <c r="C3586" s="392" t="n">
        <v>102</v>
      </c>
      <c r="D3586" s="392" t="n"/>
      <c r="E3586" s="392" t="n"/>
      <c r="F3586" s="392" t="n"/>
      <c r="G3586" s="392" t="n">
        <v>15</v>
      </c>
      <c r="H3586" s="446">
        <f>H3585-G3586</f>
        <v/>
      </c>
      <c r="I3586" s="392" t="n"/>
      <c r="J3586" s="392" t="n"/>
      <c r="K3586" s="392" t="n"/>
      <c r="L3586" s="392" t="n"/>
      <c r="M3586" s="392" t="n"/>
    </row>
    <row r="3587">
      <c r="A3587" s="568" t="n">
        <v>44985</v>
      </c>
      <c r="B3587" s="392" t="n">
        <v>9952</v>
      </c>
      <c r="C3587" s="392" t="n">
        <v>102</v>
      </c>
      <c r="D3587" s="392" t="n"/>
      <c r="E3587" s="392" t="n"/>
      <c r="F3587" s="392" t="n"/>
      <c r="G3587" s="392" t="n">
        <v>30</v>
      </c>
      <c r="H3587" s="446">
        <f>H3586-G3587</f>
        <v/>
      </c>
      <c r="I3587" s="392" t="n"/>
      <c r="J3587" s="392" t="n"/>
      <c r="K3587" s="392" t="n"/>
      <c r="L3587" s="392" t="n"/>
      <c r="M3587" s="392" t="n"/>
    </row>
    <row r="3588">
      <c r="A3588" s="568" t="n">
        <v>44985</v>
      </c>
      <c r="B3588" s="392" t="n">
        <v>9953</v>
      </c>
      <c r="C3588" s="392" t="n">
        <v>102</v>
      </c>
      <c r="D3588" s="392" t="n"/>
      <c r="E3588" s="392" t="n"/>
      <c r="F3588" s="392" t="n"/>
      <c r="G3588" s="392" t="n">
        <v>30</v>
      </c>
      <c r="H3588" s="446">
        <f>H3587-G3588</f>
        <v/>
      </c>
      <c r="I3588" s="392" t="n"/>
      <c r="J3588" s="392" t="n"/>
      <c r="K3588" s="392" t="n"/>
      <c r="L3588" s="392" t="n"/>
      <c r="M3588" s="392" t="n"/>
    </row>
    <row r="3589">
      <c r="A3589" s="568" t="n">
        <v>44985</v>
      </c>
      <c r="B3589" s="392" t="n">
        <v>9954</v>
      </c>
      <c r="C3589" s="392" t="n">
        <v>104</v>
      </c>
      <c r="D3589" s="392" t="n"/>
      <c r="E3589" s="392" t="n"/>
      <c r="F3589" s="392" t="n"/>
      <c r="G3589" s="392" t="n">
        <v>20</v>
      </c>
      <c r="H3589" s="446">
        <f>H3588-G3589</f>
        <v/>
      </c>
      <c r="I3589" s="392" t="n"/>
      <c r="J3589" s="392" t="n"/>
      <c r="K3589" s="392" t="n"/>
      <c r="L3589" s="392" t="n"/>
      <c r="M3589" s="392" t="n"/>
    </row>
    <row r="3590">
      <c r="A3590" s="568" t="n">
        <v>44985</v>
      </c>
      <c r="B3590" s="392" t="n">
        <v>9955</v>
      </c>
      <c r="C3590" s="392" t="n">
        <v>104</v>
      </c>
      <c r="D3590" s="392" t="n"/>
      <c r="E3590" s="392" t="n"/>
      <c r="F3590" s="392" t="n"/>
      <c r="G3590" s="392" t="n">
        <v>15</v>
      </c>
      <c r="H3590" s="446">
        <f>H3589-G3590</f>
        <v/>
      </c>
      <c r="I3590" s="392" t="n"/>
      <c r="J3590" s="392" t="n"/>
      <c r="K3590" s="392" t="n"/>
      <c r="L3590" s="392" t="n"/>
      <c r="M3590" s="392" t="n"/>
    </row>
    <row r="3591">
      <c r="A3591" s="568" t="n">
        <v>44985</v>
      </c>
      <c r="B3591" s="392" t="n">
        <v>9956</v>
      </c>
      <c r="C3591" s="392" t="n">
        <v>102</v>
      </c>
      <c r="D3591" s="392" t="n"/>
      <c r="E3591" s="392" t="n"/>
      <c r="F3591" s="392" t="n"/>
      <c r="G3591" s="392" t="n">
        <v>50</v>
      </c>
      <c r="H3591" s="446">
        <f>H3590-G3591</f>
        <v/>
      </c>
      <c r="I3591" s="392" t="n"/>
      <c r="J3591" s="392" t="n"/>
      <c r="K3591" s="392" t="n"/>
      <c r="L3591" s="392" t="n"/>
      <c r="M3591" s="392" t="n"/>
    </row>
    <row r="3592">
      <c r="A3592" s="568" t="n">
        <v>44985</v>
      </c>
      <c r="B3592" s="392" t="n">
        <v>9957</v>
      </c>
      <c r="C3592" s="392" t="n">
        <v>103</v>
      </c>
      <c r="D3592" s="392" t="n"/>
      <c r="E3592" s="392" t="n"/>
      <c r="F3592" s="392" t="n"/>
      <c r="G3592" s="392" t="n">
        <v>10</v>
      </c>
      <c r="H3592" s="446">
        <f>H3591-G3592</f>
        <v/>
      </c>
      <c r="I3592" s="392" t="n"/>
      <c r="J3592" s="392" t="n"/>
      <c r="K3592" s="392" t="n"/>
      <c r="L3592" s="392" t="n"/>
      <c r="M3592" s="392" t="n"/>
    </row>
    <row r="3593" ht="15.75" customHeight="1" s="436" thickBot="1">
      <c r="H3593" s="390" t="n"/>
    </row>
    <row r="3594" ht="32.25" customHeight="1" s="436" thickBot="1">
      <c r="A3594" s="735" t="inlineStr">
        <is>
          <t>Março</t>
        </is>
      </c>
      <c r="B3594" s="697" t="n"/>
      <c r="C3594" s="697" t="n"/>
      <c r="D3594" s="697" t="n"/>
      <c r="E3594" s="697" t="n"/>
      <c r="F3594" s="697" t="n"/>
      <c r="G3594" s="697" t="n"/>
      <c r="H3594" s="697" t="n"/>
      <c r="I3594" s="697" t="n"/>
      <c r="J3594" s="697" t="n"/>
      <c r="K3594" s="697" t="n"/>
      <c r="L3594" s="697" t="n"/>
      <c r="M3594" s="698" t="n"/>
    </row>
    <row r="3595" ht="27" customHeight="1" s="436" thickBot="1">
      <c r="A3595" s="720" t="inlineStr">
        <is>
          <t xml:space="preserve"> FARINHA DE TRIGO TIPO: 1 - 25 KG</t>
        </is>
      </c>
      <c r="B3595" s="697" t="n"/>
      <c r="C3595" s="697" t="n"/>
      <c r="D3595" s="697" t="n"/>
      <c r="E3595" s="697" t="n"/>
      <c r="F3595" s="697" t="n"/>
      <c r="G3595" s="697" t="n"/>
      <c r="H3595" s="697" t="n"/>
      <c r="I3595" s="697" t="n"/>
      <c r="J3595" s="697" t="n"/>
      <c r="K3595" s="697" t="n"/>
      <c r="L3595" s="697" t="n"/>
      <c r="M3595" s="698" t="n"/>
    </row>
    <row r="3596">
      <c r="A3596" s="643" t="inlineStr">
        <is>
          <t>DATA</t>
        </is>
      </c>
      <c r="B3596" s="633" t="inlineStr">
        <is>
          <t>N.F.</t>
        </is>
      </c>
      <c r="C3596" s="633" t="inlineStr">
        <is>
          <t>TIPO</t>
        </is>
      </c>
      <c r="D3596" s="670" t="inlineStr">
        <is>
          <t>PREÇO UNITÁRIO</t>
        </is>
      </c>
      <c r="E3596" s="701" t="n"/>
      <c r="F3596" s="633" t="inlineStr">
        <is>
          <t>QUANTIDADE / KG</t>
        </is>
      </c>
      <c r="H3596" s="701" t="n"/>
      <c r="I3596" s="632" t="inlineStr">
        <is>
          <t>PREÇO</t>
        </is>
      </c>
      <c r="J3596" s="632" t="inlineStr">
        <is>
          <t>VALORES</t>
        </is>
      </c>
      <c r="L3596" s="701" t="n"/>
      <c r="M3596" s="649" t="n"/>
    </row>
    <row r="3597" ht="15.75" customHeight="1" s="436" thickBot="1">
      <c r="A3597" s="703" t="n"/>
      <c r="B3597" s="704" t="n"/>
      <c r="C3597" s="704" t="n"/>
      <c r="D3597" s="703" t="n"/>
      <c r="E3597" s="701" t="n"/>
      <c r="F3597" s="705" t="n"/>
      <c r="G3597" s="706" t="n"/>
      <c r="H3597" s="707" t="n"/>
      <c r="I3597" s="704" t="n"/>
      <c r="J3597" s="703" t="n"/>
      <c r="L3597" s="701" t="n"/>
      <c r="M3597" s="704" t="n"/>
    </row>
    <row r="3598" ht="15.75" customHeight="1" s="436" thickBot="1">
      <c r="A3598" s="703" t="n"/>
      <c r="B3598" s="704" t="n"/>
      <c r="C3598" s="704" t="n"/>
      <c r="D3598" s="705" t="n"/>
      <c r="E3598" s="707" t="n"/>
      <c r="F3598" s="3" t="inlineStr">
        <is>
          <t>ENTRADA</t>
        </is>
      </c>
      <c r="G3598" s="3" t="inlineStr">
        <is>
          <t>SAÍDA</t>
        </is>
      </c>
      <c r="H3598" s="640" t="n"/>
      <c r="I3598" s="633" t="inlineStr">
        <is>
          <t>MÉDIO</t>
        </is>
      </c>
      <c r="J3598" s="652" t="inlineStr">
        <is>
          <t>SALDO EM 30/11/2017</t>
        </is>
      </c>
      <c r="K3598" s="706" t="n"/>
      <c r="L3598" s="17" t="n"/>
      <c r="M3598" s="704" t="n"/>
    </row>
    <row r="3599" ht="18" customHeight="1" s="436" thickBot="1">
      <c r="A3599" s="705" t="n"/>
      <c r="B3599" s="695" t="n"/>
      <c r="C3599" s="695" t="n"/>
      <c r="D3599" s="3" t="inlineStr">
        <is>
          <t>C/ICMS</t>
        </is>
      </c>
      <c r="E3599" s="3" t="inlineStr">
        <is>
          <t>S/ICMS</t>
        </is>
      </c>
      <c r="F3599" s="695" t="n"/>
      <c r="G3599" s="695" t="n"/>
      <c r="H3599" s="84" t="inlineStr">
        <is>
          <t>Saldo em 28/02/2022</t>
        </is>
      </c>
      <c r="I3599" s="695" t="n"/>
      <c r="J3599" s="645" t="inlineStr">
        <is>
          <t>ENTRADA</t>
        </is>
      </c>
      <c r="K3599" s="633" t="inlineStr">
        <is>
          <t>SAÍDA / CMV</t>
        </is>
      </c>
      <c r="L3599" s="643" t="inlineStr">
        <is>
          <t>SALDO</t>
        </is>
      </c>
      <c r="M3599" s="392" t="n"/>
    </row>
    <row r="3600">
      <c r="A3600" s="392" t="n"/>
      <c r="B3600" s="392" t="n"/>
      <c r="C3600" s="392" t="n"/>
      <c r="D3600" s="392" t="n"/>
      <c r="E3600" s="392" t="n"/>
      <c r="F3600" s="392" t="n"/>
      <c r="G3600" s="392" t="n"/>
      <c r="H3600" s="446" t="n">
        <v>2483</v>
      </c>
      <c r="I3600" s="392" t="n"/>
      <c r="J3600" s="392" t="n"/>
      <c r="K3600" s="392" t="n"/>
      <c r="L3600" s="392" t="n"/>
      <c r="M3600" s="392" t="n"/>
    </row>
    <row r="3601">
      <c r="A3601" s="568" t="n">
        <v>44986</v>
      </c>
      <c r="B3601" s="392" t="n">
        <v>9958</v>
      </c>
      <c r="C3601" s="392" t="n">
        <v>110</v>
      </c>
      <c r="D3601" s="392" t="n"/>
      <c r="E3601" s="392" t="n"/>
      <c r="F3601" s="392" t="n"/>
      <c r="G3601" s="392" t="n">
        <v>25</v>
      </c>
      <c r="H3601" s="446">
        <f>H3600-G3601</f>
        <v/>
      </c>
      <c r="I3601" s="392" t="n"/>
      <c r="J3601" s="392" t="n"/>
      <c r="K3601" s="392" t="n"/>
      <c r="L3601" s="392" t="n"/>
      <c r="M3601" s="392" t="n"/>
    </row>
    <row r="3602">
      <c r="A3602" s="568" t="n">
        <v>44986</v>
      </c>
      <c r="B3602" s="392" t="n">
        <v>9959</v>
      </c>
      <c r="C3602" s="392" t="n">
        <v>110</v>
      </c>
      <c r="D3602" s="392" t="n"/>
      <c r="E3602" s="392" t="n"/>
      <c r="F3602" s="392" t="n"/>
      <c r="G3602" s="392" t="n">
        <v>20</v>
      </c>
      <c r="H3602" s="446">
        <f>H3601-G3602</f>
        <v/>
      </c>
      <c r="I3602" s="392" t="n"/>
      <c r="J3602" s="392" t="n"/>
      <c r="K3602" s="392" t="n"/>
      <c r="L3602" s="392" t="n"/>
      <c r="M3602" s="392" t="n"/>
    </row>
    <row r="3603">
      <c r="A3603" s="568" t="n">
        <v>44986</v>
      </c>
      <c r="B3603" s="392" t="n">
        <v>9962</v>
      </c>
      <c r="C3603" s="392" t="n">
        <v>110</v>
      </c>
      <c r="D3603" s="392" t="n"/>
      <c r="E3603" s="392" t="n"/>
      <c r="F3603" s="392" t="n"/>
      <c r="G3603" s="392" t="n">
        <v>15</v>
      </c>
      <c r="H3603" s="446">
        <f>H3602-G3603</f>
        <v/>
      </c>
      <c r="I3603" s="392" t="n"/>
      <c r="J3603" s="392" t="n"/>
      <c r="K3603" s="392" t="n"/>
      <c r="L3603" s="392" t="n"/>
      <c r="M3603" s="392" t="n"/>
    </row>
    <row r="3604">
      <c r="A3604" s="568" t="n">
        <v>44990</v>
      </c>
      <c r="B3604" s="392" t="n">
        <v>9965</v>
      </c>
      <c r="C3604" s="392" t="n">
        <v>105</v>
      </c>
      <c r="D3604" s="392" t="n"/>
      <c r="E3604" s="392" t="n"/>
      <c r="F3604" s="392" t="n"/>
      <c r="G3604" s="392" t="n">
        <v>42</v>
      </c>
      <c r="H3604" s="446">
        <f>H3603-G3604</f>
        <v/>
      </c>
      <c r="I3604" s="392" t="n"/>
      <c r="J3604" s="392" t="n"/>
      <c r="K3604" s="392" t="n"/>
      <c r="L3604" s="392" t="n"/>
      <c r="M3604" s="392" t="n"/>
    </row>
    <row r="3605">
      <c r="A3605" s="568" t="n">
        <v>44990</v>
      </c>
      <c r="B3605" s="392" t="n">
        <v>9966</v>
      </c>
      <c r="C3605" s="392" t="n">
        <v>102</v>
      </c>
      <c r="D3605" s="392" t="n"/>
      <c r="E3605" s="392" t="n"/>
      <c r="F3605" s="392" t="n"/>
      <c r="G3605" s="392" t="n">
        <v>50</v>
      </c>
      <c r="H3605" s="446">
        <f>H3604-G3605</f>
        <v/>
      </c>
      <c r="I3605" s="392" t="n"/>
      <c r="J3605" s="392" t="n"/>
      <c r="K3605" s="392" t="n"/>
      <c r="L3605" s="392" t="n"/>
      <c r="M3605" s="392" t="n"/>
    </row>
    <row r="3606">
      <c r="A3606" s="568" t="n">
        <v>44990</v>
      </c>
      <c r="B3606" s="392" t="n">
        <v>9967</v>
      </c>
      <c r="C3606" s="392" t="n">
        <v>104</v>
      </c>
      <c r="D3606" s="392" t="n"/>
      <c r="E3606" s="392" t="n"/>
      <c r="F3606" s="392" t="n"/>
      <c r="G3606" s="392" t="n">
        <v>30</v>
      </c>
      <c r="H3606" s="446">
        <f>H3605-G3606</f>
        <v/>
      </c>
      <c r="I3606" s="392" t="n"/>
      <c r="J3606" s="392" t="n"/>
      <c r="K3606" s="392" t="n"/>
      <c r="L3606" s="392" t="n"/>
      <c r="M3606" s="392" t="n"/>
    </row>
    <row r="3607">
      <c r="A3607" s="304" t="n">
        <v>44992</v>
      </c>
      <c r="B3607" s="401" t="n">
        <v>211350</v>
      </c>
      <c r="C3607" s="401" t="n"/>
      <c r="D3607" s="401" t="n">
        <v>86</v>
      </c>
      <c r="E3607" s="401" t="n"/>
      <c r="F3607" s="401" t="n">
        <v>300</v>
      </c>
      <c r="G3607" s="401" t="n"/>
      <c r="H3607" s="322" t="n">
        <v>2601</v>
      </c>
      <c r="I3607" s="392" t="n"/>
      <c r="J3607" s="392" t="n"/>
      <c r="K3607" s="392" t="n"/>
      <c r="L3607" s="392" t="n"/>
      <c r="M3607" s="392" t="n"/>
    </row>
    <row r="3608">
      <c r="A3608" s="304" t="n">
        <v>44992</v>
      </c>
      <c r="B3608" s="401" t="n">
        <v>211350</v>
      </c>
      <c r="C3608" s="401" t="n"/>
      <c r="D3608" s="401" t="n">
        <v>85</v>
      </c>
      <c r="E3608" s="401" t="n"/>
      <c r="F3608" s="401" t="n">
        <v>200</v>
      </c>
      <c r="G3608" s="401" t="n"/>
      <c r="H3608" s="322" t="n">
        <v>2801</v>
      </c>
      <c r="I3608" s="392" t="n"/>
      <c r="J3608" s="392" t="n"/>
      <c r="K3608" s="392" t="n"/>
      <c r="L3608" s="392" t="n"/>
      <c r="M3608" s="392" t="n"/>
    </row>
    <row r="3609">
      <c r="A3609" s="568" t="n">
        <v>44993</v>
      </c>
      <c r="B3609" s="392" t="n">
        <v>9970</v>
      </c>
      <c r="C3609" s="392" t="n">
        <v>110</v>
      </c>
      <c r="D3609" s="392" t="n"/>
      <c r="E3609" s="392" t="n"/>
      <c r="F3609" s="392" t="n"/>
      <c r="G3609" s="392" t="n">
        <v>15</v>
      </c>
      <c r="H3609" s="446">
        <f>H3608-G3609</f>
        <v/>
      </c>
      <c r="I3609" s="392" t="n"/>
      <c r="J3609" s="392" t="n"/>
      <c r="K3609" s="392" t="n"/>
      <c r="L3609" s="392" t="n"/>
      <c r="M3609" s="392" t="n"/>
    </row>
    <row r="3610">
      <c r="A3610" s="568" t="n">
        <v>44993</v>
      </c>
      <c r="B3610" s="392" t="n">
        <v>9973</v>
      </c>
      <c r="C3610" s="392" t="n">
        <v>103</v>
      </c>
      <c r="D3610" s="392" t="n"/>
      <c r="E3610" s="392" t="n"/>
      <c r="F3610" s="392" t="n"/>
      <c r="G3610" s="392" t="n">
        <v>60</v>
      </c>
      <c r="H3610" s="446">
        <f>H3609-G3610</f>
        <v/>
      </c>
      <c r="I3610" s="392" t="n"/>
      <c r="J3610" s="392" t="n"/>
      <c r="K3610" s="392" t="n"/>
      <c r="L3610" s="392" t="n"/>
      <c r="M3610" s="392" t="n"/>
    </row>
    <row r="3611">
      <c r="A3611" s="568" t="n">
        <v>44993</v>
      </c>
      <c r="B3611" s="392" t="n">
        <v>9974</v>
      </c>
      <c r="C3611" s="392" t="n">
        <v>102</v>
      </c>
      <c r="D3611" s="392" t="n"/>
      <c r="E3611" s="392" t="n"/>
      <c r="F3611" s="392" t="n"/>
      <c r="G3611" s="392" t="n">
        <v>20</v>
      </c>
      <c r="H3611" s="446">
        <f>H3610-G3611</f>
        <v/>
      </c>
      <c r="I3611" s="392" t="n"/>
      <c r="J3611" s="392" t="n"/>
      <c r="K3611" s="392" t="n"/>
      <c r="L3611" s="392" t="n"/>
      <c r="M3611" s="392" t="n"/>
    </row>
    <row r="3612">
      <c r="A3612" s="568" t="n">
        <v>44993</v>
      </c>
      <c r="B3612" s="392" t="n">
        <v>9975</v>
      </c>
      <c r="C3612" s="392" t="n">
        <v>99</v>
      </c>
      <c r="D3612" s="392" t="n"/>
      <c r="E3612" s="392" t="n"/>
      <c r="F3612" s="392" t="n"/>
      <c r="G3612" s="392" t="n">
        <v>50</v>
      </c>
      <c r="H3612" s="446">
        <f>H3611-G3612</f>
        <v/>
      </c>
      <c r="I3612" s="392" t="n"/>
      <c r="J3612" s="392" t="n"/>
      <c r="K3612" s="392" t="n"/>
      <c r="L3612" s="392" t="n"/>
      <c r="M3612" s="392" t="n"/>
    </row>
    <row r="3613">
      <c r="A3613" s="568" t="n">
        <v>44993</v>
      </c>
      <c r="B3613" s="392" t="n">
        <v>9976</v>
      </c>
      <c r="C3613" s="392" t="n">
        <v>102</v>
      </c>
      <c r="D3613" s="392" t="n"/>
      <c r="E3613" s="392" t="n"/>
      <c r="F3613" s="392" t="n"/>
      <c r="G3613" s="392" t="n">
        <v>30</v>
      </c>
      <c r="H3613" s="446">
        <f>H3612-G3613</f>
        <v/>
      </c>
      <c r="I3613" s="392" t="n"/>
      <c r="J3613" s="392" t="n"/>
      <c r="K3613" s="392" t="n"/>
      <c r="L3613" s="392" t="n"/>
      <c r="M3613" s="392" t="n"/>
    </row>
    <row r="3614">
      <c r="A3614" s="568" t="n">
        <v>44993</v>
      </c>
      <c r="B3614" s="392" t="n">
        <v>9979</v>
      </c>
      <c r="C3614" s="392" t="n">
        <v>102</v>
      </c>
      <c r="D3614" s="392" t="n"/>
      <c r="E3614" s="392" t="n"/>
      <c r="F3614" s="392" t="n"/>
      <c r="G3614" s="392" t="n">
        <v>30</v>
      </c>
      <c r="H3614" s="446">
        <f>H3613-G3614</f>
        <v/>
      </c>
      <c r="I3614" s="392" t="n"/>
      <c r="J3614" s="392" t="n"/>
      <c r="K3614" s="392" t="n"/>
      <c r="L3614" s="392" t="n"/>
      <c r="M3614" s="392" t="n"/>
    </row>
    <row r="3615">
      <c r="A3615" s="568" t="n">
        <v>44998</v>
      </c>
      <c r="B3615" s="392" t="n">
        <v>9981</v>
      </c>
      <c r="C3615" s="392" t="n">
        <v>110</v>
      </c>
      <c r="D3615" s="392" t="n"/>
      <c r="E3615" s="392" t="n"/>
      <c r="F3615" s="392" t="n"/>
      <c r="G3615" s="392" t="n">
        <v>20</v>
      </c>
      <c r="H3615" s="446">
        <f>H3614-G3615</f>
        <v/>
      </c>
      <c r="I3615" s="392" t="n"/>
      <c r="J3615" s="392" t="n"/>
      <c r="K3615" s="392" t="n"/>
      <c r="L3615" s="392" t="n"/>
      <c r="M3615" s="392" t="n"/>
    </row>
    <row r="3616">
      <c r="A3616" s="568" t="n">
        <v>44998</v>
      </c>
      <c r="B3616" s="392" t="n">
        <v>9980</v>
      </c>
      <c r="C3616" s="392" t="n">
        <v>110</v>
      </c>
      <c r="D3616" s="392" t="n"/>
      <c r="E3616" s="392" t="n"/>
      <c r="F3616" s="392" t="n"/>
      <c r="G3616" s="392" t="n">
        <v>20</v>
      </c>
      <c r="H3616" s="446">
        <f>H3615-G3616</f>
        <v/>
      </c>
      <c r="I3616" s="392" t="n"/>
      <c r="J3616" s="392" t="n"/>
      <c r="K3616" s="392" t="n"/>
      <c r="L3616" s="392" t="n"/>
      <c r="M3616" s="392" t="n"/>
    </row>
    <row r="3617">
      <c r="A3617" s="568" t="n">
        <v>44998</v>
      </c>
      <c r="B3617" s="392" t="n">
        <v>9983</v>
      </c>
      <c r="C3617" s="392" t="n">
        <v>102</v>
      </c>
      <c r="D3617" s="392" t="n"/>
      <c r="E3617" s="392" t="n"/>
      <c r="F3617" s="392" t="n"/>
      <c r="G3617" s="392" t="n">
        <v>30</v>
      </c>
      <c r="H3617" s="446">
        <f>H3616-G3617</f>
        <v/>
      </c>
      <c r="I3617" s="392" t="n"/>
      <c r="J3617" s="392" t="n"/>
      <c r="K3617" s="392" t="n"/>
      <c r="L3617" s="392" t="n"/>
      <c r="M3617" s="392" t="n"/>
    </row>
    <row r="3618">
      <c r="A3618" s="568" t="n">
        <v>44998</v>
      </c>
      <c r="B3618" s="392" t="n">
        <v>9984</v>
      </c>
      <c r="C3618" s="392" t="n">
        <v>105.8</v>
      </c>
      <c r="D3618" s="392" t="n"/>
      <c r="E3618" s="392" t="n"/>
      <c r="F3618" s="392" t="n"/>
      <c r="G3618" s="392" t="n">
        <v>100</v>
      </c>
      <c r="H3618" s="446">
        <f>H3617-G3618</f>
        <v/>
      </c>
      <c r="I3618" s="392" t="n"/>
      <c r="J3618" s="392" t="n"/>
      <c r="K3618" s="392" t="n"/>
      <c r="L3618" s="392" t="n"/>
      <c r="M3618" s="392" t="n"/>
    </row>
    <row r="3619">
      <c r="A3619" s="568" t="n">
        <v>44999</v>
      </c>
      <c r="B3619" s="392" t="n">
        <v>9991</v>
      </c>
      <c r="C3619" s="392" t="n">
        <v>102</v>
      </c>
      <c r="D3619" s="392" t="n"/>
      <c r="E3619" s="392" t="n"/>
      <c r="F3619" s="392" t="n"/>
      <c r="G3619" s="392" t="n">
        <v>35</v>
      </c>
      <c r="H3619" s="446">
        <f>H3618-G3619</f>
        <v/>
      </c>
      <c r="I3619" s="392" t="n"/>
      <c r="J3619" s="392" t="n"/>
      <c r="K3619" s="392" t="n"/>
      <c r="L3619" s="392" t="n"/>
      <c r="M3619" s="392" t="n"/>
    </row>
    <row r="3620">
      <c r="A3620" s="568" t="n">
        <v>44999</v>
      </c>
      <c r="B3620" s="392" t="n">
        <v>9993</v>
      </c>
      <c r="C3620" s="392" t="n">
        <v>99</v>
      </c>
      <c r="D3620" s="392" t="n"/>
      <c r="E3620" s="392" t="n"/>
      <c r="F3620" s="392" t="n"/>
      <c r="G3620" s="392" t="n">
        <v>40</v>
      </c>
      <c r="H3620" s="446">
        <f>H3619-G3620</f>
        <v/>
      </c>
      <c r="I3620" s="392" t="n"/>
      <c r="J3620" s="392" t="n"/>
      <c r="K3620" s="392" t="n"/>
      <c r="L3620" s="392" t="n"/>
      <c r="M3620" s="392" t="n"/>
    </row>
    <row r="3621">
      <c r="A3621" s="568" t="n">
        <v>44999</v>
      </c>
      <c r="B3621" s="392" t="n">
        <v>9994</v>
      </c>
      <c r="C3621" s="392" t="n">
        <v>102</v>
      </c>
      <c r="D3621" s="392" t="n"/>
      <c r="E3621" s="392" t="n"/>
      <c r="F3621" s="392" t="n"/>
      <c r="G3621" s="392" t="n">
        <v>10</v>
      </c>
      <c r="H3621" s="446">
        <f>H3620-G3621</f>
        <v/>
      </c>
      <c r="I3621" s="392" t="n"/>
      <c r="J3621" s="392" t="n"/>
      <c r="K3621" s="392" t="n"/>
      <c r="L3621" s="392" t="n"/>
      <c r="M3621" s="392" t="n"/>
    </row>
    <row r="3622">
      <c r="A3622" s="568" t="n">
        <v>44999</v>
      </c>
      <c r="B3622" s="392" t="n">
        <v>9995</v>
      </c>
      <c r="C3622" s="392" t="n">
        <v>103</v>
      </c>
      <c r="D3622" s="392" t="n"/>
      <c r="E3622" s="392" t="n"/>
      <c r="F3622" s="392" t="n"/>
      <c r="G3622" s="392" t="n">
        <v>10</v>
      </c>
      <c r="H3622" s="446">
        <f>H3621-G3622</f>
        <v/>
      </c>
      <c r="I3622" s="392" t="n"/>
      <c r="J3622" s="392" t="n"/>
      <c r="K3622" s="392" t="n"/>
      <c r="L3622" s="392" t="n"/>
      <c r="M3622" s="392" t="n"/>
    </row>
    <row r="3623">
      <c r="A3623" s="568" t="n">
        <v>44999</v>
      </c>
      <c r="B3623" s="392" t="n">
        <v>9998</v>
      </c>
      <c r="C3623" s="392" t="n">
        <v>107</v>
      </c>
      <c r="D3623" s="392" t="n"/>
      <c r="E3623" s="392" t="n"/>
      <c r="F3623" s="392" t="n"/>
      <c r="G3623" s="392" t="n">
        <v>20</v>
      </c>
      <c r="H3623" s="446">
        <f>H3622-G3623</f>
        <v/>
      </c>
      <c r="I3623" s="392" t="n"/>
      <c r="J3623" s="392" t="n"/>
      <c r="K3623" s="392" t="n"/>
      <c r="L3623" s="392" t="n"/>
      <c r="M3623" s="392" t="n"/>
    </row>
    <row r="3624">
      <c r="A3624" s="568" t="n">
        <v>44999</v>
      </c>
      <c r="B3624" s="392" t="n">
        <v>9999</v>
      </c>
      <c r="C3624" s="392" t="n">
        <v>100</v>
      </c>
      <c r="D3624" s="392" t="n"/>
      <c r="E3624" s="392" t="n"/>
      <c r="F3624" s="392" t="n"/>
      <c r="G3624" s="392" t="n">
        <v>20</v>
      </c>
      <c r="H3624" s="446">
        <f>H3623-G3624</f>
        <v/>
      </c>
      <c r="I3624" s="392" t="n"/>
      <c r="J3624" s="392" t="n"/>
      <c r="K3624" s="392" t="n"/>
      <c r="L3624" s="392" t="n"/>
      <c r="M3624" s="392" t="n"/>
    </row>
    <row r="3625">
      <c r="A3625" s="568" t="n">
        <v>45000</v>
      </c>
      <c r="B3625" s="392" t="n">
        <v>10001</v>
      </c>
      <c r="C3625" s="392" t="n">
        <v>105.7</v>
      </c>
      <c r="D3625" s="392" t="n"/>
      <c r="E3625" s="392" t="n"/>
      <c r="F3625" s="392" t="n"/>
      <c r="G3625" s="392" t="n">
        <v>12</v>
      </c>
      <c r="H3625" s="446">
        <f>H3624-G3625</f>
        <v/>
      </c>
      <c r="I3625" s="392" t="n"/>
      <c r="J3625" s="392" t="n"/>
      <c r="K3625" s="392" t="n"/>
      <c r="L3625" s="392" t="n"/>
      <c r="M3625" s="392" t="n"/>
    </row>
    <row r="3626">
      <c r="A3626" s="568" t="n">
        <v>45000</v>
      </c>
      <c r="B3626" s="392" t="n">
        <v>10003</v>
      </c>
      <c r="C3626" s="392" t="n">
        <v>102</v>
      </c>
      <c r="D3626" s="392" t="n"/>
      <c r="E3626" s="392" t="n"/>
      <c r="F3626" s="392" t="n"/>
      <c r="G3626" s="392" t="n">
        <v>10</v>
      </c>
      <c r="H3626" s="446">
        <f>H3625-G3626</f>
        <v/>
      </c>
      <c r="I3626" s="392" t="n"/>
      <c r="J3626" s="392" t="n"/>
      <c r="K3626" s="392" t="n"/>
      <c r="L3626" s="392" t="n"/>
      <c r="M3626" s="392" t="n"/>
    </row>
    <row r="3627">
      <c r="A3627" s="304" t="n">
        <v>45005</v>
      </c>
      <c r="B3627" s="401" t="n">
        <v>29443</v>
      </c>
      <c r="C3627" s="401" t="n"/>
      <c r="D3627" s="401" t="n">
        <v>85</v>
      </c>
      <c r="E3627" s="401" t="n"/>
      <c r="F3627" s="401" t="n">
        <v>1120</v>
      </c>
      <c r="G3627" s="401" t="n"/>
      <c r="H3627" s="322" t="n">
        <v>3389</v>
      </c>
      <c r="I3627" s="392" t="n"/>
      <c r="J3627" s="392" t="n"/>
      <c r="K3627" s="392" t="n"/>
      <c r="L3627" s="392" t="n"/>
      <c r="M3627" s="392" t="n"/>
    </row>
    <row r="3628">
      <c r="A3628" s="568" t="n">
        <v>45005</v>
      </c>
      <c r="B3628" s="392" t="n">
        <v>10004</v>
      </c>
      <c r="C3628" s="392" t="n">
        <v>102</v>
      </c>
      <c r="D3628" s="392" t="n"/>
      <c r="E3628" s="392" t="n"/>
      <c r="F3628" s="392" t="n"/>
      <c r="G3628" s="392" t="n">
        <v>30</v>
      </c>
      <c r="H3628" s="446">
        <f>H3627-G3628</f>
        <v/>
      </c>
      <c r="I3628" s="392" t="n"/>
      <c r="J3628" s="392" t="n"/>
      <c r="K3628" s="392" t="n"/>
      <c r="L3628" s="392" t="n"/>
      <c r="M3628" s="392" t="n"/>
    </row>
    <row r="3629">
      <c r="A3629" s="568" t="n">
        <v>45005</v>
      </c>
      <c r="B3629" s="392" t="n">
        <v>10006</v>
      </c>
      <c r="C3629" s="392" t="n">
        <v>105</v>
      </c>
      <c r="D3629" s="392" t="n"/>
      <c r="E3629" s="392" t="n"/>
      <c r="F3629" s="392" t="n"/>
      <c r="G3629" s="392" t="n">
        <v>30</v>
      </c>
      <c r="H3629" s="446">
        <f>H3628-G3629</f>
        <v/>
      </c>
      <c r="I3629" s="392" t="n"/>
      <c r="J3629" s="392" t="n"/>
      <c r="K3629" s="392" t="n"/>
      <c r="L3629" s="392" t="n"/>
      <c r="M3629" s="392" t="n"/>
    </row>
    <row r="3630">
      <c r="A3630" s="568" t="n">
        <v>45005</v>
      </c>
      <c r="B3630" s="392" t="n">
        <v>10007</v>
      </c>
      <c r="C3630" s="392" t="n">
        <v>99</v>
      </c>
      <c r="D3630" s="392" t="n"/>
      <c r="E3630" s="392" t="n"/>
      <c r="F3630" s="392" t="n"/>
      <c r="G3630" s="392" t="n">
        <v>100</v>
      </c>
      <c r="H3630" s="446">
        <f>H3629-G3630</f>
        <v/>
      </c>
      <c r="I3630" s="392" t="n"/>
      <c r="J3630" s="392" t="n"/>
      <c r="K3630" s="392" t="n"/>
      <c r="L3630" s="392" t="n"/>
      <c r="M3630" s="392" t="n"/>
    </row>
    <row r="3631">
      <c r="A3631" s="568" t="n">
        <v>45007</v>
      </c>
      <c r="B3631" s="392" t="n">
        <v>10008</v>
      </c>
      <c r="C3631" s="392" t="n">
        <v>110</v>
      </c>
      <c r="D3631" s="392" t="n"/>
      <c r="E3631" s="392" t="n"/>
      <c r="F3631" s="392" t="n"/>
      <c r="G3631" s="392" t="n">
        <v>150</v>
      </c>
      <c r="H3631" s="446">
        <f>H3630-G3631</f>
        <v/>
      </c>
      <c r="I3631" s="392" t="n"/>
      <c r="J3631" s="392" t="n"/>
      <c r="K3631" s="392" t="n"/>
      <c r="L3631" s="392" t="n"/>
      <c r="M3631" s="392" t="n"/>
    </row>
    <row r="3632">
      <c r="A3632" s="568" t="n">
        <v>45007</v>
      </c>
      <c r="B3632" s="392" t="n">
        <v>10009</v>
      </c>
      <c r="C3632" s="392" t="n">
        <v>102</v>
      </c>
      <c r="D3632" s="392" t="n"/>
      <c r="E3632" s="392" t="n"/>
      <c r="F3632" s="392" t="n"/>
      <c r="G3632" s="392" t="n">
        <v>50</v>
      </c>
      <c r="H3632" s="446">
        <f>H3631-G3632</f>
        <v/>
      </c>
      <c r="I3632" s="392" t="n"/>
      <c r="J3632" s="392" t="n"/>
      <c r="K3632" s="392" t="n"/>
      <c r="L3632" s="392" t="n"/>
      <c r="M3632" s="392" t="n"/>
    </row>
    <row r="3633">
      <c r="A3633" s="568" t="n">
        <v>45007</v>
      </c>
      <c r="B3633" s="392" t="n">
        <v>10010</v>
      </c>
      <c r="C3633" s="392" t="n">
        <v>110</v>
      </c>
      <c r="D3633" s="392" t="n"/>
      <c r="E3633" s="392" t="n"/>
      <c r="F3633" s="392" t="n"/>
      <c r="G3633" s="392" t="n">
        <v>15</v>
      </c>
      <c r="H3633" s="446">
        <f>H3632-G3633</f>
        <v/>
      </c>
      <c r="I3633" s="392" t="n"/>
      <c r="J3633" s="392" t="n"/>
      <c r="K3633" s="392" t="n"/>
      <c r="L3633" s="392" t="n"/>
      <c r="M3633" s="392" t="n"/>
    </row>
    <row r="3634">
      <c r="A3634" s="568" t="n">
        <v>45007</v>
      </c>
      <c r="B3634" s="392" t="n">
        <v>10013</v>
      </c>
      <c r="C3634" s="392" t="n">
        <v>102</v>
      </c>
      <c r="D3634" s="392" t="n"/>
      <c r="E3634" s="392" t="n"/>
      <c r="F3634" s="392" t="n"/>
      <c r="G3634" s="392" t="n">
        <v>20</v>
      </c>
      <c r="H3634" s="446">
        <f>H3633-G3634</f>
        <v/>
      </c>
      <c r="I3634" s="392" t="n"/>
      <c r="J3634" s="392" t="n"/>
      <c r="K3634" s="392" t="n"/>
      <c r="L3634" s="392" t="n"/>
      <c r="M3634" s="392" t="n"/>
    </row>
    <row r="3635">
      <c r="A3635" s="568" t="n">
        <v>45007</v>
      </c>
      <c r="B3635" s="392" t="n">
        <v>10014</v>
      </c>
      <c r="C3635" s="392" t="n">
        <v>99</v>
      </c>
      <c r="D3635" s="392" t="n"/>
      <c r="E3635" s="392" t="n"/>
      <c r="F3635" s="392" t="n"/>
      <c r="G3635" s="392" t="n">
        <v>50</v>
      </c>
      <c r="H3635" s="446">
        <f>H3634-G3635</f>
        <v/>
      </c>
      <c r="I3635" s="392" t="n"/>
      <c r="J3635" s="392" t="n"/>
      <c r="K3635" s="392" t="n"/>
      <c r="L3635" s="392" t="n"/>
      <c r="M3635" s="392" t="n"/>
    </row>
    <row r="3636">
      <c r="A3636" s="568" t="n">
        <v>45007</v>
      </c>
      <c r="B3636" s="392" t="n">
        <v>10015</v>
      </c>
      <c r="C3636" s="392" t="n">
        <v>102</v>
      </c>
      <c r="D3636" s="392" t="n"/>
      <c r="E3636" s="392" t="n"/>
      <c r="F3636" s="392" t="n"/>
      <c r="G3636" s="392" t="n">
        <v>30</v>
      </c>
      <c r="H3636" s="446">
        <f>H3635-G3636</f>
        <v/>
      </c>
      <c r="I3636" s="392" t="n"/>
      <c r="J3636" s="392" t="n"/>
      <c r="K3636" s="392" t="n"/>
      <c r="L3636" s="392" t="n"/>
      <c r="M3636" s="392" t="n"/>
    </row>
    <row r="3637">
      <c r="A3637" s="568" t="n">
        <v>45007</v>
      </c>
      <c r="B3637" s="392" t="n">
        <v>10017</v>
      </c>
      <c r="C3637" s="392" t="n">
        <v>102</v>
      </c>
      <c r="D3637" s="392" t="n"/>
      <c r="E3637" s="392" t="n"/>
      <c r="F3637" s="392" t="n"/>
      <c r="G3637" s="392" t="n">
        <v>30</v>
      </c>
      <c r="H3637" s="446">
        <f>H3636-G3637</f>
        <v/>
      </c>
      <c r="I3637" s="392" t="n"/>
      <c r="J3637" s="392" t="n"/>
      <c r="K3637" s="392" t="n"/>
      <c r="L3637" s="392" t="n"/>
      <c r="M3637" s="392" t="n"/>
    </row>
    <row r="3638">
      <c r="A3638" s="568" t="n">
        <v>45007</v>
      </c>
      <c r="B3638" s="392" t="n">
        <v>10018</v>
      </c>
      <c r="C3638" s="392" t="n">
        <v>103.92</v>
      </c>
      <c r="D3638" s="392" t="n"/>
      <c r="E3638" s="392" t="n"/>
      <c r="F3638" s="392" t="n"/>
      <c r="G3638" s="392" t="n">
        <v>24</v>
      </c>
      <c r="H3638" s="446">
        <f>H3637-G3638</f>
        <v/>
      </c>
      <c r="I3638" s="392" t="n"/>
      <c r="J3638" s="392" t="n"/>
      <c r="K3638" s="392" t="n"/>
      <c r="L3638" s="392" t="n"/>
      <c r="M3638" s="392" t="n"/>
    </row>
    <row r="3639">
      <c r="A3639" s="568" t="n">
        <v>45013</v>
      </c>
      <c r="B3639" s="392" t="n">
        <v>10022</v>
      </c>
      <c r="C3639" s="392" t="n">
        <v>102</v>
      </c>
      <c r="D3639" s="392" t="n"/>
      <c r="E3639" s="392" t="n"/>
      <c r="F3639" s="392" t="n"/>
      <c r="G3639" s="392" t="n">
        <v>20</v>
      </c>
      <c r="H3639" s="446">
        <f>H3638-G3639</f>
        <v/>
      </c>
      <c r="I3639" s="392" t="n"/>
      <c r="J3639" s="392" t="n"/>
      <c r="K3639" s="392" t="n"/>
      <c r="L3639" s="392" t="n"/>
      <c r="M3639" s="392" t="n"/>
    </row>
    <row r="3640">
      <c r="A3640" s="568" t="n">
        <v>45013</v>
      </c>
      <c r="B3640" s="392" t="n">
        <v>10023</v>
      </c>
      <c r="C3640" s="392" t="n">
        <v>110</v>
      </c>
      <c r="D3640" s="392" t="n"/>
      <c r="E3640" s="392" t="n"/>
      <c r="F3640" s="392" t="n"/>
      <c r="G3640" s="392" t="n">
        <v>20</v>
      </c>
      <c r="H3640" s="446">
        <f>H3639-G3640</f>
        <v/>
      </c>
      <c r="I3640" s="392" t="n"/>
      <c r="J3640" s="392" t="n"/>
      <c r="K3640" s="392" t="n"/>
      <c r="L3640" s="392" t="n"/>
      <c r="M3640" s="392" t="n"/>
    </row>
    <row r="3641">
      <c r="A3641" s="568" t="n">
        <v>45013</v>
      </c>
      <c r="B3641" s="392" t="n">
        <v>10024</v>
      </c>
      <c r="C3641" s="392" t="n">
        <v>102</v>
      </c>
      <c r="D3641" s="392" t="n"/>
      <c r="E3641" s="392" t="n"/>
      <c r="F3641" s="392" t="n"/>
      <c r="G3641" s="392" t="n">
        <v>15</v>
      </c>
      <c r="H3641" s="446">
        <f>H3640-G3641</f>
        <v/>
      </c>
      <c r="I3641" s="392" t="n"/>
      <c r="J3641" s="392" t="n"/>
      <c r="K3641" s="392" t="n"/>
      <c r="L3641" s="392" t="n"/>
      <c r="M3641" s="392" t="n"/>
    </row>
    <row r="3642">
      <c r="A3642" s="568" t="n">
        <v>45013</v>
      </c>
      <c r="B3642" s="392" t="n">
        <v>10025</v>
      </c>
      <c r="C3642" s="392" t="n">
        <v>107</v>
      </c>
      <c r="D3642" s="392" t="n"/>
      <c r="E3642" s="392" t="n"/>
      <c r="F3642" s="392" t="n"/>
      <c r="G3642" s="392" t="n">
        <v>12</v>
      </c>
      <c r="H3642" s="446">
        <f>H3641-G3642</f>
        <v/>
      </c>
      <c r="I3642" s="392" t="n"/>
      <c r="J3642" s="392" t="n"/>
      <c r="K3642" s="392" t="n"/>
      <c r="L3642" s="392" t="n"/>
      <c r="M3642" s="392" t="n"/>
    </row>
    <row r="3643">
      <c r="A3643" s="568" t="n">
        <v>45013</v>
      </c>
      <c r="B3643" s="392" t="n">
        <v>10026</v>
      </c>
      <c r="C3643" s="392" t="n">
        <v>102</v>
      </c>
      <c r="D3643" s="392" t="n"/>
      <c r="E3643" s="392" t="n"/>
      <c r="F3643" s="392" t="n"/>
      <c r="G3643" s="392" t="n">
        <v>30</v>
      </c>
      <c r="H3643" s="446">
        <f>H3642-G3643</f>
        <v/>
      </c>
      <c r="I3643" s="392" t="n"/>
      <c r="J3643" s="392" t="n"/>
      <c r="K3643" s="392" t="n"/>
      <c r="L3643" s="392" t="n"/>
      <c r="M3643" s="392" t="n"/>
    </row>
    <row r="3644">
      <c r="A3644" s="568" t="n">
        <v>45013</v>
      </c>
      <c r="B3644" s="392" t="n">
        <v>10029</v>
      </c>
      <c r="C3644" s="392" t="n">
        <v>110</v>
      </c>
      <c r="D3644" s="392" t="n"/>
      <c r="E3644" s="392" t="n"/>
      <c r="F3644" s="392" t="n"/>
      <c r="G3644" s="392" t="n">
        <v>20</v>
      </c>
      <c r="H3644" s="446">
        <f>H3643-G3644</f>
        <v/>
      </c>
      <c r="I3644" s="392" t="n"/>
      <c r="J3644" s="392" t="n"/>
      <c r="K3644" s="392" t="n"/>
      <c r="L3644" s="392" t="n"/>
      <c r="M3644" s="392" t="n"/>
    </row>
    <row r="3645">
      <c r="A3645" s="568" t="n">
        <v>45013</v>
      </c>
      <c r="B3645" s="392" t="n">
        <v>10030</v>
      </c>
      <c r="C3645" s="392" t="n">
        <v>104</v>
      </c>
      <c r="D3645" s="392" t="n"/>
      <c r="E3645" s="392" t="n"/>
      <c r="F3645" s="392" t="n"/>
      <c r="G3645" s="392" t="n">
        <v>30</v>
      </c>
      <c r="H3645" s="446">
        <f>H3644-G3645</f>
        <v/>
      </c>
      <c r="I3645" s="392" t="n"/>
      <c r="J3645" s="392" t="n"/>
      <c r="K3645" s="392" t="n"/>
      <c r="L3645" s="392" t="n"/>
      <c r="M3645" s="392" t="n"/>
    </row>
    <row r="3646">
      <c r="A3646" s="568" t="n">
        <v>45013</v>
      </c>
      <c r="B3646" s="392" t="n">
        <v>10031</v>
      </c>
      <c r="C3646" s="392" t="n">
        <v>104</v>
      </c>
      <c r="D3646" s="392" t="n"/>
      <c r="E3646" s="392" t="n"/>
      <c r="F3646" s="392" t="n"/>
      <c r="G3646" s="392" t="n">
        <v>15</v>
      </c>
      <c r="H3646" s="446">
        <f>H3645-G3646</f>
        <v/>
      </c>
      <c r="I3646" s="392" t="n"/>
      <c r="J3646" s="392" t="n"/>
      <c r="K3646" s="392" t="n"/>
      <c r="L3646" s="392" t="n"/>
      <c r="M3646" s="392" t="n"/>
    </row>
    <row r="3647">
      <c r="A3647" s="568" t="n">
        <v>45013</v>
      </c>
      <c r="B3647" s="392" t="n">
        <v>10032</v>
      </c>
      <c r="C3647" s="392" t="n">
        <v>104</v>
      </c>
      <c r="D3647" s="392" t="n"/>
      <c r="E3647" s="392" t="n"/>
      <c r="F3647" s="392" t="n"/>
      <c r="G3647" s="392" t="n">
        <v>15</v>
      </c>
      <c r="H3647" s="446">
        <f>H3646-G3647</f>
        <v/>
      </c>
      <c r="I3647" s="392" t="n"/>
      <c r="J3647" s="392" t="n"/>
      <c r="K3647" s="392" t="n"/>
      <c r="L3647" s="392" t="n"/>
      <c r="M3647" s="392" t="n"/>
    </row>
    <row r="3648">
      <c r="A3648" s="568" t="n">
        <v>45013</v>
      </c>
      <c r="B3648" s="392" t="n">
        <v>10034</v>
      </c>
      <c r="C3648" s="392" t="n">
        <v>110</v>
      </c>
      <c r="D3648" s="392" t="n"/>
      <c r="E3648" s="392" t="n"/>
      <c r="F3648" s="392" t="n"/>
      <c r="G3648" s="392" t="n">
        <v>15</v>
      </c>
      <c r="H3648" s="446">
        <f>H3647-G3648</f>
        <v/>
      </c>
      <c r="I3648" s="392" t="n"/>
      <c r="J3648" s="392" t="n"/>
      <c r="K3648" s="392" t="n"/>
      <c r="L3648" s="392" t="n"/>
      <c r="M3648" s="392" t="n"/>
    </row>
    <row r="3649">
      <c r="A3649" s="568" t="n">
        <v>45014</v>
      </c>
      <c r="B3649" s="392" t="n">
        <v>10037</v>
      </c>
      <c r="C3649" s="392" t="n">
        <v>107</v>
      </c>
      <c r="D3649" s="392" t="n"/>
      <c r="E3649" s="392" t="n"/>
      <c r="F3649" s="392" t="n"/>
      <c r="G3649" s="392" t="n">
        <v>20</v>
      </c>
      <c r="H3649" s="446">
        <f>H3648-G3649</f>
        <v/>
      </c>
      <c r="I3649" s="392" t="n"/>
      <c r="J3649" s="392" t="n"/>
      <c r="K3649" s="392" t="n"/>
      <c r="L3649" s="392" t="n"/>
      <c r="M3649" s="392" t="n"/>
    </row>
    <row r="3650">
      <c r="A3650" s="568" t="n">
        <v>45014</v>
      </c>
      <c r="B3650" s="392" t="n">
        <v>10039</v>
      </c>
      <c r="C3650" s="392" t="n">
        <v>104</v>
      </c>
      <c r="D3650" s="392" t="n"/>
      <c r="E3650" s="392" t="n"/>
      <c r="F3650" s="392" t="n"/>
      <c r="G3650" s="392" t="n">
        <v>30</v>
      </c>
      <c r="H3650" s="446">
        <f>H3649-G3650</f>
        <v/>
      </c>
      <c r="I3650" s="392" t="n"/>
      <c r="J3650" s="392" t="n"/>
      <c r="K3650" s="392" t="n"/>
      <c r="L3650" s="392" t="n"/>
      <c r="M3650" s="392" t="n"/>
    </row>
    <row r="3651">
      <c r="A3651" s="334" t="n">
        <v>45014</v>
      </c>
      <c r="B3651" s="401" t="n">
        <v>213247</v>
      </c>
      <c r="C3651" s="401" t="n"/>
      <c r="D3651" s="401" t="n">
        <v>85.5</v>
      </c>
      <c r="E3651" s="401" t="n"/>
      <c r="F3651" s="401" t="n">
        <v>300</v>
      </c>
      <c r="G3651" s="401" t="n"/>
      <c r="H3651" s="322" t="n">
        <v>2918</v>
      </c>
      <c r="I3651" s="392" t="n"/>
      <c r="J3651" s="392" t="n"/>
      <c r="K3651" s="392" t="n"/>
      <c r="L3651" s="392" t="n"/>
      <c r="M3651" s="392" t="n"/>
    </row>
    <row r="3652">
      <c r="A3652" s="334" t="n">
        <v>45014</v>
      </c>
      <c r="B3652" s="401" t="n">
        <v>213247</v>
      </c>
      <c r="C3652" s="401" t="n"/>
      <c r="D3652" s="401" t="n">
        <v>84.5</v>
      </c>
      <c r="E3652" s="401" t="n"/>
      <c r="F3652" s="401" t="n">
        <v>200</v>
      </c>
      <c r="G3652" s="401" t="n"/>
      <c r="H3652" s="322" t="n">
        <v>3118</v>
      </c>
      <c r="I3652" s="392" t="n"/>
      <c r="J3652" s="392" t="n"/>
      <c r="K3652" s="392" t="n"/>
      <c r="L3652" s="392" t="n"/>
      <c r="M3652" s="392" t="n"/>
    </row>
    <row r="3653" ht="15.75" customHeight="1" s="436" thickBot="1">
      <c r="H3653" s="390" t="n"/>
    </row>
    <row r="3654" ht="32.25" customHeight="1" s="436" thickBot="1">
      <c r="A3654" s="735" t="inlineStr">
        <is>
          <t>Abril</t>
        </is>
      </c>
      <c r="B3654" s="697" t="n"/>
      <c r="C3654" s="697" t="n"/>
      <c r="D3654" s="697" t="n"/>
      <c r="E3654" s="697" t="n"/>
      <c r="F3654" s="697" t="n"/>
      <c r="G3654" s="697" t="n"/>
      <c r="H3654" s="697" t="n"/>
      <c r="I3654" s="697" t="n"/>
      <c r="J3654" s="697" t="n"/>
      <c r="K3654" s="697" t="n"/>
      <c r="L3654" s="697" t="n"/>
      <c r="M3654" s="698" t="n"/>
    </row>
    <row r="3655" ht="27" customHeight="1" s="436" thickBot="1">
      <c r="A3655" s="720" t="inlineStr">
        <is>
          <t xml:space="preserve"> FARINHA DE TRIGO TIPO: 1 - 25 KG</t>
        </is>
      </c>
      <c r="B3655" s="697" t="n"/>
      <c r="C3655" s="697" t="n"/>
      <c r="D3655" s="697" t="n"/>
      <c r="E3655" s="697" t="n"/>
      <c r="F3655" s="697" t="n"/>
      <c r="G3655" s="697" t="n"/>
      <c r="H3655" s="697" t="n"/>
      <c r="I3655" s="697" t="n"/>
      <c r="J3655" s="697" t="n"/>
      <c r="K3655" s="697" t="n"/>
      <c r="L3655" s="697" t="n"/>
      <c r="M3655" s="698" t="n"/>
    </row>
    <row r="3656">
      <c r="A3656" s="643" t="inlineStr">
        <is>
          <t>DATA</t>
        </is>
      </c>
      <c r="B3656" s="633" t="inlineStr">
        <is>
          <t>N.F.</t>
        </is>
      </c>
      <c r="C3656" s="633" t="inlineStr">
        <is>
          <t>TIPO</t>
        </is>
      </c>
      <c r="D3656" s="670" t="inlineStr">
        <is>
          <t>PREÇO UNITÁRIO</t>
        </is>
      </c>
      <c r="E3656" s="701" t="n"/>
      <c r="F3656" s="633" t="inlineStr">
        <is>
          <t>QUANTIDADE / KG</t>
        </is>
      </c>
      <c r="H3656" s="701" t="n"/>
      <c r="I3656" s="632" t="inlineStr">
        <is>
          <t>PREÇO</t>
        </is>
      </c>
      <c r="J3656" s="632" t="inlineStr">
        <is>
          <t>VALORES</t>
        </is>
      </c>
      <c r="L3656" s="701" t="n"/>
      <c r="M3656" s="649" t="n"/>
    </row>
    <row r="3657" ht="15.75" customHeight="1" s="436" thickBot="1">
      <c r="A3657" s="703" t="n"/>
      <c r="B3657" s="704" t="n"/>
      <c r="C3657" s="704" t="n"/>
      <c r="D3657" s="703" t="n"/>
      <c r="E3657" s="701" t="n"/>
      <c r="F3657" s="705" t="n"/>
      <c r="G3657" s="706" t="n"/>
      <c r="H3657" s="707" t="n"/>
      <c r="I3657" s="704" t="n"/>
      <c r="J3657" s="703" t="n"/>
      <c r="L3657" s="701" t="n"/>
      <c r="M3657" s="704" t="n"/>
    </row>
    <row r="3658" ht="15.75" customHeight="1" s="436" thickBot="1">
      <c r="A3658" s="703" t="n"/>
      <c r="B3658" s="704" t="n"/>
      <c r="C3658" s="704" t="n"/>
      <c r="D3658" s="705" t="n"/>
      <c r="E3658" s="707" t="n"/>
      <c r="F3658" s="3" t="inlineStr">
        <is>
          <t>ENTRADA</t>
        </is>
      </c>
      <c r="G3658" s="3" t="inlineStr">
        <is>
          <t>SAÍDA</t>
        </is>
      </c>
      <c r="H3658" s="640" t="n"/>
      <c r="I3658" s="633" t="inlineStr">
        <is>
          <t>MÉDIO</t>
        </is>
      </c>
      <c r="J3658" s="652" t="inlineStr">
        <is>
          <t>SALDO EM 30/11/2017</t>
        </is>
      </c>
      <c r="K3658" s="706" t="n"/>
      <c r="L3658" s="17" t="n"/>
      <c r="M3658" s="704" t="n"/>
    </row>
    <row r="3659" ht="18" customHeight="1" s="436" thickBot="1">
      <c r="A3659" s="705" t="n"/>
      <c r="B3659" s="695" t="n"/>
      <c r="C3659" s="695" t="n"/>
      <c r="D3659" s="3" t="inlineStr">
        <is>
          <t>C/ICMS</t>
        </is>
      </c>
      <c r="E3659" s="3" t="inlineStr">
        <is>
          <t>S/ICMS</t>
        </is>
      </c>
      <c r="F3659" s="695" t="n"/>
      <c r="G3659" s="695" t="n"/>
      <c r="H3659" s="84" t="inlineStr">
        <is>
          <t>Saldo em 31/03/2022</t>
        </is>
      </c>
      <c r="I3659" s="695" t="n"/>
      <c r="J3659" s="645" t="inlineStr">
        <is>
          <t>ENTRADA</t>
        </is>
      </c>
      <c r="K3659" s="633" t="inlineStr">
        <is>
          <t>SAÍDA / CMV</t>
        </is>
      </c>
      <c r="L3659" s="643" t="inlineStr">
        <is>
          <t>SALDO</t>
        </is>
      </c>
      <c r="M3659" s="392" t="n"/>
    </row>
    <row r="3660">
      <c r="A3660" s="392" t="n"/>
      <c r="B3660" s="392" t="n"/>
      <c r="C3660" s="392" t="n"/>
      <c r="D3660" s="392" t="n"/>
      <c r="E3660" s="392" t="n"/>
      <c r="F3660" s="392" t="n"/>
      <c r="G3660" s="392" t="n"/>
      <c r="H3660" s="446" t="n">
        <v>3118</v>
      </c>
      <c r="I3660" s="392" t="n"/>
      <c r="J3660" s="392" t="n"/>
      <c r="K3660" s="392" t="n"/>
      <c r="L3660" s="392" t="n"/>
      <c r="M3660" s="392" t="n"/>
    </row>
    <row r="3661">
      <c r="A3661" s="568" t="n">
        <v>45021</v>
      </c>
      <c r="B3661" s="392" t="n">
        <v>10042</v>
      </c>
      <c r="C3661" s="392" t="n">
        <v>100</v>
      </c>
      <c r="D3661" s="392" t="n"/>
      <c r="E3661" s="392" t="n"/>
      <c r="F3661" s="392" t="n"/>
      <c r="G3661" s="392" t="n">
        <v>15</v>
      </c>
      <c r="H3661" s="446">
        <f>H3660-G3661</f>
        <v/>
      </c>
      <c r="I3661" s="392" t="n"/>
      <c r="J3661" s="392" t="n"/>
      <c r="K3661" s="392" t="n"/>
      <c r="L3661" s="392" t="n"/>
      <c r="M3661" s="392" t="n"/>
    </row>
    <row r="3662">
      <c r="A3662" s="568" t="n">
        <v>45021</v>
      </c>
      <c r="B3662" s="392" t="n">
        <v>10043</v>
      </c>
      <c r="C3662" s="392" t="n">
        <v>99</v>
      </c>
      <c r="D3662" s="392" t="n"/>
      <c r="E3662" s="392" t="n"/>
      <c r="F3662" s="392" t="n"/>
      <c r="G3662" s="392" t="n">
        <v>50</v>
      </c>
      <c r="H3662" s="446">
        <f>H3661-G3662</f>
        <v/>
      </c>
      <c r="I3662" s="392" t="n"/>
      <c r="J3662" s="392" t="n"/>
      <c r="K3662" s="392" t="n"/>
      <c r="L3662" s="392" t="n"/>
      <c r="M3662" s="392" t="n"/>
    </row>
    <row r="3663">
      <c r="A3663" s="568" t="n">
        <v>45021</v>
      </c>
      <c r="B3663" s="392" t="n">
        <v>10047</v>
      </c>
      <c r="C3663" s="392" t="n">
        <v>100</v>
      </c>
      <c r="D3663" s="392" t="n"/>
      <c r="E3663" s="392" t="n"/>
      <c r="F3663" s="392" t="n"/>
      <c r="G3663" s="392" t="n">
        <v>50</v>
      </c>
      <c r="H3663" s="446">
        <f>H3662-G3663</f>
        <v/>
      </c>
      <c r="I3663" s="392" t="n"/>
      <c r="J3663" s="392" t="n"/>
      <c r="K3663" s="392" t="n"/>
      <c r="L3663" s="392" t="n"/>
      <c r="M3663" s="392" t="n"/>
    </row>
    <row r="3664">
      <c r="A3664" s="568" t="n">
        <v>45021</v>
      </c>
      <c r="B3664" s="392" t="n">
        <v>10048</v>
      </c>
      <c r="C3664" s="392" t="n">
        <v>110</v>
      </c>
      <c r="D3664" s="392" t="n"/>
      <c r="E3664" s="392" t="n"/>
      <c r="F3664" s="392" t="n"/>
      <c r="G3664" s="392" t="n">
        <v>20</v>
      </c>
      <c r="H3664" s="446">
        <f>H3663-G3664</f>
        <v/>
      </c>
      <c r="I3664" s="392" t="n"/>
      <c r="J3664" s="392" t="n"/>
      <c r="K3664" s="392" t="n"/>
      <c r="L3664" s="392" t="n"/>
      <c r="M3664" s="392" t="n"/>
    </row>
    <row r="3665">
      <c r="A3665" s="568" t="n">
        <v>45021</v>
      </c>
      <c r="B3665" s="392" t="n">
        <v>10052</v>
      </c>
      <c r="C3665" s="392" t="n">
        <v>102</v>
      </c>
      <c r="D3665" s="392" t="n"/>
      <c r="E3665" s="392" t="n"/>
      <c r="F3665" s="392" t="n"/>
      <c r="G3665" s="392" t="n">
        <v>20</v>
      </c>
      <c r="H3665" s="446">
        <f>H3664-G3665</f>
        <v/>
      </c>
      <c r="I3665" s="392" t="n"/>
      <c r="J3665" s="392" t="n"/>
      <c r="K3665" s="392" t="n"/>
      <c r="L3665" s="392" t="n"/>
      <c r="M3665" s="392" t="n"/>
    </row>
    <row r="3666">
      <c r="A3666" s="568" t="n">
        <v>45026</v>
      </c>
      <c r="B3666" s="392" t="n">
        <v>10055</v>
      </c>
      <c r="C3666" s="392" t="n">
        <v>110</v>
      </c>
      <c r="D3666" s="392" t="n"/>
      <c r="E3666" s="392" t="n"/>
      <c r="F3666" s="392" t="n"/>
      <c r="G3666" s="392" t="n">
        <v>20</v>
      </c>
      <c r="H3666" s="446">
        <f>H3665-G3666</f>
        <v/>
      </c>
      <c r="I3666" s="392" t="n"/>
      <c r="J3666" s="392" t="n"/>
      <c r="K3666" s="392" t="n"/>
      <c r="L3666" s="392" t="n"/>
      <c r="M3666" s="392" t="n"/>
    </row>
    <row r="3667">
      <c r="A3667" s="568" t="n">
        <v>45026</v>
      </c>
      <c r="B3667" s="392" t="n">
        <v>10058</v>
      </c>
      <c r="C3667" s="392" t="n">
        <v>99</v>
      </c>
      <c r="D3667" s="392" t="n"/>
      <c r="E3667" s="392" t="n"/>
      <c r="F3667" s="392" t="n"/>
      <c r="G3667" s="392" t="n">
        <v>200</v>
      </c>
      <c r="H3667" s="446">
        <f>H3666-G3667</f>
        <v/>
      </c>
      <c r="I3667" s="392" t="n"/>
      <c r="J3667" s="392" t="n"/>
      <c r="K3667" s="392" t="n"/>
      <c r="L3667" s="392" t="n"/>
      <c r="M3667" s="392" t="n"/>
    </row>
    <row r="3668">
      <c r="A3668" s="568" t="n">
        <v>45026</v>
      </c>
      <c r="B3668" s="392" t="n">
        <v>10060</v>
      </c>
      <c r="C3668" s="392" t="n">
        <v>105</v>
      </c>
      <c r="D3668" s="392" t="n"/>
      <c r="E3668" s="392" t="n"/>
      <c r="F3668" s="392" t="n"/>
      <c r="G3668" s="392" t="n">
        <v>10</v>
      </c>
      <c r="H3668" s="446">
        <f>H3667-G3668</f>
        <v/>
      </c>
      <c r="I3668" s="392" t="n"/>
      <c r="J3668" s="392" t="n"/>
      <c r="K3668" s="392" t="n"/>
      <c r="L3668" s="392" t="n"/>
      <c r="M3668" s="392" t="n"/>
    </row>
    <row r="3669">
      <c r="A3669" s="568" t="n">
        <v>45028</v>
      </c>
      <c r="B3669" s="392" t="n">
        <v>10062</v>
      </c>
      <c r="C3669" s="392" t="n">
        <v>102</v>
      </c>
      <c r="D3669" s="392" t="n"/>
      <c r="E3669" s="392" t="n"/>
      <c r="F3669" s="392" t="n"/>
      <c r="G3669" s="392" t="n">
        <v>30</v>
      </c>
      <c r="H3669" s="446">
        <f>H3668-G3669</f>
        <v/>
      </c>
      <c r="I3669" s="392" t="n"/>
      <c r="J3669" s="392" t="n"/>
      <c r="K3669" s="392" t="n"/>
      <c r="L3669" s="392" t="n"/>
      <c r="M3669" s="392" t="n"/>
    </row>
    <row r="3670">
      <c r="A3670" s="568" t="n">
        <v>45028</v>
      </c>
      <c r="B3670" s="392" t="n">
        <v>10063</v>
      </c>
      <c r="C3670" s="392" t="n">
        <v>110</v>
      </c>
      <c r="D3670" s="392" t="n"/>
      <c r="E3670" s="392" t="n"/>
      <c r="F3670" s="392" t="n"/>
      <c r="G3670" s="392" t="n">
        <v>20</v>
      </c>
      <c r="H3670" s="446">
        <f>H3669-G3670</f>
        <v/>
      </c>
      <c r="I3670" s="392" t="n"/>
      <c r="J3670" s="392" t="n"/>
      <c r="K3670" s="392" t="n"/>
      <c r="L3670" s="392" t="n"/>
      <c r="M3670" s="392" t="n"/>
    </row>
    <row r="3671">
      <c r="A3671" s="568" t="n">
        <v>45028</v>
      </c>
      <c r="B3671" s="392" t="n">
        <v>10064</v>
      </c>
      <c r="C3671" s="392" t="n">
        <v>110</v>
      </c>
      <c r="D3671" s="392" t="n"/>
      <c r="E3671" s="392" t="n"/>
      <c r="F3671" s="392" t="n"/>
      <c r="G3671" s="392" t="n">
        <v>20</v>
      </c>
      <c r="H3671" s="446">
        <f>H3670-G3671</f>
        <v/>
      </c>
      <c r="I3671" s="392" t="n"/>
      <c r="J3671" s="392" t="n"/>
      <c r="K3671" s="392" t="n"/>
      <c r="L3671" s="392" t="n"/>
      <c r="M3671" s="392" t="n"/>
    </row>
    <row r="3672">
      <c r="A3672" s="568" t="n">
        <v>45028</v>
      </c>
      <c r="B3672" s="392" t="n">
        <v>10068</v>
      </c>
      <c r="C3672" s="392" t="n">
        <v>100</v>
      </c>
      <c r="D3672" s="392" t="n"/>
      <c r="E3672" s="392" t="n"/>
      <c r="F3672" s="392" t="n"/>
      <c r="G3672" s="392" t="n">
        <v>30</v>
      </c>
      <c r="H3672" s="446">
        <f>H3671-G3672</f>
        <v/>
      </c>
      <c r="I3672" s="392" t="n"/>
      <c r="J3672" s="392" t="n"/>
      <c r="K3672" s="392" t="n"/>
      <c r="L3672" s="392" t="n"/>
      <c r="M3672" s="392" t="n"/>
    </row>
    <row r="3673">
      <c r="A3673" s="568" t="n">
        <v>45028</v>
      </c>
      <c r="B3673" s="392" t="n">
        <v>10071</v>
      </c>
      <c r="C3673" s="392" t="n">
        <v>102</v>
      </c>
      <c r="D3673" s="392" t="n"/>
      <c r="E3673" s="392" t="n"/>
      <c r="F3673" s="392" t="n"/>
      <c r="G3673" s="392" t="n">
        <v>25</v>
      </c>
      <c r="H3673" s="446">
        <f>H3672-G3673</f>
        <v/>
      </c>
      <c r="I3673" s="392" t="n"/>
      <c r="J3673" s="392" t="n"/>
      <c r="K3673" s="392" t="n"/>
      <c r="L3673" s="392" t="n"/>
      <c r="M3673" s="392" t="n"/>
    </row>
    <row r="3674">
      <c r="A3674" s="568" t="n">
        <v>45028</v>
      </c>
      <c r="B3674" s="392" t="n">
        <v>10072</v>
      </c>
      <c r="C3674" s="392" t="n">
        <v>102</v>
      </c>
      <c r="D3674" s="392" t="n"/>
      <c r="E3674" s="392" t="n"/>
      <c r="F3674" s="392" t="n"/>
      <c r="G3674" s="392" t="n">
        <v>30</v>
      </c>
      <c r="H3674" s="446">
        <f>H3673-G3674</f>
        <v/>
      </c>
      <c r="I3674" s="392" t="n"/>
      <c r="J3674" s="392" t="n"/>
      <c r="K3674" s="392" t="n"/>
      <c r="L3674" s="392" t="n"/>
      <c r="M3674" s="392" t="n"/>
    </row>
    <row r="3675">
      <c r="A3675" s="568" t="n">
        <v>45028</v>
      </c>
      <c r="B3675" s="392" t="n">
        <v>10074</v>
      </c>
      <c r="C3675" s="392" t="n">
        <v>107</v>
      </c>
      <c r="D3675" s="392" t="n"/>
      <c r="E3675" s="392" t="n"/>
      <c r="F3675" s="392" t="n"/>
      <c r="G3675" s="392" t="n">
        <v>80</v>
      </c>
      <c r="H3675" s="446">
        <f>H3674-G3675</f>
        <v/>
      </c>
      <c r="I3675" s="392" t="n"/>
      <c r="J3675" s="392" t="n"/>
      <c r="K3675" s="392" t="n"/>
      <c r="L3675" s="392" t="n"/>
      <c r="M3675" s="392" t="n"/>
    </row>
    <row r="3676">
      <c r="A3676" s="304" t="n">
        <v>45033</v>
      </c>
      <c r="B3676" s="401" t="n">
        <v>214771</v>
      </c>
      <c r="C3676" s="401" t="n">
        <v>85.5</v>
      </c>
      <c r="D3676" s="401" t="n"/>
      <c r="E3676" s="401" t="n"/>
      <c r="F3676" s="401" t="n">
        <v>100</v>
      </c>
      <c r="G3676" s="401" t="n"/>
      <c r="H3676" s="322" t="n">
        <v>2598</v>
      </c>
      <c r="I3676" s="392" t="n"/>
      <c r="J3676" s="392" t="n"/>
      <c r="K3676" s="392" t="n"/>
      <c r="L3676" s="392" t="n"/>
      <c r="M3676" s="392" t="n"/>
    </row>
    <row r="3677">
      <c r="A3677" s="304" t="n">
        <v>45033</v>
      </c>
      <c r="B3677" s="401" t="n">
        <v>214771</v>
      </c>
      <c r="C3677" s="401" t="n">
        <v>84.40000000000001</v>
      </c>
      <c r="D3677" s="401" t="n"/>
      <c r="E3677" s="401" t="n"/>
      <c r="F3677" s="401" t="n">
        <v>100</v>
      </c>
      <c r="G3677" s="401" t="n"/>
      <c r="H3677" s="322" t="n">
        <v>2698</v>
      </c>
      <c r="I3677" s="392" t="n"/>
      <c r="J3677" s="392" t="n"/>
      <c r="K3677" s="392" t="n"/>
      <c r="L3677" s="392" t="n"/>
      <c r="M3677" s="392" t="n"/>
    </row>
    <row r="3678">
      <c r="A3678" s="568" t="n">
        <v>45035</v>
      </c>
      <c r="B3678" s="392" t="n">
        <v>10080</v>
      </c>
      <c r="C3678" s="392" t="n">
        <v>101</v>
      </c>
      <c r="D3678" s="392" t="n"/>
      <c r="E3678" s="392" t="n"/>
      <c r="F3678" s="392" t="n"/>
      <c r="G3678" s="392" t="n">
        <v>20</v>
      </c>
      <c r="H3678" s="446">
        <f>H3677-G3678</f>
        <v/>
      </c>
      <c r="I3678" s="392" t="n"/>
      <c r="J3678" s="392" t="n"/>
      <c r="K3678" s="392" t="n"/>
      <c r="L3678" s="392" t="n"/>
      <c r="M3678" s="392" t="n"/>
    </row>
    <row r="3679">
      <c r="A3679" s="568" t="n">
        <v>45035</v>
      </c>
      <c r="B3679" s="392" t="n">
        <v>10081</v>
      </c>
      <c r="C3679" s="392" t="n">
        <v>110</v>
      </c>
      <c r="D3679" s="392" t="n"/>
      <c r="E3679" s="392" t="n"/>
      <c r="F3679" s="392" t="n"/>
      <c r="G3679" s="392" t="n">
        <v>20</v>
      </c>
      <c r="H3679" s="446">
        <f>H3678-G3679</f>
        <v/>
      </c>
      <c r="I3679" s="392" t="n"/>
      <c r="J3679" s="392" t="n"/>
      <c r="K3679" s="392" t="n"/>
      <c r="L3679" s="392" t="n"/>
      <c r="M3679" s="392" t="n"/>
    </row>
    <row r="3680">
      <c r="A3680" s="568" t="n">
        <v>45035</v>
      </c>
      <c r="B3680" s="392" t="n">
        <v>10082</v>
      </c>
      <c r="C3680" s="392" t="n">
        <v>100</v>
      </c>
      <c r="D3680" s="392" t="n"/>
      <c r="E3680" s="392" t="n"/>
      <c r="F3680" s="392" t="n"/>
      <c r="G3680" s="392" t="n">
        <v>30</v>
      </c>
      <c r="H3680" s="446">
        <f>H3679-G3680</f>
        <v/>
      </c>
      <c r="I3680" s="392" t="n"/>
      <c r="J3680" s="392" t="n"/>
      <c r="K3680" s="392" t="n"/>
      <c r="L3680" s="392" t="n"/>
      <c r="M3680" s="392" t="n"/>
    </row>
    <row r="3681">
      <c r="A3681" s="568" t="n">
        <v>45035</v>
      </c>
      <c r="B3681" s="392" t="n">
        <v>10084</v>
      </c>
      <c r="C3681" s="392" t="n">
        <v>102.6</v>
      </c>
      <c r="D3681" s="392" t="n"/>
      <c r="E3681" s="392" t="n"/>
      <c r="F3681" s="392" t="n"/>
      <c r="G3681" s="392" t="n">
        <v>20</v>
      </c>
      <c r="H3681" s="446">
        <f>H3680-G3681</f>
        <v/>
      </c>
      <c r="I3681" s="392" t="n"/>
      <c r="J3681" s="392" t="n"/>
      <c r="K3681" s="392" t="n"/>
      <c r="L3681" s="392" t="n"/>
      <c r="M3681" s="392" t="n"/>
    </row>
    <row r="3682">
      <c r="A3682" s="568" t="n">
        <v>45035</v>
      </c>
      <c r="B3682" s="392" t="n">
        <v>10085</v>
      </c>
      <c r="C3682" s="392" t="n">
        <v>100</v>
      </c>
      <c r="D3682" s="392" t="n"/>
      <c r="E3682" s="392" t="n"/>
      <c r="F3682" s="392" t="n"/>
      <c r="G3682" s="392" t="n">
        <v>50</v>
      </c>
      <c r="H3682" s="446">
        <f>H3681-G3682</f>
        <v/>
      </c>
      <c r="I3682" s="392" t="n"/>
      <c r="J3682" s="392" t="n"/>
      <c r="K3682" s="392" t="n"/>
      <c r="L3682" s="392" t="n"/>
      <c r="M3682" s="392" t="n"/>
    </row>
    <row r="3683">
      <c r="A3683" s="568" t="n">
        <v>45036</v>
      </c>
      <c r="B3683" s="392" t="n">
        <v>10087</v>
      </c>
      <c r="C3683" s="392" t="n">
        <v>102</v>
      </c>
      <c r="D3683" s="392" t="n"/>
      <c r="E3683" s="392" t="n"/>
      <c r="F3683" s="392" t="n"/>
      <c r="G3683" s="392" t="n">
        <v>10</v>
      </c>
      <c r="H3683" s="446">
        <f>H3682-G3683</f>
        <v/>
      </c>
      <c r="I3683" s="392" t="n"/>
      <c r="J3683" s="392" t="n"/>
      <c r="K3683" s="392" t="n"/>
      <c r="L3683" s="392" t="n"/>
      <c r="M3683" s="392" t="n"/>
    </row>
    <row r="3684">
      <c r="A3684" s="568" t="n">
        <v>45036</v>
      </c>
      <c r="B3684" s="392" t="n">
        <v>10088</v>
      </c>
      <c r="C3684" s="392" t="n">
        <v>107</v>
      </c>
      <c r="D3684" s="392" t="n"/>
      <c r="E3684" s="392" t="n"/>
      <c r="F3684" s="392" t="n"/>
      <c r="G3684" s="392" t="n">
        <v>70</v>
      </c>
      <c r="H3684" s="446">
        <f>H3683-G3684</f>
        <v/>
      </c>
      <c r="I3684" s="392" t="n"/>
      <c r="J3684" s="392" t="n"/>
      <c r="K3684" s="392" t="n"/>
      <c r="L3684" s="392" t="n"/>
      <c r="M3684" s="392" t="n"/>
    </row>
    <row r="3685">
      <c r="A3685" s="568" t="n">
        <v>45041</v>
      </c>
      <c r="B3685" s="392" t="n">
        <v>10091</v>
      </c>
      <c r="C3685" s="392" t="n">
        <v>95.5</v>
      </c>
      <c r="D3685" s="392" t="n"/>
      <c r="E3685" s="392" t="n"/>
      <c r="F3685" s="392" t="n"/>
      <c r="G3685" s="392" t="n">
        <v>50</v>
      </c>
      <c r="H3685" s="446">
        <f>H3684-G3685</f>
        <v/>
      </c>
      <c r="I3685" s="392" t="n"/>
      <c r="J3685" s="392" t="n"/>
      <c r="K3685" s="392" t="n"/>
      <c r="L3685" s="392" t="n"/>
      <c r="M3685" s="392" t="n"/>
    </row>
    <row r="3686">
      <c r="A3686" s="568" t="n">
        <v>45041</v>
      </c>
      <c r="B3686" s="392" t="n">
        <v>10092</v>
      </c>
      <c r="C3686" s="392" t="n">
        <v>105</v>
      </c>
      <c r="D3686" s="392" t="n"/>
      <c r="E3686" s="392" t="n"/>
      <c r="F3686" s="392" t="n"/>
      <c r="G3686" s="392" t="n">
        <v>100</v>
      </c>
      <c r="H3686" s="446">
        <f>H3685-G3686</f>
        <v/>
      </c>
      <c r="I3686" s="392" t="n"/>
      <c r="J3686" s="392" t="n"/>
      <c r="K3686" s="392" t="n"/>
      <c r="L3686" s="392" t="n"/>
      <c r="M3686" s="392" t="n"/>
    </row>
    <row r="3687">
      <c r="A3687" s="568" t="n">
        <v>45041</v>
      </c>
      <c r="B3687" s="392" t="n">
        <v>10093</v>
      </c>
      <c r="C3687" s="392" t="n">
        <v>102</v>
      </c>
      <c r="D3687" s="392" t="n"/>
      <c r="E3687" s="392" t="n"/>
      <c r="F3687" s="392" t="n"/>
      <c r="G3687" s="392" t="n">
        <v>15</v>
      </c>
      <c r="H3687" s="446">
        <f>H3686-G3687</f>
        <v/>
      </c>
      <c r="I3687" s="392" t="n"/>
      <c r="J3687" s="392" t="n"/>
      <c r="K3687" s="392" t="n"/>
      <c r="L3687" s="392" t="n"/>
      <c r="M3687" s="392" t="n"/>
    </row>
    <row r="3688">
      <c r="A3688" s="568" t="n">
        <v>45041</v>
      </c>
      <c r="B3688" s="392" t="n">
        <v>10095</v>
      </c>
      <c r="C3688" s="392" t="n">
        <v>110</v>
      </c>
      <c r="D3688" s="392" t="n"/>
      <c r="E3688" s="392" t="n"/>
      <c r="F3688" s="392" t="n"/>
      <c r="G3688" s="392" t="n">
        <v>15</v>
      </c>
      <c r="H3688" s="446">
        <f>H3687-G3688</f>
        <v/>
      </c>
      <c r="I3688" s="392" t="n"/>
      <c r="J3688" s="392" t="n"/>
      <c r="K3688" s="392" t="n"/>
      <c r="L3688" s="392" t="n"/>
      <c r="M3688" s="392" t="n"/>
    </row>
    <row r="3689">
      <c r="A3689" s="568" t="n">
        <v>45041</v>
      </c>
      <c r="B3689" s="392" t="n">
        <v>10097</v>
      </c>
      <c r="C3689" s="392" t="n">
        <v>110</v>
      </c>
      <c r="D3689" s="392" t="n"/>
      <c r="E3689" s="392" t="n"/>
      <c r="F3689" s="392" t="n"/>
      <c r="G3689" s="392" t="n">
        <v>20</v>
      </c>
      <c r="H3689" s="446">
        <f>H3688-G3689</f>
        <v/>
      </c>
      <c r="I3689" s="392" t="n"/>
      <c r="J3689" s="392" t="n"/>
      <c r="K3689" s="392" t="n"/>
      <c r="L3689" s="392" t="n"/>
      <c r="M3689" s="392" t="n"/>
    </row>
    <row r="3690">
      <c r="A3690" s="568" t="n">
        <v>45041</v>
      </c>
      <c r="B3690" s="392" t="n">
        <v>10098</v>
      </c>
      <c r="C3690" s="392" t="n">
        <v>99</v>
      </c>
      <c r="D3690" s="392" t="n"/>
      <c r="E3690" s="392" t="n"/>
      <c r="F3690" s="392" t="n"/>
      <c r="G3690" s="392" t="n">
        <v>50</v>
      </c>
      <c r="H3690" s="446">
        <f>H3689-G3690</f>
        <v/>
      </c>
      <c r="I3690" s="392" t="n"/>
      <c r="J3690" s="392" t="n"/>
      <c r="K3690" s="392" t="n"/>
      <c r="L3690" s="392" t="n"/>
      <c r="M3690" s="392" t="n"/>
    </row>
    <row r="3691">
      <c r="A3691" s="568" t="n">
        <v>45041</v>
      </c>
      <c r="B3691" s="392" t="n">
        <v>10099</v>
      </c>
      <c r="C3691" s="392" t="n">
        <v>97</v>
      </c>
      <c r="D3691" s="392" t="n"/>
      <c r="E3691" s="392" t="n"/>
      <c r="F3691" s="392" t="n"/>
      <c r="G3691" s="392" t="n">
        <v>30</v>
      </c>
      <c r="H3691" s="446">
        <f>H3690-G3691</f>
        <v/>
      </c>
      <c r="I3691" s="392" t="n"/>
      <c r="J3691" s="392" t="n"/>
      <c r="K3691" s="392" t="n"/>
      <c r="L3691" s="392" t="n"/>
      <c r="M3691" s="392" t="n"/>
    </row>
    <row r="3692">
      <c r="A3692" s="568" t="n">
        <v>45041</v>
      </c>
      <c r="B3692" s="392" t="n">
        <v>10100</v>
      </c>
      <c r="C3692" s="392" t="n">
        <v>100</v>
      </c>
      <c r="D3692" s="392" t="n"/>
      <c r="E3692" s="392" t="n"/>
      <c r="F3692" s="392" t="n"/>
      <c r="G3692" s="392" t="n">
        <v>30</v>
      </c>
      <c r="H3692" s="446">
        <f>H3691-G3692</f>
        <v/>
      </c>
      <c r="I3692" s="392" t="n"/>
      <c r="J3692" s="392" t="n"/>
      <c r="K3692" s="392" t="n"/>
      <c r="L3692" s="392" t="n"/>
      <c r="M3692" s="392" t="n"/>
    </row>
    <row r="3693">
      <c r="A3693" s="568" t="n">
        <v>45041</v>
      </c>
      <c r="B3693" s="392" t="n">
        <v>10102</v>
      </c>
      <c r="C3693" s="392" t="n">
        <v>100</v>
      </c>
      <c r="D3693" s="392" t="n"/>
      <c r="E3693" s="392" t="n"/>
      <c r="F3693" s="392" t="n"/>
      <c r="G3693" s="392" t="n">
        <v>30</v>
      </c>
      <c r="H3693" s="446">
        <f>H3692-G3693</f>
        <v/>
      </c>
      <c r="I3693" s="392" t="n"/>
      <c r="J3693" s="392" t="n"/>
      <c r="K3693" s="392" t="n"/>
      <c r="L3693" s="392" t="n"/>
      <c r="M3693" s="392" t="n"/>
    </row>
    <row r="3694">
      <c r="A3694" s="568" t="n">
        <v>45042</v>
      </c>
      <c r="B3694" s="392" t="n">
        <v>10105</v>
      </c>
      <c r="C3694" s="392" t="n">
        <v>100</v>
      </c>
      <c r="D3694" s="392" t="n"/>
      <c r="E3694" s="392" t="n"/>
      <c r="F3694" s="392" t="n"/>
      <c r="G3694" s="392" t="n">
        <v>10</v>
      </c>
      <c r="H3694" s="446">
        <f>H3693-G3694</f>
        <v/>
      </c>
      <c r="I3694" s="392" t="n"/>
      <c r="J3694" s="392" t="n"/>
      <c r="K3694" s="392" t="n"/>
      <c r="L3694" s="392" t="n"/>
      <c r="M3694" s="392" t="n"/>
    </row>
    <row r="3695">
      <c r="A3695" s="334" t="n">
        <v>45045</v>
      </c>
      <c r="B3695" s="401" t="n">
        <v>30742</v>
      </c>
      <c r="C3695" s="401" t="n">
        <v>81</v>
      </c>
      <c r="D3695" s="401" t="n"/>
      <c r="E3695" s="401" t="n"/>
      <c r="F3695" s="401" t="n">
        <v>1120</v>
      </c>
      <c r="G3695" s="401" t="n"/>
      <c r="H3695" s="322" t="n">
        <v>3248</v>
      </c>
      <c r="I3695" s="392" t="n"/>
      <c r="J3695" s="392" t="n"/>
      <c r="K3695" s="392" t="n"/>
      <c r="L3695" s="392" t="n"/>
      <c r="M3695" s="392" t="n"/>
    </row>
    <row r="3696" ht="15.75" customHeight="1" s="436" thickBot="1">
      <c r="H3696" s="390" t="n"/>
    </row>
    <row r="3697" ht="32.25" customHeight="1" s="436" thickBot="1">
      <c r="A3697" s="735" t="inlineStr">
        <is>
          <t>Maio</t>
        </is>
      </c>
      <c r="B3697" s="697" t="n"/>
      <c r="C3697" s="697" t="n"/>
      <c r="D3697" s="697" t="n"/>
      <c r="E3697" s="697" t="n"/>
      <c r="F3697" s="697" t="n"/>
      <c r="G3697" s="697" t="n"/>
      <c r="H3697" s="697" t="n"/>
      <c r="I3697" s="697" t="n"/>
      <c r="J3697" s="697" t="n"/>
      <c r="K3697" s="697" t="n"/>
      <c r="L3697" s="697" t="n"/>
      <c r="M3697" s="698" t="n"/>
    </row>
    <row r="3698" ht="27" customHeight="1" s="436" thickBot="1">
      <c r="A3698" s="720" t="inlineStr">
        <is>
          <t xml:space="preserve"> FARINHA DE TRIGO TIPO: 1 - 25 KG</t>
        </is>
      </c>
      <c r="B3698" s="697" t="n"/>
      <c r="C3698" s="697" t="n"/>
      <c r="D3698" s="697" t="n"/>
      <c r="E3698" s="697" t="n"/>
      <c r="F3698" s="697" t="n"/>
      <c r="G3698" s="697" t="n"/>
      <c r="H3698" s="697" t="n"/>
      <c r="I3698" s="697" t="n"/>
      <c r="J3698" s="697" t="n"/>
      <c r="K3698" s="697" t="n"/>
      <c r="L3698" s="697" t="n"/>
      <c r="M3698" s="698" t="n"/>
    </row>
    <row r="3699">
      <c r="A3699" s="643" t="inlineStr">
        <is>
          <t>DATA</t>
        </is>
      </c>
      <c r="B3699" s="633" t="inlineStr">
        <is>
          <t>N.F.</t>
        </is>
      </c>
      <c r="C3699" s="633" t="inlineStr">
        <is>
          <t>TIPO</t>
        </is>
      </c>
      <c r="D3699" s="670" t="inlineStr">
        <is>
          <t>PREÇO UNITÁRIO</t>
        </is>
      </c>
      <c r="E3699" s="701" t="n"/>
      <c r="F3699" s="633" t="inlineStr">
        <is>
          <t>QUANTIDADE / KG</t>
        </is>
      </c>
      <c r="H3699" s="701" t="n"/>
      <c r="I3699" s="632" t="inlineStr">
        <is>
          <t>PREÇO</t>
        </is>
      </c>
      <c r="J3699" s="632" t="inlineStr">
        <is>
          <t>VALORES</t>
        </is>
      </c>
      <c r="L3699" s="701" t="n"/>
      <c r="M3699" s="649" t="n"/>
    </row>
    <row r="3700" ht="15.75" customHeight="1" s="436" thickBot="1">
      <c r="A3700" s="703" t="n"/>
      <c r="B3700" s="704" t="n"/>
      <c r="C3700" s="704" t="n"/>
      <c r="D3700" s="703" t="n"/>
      <c r="E3700" s="701" t="n"/>
      <c r="F3700" s="705" t="n"/>
      <c r="G3700" s="706" t="n"/>
      <c r="H3700" s="707" t="n"/>
      <c r="I3700" s="704" t="n"/>
      <c r="J3700" s="703" t="n"/>
      <c r="L3700" s="701" t="n"/>
      <c r="M3700" s="704" t="n"/>
    </row>
    <row r="3701" ht="15.75" customHeight="1" s="436" thickBot="1">
      <c r="A3701" s="703" t="n"/>
      <c r="B3701" s="704" t="n"/>
      <c r="C3701" s="704" t="n"/>
      <c r="D3701" s="705" t="n"/>
      <c r="E3701" s="707" t="n"/>
      <c r="F3701" s="3" t="inlineStr">
        <is>
          <t>ENTRADA</t>
        </is>
      </c>
      <c r="G3701" s="3" t="inlineStr">
        <is>
          <t>SAÍDA</t>
        </is>
      </c>
      <c r="H3701" s="640" t="n"/>
      <c r="I3701" s="633" t="inlineStr">
        <is>
          <t>MÉDIO</t>
        </is>
      </c>
      <c r="J3701" s="652" t="inlineStr">
        <is>
          <t>SALDO EM 30/11/2017</t>
        </is>
      </c>
      <c r="K3701" s="706" t="n"/>
      <c r="L3701" s="17" t="n"/>
      <c r="M3701" s="704" t="n"/>
    </row>
    <row r="3702" ht="18" customHeight="1" s="436" thickBot="1">
      <c r="A3702" s="705" t="n"/>
      <c r="B3702" s="695" t="n"/>
      <c r="C3702" s="695" t="n"/>
      <c r="D3702" s="3" t="inlineStr">
        <is>
          <t>C/ICMS</t>
        </is>
      </c>
      <c r="E3702" s="3" t="inlineStr">
        <is>
          <t>S/ICMS</t>
        </is>
      </c>
      <c r="F3702" s="695" t="n"/>
      <c r="G3702" s="695" t="n"/>
      <c r="H3702" s="84" t="inlineStr">
        <is>
          <t>Saldo em 31/04/2022</t>
        </is>
      </c>
      <c r="I3702" s="695" t="n"/>
      <c r="J3702" s="645" t="inlineStr">
        <is>
          <t>ENTRADA</t>
        </is>
      </c>
      <c r="K3702" s="633" t="inlineStr">
        <is>
          <t>SAÍDA / CMV</t>
        </is>
      </c>
      <c r="L3702" s="643" t="inlineStr">
        <is>
          <t>SALDO</t>
        </is>
      </c>
      <c r="M3702" s="392" t="n"/>
    </row>
    <row r="3703">
      <c r="A3703" s="392" t="n"/>
      <c r="B3703" s="392" t="n"/>
      <c r="C3703" s="392" t="n"/>
      <c r="D3703" s="392" t="n"/>
      <c r="E3703" s="392" t="n"/>
      <c r="F3703" s="392" t="n"/>
      <c r="G3703" s="392" t="n"/>
      <c r="H3703" s="446" t="n">
        <v>3248</v>
      </c>
      <c r="I3703" s="392" t="n"/>
      <c r="J3703" s="392" t="n"/>
      <c r="K3703" s="392" t="n"/>
      <c r="L3703" s="392" t="n"/>
      <c r="M3703" s="392" t="n"/>
    </row>
    <row r="3704">
      <c r="A3704" s="568" t="n">
        <v>45049</v>
      </c>
      <c r="B3704" s="392" t="n">
        <v>10106</v>
      </c>
      <c r="C3704" s="392" t="n">
        <v>100</v>
      </c>
      <c r="D3704" s="392" t="n"/>
      <c r="E3704" s="392" t="n"/>
      <c r="F3704" s="392" t="n"/>
      <c r="G3704" s="392" t="n">
        <v>30</v>
      </c>
      <c r="H3704" s="446">
        <f>H3703-G3704</f>
        <v/>
      </c>
      <c r="I3704" s="392" t="n"/>
      <c r="J3704" s="392" t="n"/>
      <c r="K3704" s="392" t="n"/>
      <c r="L3704" s="392" t="n"/>
      <c r="M3704" s="392" t="n"/>
    </row>
    <row r="3705">
      <c r="A3705" s="568" t="n">
        <v>45049</v>
      </c>
      <c r="B3705" s="392" t="n">
        <v>10108</v>
      </c>
      <c r="C3705" s="392" t="n">
        <v>107</v>
      </c>
      <c r="D3705" s="392" t="n"/>
      <c r="E3705" s="392" t="n"/>
      <c r="F3705" s="392" t="n"/>
      <c r="G3705" s="392" t="n">
        <v>20</v>
      </c>
      <c r="H3705" s="446">
        <f>H3704-G3705</f>
        <v/>
      </c>
      <c r="I3705" s="392" t="n"/>
      <c r="J3705" s="392" t="n"/>
      <c r="K3705" s="392" t="n"/>
      <c r="L3705" s="392" t="n"/>
      <c r="M3705" s="392" t="n"/>
    </row>
    <row r="3706">
      <c r="A3706" s="568" t="n">
        <v>45049</v>
      </c>
      <c r="B3706" s="392" t="n">
        <v>10115</v>
      </c>
      <c r="C3706" s="392" t="n">
        <v>102</v>
      </c>
      <c r="D3706" s="392" t="n"/>
      <c r="E3706" s="392" t="n"/>
      <c r="F3706" s="392" t="n"/>
      <c r="G3706" s="392" t="n">
        <v>10</v>
      </c>
      <c r="H3706" s="446">
        <f>H3705-G3706</f>
        <v/>
      </c>
      <c r="I3706" s="392" t="n"/>
      <c r="J3706" s="392" t="n"/>
      <c r="K3706" s="392" t="n"/>
      <c r="L3706" s="392" t="n"/>
      <c r="M3706" s="392" t="n"/>
    </row>
    <row r="3707">
      <c r="A3707" s="568" t="n">
        <v>45049</v>
      </c>
      <c r="B3707" s="392" t="n">
        <v>10116</v>
      </c>
      <c r="C3707" s="392" t="n">
        <v>102</v>
      </c>
      <c r="D3707" s="392" t="n"/>
      <c r="E3707" s="392" t="n"/>
      <c r="F3707" s="392" t="n"/>
      <c r="G3707" s="392" t="n">
        <v>30</v>
      </c>
      <c r="H3707" s="446">
        <f>H3706-G3707</f>
        <v/>
      </c>
      <c r="I3707" s="392" t="n"/>
      <c r="J3707" s="392" t="n"/>
      <c r="K3707" s="392" t="n"/>
      <c r="L3707" s="392" t="n"/>
      <c r="M3707" s="392" t="n"/>
    </row>
    <row r="3708">
      <c r="A3708" s="568" t="n">
        <v>45049</v>
      </c>
      <c r="B3708" s="392" t="n">
        <v>10120</v>
      </c>
      <c r="C3708" s="392" t="n">
        <v>107</v>
      </c>
      <c r="D3708" s="392" t="n"/>
      <c r="E3708" s="392" t="n"/>
      <c r="F3708" s="392" t="n"/>
      <c r="G3708" s="392" t="n">
        <v>50</v>
      </c>
      <c r="H3708" s="446">
        <f>H3707-G3708</f>
        <v/>
      </c>
      <c r="I3708" s="392" t="n"/>
      <c r="J3708" s="392" t="n"/>
      <c r="K3708" s="392" t="n"/>
      <c r="L3708" s="392" t="n"/>
      <c r="M3708" s="392" t="n"/>
    </row>
    <row r="3709">
      <c r="A3709" s="568" t="n">
        <v>45055</v>
      </c>
      <c r="B3709" s="392" t="n">
        <v>10122</v>
      </c>
      <c r="C3709" s="392" t="n">
        <v>100</v>
      </c>
      <c r="D3709" s="392" t="n"/>
      <c r="E3709" s="392" t="n"/>
      <c r="F3709" s="392" t="n"/>
      <c r="G3709" s="392" t="n">
        <v>15</v>
      </c>
      <c r="H3709" s="446">
        <f>H3708-G3709</f>
        <v/>
      </c>
      <c r="I3709" s="392" t="n"/>
      <c r="J3709" s="392" t="n"/>
      <c r="K3709" s="392" t="n"/>
      <c r="L3709" s="392" t="n"/>
      <c r="M3709" s="392" t="n"/>
    </row>
    <row r="3710">
      <c r="A3710" s="568" t="n">
        <v>45055</v>
      </c>
      <c r="B3710" s="392" t="n">
        <v>10123</v>
      </c>
      <c r="C3710" s="392" t="n">
        <v>107</v>
      </c>
      <c r="D3710" s="392" t="n"/>
      <c r="E3710" s="392" t="n"/>
      <c r="F3710" s="392" t="n"/>
      <c r="G3710" s="392" t="n">
        <v>30</v>
      </c>
      <c r="H3710" s="446">
        <f>H3709-G3710</f>
        <v/>
      </c>
      <c r="I3710" s="392" t="n"/>
      <c r="J3710" s="392" t="n"/>
      <c r="K3710" s="392" t="n"/>
      <c r="L3710" s="392" t="n"/>
      <c r="M3710" s="392" t="n"/>
    </row>
    <row r="3711">
      <c r="A3711" s="568" t="n">
        <v>45055</v>
      </c>
      <c r="B3711" s="392" t="n">
        <v>10124</v>
      </c>
      <c r="C3711" s="392" t="n">
        <v>107</v>
      </c>
      <c r="D3711" s="392" t="n"/>
      <c r="E3711" s="392" t="n"/>
      <c r="F3711" s="392" t="n"/>
      <c r="G3711" s="392" t="n">
        <v>32</v>
      </c>
      <c r="H3711" s="446">
        <f>H3710-G3711</f>
        <v/>
      </c>
      <c r="I3711" s="392" t="n"/>
      <c r="J3711" s="392" t="n"/>
      <c r="K3711" s="392" t="n"/>
      <c r="L3711" s="392" t="n"/>
      <c r="M3711" s="392" t="n"/>
    </row>
    <row r="3712">
      <c r="A3712" s="568" t="n">
        <v>45055</v>
      </c>
      <c r="B3712" s="392" t="n">
        <v>10126</v>
      </c>
      <c r="C3712" s="392" t="n">
        <v>99</v>
      </c>
      <c r="D3712" s="392" t="n"/>
      <c r="E3712" s="392" t="n"/>
      <c r="F3712" s="392" t="n"/>
      <c r="G3712" s="392" t="n">
        <v>50</v>
      </c>
      <c r="H3712" s="446">
        <f>H3711-G3712</f>
        <v/>
      </c>
      <c r="I3712" s="392" t="n"/>
      <c r="J3712" s="392" t="n"/>
      <c r="K3712" s="392" t="n"/>
      <c r="L3712" s="392" t="n"/>
      <c r="M3712" s="392" t="n"/>
    </row>
    <row r="3713">
      <c r="A3713" s="568" t="n">
        <v>45055</v>
      </c>
      <c r="B3713" s="392" t="n">
        <v>10127</v>
      </c>
      <c r="C3713" s="392" t="n">
        <v>100.23</v>
      </c>
      <c r="D3713" s="392" t="n"/>
      <c r="E3713" s="392" t="n"/>
      <c r="F3713" s="392" t="n"/>
      <c r="G3713" s="392" t="n">
        <v>31</v>
      </c>
      <c r="H3713" s="446">
        <f>H3712-G3713</f>
        <v/>
      </c>
      <c r="I3713" s="392" t="n"/>
      <c r="J3713" s="392" t="n"/>
      <c r="K3713" s="392" t="n"/>
      <c r="L3713" s="392" t="n"/>
      <c r="M3713" s="392" t="n"/>
    </row>
    <row r="3714">
      <c r="A3714" s="568" t="n">
        <v>45055</v>
      </c>
      <c r="B3714" s="392" t="n">
        <v>10128</v>
      </c>
      <c r="C3714" s="392" t="n">
        <v>100</v>
      </c>
      <c r="D3714" s="392" t="n"/>
      <c r="E3714" s="392" t="n"/>
      <c r="F3714" s="392" t="n"/>
      <c r="G3714" s="392" t="n">
        <v>30</v>
      </c>
      <c r="H3714" s="446">
        <f>H3713-G3714</f>
        <v/>
      </c>
      <c r="I3714" s="392" t="n"/>
      <c r="J3714" s="392" t="n"/>
      <c r="K3714" s="392" t="n"/>
      <c r="L3714" s="392" t="n"/>
      <c r="M3714" s="392" t="n"/>
    </row>
    <row r="3715">
      <c r="A3715" s="568" t="n">
        <v>45056</v>
      </c>
      <c r="B3715" s="392" t="n">
        <v>10131</v>
      </c>
      <c r="C3715" s="392" t="n">
        <v>107</v>
      </c>
      <c r="D3715" s="392" t="n"/>
      <c r="E3715" s="392" t="n"/>
      <c r="F3715" s="392" t="n"/>
      <c r="G3715" s="392" t="n">
        <v>20</v>
      </c>
      <c r="H3715" s="446">
        <f>H3714-G3715</f>
        <v/>
      </c>
      <c r="I3715" s="392" t="n"/>
      <c r="J3715" s="392" t="n"/>
      <c r="K3715" s="392" t="n"/>
      <c r="L3715" s="392" t="n"/>
      <c r="M3715" s="392" t="n"/>
    </row>
    <row r="3716">
      <c r="A3716" s="568" t="n">
        <v>45056</v>
      </c>
      <c r="B3716" s="392" t="n">
        <v>10134</v>
      </c>
      <c r="C3716" s="392" t="n">
        <v>99</v>
      </c>
      <c r="D3716" s="392" t="n"/>
      <c r="E3716" s="392" t="n"/>
      <c r="F3716" s="392" t="n"/>
      <c r="G3716" s="392" t="n">
        <v>60</v>
      </c>
      <c r="H3716" s="446">
        <f>H3715-G3716</f>
        <v/>
      </c>
      <c r="I3716" s="392" t="n"/>
      <c r="J3716" s="392" t="n"/>
      <c r="K3716" s="392" t="n"/>
      <c r="L3716" s="392" t="n"/>
      <c r="M3716" s="392" t="n"/>
    </row>
    <row r="3717">
      <c r="A3717" s="568" t="n">
        <v>45056</v>
      </c>
      <c r="B3717" s="392" t="n">
        <v>10136</v>
      </c>
      <c r="C3717" s="392" t="n">
        <v>102</v>
      </c>
      <c r="D3717" s="392" t="n"/>
      <c r="E3717" s="392" t="n"/>
      <c r="F3717" s="392" t="n"/>
      <c r="G3717" s="392" t="n">
        <v>30</v>
      </c>
      <c r="H3717" s="446">
        <f>H3716-G3717</f>
        <v/>
      </c>
      <c r="I3717" s="392" t="n"/>
      <c r="J3717" s="392" t="n"/>
      <c r="K3717" s="392" t="n"/>
      <c r="L3717" s="392" t="n"/>
      <c r="M3717" s="392" t="n"/>
    </row>
    <row r="3718">
      <c r="A3718" s="568" t="n">
        <v>45056</v>
      </c>
      <c r="B3718" s="392" t="n">
        <v>10137</v>
      </c>
      <c r="C3718" s="392" t="n">
        <v>105</v>
      </c>
      <c r="D3718" s="392" t="n"/>
      <c r="E3718" s="392" t="n"/>
      <c r="F3718" s="392" t="n"/>
      <c r="G3718" s="392" t="n">
        <v>42</v>
      </c>
      <c r="H3718" s="446">
        <f>H3717-G3718</f>
        <v/>
      </c>
      <c r="I3718" s="392" t="n"/>
      <c r="J3718" s="392" t="n"/>
      <c r="K3718" s="392" t="n"/>
      <c r="L3718" s="392" t="n"/>
      <c r="M3718" s="392" t="n"/>
    </row>
    <row r="3719">
      <c r="A3719" s="304" t="n">
        <v>45062</v>
      </c>
      <c r="B3719" s="401" t="n">
        <v>31581</v>
      </c>
      <c r="C3719" s="401" t="n">
        <v>81</v>
      </c>
      <c r="D3719" s="401" t="n"/>
      <c r="E3719" s="401" t="n"/>
      <c r="F3719" s="401" t="n">
        <v>1120</v>
      </c>
      <c r="G3719" s="401" t="n"/>
      <c r="H3719" s="322" t="n">
        <v>3888</v>
      </c>
      <c r="I3719" s="392" t="n"/>
      <c r="J3719" s="392" t="n"/>
      <c r="K3719" s="392" t="n"/>
      <c r="L3719" s="392" t="n"/>
      <c r="M3719" s="392" t="n"/>
    </row>
    <row r="3720">
      <c r="A3720" s="568" t="n">
        <v>45063</v>
      </c>
      <c r="B3720" s="392" t="n">
        <v>10138</v>
      </c>
      <c r="C3720" s="392" t="n">
        <v>107</v>
      </c>
      <c r="D3720" s="392" t="n"/>
      <c r="E3720" s="392" t="n"/>
      <c r="F3720" s="392" t="n"/>
      <c r="G3720" s="392" t="n">
        <v>20</v>
      </c>
      <c r="H3720" s="446">
        <f>H3719-G3720</f>
        <v/>
      </c>
      <c r="I3720" s="392" t="n"/>
      <c r="J3720" s="392" t="n"/>
      <c r="K3720" s="392" t="n"/>
      <c r="L3720" s="392" t="n"/>
      <c r="M3720" s="392" t="n"/>
    </row>
    <row r="3721">
      <c r="A3721" s="568" t="n">
        <v>45063</v>
      </c>
      <c r="B3721" s="392" t="n">
        <v>10140</v>
      </c>
      <c r="C3721" s="392" t="n">
        <v>100</v>
      </c>
      <c r="D3721" s="392" t="n"/>
      <c r="E3721" s="392" t="n"/>
      <c r="F3721" s="392" t="n"/>
      <c r="G3721" s="392" t="n">
        <v>40</v>
      </c>
      <c r="H3721" s="446">
        <f>H3720-G3721</f>
        <v/>
      </c>
      <c r="I3721" s="392" t="n"/>
      <c r="J3721" s="392" t="n"/>
      <c r="K3721" s="392" t="n"/>
      <c r="L3721" s="392" t="n"/>
      <c r="M3721" s="392" t="n"/>
    </row>
    <row r="3722">
      <c r="A3722" s="568" t="n">
        <v>45063</v>
      </c>
      <c r="B3722" s="392" t="n">
        <v>10144</v>
      </c>
      <c r="C3722" s="392" t="n">
        <v>102</v>
      </c>
      <c r="D3722" s="392" t="n"/>
      <c r="E3722" s="392" t="n"/>
      <c r="F3722" s="392" t="n"/>
      <c r="G3722" s="392" t="n">
        <v>20</v>
      </c>
      <c r="H3722" s="446">
        <f>H3721-G3722</f>
        <v/>
      </c>
      <c r="I3722" s="392" t="n"/>
      <c r="J3722" s="392" t="n"/>
      <c r="K3722" s="392" t="n"/>
      <c r="L3722" s="392" t="n"/>
      <c r="M3722" s="392" t="n"/>
    </row>
    <row r="3723">
      <c r="A3723" s="568" t="n">
        <v>45063</v>
      </c>
      <c r="B3723" s="392" t="n">
        <v>10148</v>
      </c>
      <c r="C3723" s="392" t="n">
        <v>100</v>
      </c>
      <c r="D3723" s="392" t="n"/>
      <c r="E3723" s="392" t="n"/>
      <c r="F3723" s="392" t="n"/>
      <c r="G3723" s="392" t="n">
        <v>10</v>
      </c>
      <c r="H3723" s="446">
        <f>H3722-G3723</f>
        <v/>
      </c>
      <c r="I3723" s="392" t="n"/>
      <c r="J3723" s="392" t="n"/>
      <c r="K3723" s="392" t="n"/>
      <c r="L3723" s="392" t="n"/>
      <c r="M3723" s="392" t="n"/>
    </row>
    <row r="3724">
      <c r="A3724" s="568" t="n">
        <v>45063</v>
      </c>
      <c r="B3724" s="392" t="n">
        <v>10149</v>
      </c>
      <c r="C3724" s="392" t="n">
        <v>99</v>
      </c>
      <c r="D3724" s="392" t="n"/>
      <c r="E3724" s="392" t="n"/>
      <c r="F3724" s="392" t="n"/>
      <c r="G3724" s="392" t="n">
        <v>30</v>
      </c>
      <c r="H3724" s="446">
        <f>H3723-G3724</f>
        <v/>
      </c>
      <c r="I3724" s="392" t="n"/>
      <c r="J3724" s="392" t="n"/>
      <c r="K3724" s="392" t="n"/>
      <c r="L3724" s="392" t="n"/>
      <c r="M3724" s="392" t="n"/>
    </row>
    <row r="3725">
      <c r="A3725" s="568" t="n">
        <v>45063</v>
      </c>
      <c r="B3725" s="392" t="n">
        <v>10151</v>
      </c>
      <c r="C3725" s="392" t="n">
        <v>107</v>
      </c>
      <c r="D3725" s="392" t="n"/>
      <c r="E3725" s="392" t="n"/>
      <c r="F3725" s="392" t="n"/>
      <c r="G3725" s="392" t="n">
        <v>20</v>
      </c>
      <c r="H3725" s="446">
        <f>H3724-G3725</f>
        <v/>
      </c>
      <c r="I3725" s="392" t="n"/>
      <c r="J3725" s="392" t="n"/>
      <c r="K3725" s="392" t="n"/>
      <c r="L3725" s="392" t="n"/>
      <c r="M3725" s="392" t="n"/>
    </row>
    <row r="3726">
      <c r="A3726" s="568" t="n">
        <v>45063</v>
      </c>
      <c r="B3726" s="392" t="n">
        <v>10152</v>
      </c>
      <c r="C3726" s="392" t="n">
        <v>97</v>
      </c>
      <c r="D3726" s="392" t="n"/>
      <c r="E3726" s="392" t="n"/>
      <c r="F3726" s="392" t="n"/>
      <c r="G3726" s="392" t="n">
        <v>20</v>
      </c>
      <c r="H3726" s="446">
        <f>H3725-G3726</f>
        <v/>
      </c>
      <c r="I3726" s="392" t="n"/>
      <c r="J3726" s="392" t="n"/>
      <c r="K3726" s="392" t="n"/>
      <c r="L3726" s="392" t="n"/>
      <c r="M3726" s="392" t="n"/>
    </row>
    <row r="3727">
      <c r="A3727" s="568" t="n">
        <v>45063</v>
      </c>
      <c r="B3727" s="392" t="n">
        <v>10155</v>
      </c>
      <c r="C3727" s="392" t="n">
        <v>105.5</v>
      </c>
      <c r="D3727" s="392" t="n"/>
      <c r="E3727" s="392" t="n"/>
      <c r="F3727" s="392" t="n"/>
      <c r="G3727" s="392" t="n">
        <v>20</v>
      </c>
      <c r="H3727" s="446">
        <f>H3726-G3727</f>
        <v/>
      </c>
      <c r="I3727" s="392" t="n"/>
      <c r="J3727" s="392" t="n"/>
      <c r="K3727" s="392" t="n"/>
      <c r="L3727" s="392" t="n"/>
      <c r="M3727" s="392" t="n"/>
    </row>
    <row r="3728">
      <c r="A3728" s="568" t="n">
        <v>45069</v>
      </c>
      <c r="B3728" s="392" t="n">
        <v>10156</v>
      </c>
      <c r="C3728" s="392" t="n">
        <v>105</v>
      </c>
      <c r="D3728" s="392" t="n"/>
      <c r="E3728" s="392" t="n"/>
      <c r="F3728" s="392" t="n"/>
      <c r="G3728" s="392" t="n">
        <v>150</v>
      </c>
      <c r="H3728" s="446">
        <f>H3727-G3728</f>
        <v/>
      </c>
      <c r="I3728" s="392" t="n"/>
      <c r="J3728" s="392" t="n"/>
      <c r="K3728" s="392" t="n"/>
      <c r="L3728" s="392" t="n"/>
      <c r="M3728" s="392" t="n"/>
    </row>
    <row r="3729">
      <c r="A3729" s="568" t="n">
        <v>45069</v>
      </c>
      <c r="B3729" s="392" t="n">
        <v>10157</v>
      </c>
      <c r="C3729" s="392" t="n">
        <v>95</v>
      </c>
      <c r="D3729" s="392" t="n"/>
      <c r="E3729" s="392" t="n"/>
      <c r="F3729" s="392" t="n"/>
      <c r="G3729" s="392" t="n">
        <v>30</v>
      </c>
      <c r="H3729" s="446">
        <f>H3728-G3729</f>
        <v/>
      </c>
      <c r="I3729" s="392" t="n"/>
      <c r="J3729" s="392" t="n"/>
      <c r="K3729" s="392" t="n"/>
      <c r="L3729" s="392" t="n"/>
      <c r="M3729" s="392" t="n"/>
    </row>
    <row r="3730">
      <c r="A3730" s="568" t="n">
        <v>45069</v>
      </c>
      <c r="B3730" s="392" t="n">
        <v>10158</v>
      </c>
      <c r="C3730" s="392" t="n">
        <v>105</v>
      </c>
      <c r="D3730" s="392" t="n"/>
      <c r="E3730" s="392" t="n"/>
      <c r="F3730" s="392" t="n"/>
      <c r="G3730" s="392" t="n">
        <v>20</v>
      </c>
      <c r="H3730" s="446">
        <f>H3729-G3730</f>
        <v/>
      </c>
      <c r="I3730" s="392" t="n"/>
      <c r="J3730" s="392" t="n"/>
      <c r="K3730" s="392" t="n"/>
      <c r="L3730" s="392" t="n"/>
      <c r="M3730" s="392" t="n"/>
    </row>
    <row r="3731">
      <c r="A3731" s="568" t="n">
        <v>45069</v>
      </c>
      <c r="B3731" s="392" t="n">
        <v>10159</v>
      </c>
      <c r="C3731" s="392" t="n">
        <v>100</v>
      </c>
      <c r="D3731" s="392" t="n"/>
      <c r="E3731" s="392" t="n"/>
      <c r="F3731" s="392" t="n"/>
      <c r="G3731" s="392" t="n">
        <v>30</v>
      </c>
      <c r="H3731" s="446">
        <f>H3730-G3731</f>
        <v/>
      </c>
      <c r="I3731" s="392" t="n"/>
      <c r="J3731" s="392" t="n"/>
      <c r="K3731" s="392" t="n"/>
      <c r="L3731" s="392" t="n"/>
      <c r="M3731" s="392" t="n"/>
    </row>
    <row r="3732">
      <c r="A3732" s="568" t="n">
        <v>45069</v>
      </c>
      <c r="B3732" s="392" t="n">
        <v>10161</v>
      </c>
      <c r="C3732" s="392" t="n">
        <v>94</v>
      </c>
      <c r="D3732" s="392" t="n"/>
      <c r="E3732" s="392" t="n"/>
      <c r="F3732" s="392" t="n"/>
      <c r="G3732" s="392" t="n">
        <v>30</v>
      </c>
      <c r="H3732" s="446">
        <f>H3731-G3732</f>
        <v/>
      </c>
      <c r="I3732" s="392" t="n"/>
      <c r="J3732" s="392" t="n"/>
      <c r="K3732" s="392" t="n"/>
      <c r="L3732" s="392" t="n"/>
      <c r="M3732" s="392" t="n"/>
    </row>
    <row r="3733">
      <c r="A3733" s="568" t="n">
        <v>45070</v>
      </c>
      <c r="B3733" s="392" t="n">
        <v>10163</v>
      </c>
      <c r="C3733" s="392" t="n">
        <v>105</v>
      </c>
      <c r="D3733" s="392" t="n"/>
      <c r="E3733" s="392" t="n"/>
      <c r="F3733" s="392" t="n"/>
      <c r="G3733" s="392" t="n">
        <v>15</v>
      </c>
      <c r="H3733" s="446">
        <f>H3732-G3733</f>
        <v/>
      </c>
      <c r="I3733" s="392" t="n"/>
      <c r="J3733" s="392" t="n"/>
      <c r="K3733" s="392" t="n"/>
      <c r="L3733" s="392" t="n"/>
      <c r="M3733" s="392" t="n"/>
    </row>
    <row r="3734">
      <c r="A3734" s="304" t="n">
        <v>45071</v>
      </c>
      <c r="B3734" s="401" t="n">
        <v>217842</v>
      </c>
      <c r="C3734" s="401" t="n">
        <v>80</v>
      </c>
      <c r="D3734" s="401" t="n"/>
      <c r="E3734" s="401" t="n"/>
      <c r="F3734" s="401" t="n">
        <v>80</v>
      </c>
      <c r="G3734" s="401" t="n"/>
      <c r="H3734" s="322" t="n">
        <v>3513</v>
      </c>
      <c r="I3734" s="392" t="n"/>
      <c r="J3734" s="392" t="n"/>
      <c r="K3734" s="392" t="n"/>
      <c r="L3734" s="392" t="n"/>
      <c r="M3734" s="392" t="n"/>
    </row>
    <row r="3735">
      <c r="A3735" s="304" t="n">
        <v>45071</v>
      </c>
      <c r="B3735" s="401" t="n">
        <v>217842</v>
      </c>
      <c r="C3735" s="401" t="n">
        <v>79</v>
      </c>
      <c r="D3735" s="401" t="n"/>
      <c r="E3735" s="401" t="n"/>
      <c r="F3735" s="401" t="n">
        <v>80</v>
      </c>
      <c r="G3735" s="401" t="n"/>
      <c r="H3735" s="322" t="n">
        <v>3593</v>
      </c>
      <c r="I3735" s="392" t="n"/>
      <c r="J3735" s="392" t="n"/>
      <c r="K3735" s="392" t="n"/>
      <c r="L3735" s="392" t="n"/>
      <c r="M3735" s="392" t="n"/>
    </row>
    <row r="3736">
      <c r="A3736" s="568" t="n">
        <v>45075</v>
      </c>
      <c r="B3736" s="392" t="n">
        <v>10167</v>
      </c>
      <c r="C3736" s="392" t="n">
        <v>98</v>
      </c>
      <c r="D3736" s="392" t="n"/>
      <c r="E3736" s="392" t="n"/>
      <c r="F3736" s="392" t="n"/>
      <c r="G3736" s="392" t="n">
        <v>30</v>
      </c>
      <c r="H3736" s="446">
        <f>H3735-G3736</f>
        <v/>
      </c>
      <c r="I3736" s="392" t="n"/>
      <c r="J3736" s="392" t="n"/>
      <c r="K3736" s="392" t="n"/>
      <c r="L3736" s="392" t="n"/>
      <c r="M3736" s="392" t="n"/>
    </row>
    <row r="3737">
      <c r="A3737" s="568" t="n">
        <v>45075</v>
      </c>
      <c r="B3737" s="392" t="n">
        <v>10168</v>
      </c>
      <c r="C3737" s="392" t="n">
        <v>98</v>
      </c>
      <c r="D3737" s="392" t="n"/>
      <c r="E3737" s="392" t="n"/>
      <c r="F3737" s="392" t="n"/>
      <c r="G3737" s="392" t="n">
        <v>10</v>
      </c>
      <c r="H3737" s="446">
        <f>H3736-G3737</f>
        <v/>
      </c>
      <c r="I3737" s="392" t="n"/>
      <c r="J3737" s="392" t="n"/>
      <c r="K3737" s="392" t="n"/>
      <c r="L3737" s="392" t="n"/>
      <c r="M3737" s="392" t="n"/>
    </row>
    <row r="3738">
      <c r="A3738" s="568" t="n">
        <v>45075</v>
      </c>
      <c r="B3738" s="392" t="n">
        <v>10169</v>
      </c>
      <c r="C3738" s="392" t="n">
        <v>97</v>
      </c>
      <c r="D3738" s="392" t="n"/>
      <c r="E3738" s="392" t="n"/>
      <c r="F3738" s="392" t="n"/>
      <c r="G3738" s="392" t="n">
        <v>30</v>
      </c>
      <c r="H3738" s="446">
        <f>H3737-G3738</f>
        <v/>
      </c>
      <c r="I3738" s="392" t="n"/>
      <c r="J3738" s="392" t="n"/>
      <c r="K3738" s="392" t="n"/>
      <c r="L3738" s="392" t="n"/>
      <c r="M3738" s="392" t="n"/>
    </row>
    <row r="3739">
      <c r="A3739" s="568" t="n">
        <v>45075</v>
      </c>
      <c r="B3739" s="392" t="n">
        <v>10175</v>
      </c>
      <c r="C3739" s="392" t="n">
        <v>98</v>
      </c>
      <c r="D3739" s="392" t="n"/>
      <c r="E3739" s="392" t="n"/>
      <c r="F3739" s="392" t="n"/>
      <c r="G3739" s="392" t="n">
        <v>20</v>
      </c>
      <c r="H3739" s="446">
        <f>H3738-G3739</f>
        <v/>
      </c>
      <c r="I3739" s="392" t="n"/>
      <c r="J3739" s="392" t="n"/>
      <c r="K3739" s="392" t="n"/>
      <c r="L3739" s="392" t="n"/>
      <c r="M3739" s="392" t="n"/>
    </row>
    <row r="3740">
      <c r="A3740" s="568" t="n">
        <v>45075</v>
      </c>
      <c r="B3740" s="392" t="n">
        <v>10176</v>
      </c>
      <c r="C3740" s="392" t="n">
        <v>105</v>
      </c>
      <c r="D3740" s="392" t="n"/>
      <c r="E3740" s="392" t="n"/>
      <c r="F3740" s="392" t="n"/>
      <c r="G3740" s="392" t="n">
        <v>20</v>
      </c>
      <c r="H3740" s="446">
        <f>H3739-G3740</f>
        <v/>
      </c>
      <c r="I3740" s="392" t="n"/>
      <c r="J3740" s="392" t="n"/>
      <c r="K3740" s="392" t="n"/>
      <c r="L3740" s="392" t="n"/>
      <c r="M3740" s="392" t="n"/>
    </row>
    <row r="3741">
      <c r="A3741" s="568" t="n">
        <v>45075</v>
      </c>
      <c r="B3741" s="392" t="n">
        <v>10177</v>
      </c>
      <c r="C3741" s="392" t="n">
        <v>95</v>
      </c>
      <c r="D3741" s="392" t="n"/>
      <c r="E3741" s="392" t="n"/>
      <c r="F3741" s="392" t="n"/>
      <c r="G3741" s="392" t="n">
        <v>50</v>
      </c>
      <c r="H3741" s="446">
        <f>H3740-G3741</f>
        <v/>
      </c>
      <c r="I3741" s="392" t="n"/>
      <c r="J3741" s="392" t="n"/>
      <c r="K3741" s="392" t="n"/>
      <c r="L3741" s="392" t="n"/>
      <c r="M3741" s="392" t="n"/>
    </row>
    <row r="3742">
      <c r="A3742" s="568" t="n">
        <v>45075</v>
      </c>
      <c r="B3742" s="392" t="n">
        <v>10178</v>
      </c>
      <c r="C3742" s="392" t="n">
        <v>98</v>
      </c>
      <c r="D3742" s="392" t="n"/>
      <c r="E3742" s="392" t="n"/>
      <c r="F3742" s="392" t="n"/>
      <c r="G3742" s="392" t="n">
        <v>30</v>
      </c>
      <c r="H3742" s="446">
        <f>H3741-G3742</f>
        <v/>
      </c>
      <c r="I3742" s="392" t="n"/>
      <c r="J3742" s="392" t="n"/>
      <c r="K3742" s="392" t="n"/>
      <c r="L3742" s="392" t="n"/>
      <c r="M3742" s="392" t="n"/>
    </row>
    <row r="3743">
      <c r="A3743" s="568" t="n">
        <v>45077</v>
      </c>
      <c r="B3743" s="392" t="n">
        <v>10181</v>
      </c>
      <c r="C3743" s="392" t="n">
        <v>105</v>
      </c>
      <c r="D3743" s="392" t="n"/>
      <c r="E3743" s="392" t="n"/>
      <c r="F3743" s="392" t="n"/>
      <c r="G3743" s="392" t="n">
        <v>20</v>
      </c>
      <c r="H3743" s="446">
        <f>H3742-G3743</f>
        <v/>
      </c>
      <c r="I3743" s="392" t="n"/>
      <c r="J3743" s="392" t="n"/>
      <c r="K3743" s="392" t="n"/>
      <c r="L3743" s="392" t="n"/>
      <c r="M3743" s="392" t="n"/>
    </row>
    <row r="3744">
      <c r="A3744" s="568" t="n">
        <v>45077</v>
      </c>
      <c r="B3744" s="392" t="n">
        <v>10182</v>
      </c>
      <c r="C3744" s="392" t="n">
        <v>90</v>
      </c>
      <c r="D3744" s="392" t="n"/>
      <c r="E3744" s="392" t="n"/>
      <c r="F3744" s="392" t="n"/>
      <c r="G3744" s="392" t="n">
        <v>250</v>
      </c>
      <c r="H3744" s="446">
        <f>H3743-G3744</f>
        <v/>
      </c>
      <c r="I3744" s="392" t="n"/>
      <c r="J3744" s="392" t="n"/>
      <c r="K3744" s="392" t="n"/>
      <c r="L3744" s="392" t="n"/>
      <c r="M3744" s="392" t="n"/>
    </row>
    <row r="3745">
      <c r="A3745" s="568" t="n">
        <v>45077</v>
      </c>
      <c r="B3745" s="392" t="n">
        <v>10183</v>
      </c>
      <c r="C3745" s="392" t="n">
        <v>100</v>
      </c>
      <c r="D3745" s="392" t="n"/>
      <c r="E3745" s="392" t="n"/>
      <c r="F3745" s="392" t="n"/>
      <c r="G3745" s="392" t="n">
        <v>10</v>
      </c>
      <c r="H3745" s="446">
        <f>H3744-G3745</f>
        <v/>
      </c>
      <c r="I3745" s="392" t="n"/>
      <c r="J3745" s="392" t="n"/>
      <c r="K3745" s="392" t="n"/>
      <c r="L3745" s="392" t="n"/>
      <c r="M3745" s="392" t="n"/>
    </row>
    <row r="3746">
      <c r="A3746" s="568" t="n">
        <v>45077</v>
      </c>
      <c r="B3746" s="392" t="n">
        <v>10185</v>
      </c>
      <c r="C3746" s="392" t="n">
        <v>99</v>
      </c>
      <c r="D3746" s="392" t="n"/>
      <c r="E3746" s="392" t="n"/>
      <c r="F3746" s="392" t="n"/>
      <c r="G3746" s="392" t="n">
        <v>15</v>
      </c>
      <c r="H3746" s="446">
        <f>H3745-G3746</f>
        <v/>
      </c>
      <c r="I3746" s="392" t="n"/>
      <c r="J3746" s="392" t="n"/>
      <c r="K3746" s="392" t="n"/>
      <c r="L3746" s="392" t="n"/>
      <c r="M3746" s="392" t="n"/>
    </row>
    <row r="3747">
      <c r="A3747" s="568" t="n">
        <v>45077</v>
      </c>
      <c r="B3747" s="392" t="n">
        <v>10187</v>
      </c>
      <c r="C3747" s="392" t="n">
        <v>100.5</v>
      </c>
      <c r="D3747" s="392" t="n"/>
      <c r="E3747" s="392" t="n"/>
      <c r="F3747" s="392" t="n"/>
      <c r="G3747" s="392" t="n">
        <v>20</v>
      </c>
      <c r="H3747" s="446">
        <f>H3746-G3747</f>
        <v/>
      </c>
      <c r="I3747" s="392" t="n"/>
      <c r="J3747" s="392" t="n"/>
      <c r="K3747" s="392" t="n"/>
      <c r="L3747" s="392" t="n"/>
      <c r="M3747" s="392" t="n"/>
    </row>
    <row r="3748">
      <c r="A3748" s="568" t="n">
        <v>45077</v>
      </c>
      <c r="B3748" s="392" t="n">
        <v>10188</v>
      </c>
      <c r="C3748" s="392" t="n">
        <v>100.12</v>
      </c>
      <c r="D3748" s="392" t="n"/>
      <c r="E3748" s="392" t="n"/>
      <c r="F3748" s="392" t="n"/>
      <c r="G3748" s="392" t="n">
        <v>50</v>
      </c>
      <c r="H3748" s="446">
        <f>H3747-G3748</f>
        <v/>
      </c>
      <c r="I3748" s="392" t="n"/>
      <c r="J3748" s="392" t="n"/>
      <c r="K3748" s="392" t="n"/>
      <c r="L3748" s="392" t="n"/>
      <c r="M3748" s="392" t="n"/>
    </row>
    <row r="3749" ht="15.75" customHeight="1" s="436" thickBot="1">
      <c r="H3749" s="390" t="n"/>
    </row>
    <row r="3750" ht="32.25" customHeight="1" s="436" thickBot="1">
      <c r="A3750" s="735" t="inlineStr">
        <is>
          <t>Junho</t>
        </is>
      </c>
      <c r="B3750" s="697" t="n"/>
      <c r="C3750" s="697" t="n"/>
      <c r="D3750" s="697" t="n"/>
      <c r="E3750" s="697" t="n"/>
      <c r="F3750" s="697" t="n"/>
      <c r="G3750" s="697" t="n"/>
      <c r="H3750" s="697" t="n"/>
      <c r="I3750" s="697" t="n"/>
      <c r="J3750" s="697" t="n"/>
      <c r="K3750" s="697" t="n"/>
      <c r="L3750" s="697" t="n"/>
      <c r="M3750" s="698" t="n"/>
    </row>
    <row r="3751" ht="27" customHeight="1" s="436" thickBot="1">
      <c r="A3751" s="720" t="inlineStr">
        <is>
          <t xml:space="preserve"> FARINHA DE TRIGO TIPO: 1 - 25 KG</t>
        </is>
      </c>
      <c r="B3751" s="697" t="n"/>
      <c r="C3751" s="697" t="n"/>
      <c r="D3751" s="697" t="n"/>
      <c r="E3751" s="697" t="n"/>
      <c r="F3751" s="697" t="n"/>
      <c r="G3751" s="697" t="n"/>
      <c r="H3751" s="697" t="n"/>
      <c r="I3751" s="697" t="n"/>
      <c r="J3751" s="697" t="n"/>
      <c r="K3751" s="697" t="n"/>
      <c r="L3751" s="697" t="n"/>
      <c r="M3751" s="698" t="n"/>
    </row>
    <row r="3752">
      <c r="A3752" s="643" t="inlineStr">
        <is>
          <t>DATA</t>
        </is>
      </c>
      <c r="B3752" s="633" t="inlineStr">
        <is>
          <t>N.F.</t>
        </is>
      </c>
      <c r="C3752" s="633" t="inlineStr">
        <is>
          <t>TIPO</t>
        </is>
      </c>
      <c r="D3752" s="670" t="inlineStr">
        <is>
          <t>PREÇO UNITÁRIO</t>
        </is>
      </c>
      <c r="E3752" s="701" t="n"/>
      <c r="F3752" s="633" t="inlineStr">
        <is>
          <t>QUANTIDADE / KG</t>
        </is>
      </c>
      <c r="H3752" s="701" t="n"/>
      <c r="I3752" s="632" t="inlineStr">
        <is>
          <t>PREÇO</t>
        </is>
      </c>
      <c r="J3752" s="632" t="inlineStr">
        <is>
          <t>VALORES</t>
        </is>
      </c>
      <c r="L3752" s="701" t="n"/>
      <c r="M3752" s="649" t="n"/>
    </row>
    <row r="3753" ht="15.75" customHeight="1" s="436" thickBot="1">
      <c r="A3753" s="703" t="n"/>
      <c r="B3753" s="704" t="n"/>
      <c r="C3753" s="704" t="n"/>
      <c r="D3753" s="703" t="n"/>
      <c r="E3753" s="701" t="n"/>
      <c r="F3753" s="705" t="n"/>
      <c r="G3753" s="706" t="n"/>
      <c r="H3753" s="707" t="n"/>
      <c r="I3753" s="704" t="n"/>
      <c r="J3753" s="703" t="n"/>
      <c r="L3753" s="701" t="n"/>
      <c r="M3753" s="704" t="n"/>
    </row>
    <row r="3754" ht="15.75" customHeight="1" s="436" thickBot="1">
      <c r="A3754" s="703" t="n"/>
      <c r="B3754" s="704" t="n"/>
      <c r="C3754" s="704" t="n"/>
      <c r="D3754" s="705" t="n"/>
      <c r="E3754" s="707" t="n"/>
      <c r="F3754" s="3" t="inlineStr">
        <is>
          <t>ENTRADA</t>
        </is>
      </c>
      <c r="G3754" s="3" t="inlineStr">
        <is>
          <t>SAÍDA</t>
        </is>
      </c>
      <c r="H3754" s="640" t="n"/>
      <c r="I3754" s="633" t="inlineStr">
        <is>
          <t>MÉDIO</t>
        </is>
      </c>
      <c r="J3754" s="652" t="inlineStr">
        <is>
          <t>SALDO EM 30/11/2017</t>
        </is>
      </c>
      <c r="K3754" s="706" t="n"/>
      <c r="L3754" s="17" t="n"/>
      <c r="M3754" s="704" t="n"/>
    </row>
    <row r="3755" ht="18" customHeight="1" s="436" thickBot="1">
      <c r="A3755" s="705" t="n"/>
      <c r="B3755" s="695" t="n"/>
      <c r="C3755" s="695" t="n"/>
      <c r="D3755" s="3" t="inlineStr">
        <is>
          <t>C/ICMS</t>
        </is>
      </c>
      <c r="E3755" s="3" t="inlineStr">
        <is>
          <t>S/ICMS</t>
        </is>
      </c>
      <c r="F3755" s="695" t="n"/>
      <c r="G3755" s="695" t="n"/>
      <c r="H3755" s="84" t="inlineStr">
        <is>
          <t>Saldo em 31/05/2022</t>
        </is>
      </c>
      <c r="I3755" s="695" t="n"/>
      <c r="J3755" s="645" t="inlineStr">
        <is>
          <t>ENTRADA</t>
        </is>
      </c>
      <c r="K3755" s="633" t="inlineStr">
        <is>
          <t>SAÍDA / CMV</t>
        </is>
      </c>
      <c r="L3755" s="643" t="inlineStr">
        <is>
          <t>SALDO</t>
        </is>
      </c>
      <c r="M3755" s="392" t="n"/>
    </row>
    <row r="3756">
      <c r="A3756" s="392" t="n"/>
      <c r="B3756" s="392" t="n"/>
      <c r="C3756" s="392" t="n"/>
      <c r="D3756" s="392" t="n"/>
      <c r="E3756" s="392" t="n"/>
      <c r="F3756" s="392" t="n"/>
      <c r="G3756" s="392" t="n"/>
      <c r="H3756" s="446" t="n">
        <v>3038</v>
      </c>
      <c r="I3756" s="392" t="n"/>
      <c r="J3756" s="392" t="n"/>
      <c r="K3756" s="392" t="n"/>
      <c r="L3756" s="392" t="n"/>
      <c r="M3756" s="392" t="n"/>
    </row>
    <row r="3757">
      <c r="A3757" s="568" t="n">
        <v>45079</v>
      </c>
      <c r="B3757" s="392" t="n">
        <v>10189</v>
      </c>
      <c r="C3757" s="392" t="n">
        <v>100</v>
      </c>
      <c r="D3757" s="392" t="n"/>
      <c r="E3757" s="392" t="n"/>
      <c r="F3757" s="392" t="n"/>
      <c r="G3757" s="392" t="n">
        <v>10</v>
      </c>
      <c r="H3757" s="446">
        <f>H3756-G3757</f>
        <v/>
      </c>
      <c r="I3757" s="392" t="n"/>
      <c r="J3757" s="392" t="n"/>
      <c r="K3757" s="392" t="n"/>
      <c r="L3757" s="392" t="n"/>
      <c r="M3757" s="392" t="n"/>
    </row>
    <row r="3758">
      <c r="A3758" s="568" t="n">
        <v>45079</v>
      </c>
      <c r="B3758" s="392" t="n">
        <v>10190</v>
      </c>
      <c r="C3758" s="392" t="n">
        <v>101</v>
      </c>
      <c r="D3758" s="392" t="n"/>
      <c r="E3758" s="392" t="n"/>
      <c r="F3758" s="392" t="n"/>
      <c r="G3758" s="392" t="n">
        <v>20</v>
      </c>
      <c r="H3758" s="446">
        <f>H3757-G3758</f>
        <v/>
      </c>
      <c r="I3758" s="392" t="n"/>
      <c r="J3758" s="392" t="n"/>
      <c r="K3758" s="392" t="n"/>
      <c r="L3758" s="392" t="n"/>
      <c r="M3758" s="392" t="n"/>
    </row>
    <row r="3759">
      <c r="A3759" s="568" t="n">
        <v>45083</v>
      </c>
      <c r="B3759" s="392" t="n">
        <v>10191</v>
      </c>
      <c r="C3759" s="392" t="n">
        <v>93</v>
      </c>
      <c r="D3759" s="392" t="n"/>
      <c r="E3759" s="392" t="n"/>
      <c r="F3759" s="392" t="n"/>
      <c r="G3759" s="392" t="n">
        <v>20</v>
      </c>
      <c r="H3759" s="446">
        <f>H3758-G3759</f>
        <v/>
      </c>
      <c r="I3759" s="392" t="n"/>
      <c r="J3759" s="392" t="n"/>
      <c r="K3759" s="392" t="n"/>
      <c r="L3759" s="392" t="n"/>
      <c r="M3759" s="392" t="n"/>
    </row>
    <row r="3760">
      <c r="A3760" s="568" t="n">
        <v>45083</v>
      </c>
      <c r="B3760" s="392" t="n">
        <v>10192</v>
      </c>
      <c r="C3760" s="392" t="n">
        <v>105</v>
      </c>
      <c r="D3760" s="392" t="n"/>
      <c r="E3760" s="392" t="n"/>
      <c r="F3760" s="392" t="n"/>
      <c r="G3760" s="392" t="n">
        <v>30</v>
      </c>
      <c r="H3760" s="446">
        <f>H3759-G3760</f>
        <v/>
      </c>
      <c r="I3760" s="392" t="n"/>
      <c r="J3760" s="392" t="n"/>
      <c r="K3760" s="392" t="n"/>
      <c r="L3760" s="392" t="n"/>
      <c r="M3760" s="392" t="n"/>
    </row>
    <row r="3761">
      <c r="A3761" s="568" t="n">
        <v>45083</v>
      </c>
      <c r="B3761" s="392" t="n">
        <v>10194</v>
      </c>
      <c r="C3761" s="392" t="n">
        <v>98</v>
      </c>
      <c r="D3761" s="392" t="n"/>
      <c r="E3761" s="392" t="n"/>
      <c r="F3761" s="392" t="n"/>
      <c r="G3761" s="392" t="n">
        <v>20</v>
      </c>
      <c r="H3761" s="446">
        <f>H3760-G3761</f>
        <v/>
      </c>
      <c r="I3761" s="392" t="n"/>
      <c r="J3761" s="392" t="n"/>
      <c r="K3761" s="392" t="n"/>
      <c r="L3761" s="392" t="n"/>
      <c r="M3761" s="392" t="n"/>
    </row>
    <row r="3762">
      <c r="A3762" s="568" t="n">
        <v>45083</v>
      </c>
      <c r="B3762" s="392" t="n">
        <v>10195</v>
      </c>
      <c r="C3762" s="392" t="n">
        <v>98.34999999999999</v>
      </c>
      <c r="D3762" s="392" t="n"/>
      <c r="E3762" s="392" t="n"/>
      <c r="F3762" s="392" t="n"/>
      <c r="G3762" s="392" t="n">
        <v>20</v>
      </c>
      <c r="H3762" s="446">
        <f>H3761-G3762</f>
        <v/>
      </c>
      <c r="I3762" s="392" t="n"/>
      <c r="J3762" s="392" t="n"/>
      <c r="K3762" s="392" t="n"/>
      <c r="L3762" s="392" t="n"/>
      <c r="M3762" s="392" t="n"/>
    </row>
    <row r="3763">
      <c r="A3763" s="568" t="n">
        <v>45083</v>
      </c>
      <c r="B3763" s="392" t="n">
        <v>10196</v>
      </c>
      <c r="C3763" s="392" t="n">
        <v>98</v>
      </c>
      <c r="D3763" s="392" t="n"/>
      <c r="E3763" s="392" t="n"/>
      <c r="F3763" s="392" t="n"/>
      <c r="G3763" s="392" t="n">
        <v>30</v>
      </c>
      <c r="H3763" s="446">
        <f>H3762-G3763</f>
        <v/>
      </c>
      <c r="I3763" s="392" t="n"/>
      <c r="J3763" s="392" t="n"/>
      <c r="K3763" s="392" t="n"/>
      <c r="L3763" s="392" t="n"/>
      <c r="M3763" s="392" t="n"/>
    </row>
    <row r="3764">
      <c r="A3764" s="568" t="n">
        <v>45083</v>
      </c>
      <c r="B3764" s="392" t="n">
        <v>10197</v>
      </c>
      <c r="C3764" s="392" t="n">
        <v>105</v>
      </c>
      <c r="D3764" s="392" t="n"/>
      <c r="E3764" s="392" t="n"/>
      <c r="F3764" s="392" t="n"/>
      <c r="G3764" s="392" t="n">
        <v>20</v>
      </c>
      <c r="H3764" s="446">
        <f>H3763-G3764</f>
        <v/>
      </c>
      <c r="I3764" s="392" t="n"/>
      <c r="J3764" s="392" t="n"/>
      <c r="K3764" s="392" t="n"/>
      <c r="L3764" s="392" t="n"/>
      <c r="M3764" s="392" t="n"/>
    </row>
    <row r="3765">
      <c r="A3765" s="568" t="n">
        <v>45083</v>
      </c>
      <c r="B3765" s="392" t="n">
        <v>10202</v>
      </c>
      <c r="C3765" s="392" t="n">
        <v>95</v>
      </c>
      <c r="D3765" s="392" t="n"/>
      <c r="E3765" s="392" t="n"/>
      <c r="F3765" s="392" t="n"/>
      <c r="G3765" s="392" t="n">
        <v>50</v>
      </c>
      <c r="H3765" s="446">
        <f>H3764-G3765</f>
        <v/>
      </c>
      <c r="I3765" s="392" t="n"/>
      <c r="J3765" s="392" t="n"/>
      <c r="K3765" s="392" t="n"/>
      <c r="L3765" s="392" t="n"/>
      <c r="M3765" s="392" t="n"/>
    </row>
    <row r="3766">
      <c r="A3766" s="568" t="n">
        <v>45086</v>
      </c>
      <c r="B3766" s="392" t="n">
        <v>10204</v>
      </c>
      <c r="C3766" s="392" t="n">
        <v>100</v>
      </c>
      <c r="D3766" s="392" t="n"/>
      <c r="E3766" s="392" t="n"/>
      <c r="F3766" s="392" t="n"/>
      <c r="G3766" s="392" t="n">
        <v>10</v>
      </c>
      <c r="H3766" s="446">
        <f>H3765-G3766</f>
        <v/>
      </c>
      <c r="I3766" s="392" t="n"/>
      <c r="J3766" s="392" t="n"/>
      <c r="K3766" s="392" t="n"/>
      <c r="L3766" s="392" t="n"/>
      <c r="M3766" s="392" t="n"/>
    </row>
    <row r="3767">
      <c r="A3767" s="568" t="n">
        <v>45086</v>
      </c>
      <c r="B3767" s="392" t="n">
        <v>10205</v>
      </c>
      <c r="C3767" s="392" t="n">
        <v>100</v>
      </c>
      <c r="D3767" s="392" t="n"/>
      <c r="E3767" s="392" t="n"/>
      <c r="F3767" s="392" t="n"/>
      <c r="G3767" s="392" t="n">
        <v>30</v>
      </c>
      <c r="H3767" s="446">
        <f>H3766-G3767</f>
        <v/>
      </c>
      <c r="I3767" s="392" t="n"/>
      <c r="J3767" s="392" t="n"/>
      <c r="K3767" s="392" t="n"/>
      <c r="L3767" s="392" t="n"/>
      <c r="M3767" s="392" t="n"/>
    </row>
    <row r="3768">
      <c r="A3768" s="568" t="n">
        <v>45087</v>
      </c>
      <c r="B3768" s="392" t="n">
        <v>10208</v>
      </c>
      <c r="C3768" s="392" t="n">
        <v>90</v>
      </c>
      <c r="D3768" s="392" t="n"/>
      <c r="E3768" s="392" t="n"/>
      <c r="F3768" s="392" t="n"/>
      <c r="G3768" s="392" t="n">
        <v>200</v>
      </c>
      <c r="H3768" s="446">
        <f>H3767-G3768</f>
        <v/>
      </c>
      <c r="I3768" s="392" t="n"/>
      <c r="J3768" s="392" t="n"/>
      <c r="K3768" s="392" t="n"/>
      <c r="L3768" s="392" t="n"/>
      <c r="M3768" s="392" t="n"/>
    </row>
    <row r="3769">
      <c r="A3769" s="568" t="n">
        <v>45089</v>
      </c>
      <c r="B3769" s="392" t="n">
        <v>10210</v>
      </c>
      <c r="C3769" s="392" t="n">
        <v>98</v>
      </c>
      <c r="D3769" s="392" t="n"/>
      <c r="E3769" s="392" t="n"/>
      <c r="F3769" s="392" t="n"/>
      <c r="G3769" s="392" t="n">
        <v>100</v>
      </c>
      <c r="H3769" s="446">
        <f>H3768-G3769</f>
        <v/>
      </c>
      <c r="I3769" s="392" t="n"/>
      <c r="J3769" s="392" t="n"/>
      <c r="K3769" s="392" t="n"/>
      <c r="L3769" s="392" t="n"/>
      <c r="M3769" s="392" t="n"/>
    </row>
    <row r="3770">
      <c r="A3770" s="568" t="n">
        <v>45089</v>
      </c>
      <c r="B3770" s="392" t="n">
        <v>10211</v>
      </c>
      <c r="C3770" s="392" t="n">
        <v>105</v>
      </c>
      <c r="D3770" s="392" t="n"/>
      <c r="E3770" s="392" t="n"/>
      <c r="F3770" s="392" t="n"/>
      <c r="G3770" s="392" t="n">
        <v>20</v>
      </c>
      <c r="H3770" s="446">
        <f>H3769-G3770</f>
        <v/>
      </c>
      <c r="I3770" s="392" t="n"/>
      <c r="J3770" s="392" t="n"/>
      <c r="K3770" s="392" t="n"/>
      <c r="L3770" s="392" t="n"/>
      <c r="M3770" s="392" t="n"/>
    </row>
    <row r="3771">
      <c r="A3771" s="568" t="n">
        <v>45089</v>
      </c>
      <c r="B3771" s="392" t="n">
        <v>10213</v>
      </c>
      <c r="C3771" s="392" t="n">
        <v>105</v>
      </c>
      <c r="D3771" s="392" t="n"/>
      <c r="E3771" s="392" t="n"/>
      <c r="F3771" s="392" t="n"/>
      <c r="G3771" s="392" t="n">
        <v>30</v>
      </c>
      <c r="H3771" s="446">
        <f>H3770-G3771</f>
        <v/>
      </c>
      <c r="I3771" s="392" t="n"/>
      <c r="J3771" s="392" t="n"/>
      <c r="K3771" s="392" t="n"/>
      <c r="L3771" s="392" t="n"/>
      <c r="M3771" s="392" t="n"/>
    </row>
    <row r="3772">
      <c r="A3772" s="568" t="n">
        <v>45089</v>
      </c>
      <c r="B3772" s="392" t="n">
        <v>10215</v>
      </c>
      <c r="C3772" s="392" t="n">
        <v>97</v>
      </c>
      <c r="D3772" s="392" t="n"/>
      <c r="E3772" s="392" t="n"/>
      <c r="F3772" s="392" t="n"/>
      <c r="G3772" s="392" t="n">
        <v>20</v>
      </c>
      <c r="H3772" s="446">
        <f>H3771-G3772</f>
        <v/>
      </c>
      <c r="I3772" s="392" t="n"/>
      <c r="J3772" s="392" t="n"/>
      <c r="K3772" s="392" t="n"/>
      <c r="L3772" s="392" t="n"/>
      <c r="M3772" s="392" t="n"/>
    </row>
    <row r="3773">
      <c r="A3773" s="568" t="n">
        <v>45089</v>
      </c>
      <c r="B3773" s="392" t="n">
        <v>10218</v>
      </c>
      <c r="C3773" s="392" t="n">
        <v>97</v>
      </c>
      <c r="D3773" s="392" t="n"/>
      <c r="E3773" s="392" t="n"/>
      <c r="F3773" s="392" t="n"/>
      <c r="G3773" s="392" t="n">
        <v>50</v>
      </c>
      <c r="H3773" s="446">
        <f>H3772-G3773</f>
        <v/>
      </c>
      <c r="I3773" s="392" t="n"/>
      <c r="J3773" s="392" t="n"/>
      <c r="K3773" s="392" t="n"/>
      <c r="L3773" s="392" t="n"/>
      <c r="M3773" s="392" t="n"/>
    </row>
    <row r="3774">
      <c r="A3774" s="568" t="n">
        <v>45091</v>
      </c>
      <c r="B3774" s="392" t="n">
        <v>10220</v>
      </c>
      <c r="C3774" s="392" t="n">
        <v>98</v>
      </c>
      <c r="D3774" s="392" t="n"/>
      <c r="E3774" s="392" t="n"/>
      <c r="F3774" s="392" t="n"/>
      <c r="G3774" s="392" t="n">
        <v>20</v>
      </c>
      <c r="H3774" s="446">
        <f>H3773-G3774</f>
        <v/>
      </c>
      <c r="I3774" s="392" t="n"/>
      <c r="J3774" s="392" t="n"/>
      <c r="K3774" s="392" t="n"/>
      <c r="L3774" s="392" t="n"/>
      <c r="M3774" s="392" t="n"/>
    </row>
    <row r="3775">
      <c r="A3775" s="568" t="n">
        <v>45091</v>
      </c>
      <c r="B3775" s="392" t="n">
        <v>10222</v>
      </c>
      <c r="C3775" s="392" t="n">
        <v>98</v>
      </c>
      <c r="D3775" s="392" t="n"/>
      <c r="E3775" s="392" t="n"/>
      <c r="F3775" s="392" t="n"/>
      <c r="G3775" s="392" t="n">
        <v>30</v>
      </c>
      <c r="H3775" s="446">
        <f>H3774-G3775</f>
        <v/>
      </c>
      <c r="I3775" s="392" t="n"/>
      <c r="J3775" s="392" t="n"/>
      <c r="K3775" s="392" t="n"/>
      <c r="L3775" s="392" t="n"/>
      <c r="M3775" s="392" t="n"/>
    </row>
    <row r="3776">
      <c r="A3776" s="568" t="n">
        <v>45091</v>
      </c>
      <c r="B3776" s="392" t="n">
        <v>10224</v>
      </c>
      <c r="C3776" s="392" t="n">
        <v>101</v>
      </c>
      <c r="D3776" s="392" t="n"/>
      <c r="E3776" s="392" t="n"/>
      <c r="F3776" s="392" t="n"/>
      <c r="G3776" s="392" t="n">
        <v>20</v>
      </c>
      <c r="H3776" s="446">
        <f>H3775-G3776</f>
        <v/>
      </c>
      <c r="I3776" s="392" t="n"/>
      <c r="J3776" s="392" t="n"/>
      <c r="K3776" s="392" t="n"/>
      <c r="L3776" s="392" t="n"/>
      <c r="M3776" s="392" t="n"/>
    </row>
    <row r="3777">
      <c r="A3777" s="568" t="n">
        <v>45095</v>
      </c>
      <c r="B3777" s="392" t="n">
        <v>10225</v>
      </c>
      <c r="C3777" s="392" t="n">
        <v>90</v>
      </c>
      <c r="D3777" s="392" t="n"/>
      <c r="E3777" s="392" t="n"/>
      <c r="F3777" s="392" t="n"/>
      <c r="G3777" s="392" t="n">
        <v>200</v>
      </c>
      <c r="H3777" s="446">
        <f>H3776-G3777</f>
        <v/>
      </c>
      <c r="I3777" s="392" t="n"/>
      <c r="J3777" s="392" t="n"/>
      <c r="K3777" s="392" t="n"/>
      <c r="L3777" s="392" t="n"/>
      <c r="M3777" s="392" t="n"/>
    </row>
    <row r="3778">
      <c r="A3778" s="568" t="n">
        <v>45095</v>
      </c>
      <c r="B3778" s="392" t="n">
        <v>10226</v>
      </c>
      <c r="C3778" s="392" t="n">
        <v>92</v>
      </c>
      <c r="D3778" s="392" t="n"/>
      <c r="E3778" s="392" t="n"/>
      <c r="F3778" s="392" t="n"/>
      <c r="G3778" s="392" t="n">
        <v>300</v>
      </c>
      <c r="H3778" s="446">
        <f>H3777-G3778</f>
        <v/>
      </c>
      <c r="I3778" s="392" t="n"/>
      <c r="J3778" s="392" t="n"/>
      <c r="K3778" s="392" t="n"/>
      <c r="L3778" s="392" t="n"/>
      <c r="M3778" s="392" t="n"/>
    </row>
    <row r="3779">
      <c r="A3779" s="568" t="n">
        <v>45095</v>
      </c>
      <c r="B3779" s="392" t="n">
        <v>10227</v>
      </c>
      <c r="C3779" s="392" t="n">
        <v>102</v>
      </c>
      <c r="D3779" s="392" t="n"/>
      <c r="E3779" s="392" t="n"/>
      <c r="F3779" s="392" t="n"/>
      <c r="G3779" s="392" t="n">
        <v>100</v>
      </c>
      <c r="H3779" s="446">
        <f>H3778-G3779</f>
        <v/>
      </c>
      <c r="I3779" s="392" t="n"/>
      <c r="J3779" s="392" t="n"/>
      <c r="K3779" s="392" t="n"/>
      <c r="L3779" s="392" t="n"/>
      <c r="M3779" s="392" t="n"/>
    </row>
    <row r="3780">
      <c r="A3780" s="304" t="n">
        <v>45096</v>
      </c>
      <c r="B3780" s="401" t="n">
        <v>219917</v>
      </c>
      <c r="C3780" s="401" t="n">
        <v>77</v>
      </c>
      <c r="D3780" s="401" t="n"/>
      <c r="E3780" s="401" t="n"/>
      <c r="F3780" s="401" t="n">
        <v>100</v>
      </c>
      <c r="G3780" s="401" t="n"/>
      <c r="H3780" s="322" t="n">
        <v>1788</v>
      </c>
      <c r="I3780" s="392" t="n"/>
      <c r="J3780" s="392" t="n"/>
      <c r="K3780" s="392" t="n"/>
      <c r="L3780" s="392" t="n"/>
      <c r="M3780" s="392" t="n"/>
    </row>
    <row r="3781">
      <c r="A3781" s="568" t="n">
        <v>45096</v>
      </c>
      <c r="B3781" s="392" t="n">
        <v>10229</v>
      </c>
      <c r="C3781" s="392" t="n">
        <v>102</v>
      </c>
      <c r="D3781" s="392" t="n"/>
      <c r="E3781" s="392" t="n"/>
      <c r="F3781" s="392" t="n"/>
      <c r="G3781" s="392" t="n">
        <v>50</v>
      </c>
      <c r="H3781" s="446">
        <f>H3780-G3781</f>
        <v/>
      </c>
      <c r="I3781" s="392" t="n"/>
      <c r="J3781" s="392" t="n"/>
      <c r="K3781" s="392" t="n"/>
      <c r="L3781" s="392" t="n"/>
      <c r="M3781" s="392" t="n"/>
    </row>
    <row r="3782">
      <c r="A3782" s="568" t="n">
        <v>45096</v>
      </c>
      <c r="B3782" s="392" t="n">
        <v>10230</v>
      </c>
      <c r="C3782" s="392" t="n">
        <v>102</v>
      </c>
      <c r="D3782" s="392" t="n"/>
      <c r="E3782" s="392" t="n"/>
      <c r="F3782" s="392" t="n"/>
      <c r="G3782" s="392" t="n">
        <v>20</v>
      </c>
      <c r="H3782" s="446">
        <f>H3781-G3782</f>
        <v/>
      </c>
      <c r="I3782" s="392" t="n"/>
      <c r="J3782" s="392" t="n"/>
      <c r="K3782" s="392" t="n"/>
      <c r="L3782" s="392" t="n"/>
      <c r="M3782" s="392" t="n"/>
    </row>
    <row r="3783">
      <c r="A3783" s="568" t="n">
        <v>45096</v>
      </c>
      <c r="B3783" s="392" t="n">
        <v>10231</v>
      </c>
      <c r="C3783" s="392" t="n">
        <v>94</v>
      </c>
      <c r="D3783" s="392" t="n"/>
      <c r="E3783" s="392" t="n"/>
      <c r="F3783" s="392" t="n"/>
      <c r="G3783" s="392" t="n">
        <v>50</v>
      </c>
      <c r="H3783" s="446">
        <f>H3782-G3783</f>
        <v/>
      </c>
      <c r="I3783" s="392" t="n"/>
      <c r="J3783" s="392" t="n"/>
      <c r="K3783" s="392" t="n"/>
      <c r="L3783" s="392" t="n"/>
      <c r="M3783" s="392" t="n"/>
    </row>
    <row r="3784">
      <c r="A3784" s="568" t="n">
        <v>45096</v>
      </c>
      <c r="B3784" s="392" t="n">
        <v>10233</v>
      </c>
      <c r="C3784" s="392" t="n">
        <v>105</v>
      </c>
      <c r="D3784" s="392" t="n"/>
      <c r="E3784" s="392" t="n"/>
      <c r="F3784" s="392" t="n"/>
      <c r="G3784" s="392" t="n">
        <v>30</v>
      </c>
      <c r="H3784" s="446">
        <f>H3783-G3784</f>
        <v/>
      </c>
      <c r="I3784" s="392" t="n"/>
      <c r="J3784" s="392" t="n"/>
      <c r="K3784" s="392" t="n"/>
      <c r="L3784" s="392" t="n"/>
      <c r="M3784" s="392" t="n"/>
    </row>
    <row r="3785">
      <c r="A3785" s="568" t="n">
        <v>45096</v>
      </c>
      <c r="B3785" s="392" t="n">
        <v>10234</v>
      </c>
      <c r="C3785" s="392" t="n">
        <v>95</v>
      </c>
      <c r="D3785" s="392" t="n"/>
      <c r="E3785" s="392" t="n"/>
      <c r="F3785" s="392" t="n"/>
      <c r="G3785" s="392" t="n">
        <v>50</v>
      </c>
      <c r="H3785" s="446">
        <f>H3784-G3785</f>
        <v/>
      </c>
      <c r="I3785" s="392" t="n"/>
      <c r="J3785" s="392" t="n"/>
      <c r="K3785" s="392" t="n"/>
      <c r="L3785" s="392" t="n"/>
      <c r="M3785" s="392" t="n"/>
    </row>
    <row r="3786">
      <c r="A3786" s="568" t="n">
        <v>45096</v>
      </c>
      <c r="B3786" s="392" t="n">
        <v>10235</v>
      </c>
      <c r="C3786" s="392" t="n">
        <v>98</v>
      </c>
      <c r="D3786" s="392" t="n"/>
      <c r="E3786" s="392" t="n"/>
      <c r="F3786" s="392" t="n"/>
      <c r="G3786" s="392" t="n">
        <v>30</v>
      </c>
      <c r="H3786" s="446">
        <f>H3785-G3786</f>
        <v/>
      </c>
      <c r="I3786" s="392" t="n"/>
      <c r="J3786" s="392" t="n"/>
      <c r="K3786" s="392" t="n"/>
      <c r="L3786" s="392" t="n"/>
      <c r="M3786" s="392" t="n"/>
    </row>
    <row r="3787">
      <c r="A3787" s="568" t="n">
        <v>45098</v>
      </c>
      <c r="B3787" s="392" t="n">
        <v>10237</v>
      </c>
      <c r="C3787" s="392" t="n">
        <v>97</v>
      </c>
      <c r="D3787" s="392" t="n"/>
      <c r="E3787" s="392" t="n"/>
      <c r="F3787" s="392" t="n"/>
      <c r="G3787" s="392" t="n">
        <v>30</v>
      </c>
      <c r="H3787" s="446">
        <f>H3786-G3787</f>
        <v/>
      </c>
      <c r="I3787" s="392" t="n"/>
      <c r="J3787" s="392" t="n"/>
      <c r="K3787" s="392" t="n"/>
      <c r="L3787" s="392" t="n"/>
      <c r="M3787" s="392" t="n"/>
    </row>
    <row r="3788">
      <c r="A3788" s="568" t="n">
        <v>45098</v>
      </c>
      <c r="B3788" s="392" t="n">
        <v>10238</v>
      </c>
      <c r="C3788" s="392" t="n">
        <v>99</v>
      </c>
      <c r="D3788" s="392" t="n"/>
      <c r="E3788" s="392" t="n"/>
      <c r="F3788" s="392" t="n"/>
      <c r="G3788" s="392" t="n">
        <v>20</v>
      </c>
      <c r="H3788" s="446">
        <f>H3787-G3788</f>
        <v/>
      </c>
      <c r="I3788" s="392" t="n"/>
      <c r="J3788" s="392" t="n"/>
      <c r="K3788" s="392" t="n"/>
      <c r="L3788" s="392" t="n"/>
      <c r="M3788" s="392" t="n"/>
    </row>
    <row r="3789">
      <c r="A3789" s="568" t="n">
        <v>45098</v>
      </c>
      <c r="B3789" s="392" t="n">
        <v>10239</v>
      </c>
      <c r="C3789" s="392" t="n">
        <v>99</v>
      </c>
      <c r="D3789" s="392" t="n"/>
      <c r="E3789" s="392" t="n"/>
      <c r="F3789" s="392" t="n"/>
      <c r="G3789" s="392" t="n">
        <v>10</v>
      </c>
      <c r="H3789" s="446">
        <f>H3788-G3789</f>
        <v/>
      </c>
      <c r="I3789" s="392" t="n"/>
      <c r="J3789" s="392" t="n"/>
      <c r="K3789" s="392" t="n"/>
      <c r="L3789" s="392" t="n"/>
      <c r="M3789" s="392" t="n"/>
    </row>
    <row r="3790">
      <c r="A3790" s="568" t="n">
        <v>45098</v>
      </c>
      <c r="B3790" s="392" t="n">
        <v>10240</v>
      </c>
      <c r="C3790" s="392" t="n">
        <v>98</v>
      </c>
      <c r="D3790" s="392" t="n"/>
      <c r="E3790" s="392" t="n"/>
      <c r="F3790" s="392" t="n"/>
      <c r="G3790" s="392" t="n">
        <v>20</v>
      </c>
      <c r="H3790" s="446">
        <f>H3789-G3790</f>
        <v/>
      </c>
      <c r="I3790" s="392" t="n"/>
      <c r="J3790" s="392" t="n"/>
      <c r="K3790" s="392" t="n"/>
      <c r="L3790" s="392" t="n"/>
      <c r="M3790" s="392" t="n"/>
    </row>
    <row r="3791">
      <c r="A3791" s="568" t="n">
        <v>45098</v>
      </c>
      <c r="B3791" s="392" t="n">
        <v>10244</v>
      </c>
      <c r="C3791" s="392" t="n">
        <v>97</v>
      </c>
      <c r="D3791" s="392" t="n"/>
      <c r="E3791" s="392" t="n"/>
      <c r="F3791" s="392" t="n"/>
      <c r="G3791" s="392" t="n">
        <v>10</v>
      </c>
      <c r="H3791" s="446">
        <f>H3790-G3791</f>
        <v/>
      </c>
      <c r="I3791" s="392" t="n"/>
      <c r="J3791" s="392" t="n"/>
      <c r="K3791" s="392" t="n"/>
      <c r="L3791" s="392" t="n"/>
      <c r="M3791" s="392" t="n"/>
    </row>
    <row r="3792">
      <c r="A3792" s="568" t="n">
        <v>45098</v>
      </c>
      <c r="B3792" s="392" t="n">
        <v>10245</v>
      </c>
      <c r="C3792" s="392" t="n">
        <v>101</v>
      </c>
      <c r="D3792" s="392" t="n"/>
      <c r="E3792" s="392" t="n"/>
      <c r="F3792" s="392" t="n"/>
      <c r="G3792" s="392" t="n">
        <v>30</v>
      </c>
      <c r="H3792" s="446">
        <f>H3791-G3792</f>
        <v/>
      </c>
      <c r="I3792" s="392" t="n"/>
      <c r="J3792" s="392" t="n"/>
      <c r="K3792" s="392" t="n"/>
      <c r="L3792" s="392" t="n"/>
      <c r="M3792" s="392" t="n"/>
    </row>
    <row r="3793">
      <c r="A3793" s="568" t="n">
        <v>45099</v>
      </c>
      <c r="B3793" s="392" t="n">
        <v>10249</v>
      </c>
      <c r="C3793" s="392" t="n">
        <v>100</v>
      </c>
      <c r="D3793" s="392" t="n"/>
      <c r="E3793" s="392" t="n"/>
      <c r="F3793" s="392" t="n"/>
      <c r="G3793" s="392" t="n">
        <v>30</v>
      </c>
      <c r="H3793" s="446">
        <f>H3792-G3793</f>
        <v/>
      </c>
      <c r="I3793" s="392" t="n"/>
      <c r="J3793" s="392" t="n"/>
      <c r="K3793" s="392" t="n"/>
      <c r="L3793" s="392" t="n"/>
      <c r="M3793" s="392" t="n"/>
    </row>
    <row r="3794">
      <c r="A3794" s="568" t="n">
        <v>45103</v>
      </c>
      <c r="B3794" s="392" t="n">
        <v>10250</v>
      </c>
      <c r="C3794" s="392" t="n">
        <v>100</v>
      </c>
      <c r="D3794" s="392" t="n"/>
      <c r="E3794" s="392" t="n"/>
      <c r="F3794" s="392" t="n"/>
      <c r="G3794" s="392" t="n">
        <v>5</v>
      </c>
      <c r="H3794" s="446">
        <f>H3793-G3794</f>
        <v/>
      </c>
      <c r="I3794" s="392" t="n"/>
      <c r="J3794" s="392" t="n"/>
      <c r="K3794" s="392" t="n"/>
      <c r="L3794" s="392" t="n"/>
      <c r="M3794" s="392" t="n"/>
    </row>
    <row r="3795">
      <c r="A3795" s="568" t="n">
        <v>45104</v>
      </c>
      <c r="B3795" s="392" t="n">
        <v>10253</v>
      </c>
      <c r="C3795" s="392" t="n">
        <v>98</v>
      </c>
      <c r="D3795" s="392" t="n"/>
      <c r="E3795" s="392" t="n"/>
      <c r="F3795" s="392" t="n"/>
      <c r="G3795" s="392" t="n">
        <v>20</v>
      </c>
      <c r="H3795" s="446">
        <f>H3794-G3795</f>
        <v/>
      </c>
      <c r="I3795" s="392" t="n"/>
      <c r="J3795" s="392" t="n"/>
      <c r="K3795" s="392" t="n"/>
      <c r="L3795" s="392" t="n"/>
      <c r="M3795" s="392" t="n"/>
    </row>
    <row r="3796">
      <c r="A3796" s="568" t="n">
        <v>45104</v>
      </c>
      <c r="B3796" s="392" t="n">
        <v>10254</v>
      </c>
      <c r="C3796" s="392" t="n">
        <v>105</v>
      </c>
      <c r="D3796" s="392" t="n"/>
      <c r="E3796" s="392" t="n"/>
      <c r="F3796" s="392" t="n"/>
      <c r="G3796" s="392" t="n">
        <v>20</v>
      </c>
      <c r="H3796" s="446">
        <f>H3795-G3796</f>
        <v/>
      </c>
      <c r="I3796" s="392" t="n"/>
      <c r="J3796" s="392" t="n"/>
      <c r="K3796" s="392" t="n"/>
      <c r="L3796" s="392" t="n"/>
      <c r="M3796" s="392" t="n"/>
    </row>
    <row r="3797">
      <c r="A3797" s="568" t="n">
        <v>45104</v>
      </c>
      <c r="B3797" s="392" t="n">
        <v>10256</v>
      </c>
      <c r="C3797" s="392" t="n">
        <v>105</v>
      </c>
      <c r="D3797" s="392" t="n"/>
      <c r="E3797" s="392" t="n"/>
      <c r="F3797" s="392" t="n"/>
      <c r="G3797" s="392" t="n">
        <v>20</v>
      </c>
      <c r="H3797" s="446">
        <f>H3796-G3797</f>
        <v/>
      </c>
      <c r="I3797" s="392" t="n"/>
      <c r="J3797" s="392" t="n"/>
      <c r="K3797" s="392" t="n"/>
      <c r="L3797" s="392" t="n"/>
      <c r="M3797" s="392" t="n"/>
    </row>
    <row r="3798">
      <c r="A3798" s="568" t="n">
        <v>45104</v>
      </c>
      <c r="B3798" s="392" t="n">
        <v>10257</v>
      </c>
      <c r="C3798" s="392" t="n">
        <v>105</v>
      </c>
      <c r="D3798" s="392" t="n"/>
      <c r="E3798" s="392" t="n"/>
      <c r="F3798" s="392" t="n"/>
      <c r="G3798" s="392" t="n">
        <v>30</v>
      </c>
      <c r="H3798" s="446">
        <f>H3797-G3798</f>
        <v/>
      </c>
      <c r="I3798" s="392" t="n"/>
      <c r="J3798" s="392" t="n"/>
      <c r="K3798" s="392" t="n"/>
      <c r="L3798" s="392" t="n"/>
      <c r="M3798" s="392" t="n"/>
    </row>
    <row r="3799">
      <c r="A3799" s="568" t="n">
        <v>45104</v>
      </c>
      <c r="B3799" s="392" t="n">
        <v>10259</v>
      </c>
      <c r="C3799" s="392" t="n">
        <v>99.65000000000001</v>
      </c>
      <c r="D3799" s="392" t="n"/>
      <c r="E3799" s="392" t="n"/>
      <c r="F3799" s="392" t="n"/>
      <c r="G3799" s="392" t="n">
        <v>20</v>
      </c>
      <c r="H3799" s="446">
        <f>H3798-G3799</f>
        <v/>
      </c>
      <c r="I3799" s="392" t="n"/>
      <c r="J3799" s="392" t="n"/>
      <c r="K3799" s="392" t="n"/>
      <c r="L3799" s="392" t="n"/>
      <c r="M3799" s="392" t="n"/>
    </row>
    <row r="3800">
      <c r="A3800" s="568" t="n">
        <v>45104</v>
      </c>
      <c r="B3800" s="392" t="n">
        <v>10265</v>
      </c>
      <c r="C3800" s="392" t="n">
        <v>105</v>
      </c>
      <c r="D3800" s="392" t="n"/>
      <c r="E3800" s="392" t="n"/>
      <c r="F3800" s="392" t="n"/>
      <c r="G3800" s="392" t="n">
        <v>10</v>
      </c>
      <c r="H3800" s="446">
        <f>H3799-G3800</f>
        <v/>
      </c>
      <c r="I3800" s="392" t="n"/>
      <c r="J3800" s="392" t="n"/>
      <c r="K3800" s="392" t="n"/>
      <c r="L3800" s="392" t="n"/>
      <c r="M3800" s="392" t="n"/>
    </row>
    <row r="3801">
      <c r="A3801" s="568" t="n">
        <v>45105</v>
      </c>
      <c r="B3801" s="392" t="n">
        <v>10266</v>
      </c>
      <c r="C3801" s="392" t="n">
        <v>98.34</v>
      </c>
      <c r="D3801" s="392" t="n"/>
      <c r="E3801" s="392" t="n"/>
      <c r="F3801" s="392" t="n"/>
      <c r="G3801" s="392" t="n">
        <v>42</v>
      </c>
      <c r="H3801" s="446">
        <f>H3800-G3801</f>
        <v/>
      </c>
      <c r="I3801" s="392" t="n"/>
      <c r="J3801" s="392" t="n"/>
      <c r="K3801" s="392" t="n"/>
      <c r="L3801" s="392" t="n"/>
      <c r="M3801" s="392" t="n"/>
    </row>
    <row r="3802">
      <c r="A3802" s="568" t="n">
        <v>45106</v>
      </c>
      <c r="B3802" s="392" t="n">
        <v>10267</v>
      </c>
      <c r="C3802" s="392" t="n">
        <v>92</v>
      </c>
      <c r="D3802" s="392" t="n"/>
      <c r="E3802" s="392" t="n"/>
      <c r="F3802" s="392" t="n"/>
      <c r="G3802" s="392" t="n">
        <v>30</v>
      </c>
      <c r="H3802" s="446">
        <f>H3801-G3802</f>
        <v/>
      </c>
      <c r="I3802" s="392" t="n"/>
      <c r="J3802" s="392" t="n"/>
      <c r="K3802" s="392" t="n"/>
      <c r="L3802" s="392" t="n"/>
      <c r="M3802" s="392" t="n"/>
    </row>
    <row r="3803">
      <c r="A3803" s="304" t="n">
        <v>45107</v>
      </c>
      <c r="B3803" s="401" t="n">
        <v>33147</v>
      </c>
      <c r="C3803" s="401" t="n">
        <v>84</v>
      </c>
      <c r="D3803" s="401" t="n"/>
      <c r="E3803" s="401" t="n"/>
      <c r="F3803" s="401" t="n">
        <v>1120</v>
      </c>
      <c r="G3803" s="401" t="n"/>
      <c r="H3803" s="322" t="n">
        <v>2331</v>
      </c>
      <c r="I3803" s="392" t="n"/>
      <c r="J3803" s="392" t="n"/>
      <c r="K3803" s="392" t="n"/>
      <c r="L3803" s="392" t="n"/>
      <c r="M3803" s="392" t="n"/>
    </row>
    <row r="3804" ht="15.75" customHeight="1" s="436" thickBot="1">
      <c r="H3804" s="390" t="n"/>
    </row>
    <row r="3805" ht="32.25" customHeight="1" s="436" thickBot="1">
      <c r="A3805" s="735" t="inlineStr">
        <is>
          <t>Julho</t>
        </is>
      </c>
      <c r="B3805" s="697" t="n"/>
      <c r="C3805" s="697" t="n"/>
      <c r="D3805" s="697" t="n"/>
      <c r="E3805" s="697" t="n"/>
      <c r="F3805" s="697" t="n"/>
      <c r="G3805" s="697" t="n"/>
      <c r="H3805" s="697" t="n"/>
      <c r="I3805" s="697" t="n"/>
      <c r="J3805" s="697" t="n"/>
      <c r="K3805" s="697" t="n"/>
      <c r="L3805" s="697" t="n"/>
      <c r="M3805" s="698" t="n"/>
    </row>
    <row r="3806" ht="27" customHeight="1" s="436" thickBot="1">
      <c r="A3806" s="720" t="inlineStr">
        <is>
          <t xml:space="preserve"> FARINHA DE TRIGO TIPO: 1 - 25 KG</t>
        </is>
      </c>
      <c r="B3806" s="697" t="n"/>
      <c r="C3806" s="697" t="n"/>
      <c r="D3806" s="697" t="n"/>
      <c r="E3806" s="697" t="n"/>
      <c r="F3806" s="697" t="n"/>
      <c r="G3806" s="697" t="n"/>
      <c r="H3806" s="697" t="n"/>
      <c r="I3806" s="697" t="n"/>
      <c r="J3806" s="697" t="n"/>
      <c r="K3806" s="697" t="n"/>
      <c r="L3806" s="697" t="n"/>
      <c r="M3806" s="698" t="n"/>
    </row>
    <row r="3807">
      <c r="A3807" s="643" t="inlineStr">
        <is>
          <t>DATA</t>
        </is>
      </c>
      <c r="B3807" s="633" t="inlineStr">
        <is>
          <t>N.F.</t>
        </is>
      </c>
      <c r="C3807" s="633" t="inlineStr">
        <is>
          <t>TIPO</t>
        </is>
      </c>
      <c r="D3807" s="670" t="inlineStr">
        <is>
          <t>PREÇO UNITÁRIO</t>
        </is>
      </c>
      <c r="E3807" s="701" t="n"/>
      <c r="F3807" s="633" t="inlineStr">
        <is>
          <t>QUANTIDADE / KG</t>
        </is>
      </c>
      <c r="H3807" s="701" t="n"/>
      <c r="I3807" s="632" t="inlineStr">
        <is>
          <t>PREÇO</t>
        </is>
      </c>
      <c r="J3807" s="632" t="inlineStr">
        <is>
          <t>VALORES</t>
        </is>
      </c>
      <c r="L3807" s="701" t="n"/>
      <c r="M3807" s="649" t="n"/>
    </row>
    <row r="3808" ht="15.75" customHeight="1" s="436" thickBot="1">
      <c r="A3808" s="703" t="n"/>
      <c r="B3808" s="704" t="n"/>
      <c r="C3808" s="704" t="n"/>
      <c r="D3808" s="703" t="n"/>
      <c r="E3808" s="701" t="n"/>
      <c r="F3808" s="705" t="n"/>
      <c r="G3808" s="706" t="n"/>
      <c r="H3808" s="707" t="n"/>
      <c r="I3808" s="704" t="n"/>
      <c r="J3808" s="703" t="n"/>
      <c r="L3808" s="701" t="n"/>
      <c r="M3808" s="704" t="n"/>
    </row>
    <row r="3809" ht="15.75" customHeight="1" s="436" thickBot="1">
      <c r="A3809" s="703" t="n"/>
      <c r="B3809" s="704" t="n"/>
      <c r="C3809" s="704" t="n"/>
      <c r="D3809" s="705" t="n"/>
      <c r="E3809" s="707" t="n"/>
      <c r="F3809" s="3" t="inlineStr">
        <is>
          <t>ENTRADA</t>
        </is>
      </c>
      <c r="G3809" s="3" t="inlineStr">
        <is>
          <t>SAÍDA</t>
        </is>
      </c>
      <c r="H3809" s="640" t="n"/>
      <c r="I3809" s="633" t="inlineStr">
        <is>
          <t>MÉDIO</t>
        </is>
      </c>
      <c r="J3809" s="652" t="inlineStr">
        <is>
          <t>SALDO EM 30/11/2017</t>
        </is>
      </c>
      <c r="K3809" s="706" t="n"/>
      <c r="L3809" s="17" t="n"/>
      <c r="M3809" s="704" t="n"/>
    </row>
    <row r="3810" ht="18" customHeight="1" s="436" thickBot="1">
      <c r="A3810" s="705" t="n"/>
      <c r="B3810" s="695" t="n"/>
      <c r="C3810" s="695" t="n"/>
      <c r="D3810" s="3" t="inlineStr">
        <is>
          <t>C/ICMS</t>
        </is>
      </c>
      <c r="E3810" s="3" t="inlineStr">
        <is>
          <t>S/ICMS</t>
        </is>
      </c>
      <c r="F3810" s="695" t="n"/>
      <c r="G3810" s="695" t="n"/>
      <c r="H3810" s="84" t="inlineStr">
        <is>
          <t>Saldo em 30/06/2022</t>
        </is>
      </c>
      <c r="I3810" s="695" t="n"/>
      <c r="J3810" s="645" t="inlineStr">
        <is>
          <t>ENTRADA</t>
        </is>
      </c>
      <c r="K3810" s="633" t="inlineStr">
        <is>
          <t>SAÍDA / CMV</t>
        </is>
      </c>
      <c r="L3810" s="643" t="inlineStr">
        <is>
          <t>SALDO</t>
        </is>
      </c>
      <c r="M3810" s="392" t="n"/>
    </row>
    <row r="3811">
      <c r="A3811" s="392" t="n"/>
      <c r="B3811" s="392" t="n"/>
      <c r="C3811" s="392" t="n"/>
      <c r="D3811" s="392" t="n"/>
      <c r="E3811" s="392" t="n"/>
      <c r="F3811" s="392" t="n"/>
      <c r="G3811" s="392" t="n"/>
      <c r="H3811" s="446" t="n">
        <v>2331</v>
      </c>
      <c r="I3811" s="392" t="n"/>
      <c r="J3811" s="392" t="n"/>
      <c r="K3811" s="392" t="n"/>
      <c r="L3811" s="392" t="n"/>
      <c r="M3811" s="392" t="n"/>
    </row>
    <row r="3812">
      <c r="A3812" s="334" t="n">
        <v>45103</v>
      </c>
      <c r="B3812" s="401" t="n">
        <v>32908</v>
      </c>
      <c r="C3812" s="401" t="n">
        <v>81</v>
      </c>
      <c r="D3812" s="401" t="n"/>
      <c r="E3812" s="401" t="n"/>
      <c r="F3812" s="401" t="n">
        <v>1120</v>
      </c>
      <c r="G3812" s="401" t="n"/>
      <c r="H3812" s="322" t="n">
        <v>3451</v>
      </c>
      <c r="I3812" s="392" t="n"/>
      <c r="J3812" s="392" t="n"/>
      <c r="K3812" s="392" t="n"/>
      <c r="L3812" s="392" t="n"/>
      <c r="M3812" s="392" t="n"/>
    </row>
    <row r="3813">
      <c r="A3813" s="568" t="n">
        <v>45112</v>
      </c>
      <c r="B3813" s="392" t="n">
        <v>10268</v>
      </c>
      <c r="C3813" s="392" t="n">
        <v>100</v>
      </c>
      <c r="D3813" s="392" t="n"/>
      <c r="E3813" s="392" t="n"/>
      <c r="F3813" s="392" t="n"/>
      <c r="G3813" s="392" t="n">
        <v>35</v>
      </c>
      <c r="H3813" s="446">
        <f>H3812-G3813</f>
        <v/>
      </c>
      <c r="I3813" s="392" t="n"/>
      <c r="J3813" s="392" t="n"/>
      <c r="K3813" s="392" t="n"/>
      <c r="L3813" s="392" t="n"/>
      <c r="M3813" s="392" t="n"/>
    </row>
    <row r="3814">
      <c r="A3814" s="568" t="n">
        <v>45112</v>
      </c>
      <c r="B3814" s="392" t="n">
        <v>10269</v>
      </c>
      <c r="C3814" s="392" t="n">
        <v>98.15000000000001</v>
      </c>
      <c r="D3814" s="392" t="n"/>
      <c r="E3814" s="392" t="n"/>
      <c r="F3814" s="392" t="n"/>
      <c r="G3814" s="392" t="n">
        <v>35</v>
      </c>
      <c r="H3814" s="446">
        <f>H3813-G3814</f>
        <v/>
      </c>
      <c r="I3814" s="392" t="n"/>
      <c r="J3814" s="392" t="n"/>
      <c r="K3814" s="392" t="n"/>
      <c r="L3814" s="392" t="n"/>
      <c r="M3814" s="392" t="n"/>
    </row>
    <row r="3815">
      <c r="A3815" s="568" t="n">
        <v>45112</v>
      </c>
      <c r="B3815" s="392" t="n">
        <v>10272</v>
      </c>
      <c r="C3815" s="392" t="n">
        <v>100</v>
      </c>
      <c r="D3815" s="392" t="n"/>
      <c r="E3815" s="392" t="n"/>
      <c r="F3815" s="392" t="n"/>
      <c r="G3815" s="392" t="n">
        <v>20</v>
      </c>
      <c r="H3815" s="446">
        <f>H3814-G3815</f>
        <v/>
      </c>
      <c r="I3815" s="392" t="n"/>
      <c r="J3815" s="392" t="n"/>
      <c r="K3815" s="392" t="n"/>
      <c r="L3815" s="392" t="n"/>
      <c r="M3815" s="392" t="n"/>
    </row>
    <row r="3816">
      <c r="A3816" s="568" t="n">
        <v>45112</v>
      </c>
      <c r="B3816" s="392" t="n">
        <v>10274</v>
      </c>
      <c r="C3816" s="392" t="n">
        <v>96</v>
      </c>
      <c r="D3816" s="392" t="n"/>
      <c r="E3816" s="392" t="n"/>
      <c r="F3816" s="392" t="n"/>
      <c r="G3816" s="392" t="n">
        <v>30</v>
      </c>
      <c r="H3816" s="446">
        <f>H3815-G3816</f>
        <v/>
      </c>
      <c r="I3816" s="392" t="n"/>
      <c r="J3816" s="392" t="n"/>
      <c r="K3816" s="392" t="n"/>
      <c r="L3816" s="392" t="n"/>
      <c r="M3816" s="392" t="n"/>
    </row>
    <row r="3817">
      <c r="A3817" s="568" t="n">
        <v>45112</v>
      </c>
      <c r="B3817" s="392" t="n">
        <v>10275</v>
      </c>
      <c r="C3817" s="392" t="n">
        <v>96</v>
      </c>
      <c r="D3817" s="392" t="n"/>
      <c r="E3817" s="392" t="n"/>
      <c r="F3817" s="392" t="n"/>
      <c r="G3817" s="392" t="n">
        <v>30</v>
      </c>
      <c r="H3817" s="446">
        <f>H3816-G3817</f>
        <v/>
      </c>
      <c r="I3817" s="392" t="n"/>
      <c r="J3817" s="392" t="n"/>
      <c r="K3817" s="392" t="n"/>
      <c r="L3817" s="392" t="n"/>
      <c r="M3817" s="392" t="n"/>
    </row>
    <row r="3818">
      <c r="A3818" s="568" t="n">
        <v>45112</v>
      </c>
      <c r="B3818" s="392" t="n">
        <v>10276</v>
      </c>
      <c r="C3818" s="392" t="n">
        <v>96</v>
      </c>
      <c r="D3818" s="392" t="n"/>
      <c r="E3818" s="392" t="n"/>
      <c r="F3818" s="392" t="n"/>
      <c r="G3818" s="392" t="n">
        <v>30</v>
      </c>
      <c r="H3818" s="446">
        <f>H3817-G3818</f>
        <v/>
      </c>
      <c r="I3818" s="392" t="n"/>
      <c r="J3818" s="392" t="n"/>
      <c r="K3818" s="392" t="n"/>
      <c r="L3818" s="392" t="n"/>
      <c r="M3818" s="392" t="n"/>
    </row>
    <row r="3819">
      <c r="A3819" s="568" t="n">
        <v>45112</v>
      </c>
      <c r="B3819" s="392" t="n">
        <v>10279</v>
      </c>
      <c r="C3819" s="392" t="n">
        <v>96</v>
      </c>
      <c r="D3819" s="392" t="n"/>
      <c r="E3819" s="392" t="n"/>
      <c r="F3819" s="392" t="n"/>
      <c r="G3819" s="392" t="n">
        <v>10</v>
      </c>
      <c r="H3819" s="446">
        <f>H3818-G3819</f>
        <v/>
      </c>
      <c r="I3819" s="392" t="n"/>
      <c r="J3819" s="392" t="n"/>
      <c r="K3819" s="392" t="n"/>
      <c r="L3819" s="392" t="n"/>
      <c r="M3819" s="392" t="n"/>
    </row>
    <row r="3820">
      <c r="A3820" s="568" t="n">
        <v>45112</v>
      </c>
      <c r="B3820" s="392" t="n">
        <v>10281</v>
      </c>
      <c r="C3820" s="392" t="n">
        <v>98</v>
      </c>
      <c r="D3820" s="392" t="n"/>
      <c r="E3820" s="392" t="n"/>
      <c r="F3820" s="392" t="n"/>
      <c r="G3820" s="392" t="n">
        <v>30</v>
      </c>
      <c r="H3820" s="446">
        <f>H3819-G3820</f>
        <v/>
      </c>
      <c r="I3820" s="392" t="n"/>
      <c r="J3820" s="392" t="n"/>
      <c r="K3820" s="392" t="n"/>
      <c r="L3820" s="392" t="n"/>
      <c r="M3820" s="392" t="n"/>
    </row>
    <row r="3821">
      <c r="A3821" s="568" t="n">
        <v>45112</v>
      </c>
      <c r="B3821" s="392" t="n">
        <v>10284</v>
      </c>
      <c r="C3821" s="392" t="n">
        <v>95</v>
      </c>
      <c r="D3821" s="392" t="n"/>
      <c r="E3821" s="392" t="n"/>
      <c r="F3821" s="392" t="n"/>
      <c r="G3821" s="392" t="n">
        <v>20</v>
      </c>
      <c r="H3821" s="446">
        <f>H3820-G3821</f>
        <v/>
      </c>
      <c r="I3821" s="392" t="n"/>
      <c r="J3821" s="392" t="n"/>
      <c r="K3821" s="392" t="n"/>
      <c r="L3821" s="392" t="n"/>
      <c r="M3821" s="392" t="n"/>
    </row>
    <row r="3822">
      <c r="A3822" s="568" t="n">
        <v>45117</v>
      </c>
      <c r="B3822" s="392" t="n">
        <v>10285</v>
      </c>
      <c r="C3822" s="392" t="n">
        <v>93</v>
      </c>
      <c r="D3822" s="392" t="n"/>
      <c r="E3822" s="392" t="n"/>
      <c r="F3822" s="392" t="n"/>
      <c r="G3822" s="392" t="n">
        <v>30</v>
      </c>
      <c r="H3822" s="446">
        <f>H3821-G3822</f>
        <v/>
      </c>
      <c r="I3822" s="392" t="n"/>
      <c r="J3822" s="392" t="n"/>
      <c r="K3822" s="392" t="n"/>
      <c r="L3822" s="392" t="n"/>
      <c r="M3822" s="392" t="n"/>
    </row>
    <row r="3823">
      <c r="A3823" s="568" t="n">
        <v>45117</v>
      </c>
      <c r="B3823" s="392" t="n">
        <v>10286</v>
      </c>
      <c r="C3823" s="392" t="n">
        <v>100</v>
      </c>
      <c r="D3823" s="392" t="n"/>
      <c r="E3823" s="392" t="n"/>
      <c r="F3823" s="392" t="n"/>
      <c r="G3823" s="392" t="n">
        <v>20</v>
      </c>
      <c r="H3823" s="446">
        <f>H3822-G3823</f>
        <v/>
      </c>
      <c r="I3823" s="392" t="n"/>
      <c r="J3823" s="392" t="n"/>
      <c r="K3823" s="392" t="n"/>
      <c r="L3823" s="392" t="n"/>
      <c r="M3823" s="392" t="n"/>
    </row>
    <row r="3824">
      <c r="A3824" s="568" t="n">
        <v>45117</v>
      </c>
      <c r="B3824" s="392" t="n">
        <v>10287</v>
      </c>
      <c r="C3824" s="392" t="n">
        <v>99</v>
      </c>
      <c r="D3824" s="392" t="n"/>
      <c r="E3824" s="392" t="n"/>
      <c r="F3824" s="392" t="n"/>
      <c r="G3824" s="392" t="n">
        <v>20</v>
      </c>
      <c r="H3824" s="446">
        <f>H3823-G3824</f>
        <v/>
      </c>
      <c r="I3824" s="392" t="n"/>
      <c r="J3824" s="392" t="n"/>
      <c r="K3824" s="392" t="n"/>
      <c r="L3824" s="392" t="n"/>
      <c r="M3824" s="392" t="n"/>
    </row>
    <row r="3825">
      <c r="A3825" s="568" t="n">
        <v>45117</v>
      </c>
      <c r="B3825" s="392" t="n">
        <v>10288</v>
      </c>
      <c r="C3825" s="392" t="n">
        <v>93</v>
      </c>
      <c r="D3825" s="392" t="n"/>
      <c r="E3825" s="392" t="n"/>
      <c r="F3825" s="392" t="n"/>
      <c r="G3825" s="392" t="n">
        <v>50</v>
      </c>
      <c r="H3825" s="446">
        <f>H3824-G3825</f>
        <v/>
      </c>
      <c r="I3825" s="392" t="n"/>
      <c r="J3825" s="392" t="n"/>
      <c r="K3825" s="392" t="n"/>
      <c r="L3825" s="392" t="n"/>
      <c r="M3825" s="392" t="n"/>
    </row>
    <row r="3826">
      <c r="A3826" s="568" t="n">
        <v>45117</v>
      </c>
      <c r="B3826" s="392" t="n">
        <v>10289</v>
      </c>
      <c r="C3826" s="392" t="n">
        <v>100</v>
      </c>
      <c r="D3826" s="392" t="n"/>
      <c r="E3826" s="392" t="n"/>
      <c r="F3826" s="392" t="n"/>
      <c r="G3826" s="392" t="n">
        <v>20</v>
      </c>
      <c r="H3826" s="446">
        <f>H3825-G3826</f>
        <v/>
      </c>
      <c r="I3826" s="392" t="n"/>
      <c r="J3826" s="392" t="n"/>
      <c r="K3826" s="392" t="n"/>
      <c r="L3826" s="392" t="n"/>
      <c r="M3826" s="392" t="n"/>
    </row>
    <row r="3827">
      <c r="A3827" s="568" t="n">
        <v>45117</v>
      </c>
      <c r="B3827" s="392" t="n">
        <v>10290</v>
      </c>
      <c r="C3827" s="392" t="n">
        <v>100</v>
      </c>
      <c r="D3827" s="392" t="n"/>
      <c r="E3827" s="392" t="n"/>
      <c r="F3827" s="392" t="n"/>
      <c r="G3827" s="392" t="n">
        <v>30</v>
      </c>
      <c r="H3827" s="446">
        <f>H3826-G3827</f>
        <v/>
      </c>
      <c r="I3827" s="392" t="n"/>
      <c r="J3827" s="392" t="n"/>
      <c r="K3827" s="392" t="n"/>
      <c r="L3827" s="392" t="n"/>
      <c r="M3827" s="392" t="n"/>
    </row>
    <row r="3828">
      <c r="A3828" s="568" t="n">
        <v>45118</v>
      </c>
      <c r="B3828" s="392" t="n">
        <v>10292</v>
      </c>
      <c r="C3828" s="392" t="n">
        <v>99</v>
      </c>
      <c r="D3828" s="392" t="n"/>
      <c r="E3828" s="392" t="n"/>
      <c r="F3828" s="392" t="n"/>
      <c r="G3828" s="392" t="n">
        <v>20</v>
      </c>
      <c r="H3828" s="446">
        <f>H3827-G3828</f>
        <v/>
      </c>
      <c r="I3828" s="392" t="n"/>
      <c r="J3828" s="392" t="n"/>
      <c r="K3828" s="392" t="n"/>
      <c r="L3828" s="392" t="n"/>
      <c r="M3828" s="392" t="n"/>
    </row>
    <row r="3829">
      <c r="A3829" s="568" t="n">
        <v>45118</v>
      </c>
      <c r="B3829" s="392" t="n">
        <v>10296</v>
      </c>
      <c r="C3829" s="392" t="n">
        <v>99</v>
      </c>
      <c r="D3829" s="392" t="n"/>
      <c r="E3829" s="392" t="n"/>
      <c r="F3829" s="392" t="n"/>
      <c r="G3829" s="392" t="n">
        <v>30</v>
      </c>
      <c r="H3829" s="446">
        <f>H3828-G3829</f>
        <v/>
      </c>
      <c r="I3829" s="392" t="n"/>
      <c r="J3829" s="392" t="n"/>
      <c r="K3829" s="392" t="n"/>
      <c r="L3829" s="392" t="n"/>
      <c r="M3829" s="392" t="n"/>
    </row>
    <row r="3830">
      <c r="A3830" s="568" t="n">
        <v>45121</v>
      </c>
      <c r="B3830" s="392" t="n">
        <v>10300</v>
      </c>
      <c r="C3830" s="392" t="n">
        <v>100</v>
      </c>
      <c r="D3830" s="392" t="n"/>
      <c r="E3830" s="392" t="n"/>
      <c r="F3830" s="392" t="n"/>
      <c r="G3830" s="392" t="n">
        <v>35</v>
      </c>
      <c r="H3830" s="446">
        <f>H3829-G3830</f>
        <v/>
      </c>
      <c r="I3830" s="392" t="n"/>
      <c r="J3830" s="392" t="n"/>
      <c r="K3830" s="392" t="n"/>
      <c r="L3830" s="392" t="n"/>
      <c r="M3830" s="392" t="n"/>
    </row>
    <row r="3831">
      <c r="A3831" s="568" t="n">
        <v>45124</v>
      </c>
      <c r="B3831" s="392" t="n">
        <v>10302</v>
      </c>
      <c r="C3831" s="392" t="n">
        <v>96</v>
      </c>
      <c r="D3831" s="392" t="n"/>
      <c r="E3831" s="392" t="n"/>
      <c r="F3831" s="392" t="n"/>
      <c r="G3831" s="392" t="n">
        <v>20</v>
      </c>
      <c r="H3831" s="446">
        <f>H3830-G3831</f>
        <v/>
      </c>
      <c r="I3831" s="392" t="n"/>
      <c r="J3831" s="392" t="n"/>
      <c r="K3831" s="392" t="n"/>
      <c r="L3831" s="392" t="n"/>
      <c r="M3831" s="392" t="n"/>
    </row>
    <row r="3832">
      <c r="A3832" s="568" t="n">
        <v>45124</v>
      </c>
      <c r="B3832" s="392" t="n">
        <v>10303</v>
      </c>
      <c r="C3832" s="392" t="n">
        <v>96</v>
      </c>
      <c r="D3832" s="392" t="n"/>
      <c r="E3832" s="392" t="n"/>
      <c r="F3832" s="392" t="n"/>
      <c r="G3832" s="392" t="n">
        <v>35</v>
      </c>
      <c r="H3832" s="446">
        <f>H3831-G3832</f>
        <v/>
      </c>
      <c r="I3832" s="392" t="n"/>
      <c r="J3832" s="392" t="n"/>
      <c r="K3832" s="392" t="n"/>
      <c r="L3832" s="392" t="n"/>
      <c r="M3832" s="392" t="n"/>
    </row>
    <row r="3833">
      <c r="A3833" s="568" t="n">
        <v>45124</v>
      </c>
      <c r="B3833" s="392" t="n">
        <v>10304</v>
      </c>
      <c r="C3833" s="392" t="n">
        <v>100</v>
      </c>
      <c r="D3833" s="392" t="n"/>
      <c r="E3833" s="392" t="n"/>
      <c r="F3833" s="392" t="n"/>
      <c r="G3833" s="392" t="n">
        <v>20</v>
      </c>
      <c r="H3833" s="446">
        <f>H3832-G3833</f>
        <v/>
      </c>
      <c r="I3833" s="392" t="n"/>
      <c r="J3833" s="392" t="n"/>
      <c r="K3833" s="392" t="n"/>
      <c r="L3833" s="392" t="n"/>
      <c r="M3833" s="392" t="n"/>
    </row>
    <row r="3834">
      <c r="A3834" s="568" t="n">
        <v>45125</v>
      </c>
      <c r="B3834" s="392" t="n">
        <v>10313</v>
      </c>
      <c r="C3834" s="392" t="n">
        <v>94</v>
      </c>
      <c r="D3834" s="392" t="n"/>
      <c r="E3834" s="392" t="n"/>
      <c r="F3834" s="392" t="n"/>
      <c r="G3834" s="392" t="n">
        <v>15</v>
      </c>
      <c r="H3834" s="446">
        <f>H3833-G3834</f>
        <v/>
      </c>
      <c r="I3834" s="392" t="n"/>
      <c r="J3834" s="392" t="n"/>
      <c r="K3834" s="392" t="n"/>
      <c r="L3834" s="392" t="n"/>
      <c r="M3834" s="392" t="n"/>
    </row>
    <row r="3835">
      <c r="A3835" s="568" t="n">
        <v>45125</v>
      </c>
      <c r="B3835" s="392" t="n">
        <v>10315</v>
      </c>
      <c r="C3835" s="392" t="n">
        <v>90</v>
      </c>
      <c r="D3835" s="392" t="n"/>
      <c r="E3835" s="392" t="n"/>
      <c r="F3835" s="392" t="n"/>
      <c r="G3835" s="392" t="n">
        <v>100</v>
      </c>
      <c r="H3835" s="446">
        <f>H3834-G3835</f>
        <v/>
      </c>
      <c r="I3835" s="392" t="n"/>
      <c r="J3835" s="392" t="n"/>
      <c r="K3835" s="392" t="n"/>
      <c r="L3835" s="392" t="n"/>
      <c r="M3835" s="392" t="n"/>
    </row>
    <row r="3836">
      <c r="A3836" s="568" t="n">
        <v>45125</v>
      </c>
      <c r="B3836" s="392" t="n">
        <v>10316</v>
      </c>
      <c r="C3836" s="392" t="n">
        <v>97.8</v>
      </c>
      <c r="D3836" s="392" t="n"/>
      <c r="E3836" s="392" t="n"/>
      <c r="F3836" s="392" t="n"/>
      <c r="G3836" s="392" t="n">
        <v>25</v>
      </c>
      <c r="H3836" s="446">
        <f>H3835-G3836</f>
        <v/>
      </c>
      <c r="I3836" s="392" t="n"/>
      <c r="J3836" s="392" t="n"/>
      <c r="K3836" s="392" t="n"/>
      <c r="L3836" s="392" t="n"/>
      <c r="M3836" s="392" t="n"/>
    </row>
    <row r="3837">
      <c r="A3837" s="568" t="n">
        <v>45125</v>
      </c>
      <c r="B3837" s="392" t="n">
        <v>10317</v>
      </c>
      <c r="C3837" s="392" t="n">
        <v>96.7</v>
      </c>
      <c r="D3837" s="392" t="n"/>
      <c r="E3837" s="392" t="n"/>
      <c r="F3837" s="392" t="n"/>
      <c r="G3837" s="392" t="n">
        <v>20</v>
      </c>
      <c r="H3837" s="446">
        <f>H3836-G3837</f>
        <v/>
      </c>
      <c r="I3837" s="392" t="n"/>
      <c r="J3837" s="392" t="n"/>
      <c r="K3837" s="392" t="n"/>
      <c r="L3837" s="392" t="n"/>
      <c r="M3837" s="392" t="n"/>
    </row>
    <row r="3838">
      <c r="A3838" s="568" t="n">
        <v>45131</v>
      </c>
      <c r="B3838" s="392" t="n">
        <v>10318</v>
      </c>
      <c r="C3838" s="392" t="n">
        <v>99</v>
      </c>
      <c r="D3838" s="392" t="n"/>
      <c r="E3838" s="392" t="n"/>
      <c r="F3838" s="392" t="n"/>
      <c r="G3838" s="392" t="n">
        <v>150</v>
      </c>
      <c r="H3838" s="446">
        <f>H3837-G3838</f>
        <v/>
      </c>
      <c r="I3838" s="392" t="n"/>
      <c r="J3838" s="392" t="n"/>
      <c r="K3838" s="392" t="n"/>
      <c r="L3838" s="392" t="n"/>
      <c r="M3838" s="392" t="n"/>
    </row>
    <row r="3839">
      <c r="A3839" s="568" t="n">
        <v>45131</v>
      </c>
      <c r="B3839" s="392" t="n">
        <v>10319</v>
      </c>
      <c r="C3839" s="392" t="n">
        <v>100</v>
      </c>
      <c r="D3839" s="392" t="n"/>
      <c r="E3839" s="392" t="n"/>
      <c r="F3839" s="392" t="n"/>
      <c r="G3839" s="392" t="n">
        <v>20</v>
      </c>
      <c r="H3839" s="446">
        <f>H3838-G3839</f>
        <v/>
      </c>
      <c r="I3839" s="392" t="n"/>
      <c r="J3839" s="392" t="n"/>
      <c r="K3839" s="392" t="n"/>
      <c r="L3839" s="392" t="n"/>
      <c r="M3839" s="392" t="n"/>
    </row>
    <row r="3840">
      <c r="A3840" s="568" t="n">
        <v>45131</v>
      </c>
      <c r="B3840" s="392" t="n">
        <v>10320</v>
      </c>
      <c r="C3840" s="392" t="n">
        <v>93</v>
      </c>
      <c r="D3840" s="392" t="n"/>
      <c r="E3840" s="392" t="n"/>
      <c r="F3840" s="392" t="n"/>
      <c r="G3840" s="392" t="n">
        <v>30</v>
      </c>
      <c r="H3840" s="446">
        <f>H3839-G3840</f>
        <v/>
      </c>
      <c r="I3840" s="392" t="n"/>
      <c r="J3840" s="392" t="n"/>
      <c r="K3840" s="392" t="n"/>
      <c r="L3840" s="392" t="n"/>
      <c r="M3840" s="392" t="n"/>
    </row>
    <row r="3841">
      <c r="A3841" s="568" t="n">
        <v>45131</v>
      </c>
      <c r="B3841" s="392" t="n">
        <v>10323</v>
      </c>
      <c r="C3841" s="392" t="n">
        <v>100</v>
      </c>
      <c r="D3841" s="392" t="n"/>
      <c r="E3841" s="392" t="n"/>
      <c r="F3841" s="392" t="n"/>
      <c r="G3841" s="392" t="n">
        <v>20</v>
      </c>
      <c r="H3841" s="446">
        <f>H3840-G3841</f>
        <v/>
      </c>
      <c r="I3841" s="392" t="n"/>
      <c r="J3841" s="392" t="n"/>
      <c r="K3841" s="392" t="n"/>
      <c r="L3841" s="392" t="n"/>
      <c r="M3841" s="392" t="n"/>
    </row>
    <row r="3842">
      <c r="A3842" s="568" t="n">
        <v>45131</v>
      </c>
      <c r="B3842" s="392" t="n">
        <v>10325</v>
      </c>
      <c r="C3842" s="392" t="n">
        <v>100</v>
      </c>
      <c r="D3842" s="392" t="n"/>
      <c r="E3842" s="392" t="n"/>
      <c r="F3842" s="392" t="n"/>
      <c r="G3842" s="392" t="n">
        <v>20</v>
      </c>
      <c r="H3842" s="446">
        <f>H3841-G3842</f>
        <v/>
      </c>
      <c r="I3842" s="392" t="n"/>
      <c r="J3842" s="392" t="n"/>
      <c r="K3842" s="392" t="n"/>
      <c r="L3842" s="392" t="n"/>
      <c r="M3842" s="392" t="n"/>
    </row>
    <row r="3843">
      <c r="A3843" s="568" t="n">
        <v>45134</v>
      </c>
      <c r="B3843" s="392" t="n">
        <v>10330</v>
      </c>
      <c r="C3843" s="392" t="n">
        <v>100</v>
      </c>
      <c r="D3843" s="392" t="n"/>
      <c r="E3843" s="392" t="n"/>
      <c r="F3843" s="392" t="n"/>
      <c r="G3843" s="392" t="n">
        <v>30</v>
      </c>
      <c r="H3843" s="446">
        <f>H3842-G3843</f>
        <v/>
      </c>
      <c r="I3843" s="392" t="n"/>
      <c r="J3843" s="392" t="n"/>
      <c r="K3843" s="392" t="n"/>
      <c r="L3843" s="392" t="n"/>
      <c r="M3843" s="392" t="n"/>
    </row>
    <row r="3844">
      <c r="A3844" s="568" t="n">
        <v>45134</v>
      </c>
      <c r="B3844" s="392" t="n">
        <v>10331</v>
      </c>
      <c r="C3844" s="392" t="n">
        <v>90</v>
      </c>
      <c r="D3844" s="392" t="n"/>
      <c r="E3844" s="392" t="n"/>
      <c r="F3844" s="392" t="n"/>
      <c r="G3844" s="392" t="n">
        <v>30</v>
      </c>
      <c r="H3844" s="446">
        <f>H3843-G3844</f>
        <v/>
      </c>
      <c r="I3844" s="392" t="n"/>
      <c r="J3844" s="392" t="n"/>
      <c r="K3844" s="392" t="n"/>
      <c r="L3844" s="392" t="n"/>
      <c r="M3844" s="392" t="n"/>
    </row>
    <row r="3845">
      <c r="A3845" s="568" t="n">
        <v>45134</v>
      </c>
      <c r="B3845" s="392" t="n">
        <v>10336</v>
      </c>
      <c r="C3845" s="392" t="n">
        <v>96</v>
      </c>
      <c r="D3845" s="392" t="n"/>
      <c r="E3845" s="392" t="n"/>
      <c r="F3845" s="392" t="n"/>
      <c r="G3845" s="392" t="n">
        <v>30</v>
      </c>
      <c r="H3845" s="446">
        <f>H3844-G3845</f>
        <v/>
      </c>
      <c r="I3845" s="392" t="n"/>
      <c r="J3845" s="392" t="n"/>
      <c r="K3845" s="392" t="n"/>
      <c r="L3845" s="392" t="n"/>
      <c r="M3845" s="392" t="n"/>
    </row>
    <row r="3846">
      <c r="A3846" s="304" t="n">
        <v>45135</v>
      </c>
      <c r="B3846" s="401" t="n">
        <v>222750</v>
      </c>
      <c r="C3846" s="401" t="n">
        <v>75.5</v>
      </c>
      <c r="D3846" s="401" t="n"/>
      <c r="E3846" s="401" t="n"/>
      <c r="F3846" s="401" t="n">
        <v>250</v>
      </c>
      <c r="G3846" s="401" t="n"/>
      <c r="H3846" s="322" t="n">
        <v>2641</v>
      </c>
      <c r="I3846" s="392" t="n"/>
      <c r="J3846" s="392" t="n"/>
      <c r="K3846" s="392" t="n"/>
      <c r="L3846" s="392" t="n"/>
      <c r="M3846" s="392" t="n"/>
    </row>
    <row r="3847">
      <c r="A3847" s="568" t="n"/>
      <c r="B3847" s="392" t="n"/>
      <c r="C3847" s="392" t="n"/>
      <c r="D3847" s="392" t="n"/>
      <c r="E3847" s="392" t="n"/>
      <c r="F3847" s="392" t="n"/>
      <c r="G3847" s="392" t="n"/>
      <c r="H3847" s="446">
        <f>H3846-G3847</f>
        <v/>
      </c>
      <c r="I3847" s="392" t="n"/>
      <c r="J3847" s="392" t="n"/>
      <c r="K3847" s="392" t="n"/>
      <c r="L3847" s="392" t="n"/>
      <c r="M3847" s="392" t="n"/>
    </row>
    <row r="3848">
      <c r="A3848" s="568" t="n"/>
      <c r="B3848" s="392" t="n"/>
      <c r="C3848" s="392" t="n"/>
      <c r="D3848" s="392" t="n"/>
      <c r="E3848" s="392" t="n"/>
      <c r="F3848" s="392" t="n"/>
      <c r="G3848" s="392" t="n"/>
      <c r="H3848" s="446">
        <f>H3847-G3848</f>
        <v/>
      </c>
      <c r="I3848" s="392" t="n"/>
      <c r="J3848" s="392" t="n"/>
      <c r="K3848" s="392" t="n"/>
      <c r="L3848" s="392" t="n"/>
      <c r="M3848" s="392" t="n"/>
    </row>
    <row r="3849">
      <c r="A3849" s="568" t="n"/>
      <c r="B3849" s="392" t="n"/>
      <c r="C3849" s="392" t="n"/>
      <c r="D3849" s="392" t="n"/>
      <c r="E3849" s="392" t="n"/>
      <c r="F3849" s="392" t="n"/>
      <c r="G3849" s="392" t="n"/>
      <c r="H3849" s="446">
        <f>H3848-G3849</f>
        <v/>
      </c>
      <c r="I3849" s="392" t="n"/>
      <c r="J3849" s="392" t="n"/>
      <c r="K3849" s="392" t="n"/>
      <c r="L3849" s="392" t="n"/>
      <c r="M3849" s="392" t="n"/>
    </row>
    <row r="3850">
      <c r="A3850" s="414" t="n"/>
      <c r="H3850" s="390" t="n"/>
    </row>
    <row r="3851" ht="15.75" customHeight="1" s="436" thickBot="1">
      <c r="A3851" s="414" t="n"/>
      <c r="H3851" s="390" t="n"/>
    </row>
    <row r="3852" ht="32.25" customHeight="1" s="436" thickBot="1">
      <c r="A3852" s="735" t="inlineStr">
        <is>
          <t>Agosto</t>
        </is>
      </c>
      <c r="B3852" s="697" t="n"/>
      <c r="C3852" s="697" t="n"/>
      <c r="D3852" s="697" t="n"/>
      <c r="E3852" s="697" t="n"/>
      <c r="F3852" s="697" t="n"/>
      <c r="G3852" s="697" t="n"/>
      <c r="H3852" s="697" t="n"/>
      <c r="I3852" s="697" t="n"/>
      <c r="J3852" s="697" t="n"/>
      <c r="K3852" s="697" t="n"/>
      <c r="L3852" s="697" t="n"/>
      <c r="M3852" s="698" t="n"/>
    </row>
    <row r="3853" ht="27" customHeight="1" s="436" thickBot="1">
      <c r="A3853" s="720" t="inlineStr">
        <is>
          <t xml:space="preserve"> FARINHA DE TRIGO TIPO: 1 - 25 KG</t>
        </is>
      </c>
      <c r="B3853" s="697" t="n"/>
      <c r="C3853" s="697" t="n"/>
      <c r="D3853" s="697" t="n"/>
      <c r="E3853" s="697" t="n"/>
      <c r="F3853" s="697" t="n"/>
      <c r="G3853" s="697" t="n"/>
      <c r="H3853" s="697" t="n"/>
      <c r="I3853" s="697" t="n"/>
      <c r="J3853" s="697" t="n"/>
      <c r="K3853" s="697" t="n"/>
      <c r="L3853" s="697" t="n"/>
      <c r="M3853" s="698" t="n"/>
    </row>
    <row r="3854">
      <c r="A3854" s="643" t="inlineStr">
        <is>
          <t>DATA</t>
        </is>
      </c>
      <c r="B3854" s="633" t="inlineStr">
        <is>
          <t>N.F.</t>
        </is>
      </c>
      <c r="C3854" s="633" t="inlineStr">
        <is>
          <t>TIPO</t>
        </is>
      </c>
      <c r="D3854" s="670" t="inlineStr">
        <is>
          <t>PREÇO UNITÁRIO</t>
        </is>
      </c>
      <c r="E3854" s="701" t="n"/>
      <c r="F3854" s="633" t="inlineStr">
        <is>
          <t>QUANTIDADE / KG</t>
        </is>
      </c>
      <c r="H3854" s="701" t="n"/>
      <c r="I3854" s="632" t="inlineStr">
        <is>
          <t>PREÇO</t>
        </is>
      </c>
      <c r="J3854" s="632" t="inlineStr">
        <is>
          <t>VALORES</t>
        </is>
      </c>
      <c r="L3854" s="701" t="n"/>
      <c r="M3854" s="649" t="n"/>
    </row>
    <row r="3855" ht="15.75" customHeight="1" s="436" thickBot="1">
      <c r="A3855" s="703" t="n"/>
      <c r="B3855" s="704" t="n"/>
      <c r="C3855" s="704" t="n"/>
      <c r="D3855" s="703" t="n"/>
      <c r="E3855" s="701" t="n"/>
      <c r="F3855" s="705" t="n"/>
      <c r="G3855" s="706" t="n"/>
      <c r="H3855" s="707" t="n"/>
      <c r="I3855" s="704" t="n"/>
      <c r="J3855" s="703" t="n"/>
      <c r="L3855" s="701" t="n"/>
      <c r="M3855" s="704" t="n"/>
    </row>
    <row r="3856" ht="15.75" customHeight="1" s="436" thickBot="1">
      <c r="A3856" s="703" t="n"/>
      <c r="B3856" s="704" t="n"/>
      <c r="C3856" s="704" t="n"/>
      <c r="D3856" s="705" t="n"/>
      <c r="E3856" s="707" t="n"/>
      <c r="F3856" s="3" t="inlineStr">
        <is>
          <t>ENTRADA</t>
        </is>
      </c>
      <c r="G3856" s="3" t="inlineStr">
        <is>
          <t>SAÍDA</t>
        </is>
      </c>
      <c r="H3856" s="640" t="n"/>
      <c r="I3856" s="633" t="inlineStr">
        <is>
          <t>MÉDIO</t>
        </is>
      </c>
      <c r="J3856" s="652" t="inlineStr">
        <is>
          <t>SALDO EM 30/11/2017</t>
        </is>
      </c>
      <c r="K3856" s="706" t="n"/>
      <c r="L3856" s="17" t="n"/>
      <c r="M3856" s="704" t="n"/>
    </row>
    <row r="3857" ht="18" customHeight="1" s="436" thickBot="1">
      <c r="A3857" s="705" t="n"/>
      <c r="B3857" s="695" t="n"/>
      <c r="C3857" s="695" t="n"/>
      <c r="D3857" s="3" t="inlineStr">
        <is>
          <t>C/ICMS</t>
        </is>
      </c>
      <c r="E3857" s="3" t="inlineStr">
        <is>
          <t>S/ICMS</t>
        </is>
      </c>
      <c r="F3857" s="695" t="n"/>
      <c r="G3857" s="695" t="n"/>
      <c r="H3857" s="84" t="inlineStr">
        <is>
          <t>Saldo em 31/07/2022</t>
        </is>
      </c>
      <c r="I3857" s="695" t="n"/>
      <c r="J3857" s="645" t="inlineStr">
        <is>
          <t>ENTRADA</t>
        </is>
      </c>
      <c r="K3857" s="633" t="inlineStr">
        <is>
          <t>SAÍDA / CMV</t>
        </is>
      </c>
      <c r="L3857" s="643" t="inlineStr">
        <is>
          <t>SALDO</t>
        </is>
      </c>
      <c r="M3857" s="392" t="n"/>
    </row>
    <row r="3858">
      <c r="A3858" s="392" t="n"/>
      <c r="B3858" s="392" t="n"/>
      <c r="C3858" s="392" t="n"/>
      <c r="D3858" s="392" t="n"/>
      <c r="E3858" s="392" t="n"/>
      <c r="F3858" s="392" t="n"/>
      <c r="G3858" s="392" t="n"/>
      <c r="H3858" s="446" t="n">
        <v>2641</v>
      </c>
      <c r="I3858" s="392" t="n"/>
      <c r="J3858" s="392" t="n"/>
      <c r="K3858" s="392" t="n"/>
      <c r="L3858" s="392" t="n"/>
      <c r="M3858" s="392" t="n"/>
    </row>
    <row r="3859">
      <c r="A3859" s="568" t="n">
        <v>45139</v>
      </c>
      <c r="B3859" s="392" t="n">
        <v>10340</v>
      </c>
      <c r="C3859" s="392" t="n">
        <v>93</v>
      </c>
      <c r="D3859" s="392" t="n"/>
      <c r="E3859" s="392" t="n"/>
      <c r="F3859" s="392" t="n"/>
      <c r="G3859" s="392" t="n">
        <v>50</v>
      </c>
      <c r="H3859" s="446">
        <f>H3858-G3859</f>
        <v/>
      </c>
      <c r="I3859" s="392" t="n"/>
      <c r="J3859" s="392" t="n"/>
      <c r="K3859" s="392" t="n"/>
      <c r="L3859" s="392" t="n"/>
      <c r="M3859" s="392" t="n"/>
    </row>
    <row r="3860">
      <c r="A3860" s="568" t="n">
        <v>45139</v>
      </c>
      <c r="B3860" s="392" t="n">
        <v>10341</v>
      </c>
      <c r="C3860" s="392" t="n">
        <v>96</v>
      </c>
      <c r="D3860" s="392" t="n"/>
      <c r="E3860" s="392" t="n"/>
      <c r="F3860" s="392" t="n"/>
      <c r="G3860" s="392" t="n">
        <v>20</v>
      </c>
      <c r="H3860" s="446">
        <f>H3859-G3860</f>
        <v/>
      </c>
      <c r="I3860" s="392" t="n"/>
      <c r="J3860" s="392" t="n"/>
      <c r="K3860" s="392" t="n"/>
      <c r="L3860" s="392" t="n"/>
      <c r="M3860" s="392" t="n"/>
    </row>
    <row r="3861">
      <c r="A3861" s="568" t="n">
        <v>45139</v>
      </c>
      <c r="B3861" s="392" t="n">
        <v>10344</v>
      </c>
      <c r="C3861" s="392" t="n">
        <v>94</v>
      </c>
      <c r="D3861" s="392" t="n"/>
      <c r="E3861" s="392" t="n"/>
      <c r="F3861" s="392" t="n"/>
      <c r="G3861" s="392" t="n">
        <v>35</v>
      </c>
      <c r="H3861" s="446">
        <f>H3860-G3861</f>
        <v/>
      </c>
      <c r="I3861" s="392" t="n"/>
      <c r="J3861" s="392" t="n"/>
      <c r="K3861" s="392" t="n"/>
      <c r="L3861" s="392" t="n"/>
      <c r="M3861" s="392" t="n"/>
    </row>
    <row r="3862">
      <c r="A3862" s="568" t="n">
        <v>45139</v>
      </c>
      <c r="B3862" s="392" t="n">
        <v>10346</v>
      </c>
      <c r="C3862" s="392" t="n">
        <v>90</v>
      </c>
      <c r="D3862" s="392" t="n"/>
      <c r="E3862" s="392" t="n"/>
      <c r="F3862" s="392" t="n"/>
      <c r="G3862" s="392" t="n">
        <v>50</v>
      </c>
      <c r="H3862" s="446">
        <f>H3861-G3862</f>
        <v/>
      </c>
      <c r="I3862" s="392" t="n"/>
      <c r="J3862" s="392" t="n"/>
      <c r="K3862" s="392" t="n"/>
      <c r="L3862" s="392" t="n"/>
      <c r="M3862" s="392" t="n"/>
    </row>
    <row r="3863">
      <c r="A3863" s="568" t="n">
        <v>45139</v>
      </c>
      <c r="B3863" s="392" t="n">
        <v>10347</v>
      </c>
      <c r="C3863" s="392" t="n">
        <v>99</v>
      </c>
      <c r="D3863" s="392" t="n"/>
      <c r="E3863" s="392" t="n"/>
      <c r="F3863" s="392" t="n"/>
      <c r="G3863" s="392" t="n">
        <v>30</v>
      </c>
      <c r="H3863" s="446">
        <f>H3862-G3863</f>
        <v/>
      </c>
      <c r="I3863" s="392" t="n"/>
      <c r="J3863" s="392" t="n"/>
      <c r="K3863" s="392" t="n"/>
      <c r="L3863" s="392" t="n"/>
      <c r="M3863" s="392" t="n"/>
    </row>
    <row r="3864">
      <c r="A3864" s="568" t="n">
        <v>45139</v>
      </c>
      <c r="B3864" s="392" t="n">
        <v>10348</v>
      </c>
      <c r="C3864" s="392" t="n">
        <v>94</v>
      </c>
      <c r="D3864" s="392" t="n"/>
      <c r="E3864" s="392" t="n"/>
      <c r="F3864" s="392" t="n"/>
      <c r="G3864" s="392" t="n">
        <v>30</v>
      </c>
      <c r="H3864" s="446">
        <f>H3863-G3864</f>
        <v/>
      </c>
      <c r="I3864" s="392" t="n"/>
      <c r="J3864" s="392" t="n"/>
      <c r="K3864" s="392" t="n"/>
      <c r="L3864" s="392" t="n"/>
      <c r="M3864" s="392" t="n"/>
    </row>
    <row r="3865">
      <c r="A3865" s="568" t="n">
        <v>45140</v>
      </c>
      <c r="B3865" s="392" t="n">
        <v>10351</v>
      </c>
      <c r="C3865" s="392" t="n">
        <v>99</v>
      </c>
      <c r="D3865" s="392" t="n"/>
      <c r="E3865" s="392" t="n"/>
      <c r="F3865" s="392" t="n"/>
      <c r="G3865" s="392" t="n">
        <v>20</v>
      </c>
      <c r="H3865" s="446">
        <f>H3864-G3865</f>
        <v/>
      </c>
      <c r="I3865" s="392" t="n"/>
      <c r="J3865" s="392" t="n"/>
      <c r="K3865" s="392" t="n"/>
      <c r="L3865" s="392" t="n"/>
      <c r="M3865" s="392" t="n"/>
    </row>
    <row r="3866">
      <c r="A3866" s="568" t="n">
        <v>45145</v>
      </c>
      <c r="B3866" s="392" t="n">
        <v>10360</v>
      </c>
      <c r="C3866" s="392" t="n">
        <v>94</v>
      </c>
      <c r="D3866" s="392" t="n"/>
      <c r="E3866" s="392" t="n"/>
      <c r="F3866" s="392" t="n"/>
      <c r="G3866" s="392" t="n">
        <v>20</v>
      </c>
      <c r="H3866" s="446">
        <f>H3865-G3866</f>
        <v/>
      </c>
      <c r="I3866" s="392" t="n"/>
      <c r="J3866" s="392" t="n"/>
      <c r="K3866" s="392" t="n"/>
      <c r="L3866" s="392" t="n"/>
      <c r="M3866" s="392" t="n"/>
    </row>
    <row r="3867">
      <c r="A3867" s="568" t="n">
        <v>45145</v>
      </c>
      <c r="B3867" s="392" t="n">
        <v>10362</v>
      </c>
      <c r="C3867" s="392" t="n">
        <v>94</v>
      </c>
      <c r="D3867" s="392" t="n"/>
      <c r="E3867" s="392" t="n"/>
      <c r="F3867" s="392" t="n"/>
      <c r="G3867" s="392" t="n">
        <v>30</v>
      </c>
      <c r="H3867" s="446">
        <f>H3866-G3867</f>
        <v/>
      </c>
      <c r="I3867" s="392" t="n"/>
      <c r="J3867" s="392" t="n"/>
      <c r="K3867" s="392" t="n"/>
      <c r="L3867" s="392" t="n"/>
      <c r="M3867" s="392" t="n"/>
    </row>
    <row r="3868">
      <c r="A3868" s="568" t="n">
        <v>45145</v>
      </c>
      <c r="B3868" s="392" t="n">
        <v>10363</v>
      </c>
      <c r="C3868" s="392" t="n">
        <v>94</v>
      </c>
      <c r="D3868" s="392" t="n"/>
      <c r="E3868" s="392" t="n"/>
      <c r="F3868" s="392" t="n"/>
      <c r="G3868" s="392" t="n">
        <v>20</v>
      </c>
      <c r="H3868" s="446">
        <f>H3867-G3868</f>
        <v/>
      </c>
      <c r="I3868" s="392" t="n"/>
      <c r="J3868" s="392" t="n"/>
      <c r="K3868" s="392" t="n"/>
      <c r="L3868" s="392" t="n"/>
      <c r="M3868" s="392" t="n"/>
    </row>
    <row r="3869">
      <c r="A3869" s="568" t="n">
        <v>45145</v>
      </c>
      <c r="B3869" s="392" t="n">
        <v>10369</v>
      </c>
      <c r="C3869" s="392" t="n">
        <v>99</v>
      </c>
      <c r="D3869" s="392" t="n"/>
      <c r="E3869" s="392" t="n"/>
      <c r="F3869" s="392" t="n"/>
      <c r="G3869" s="392" t="n">
        <v>20</v>
      </c>
      <c r="H3869" s="446">
        <f>H3868-G3869</f>
        <v/>
      </c>
      <c r="I3869" s="392" t="n"/>
      <c r="J3869" s="392" t="n"/>
      <c r="K3869" s="392" t="n"/>
      <c r="L3869" s="392" t="n"/>
      <c r="M3869" s="392" t="n"/>
    </row>
    <row r="3870">
      <c r="A3870" s="304" t="n">
        <v>45146</v>
      </c>
      <c r="B3870" s="401" t="n">
        <v>998</v>
      </c>
      <c r="C3870" s="401" t="n"/>
      <c r="D3870" s="401" t="n">
        <v>600</v>
      </c>
      <c r="E3870" s="401" t="n"/>
      <c r="F3870" s="401" t="n"/>
      <c r="G3870" s="401" t="n"/>
      <c r="H3870" s="322" t="n">
        <v>2916</v>
      </c>
      <c r="I3870" s="392" t="n"/>
      <c r="J3870" s="392" t="n"/>
      <c r="K3870" s="392" t="n"/>
      <c r="L3870" s="392" t="n"/>
      <c r="M3870" s="392" t="n"/>
    </row>
    <row r="3871">
      <c r="A3871" s="304" t="n">
        <v>45146</v>
      </c>
      <c r="B3871" s="401" t="n">
        <v>34224</v>
      </c>
      <c r="C3871" s="401" t="n"/>
      <c r="D3871" s="401" t="n">
        <v>1120</v>
      </c>
      <c r="E3871" s="401" t="n"/>
      <c r="F3871" s="401" t="n"/>
      <c r="G3871" s="401" t="n"/>
      <c r="H3871" s="322" t="n">
        <v>4036</v>
      </c>
      <c r="I3871" s="392" t="n"/>
      <c r="J3871" s="392" t="n"/>
      <c r="K3871" s="392" t="n"/>
      <c r="L3871" s="392" t="n"/>
      <c r="M3871" s="392" t="n"/>
    </row>
    <row r="3872">
      <c r="A3872" s="568" t="n">
        <v>45146</v>
      </c>
      <c r="B3872" s="392" t="n">
        <v>10370</v>
      </c>
      <c r="C3872" s="392" t="n">
        <v>96.25</v>
      </c>
      <c r="D3872" s="392" t="n"/>
      <c r="E3872" s="392" t="n"/>
      <c r="F3872" s="392" t="n"/>
      <c r="G3872" s="392" t="n">
        <v>40</v>
      </c>
      <c r="H3872" s="446">
        <f>H3871-G3872</f>
        <v/>
      </c>
      <c r="I3872" s="392" t="n"/>
      <c r="J3872" s="392" t="n"/>
      <c r="K3872" s="392" t="n"/>
      <c r="L3872" s="392" t="n"/>
      <c r="M3872" s="392" t="n"/>
    </row>
    <row r="3873">
      <c r="A3873" s="568" t="n">
        <v>45146</v>
      </c>
      <c r="B3873" s="392" t="n">
        <v>10371</v>
      </c>
      <c r="C3873" s="392" t="n">
        <v>97</v>
      </c>
      <c r="D3873" s="392" t="n"/>
      <c r="E3873" s="392" t="n"/>
      <c r="F3873" s="392" t="n"/>
      <c r="G3873" s="392" t="n">
        <v>20</v>
      </c>
      <c r="H3873" s="446">
        <f>H3872-G3873</f>
        <v/>
      </c>
      <c r="I3873" s="392" t="n"/>
      <c r="J3873" s="392" t="n"/>
      <c r="K3873" s="392" t="n"/>
      <c r="L3873" s="392" t="n"/>
      <c r="M3873" s="392" t="n"/>
    </row>
    <row r="3874">
      <c r="A3874" s="568" t="n">
        <v>45146</v>
      </c>
      <c r="B3874" s="392" t="n">
        <v>10372</v>
      </c>
      <c r="C3874" s="392" t="n">
        <v>97</v>
      </c>
      <c r="D3874" s="392" t="n"/>
      <c r="E3874" s="392" t="n"/>
      <c r="F3874" s="392" t="n"/>
      <c r="G3874" s="392" t="n">
        <v>20</v>
      </c>
      <c r="H3874" s="446">
        <f>H3873-G3874</f>
        <v/>
      </c>
      <c r="I3874" s="392" t="n"/>
      <c r="J3874" s="392" t="n"/>
      <c r="K3874" s="392" t="n"/>
      <c r="L3874" s="392" t="n"/>
      <c r="M3874" s="392" t="n"/>
    </row>
    <row r="3875">
      <c r="A3875" s="568" t="n">
        <v>45147</v>
      </c>
      <c r="B3875" s="392" t="n">
        <v>10374</v>
      </c>
      <c r="C3875" s="392" t="n">
        <v>89</v>
      </c>
      <c r="D3875" s="392" t="n"/>
      <c r="E3875" s="392" t="n"/>
      <c r="F3875" s="392" t="n"/>
      <c r="G3875" s="392" t="n">
        <v>10</v>
      </c>
      <c r="H3875" s="446">
        <f>H3874-G3875</f>
        <v/>
      </c>
      <c r="I3875" s="392" t="n"/>
      <c r="J3875" s="392" t="n"/>
      <c r="K3875" s="392" t="n"/>
      <c r="L3875" s="392" t="n"/>
      <c r="M3875" s="392" t="n"/>
    </row>
    <row r="3876">
      <c r="A3876" s="568" t="n">
        <v>45147</v>
      </c>
      <c r="B3876" s="392" t="n">
        <v>10377</v>
      </c>
      <c r="C3876" s="392" t="n">
        <v>99</v>
      </c>
      <c r="D3876" s="392" t="n"/>
      <c r="E3876" s="392" t="n"/>
      <c r="F3876" s="392" t="n"/>
      <c r="G3876" s="392" t="n">
        <v>35</v>
      </c>
      <c r="H3876" s="446">
        <f>H3875-G3876</f>
        <v/>
      </c>
      <c r="I3876" s="392" t="n"/>
      <c r="J3876" s="392" t="n"/>
      <c r="K3876" s="392" t="n"/>
      <c r="L3876" s="392" t="n"/>
      <c r="M3876" s="392" t="n"/>
    </row>
    <row r="3877">
      <c r="A3877" s="304" t="n">
        <v>45153</v>
      </c>
      <c r="B3877" s="401" t="n">
        <v>224911</v>
      </c>
      <c r="C3877" s="401" t="n">
        <v>75.5</v>
      </c>
      <c r="D3877" s="401" t="n">
        <v>250</v>
      </c>
      <c r="E3877" s="401" t="n"/>
      <c r="F3877" s="401" t="n"/>
      <c r="G3877" s="401" t="n"/>
      <c r="H3877" s="322" t="n">
        <v>4161</v>
      </c>
      <c r="I3877" s="392" t="n"/>
      <c r="J3877" s="392" t="n"/>
      <c r="K3877" s="392" t="n"/>
      <c r="L3877" s="392" t="n"/>
      <c r="M3877" s="392" t="n"/>
    </row>
    <row r="3878">
      <c r="A3878" s="568" t="n">
        <v>45153</v>
      </c>
      <c r="B3878" s="392" t="n">
        <v>10379</v>
      </c>
      <c r="C3878" s="392" t="n">
        <v>94</v>
      </c>
      <c r="D3878" s="392" t="n"/>
      <c r="E3878" s="392" t="n"/>
      <c r="F3878" s="392" t="n"/>
      <c r="G3878" s="392" t="n">
        <v>20</v>
      </c>
      <c r="H3878" s="446">
        <f>H3877-G3878</f>
        <v/>
      </c>
      <c r="I3878" s="392" t="n"/>
      <c r="J3878" s="392" t="n"/>
      <c r="K3878" s="392" t="n"/>
      <c r="L3878" s="392" t="n"/>
      <c r="M3878" s="392" t="n"/>
    </row>
    <row r="3879">
      <c r="A3879" s="568" t="n">
        <v>45153</v>
      </c>
      <c r="B3879" s="392" t="n">
        <v>10381</v>
      </c>
      <c r="C3879" s="392" t="n">
        <v>94</v>
      </c>
      <c r="D3879" s="392" t="n"/>
      <c r="E3879" s="392" t="n"/>
      <c r="F3879" s="392" t="n"/>
      <c r="G3879" s="392" t="n">
        <v>35</v>
      </c>
      <c r="H3879" s="446">
        <f>H3878-G3879</f>
        <v/>
      </c>
      <c r="I3879" s="392" t="n"/>
      <c r="J3879" s="392" t="n"/>
      <c r="K3879" s="392" t="n"/>
      <c r="L3879" s="392" t="n"/>
      <c r="M3879" s="392" t="n"/>
    </row>
    <row r="3880">
      <c r="A3880" s="568" t="n">
        <v>45153</v>
      </c>
      <c r="B3880" s="392" t="n">
        <v>10382</v>
      </c>
      <c r="C3880" s="392" t="n">
        <v>94</v>
      </c>
      <c r="D3880" s="392" t="n"/>
      <c r="E3880" s="392" t="n"/>
      <c r="F3880" s="392" t="n"/>
      <c r="G3880" s="392" t="n">
        <v>30</v>
      </c>
      <c r="H3880" s="446">
        <f>H3879-G3880</f>
        <v/>
      </c>
      <c r="I3880" s="392" t="n"/>
      <c r="J3880" s="392" t="n"/>
      <c r="K3880" s="392" t="n"/>
      <c r="L3880" s="392" t="n"/>
      <c r="M3880" s="392" t="n"/>
    </row>
    <row r="3881">
      <c r="A3881" s="568" t="n">
        <v>45153</v>
      </c>
      <c r="B3881" s="392" t="n">
        <v>10383</v>
      </c>
      <c r="C3881" s="392" t="n">
        <v>92.2</v>
      </c>
      <c r="D3881" s="392" t="n"/>
      <c r="E3881" s="392" t="n"/>
      <c r="F3881" s="392" t="n"/>
      <c r="G3881" s="392" t="n">
        <v>25</v>
      </c>
      <c r="H3881" s="446">
        <f>H3880-G3881</f>
        <v/>
      </c>
      <c r="I3881" s="392" t="n"/>
      <c r="J3881" s="392" t="n"/>
      <c r="K3881" s="392" t="n"/>
      <c r="L3881" s="392" t="n"/>
      <c r="M3881" s="392" t="n"/>
    </row>
    <row r="3882">
      <c r="A3882" s="568" t="n">
        <v>45153</v>
      </c>
      <c r="B3882" s="392" t="n">
        <v>10387</v>
      </c>
      <c r="C3882" s="392" t="n">
        <v>94</v>
      </c>
      <c r="D3882" s="392" t="n"/>
      <c r="E3882" s="392" t="n"/>
      <c r="F3882" s="392" t="n"/>
      <c r="G3882" s="392" t="n">
        <v>20</v>
      </c>
      <c r="H3882" s="446">
        <f>H3881-G3882</f>
        <v/>
      </c>
      <c r="I3882" s="392" t="n"/>
      <c r="J3882" s="392" t="n"/>
      <c r="K3882" s="392" t="n"/>
      <c r="L3882" s="392" t="n"/>
      <c r="M3882" s="392" t="n"/>
    </row>
    <row r="3883">
      <c r="A3883" s="568" t="n">
        <v>45154</v>
      </c>
      <c r="B3883" s="392" t="n">
        <v>10388</v>
      </c>
      <c r="C3883" s="392" t="n">
        <v>94.40000000000001</v>
      </c>
      <c r="D3883" s="392" t="n"/>
      <c r="E3883" s="392" t="n"/>
      <c r="F3883" s="392" t="n"/>
      <c r="G3883" s="392" t="n">
        <v>20</v>
      </c>
      <c r="H3883" s="446">
        <f>H3882-G3883</f>
        <v/>
      </c>
      <c r="I3883" s="392" t="n"/>
      <c r="J3883" s="392" t="n"/>
      <c r="K3883" s="392" t="n"/>
      <c r="L3883" s="392" t="n"/>
      <c r="M3883" s="392" t="n"/>
    </row>
    <row r="3884">
      <c r="A3884" s="568" t="n">
        <v>45154</v>
      </c>
      <c r="B3884" s="392" t="n">
        <v>10389</v>
      </c>
      <c r="C3884" s="392" t="n">
        <v>93</v>
      </c>
      <c r="D3884" s="392" t="n"/>
      <c r="E3884" s="392" t="n"/>
      <c r="F3884" s="392" t="n"/>
      <c r="G3884" s="392" t="n">
        <v>50</v>
      </c>
      <c r="H3884" s="446">
        <f>H3883-G3884</f>
        <v/>
      </c>
      <c r="I3884" s="392" t="n"/>
      <c r="J3884" s="392" t="n"/>
      <c r="K3884" s="392" t="n"/>
      <c r="L3884" s="392" t="n"/>
      <c r="M3884" s="392" t="n"/>
    </row>
    <row r="3885">
      <c r="A3885" s="568" t="n">
        <v>45154</v>
      </c>
      <c r="B3885" s="392" t="n">
        <v>10390</v>
      </c>
      <c r="C3885" s="392" t="n">
        <v>99</v>
      </c>
      <c r="D3885" s="392" t="n"/>
      <c r="E3885" s="392" t="n"/>
      <c r="F3885" s="392" t="n"/>
      <c r="G3885" s="392" t="n">
        <v>30</v>
      </c>
      <c r="H3885" s="446">
        <f>H3884-G3885</f>
        <v/>
      </c>
      <c r="I3885" s="392" t="n"/>
      <c r="J3885" s="392" t="n"/>
      <c r="K3885" s="392" t="n"/>
      <c r="L3885" s="392" t="n"/>
      <c r="M3885" s="392" t="n"/>
    </row>
    <row r="3886">
      <c r="A3886" s="568" t="n">
        <v>45155</v>
      </c>
      <c r="B3886" s="392" t="n">
        <v>10392</v>
      </c>
      <c r="C3886" s="392" t="n">
        <v>95</v>
      </c>
      <c r="D3886" s="392" t="n"/>
      <c r="E3886" s="392" t="n"/>
      <c r="F3886" s="392" t="n"/>
      <c r="G3886" s="392" t="n">
        <v>15</v>
      </c>
      <c r="H3886" s="446">
        <f>H3885-G3886</f>
        <v/>
      </c>
      <c r="I3886" s="392" t="n"/>
      <c r="J3886" s="392" t="n"/>
      <c r="K3886" s="392" t="n"/>
      <c r="L3886" s="392" t="n"/>
      <c r="M3886" s="392" t="n"/>
    </row>
    <row r="3887">
      <c r="A3887" s="568" t="n">
        <v>45159</v>
      </c>
      <c r="B3887" s="392" t="n">
        <v>10394</v>
      </c>
      <c r="C3887" s="392" t="n">
        <v>94</v>
      </c>
      <c r="D3887" s="392" t="n"/>
      <c r="E3887" s="392" t="n"/>
      <c r="F3887" s="392" t="n"/>
      <c r="G3887" s="392" t="n">
        <v>30</v>
      </c>
      <c r="H3887" s="446">
        <f>H3886-G3887</f>
        <v/>
      </c>
      <c r="I3887" s="392" t="n"/>
      <c r="J3887" s="392" t="n"/>
      <c r="K3887" s="392" t="n"/>
      <c r="L3887" s="392" t="n"/>
      <c r="M3887" s="392" t="n"/>
    </row>
    <row r="3888">
      <c r="A3888" s="568" t="n">
        <v>45159</v>
      </c>
      <c r="B3888" s="392" t="n">
        <v>10395</v>
      </c>
      <c r="C3888" s="392" t="n">
        <v>97</v>
      </c>
      <c r="D3888" s="392" t="n"/>
      <c r="E3888" s="392" t="n"/>
      <c r="F3888" s="392" t="n"/>
      <c r="G3888" s="392" t="n">
        <v>30</v>
      </c>
      <c r="H3888" s="446">
        <f>H3887-G3888</f>
        <v/>
      </c>
      <c r="I3888" s="392" t="n"/>
      <c r="J3888" s="392" t="n"/>
      <c r="K3888" s="392" t="n"/>
      <c r="L3888" s="392" t="n"/>
      <c r="M3888" s="392" t="n"/>
    </row>
    <row r="3889">
      <c r="A3889" s="568" t="n">
        <v>45159</v>
      </c>
      <c r="B3889" s="392" t="n">
        <v>10396</v>
      </c>
      <c r="C3889" s="392" t="n">
        <v>99</v>
      </c>
      <c r="D3889" s="392" t="n"/>
      <c r="E3889" s="392" t="n"/>
      <c r="F3889" s="392" t="n"/>
      <c r="G3889" s="392" t="n">
        <v>20</v>
      </c>
      <c r="H3889" s="446">
        <f>H3888-G3889</f>
        <v/>
      </c>
      <c r="I3889" s="392" t="n"/>
      <c r="J3889" s="392" t="n"/>
      <c r="K3889" s="392" t="n"/>
      <c r="L3889" s="392" t="n"/>
      <c r="M3889" s="392" t="n"/>
    </row>
    <row r="3890">
      <c r="A3890" s="568" t="n">
        <v>45159</v>
      </c>
      <c r="B3890" s="392" t="n">
        <v>10399</v>
      </c>
      <c r="C3890" s="392" t="n">
        <v>99</v>
      </c>
      <c r="D3890" s="392" t="n"/>
      <c r="E3890" s="392" t="n"/>
      <c r="F3890" s="392" t="n"/>
      <c r="G3890" s="392" t="n">
        <v>35</v>
      </c>
      <c r="H3890" s="446">
        <f>H3889-G3890</f>
        <v/>
      </c>
      <c r="I3890" s="392" t="n"/>
      <c r="J3890" s="392" t="n"/>
      <c r="K3890" s="392" t="n"/>
      <c r="L3890" s="392" t="n"/>
      <c r="M3890" s="392" t="n"/>
    </row>
    <row r="3891">
      <c r="A3891" s="568" t="n">
        <v>45160</v>
      </c>
      <c r="B3891" s="392" t="n">
        <v>10401</v>
      </c>
      <c r="C3891" s="392" t="n">
        <v>99</v>
      </c>
      <c r="D3891" s="392" t="n"/>
      <c r="E3891" s="392" t="n"/>
      <c r="F3891" s="392" t="n"/>
      <c r="G3891" s="392" t="n">
        <v>70</v>
      </c>
      <c r="H3891" s="446">
        <f>H3890-G3891</f>
        <v/>
      </c>
      <c r="I3891" s="392" t="n"/>
      <c r="J3891" s="392" t="n"/>
      <c r="K3891" s="392" t="n"/>
      <c r="L3891" s="392" t="n"/>
      <c r="M3891" s="392" t="n"/>
    </row>
    <row r="3892">
      <c r="A3892" s="568" t="n">
        <v>45160</v>
      </c>
      <c r="B3892" s="392" t="n">
        <v>10404</v>
      </c>
      <c r="C3892" s="392" t="n">
        <v>95</v>
      </c>
      <c r="D3892" s="392" t="n"/>
      <c r="E3892" s="392" t="n"/>
      <c r="F3892" s="392" t="n"/>
      <c r="G3892" s="392" t="n">
        <v>30</v>
      </c>
      <c r="H3892" s="446">
        <f>H3891-G3892</f>
        <v/>
      </c>
      <c r="I3892" s="392" t="n"/>
      <c r="J3892" s="392" t="n"/>
      <c r="K3892" s="392" t="n"/>
      <c r="L3892" s="392" t="n"/>
      <c r="M3892" s="392" t="n"/>
    </row>
    <row r="3893">
      <c r="A3893" s="568" t="n">
        <v>45160</v>
      </c>
      <c r="B3893" s="392" t="n">
        <v>10405</v>
      </c>
      <c r="C3893" s="392" t="n">
        <v>99</v>
      </c>
      <c r="D3893" s="392" t="n"/>
      <c r="E3893" s="392" t="n"/>
      <c r="F3893" s="392" t="n"/>
      <c r="G3893" s="392" t="n">
        <v>36</v>
      </c>
      <c r="H3893" s="446">
        <f>H3892-G3893</f>
        <v/>
      </c>
      <c r="I3893" s="392" t="n"/>
      <c r="J3893" s="392" t="n"/>
      <c r="K3893" s="392" t="n"/>
      <c r="L3893" s="392" t="n"/>
      <c r="M3893" s="392" t="n"/>
    </row>
    <row r="3894">
      <c r="A3894" s="568" t="n">
        <v>45160</v>
      </c>
      <c r="B3894" s="392" t="n">
        <v>10406</v>
      </c>
      <c r="C3894" s="392" t="n">
        <v>91</v>
      </c>
      <c r="D3894" s="392" t="n"/>
      <c r="E3894" s="392" t="n"/>
      <c r="F3894" s="392" t="n"/>
      <c r="G3894" s="392" t="n">
        <v>10</v>
      </c>
      <c r="H3894" s="446">
        <f>H3893-G3894</f>
        <v/>
      </c>
      <c r="I3894" s="392" t="n"/>
      <c r="J3894" s="392" t="n"/>
      <c r="K3894" s="392" t="n"/>
      <c r="L3894" s="392" t="n"/>
      <c r="M3894" s="392" t="n"/>
    </row>
    <row r="3895">
      <c r="A3895" s="568" t="n">
        <v>45161</v>
      </c>
      <c r="B3895" s="392" t="n">
        <v>10407</v>
      </c>
      <c r="C3895" s="392" t="n">
        <v>96</v>
      </c>
      <c r="D3895" s="392" t="n"/>
      <c r="E3895" s="392" t="n"/>
      <c r="F3895" s="392" t="n"/>
      <c r="G3895" s="392" t="n">
        <v>150</v>
      </c>
      <c r="H3895" s="446">
        <f>H3894-G3895</f>
        <v/>
      </c>
      <c r="I3895" s="392" t="n"/>
      <c r="J3895" s="392" t="n"/>
      <c r="K3895" s="392" t="n"/>
      <c r="L3895" s="392" t="n"/>
      <c r="M3895" s="392" t="n"/>
    </row>
    <row r="3896">
      <c r="A3896" s="568" t="n">
        <v>45161</v>
      </c>
      <c r="B3896" s="392" t="n">
        <v>10408</v>
      </c>
      <c r="C3896" s="392" t="n">
        <v>99</v>
      </c>
      <c r="D3896" s="392" t="n"/>
      <c r="E3896" s="392" t="n"/>
      <c r="F3896" s="392" t="n"/>
      <c r="G3896" s="392" t="n">
        <v>20</v>
      </c>
      <c r="H3896" s="446">
        <f>H3895-G3896</f>
        <v/>
      </c>
      <c r="I3896" s="392" t="n"/>
      <c r="J3896" s="392" t="n"/>
      <c r="K3896" s="392" t="n"/>
      <c r="L3896" s="392" t="n"/>
      <c r="M3896" s="392" t="n"/>
    </row>
    <row r="3897">
      <c r="A3897" s="568" t="n">
        <v>45161</v>
      </c>
      <c r="B3897" s="392" t="n">
        <v>10409</v>
      </c>
      <c r="C3897" s="392" t="n">
        <v>90</v>
      </c>
      <c r="D3897" s="392" t="n"/>
      <c r="E3897" s="392" t="n"/>
      <c r="F3897" s="392" t="n"/>
      <c r="G3897" s="392" t="n">
        <v>70</v>
      </c>
      <c r="H3897" s="446">
        <f>H3896-G3897</f>
        <v/>
      </c>
      <c r="I3897" s="392" t="n"/>
      <c r="J3897" s="392" t="n"/>
      <c r="K3897" s="392" t="n"/>
      <c r="L3897" s="392" t="n"/>
      <c r="M3897" s="392" t="n"/>
    </row>
    <row r="3898">
      <c r="A3898" s="568" t="n">
        <v>45161</v>
      </c>
      <c r="B3898" s="392" t="n">
        <v>10412</v>
      </c>
      <c r="C3898" s="392" t="n">
        <v>94</v>
      </c>
      <c r="D3898" s="392" t="n"/>
      <c r="E3898" s="392" t="n"/>
      <c r="F3898" s="392" t="n"/>
      <c r="G3898" s="392" t="n">
        <v>20</v>
      </c>
      <c r="H3898" s="446">
        <f>H3897-G3898</f>
        <v/>
      </c>
      <c r="I3898" s="392" t="n"/>
      <c r="J3898" s="392" t="n"/>
      <c r="K3898" s="392" t="n"/>
      <c r="L3898" s="392" t="n"/>
      <c r="M3898" s="392" t="n"/>
    </row>
    <row r="3899">
      <c r="A3899" s="568" t="n">
        <v>45162</v>
      </c>
      <c r="B3899" s="392" t="n">
        <v>10413</v>
      </c>
      <c r="C3899" s="392" t="n">
        <v>93</v>
      </c>
      <c r="D3899" s="392" t="n"/>
      <c r="E3899" s="392" t="n"/>
      <c r="F3899" s="392" t="n"/>
      <c r="G3899" s="392" t="n">
        <v>40</v>
      </c>
      <c r="H3899" s="446">
        <f>H3898-G3899</f>
        <v/>
      </c>
      <c r="I3899" s="392" t="n"/>
      <c r="J3899" s="392" t="n"/>
      <c r="K3899" s="392" t="n"/>
      <c r="L3899" s="392" t="n"/>
      <c r="M3899" s="392" t="n"/>
    </row>
    <row r="3900">
      <c r="A3900" s="568" t="n">
        <v>45167</v>
      </c>
      <c r="B3900" s="392" t="n">
        <v>10414</v>
      </c>
      <c r="C3900" s="392" t="n">
        <v>99</v>
      </c>
      <c r="D3900" s="392" t="n"/>
      <c r="E3900" s="392" t="n"/>
      <c r="F3900" s="392" t="n"/>
      <c r="G3900" s="392" t="n">
        <v>35</v>
      </c>
      <c r="H3900" s="446">
        <f>H3899-G3900</f>
        <v/>
      </c>
      <c r="I3900" s="392" t="n"/>
      <c r="J3900" s="392" t="n"/>
      <c r="K3900" s="392" t="n"/>
      <c r="L3900" s="392" t="n"/>
      <c r="M3900" s="392" t="n"/>
    </row>
    <row r="3901">
      <c r="A3901" s="568" t="n">
        <v>45167</v>
      </c>
      <c r="B3901" s="392" t="n">
        <v>10417</v>
      </c>
      <c r="C3901" s="392" t="n">
        <v>99</v>
      </c>
      <c r="D3901" s="392" t="n"/>
      <c r="E3901" s="392" t="n"/>
      <c r="F3901" s="392" t="n"/>
      <c r="G3901" s="392" t="n">
        <v>20</v>
      </c>
      <c r="H3901" s="446">
        <f>H3900-G3901</f>
        <v/>
      </c>
      <c r="I3901" s="392" t="n"/>
      <c r="J3901" s="392" t="n"/>
      <c r="K3901" s="392" t="n"/>
      <c r="L3901" s="392" t="n"/>
      <c r="M3901" s="392" t="n"/>
    </row>
    <row r="3902">
      <c r="A3902" s="568" t="n">
        <v>45167</v>
      </c>
      <c r="B3902" s="392" t="n">
        <v>10421</v>
      </c>
      <c r="C3902" s="392" t="n">
        <v>95.29000000000001</v>
      </c>
      <c r="D3902" s="392" t="n"/>
      <c r="E3902" s="392" t="n"/>
      <c r="F3902" s="392" t="n"/>
      <c r="G3902" s="392" t="n">
        <v>35</v>
      </c>
      <c r="H3902" s="446">
        <f>H3901-G3902</f>
        <v/>
      </c>
      <c r="I3902" s="392" t="n"/>
      <c r="J3902" s="392" t="n"/>
      <c r="K3902" s="392" t="n"/>
      <c r="L3902" s="392" t="n"/>
      <c r="M3902" s="392" t="n"/>
    </row>
    <row r="3903">
      <c r="A3903" s="568" t="n">
        <v>45167</v>
      </c>
      <c r="B3903" s="392" t="n">
        <v>10427</v>
      </c>
      <c r="C3903" s="392" t="n">
        <v>94</v>
      </c>
      <c r="D3903" s="392" t="n"/>
      <c r="E3903" s="392" t="n"/>
      <c r="F3903" s="392" t="n"/>
      <c r="G3903" s="392" t="n">
        <v>30</v>
      </c>
      <c r="H3903" s="446">
        <f>H3902-G3903</f>
        <v/>
      </c>
      <c r="I3903" s="392" t="n"/>
      <c r="J3903" s="392" t="n"/>
      <c r="K3903" s="392" t="n"/>
      <c r="L3903" s="392" t="n"/>
      <c r="M3903" s="392" t="n"/>
    </row>
    <row r="3904">
      <c r="A3904" s="568" t="n">
        <v>45167</v>
      </c>
      <c r="B3904" s="392" t="n">
        <v>10428</v>
      </c>
      <c r="C3904" s="392" t="n">
        <v>99</v>
      </c>
      <c r="D3904" s="392" t="n"/>
      <c r="E3904" s="392" t="n"/>
      <c r="F3904" s="392" t="n"/>
      <c r="G3904" s="392" t="n">
        <v>20</v>
      </c>
      <c r="H3904" s="446">
        <f>H3903-G3904</f>
        <v/>
      </c>
      <c r="I3904" s="392" t="n"/>
      <c r="J3904" s="392" t="n"/>
      <c r="K3904" s="392" t="n"/>
      <c r="L3904" s="392" t="n"/>
      <c r="M3904" s="392" t="n"/>
    </row>
    <row r="3905">
      <c r="A3905" s="568" t="n">
        <v>45168</v>
      </c>
      <c r="B3905" s="392" t="n">
        <v>10434</v>
      </c>
      <c r="C3905" s="392" t="n">
        <v>94</v>
      </c>
      <c r="D3905" s="392" t="n"/>
      <c r="E3905" s="392" t="n"/>
      <c r="F3905" s="392" t="n"/>
      <c r="G3905" s="392" t="n">
        <v>20</v>
      </c>
      <c r="H3905" s="446">
        <f>H3904-G3905</f>
        <v/>
      </c>
      <c r="I3905" s="392" t="n"/>
      <c r="J3905" s="392" t="n"/>
      <c r="K3905" s="392" t="n"/>
      <c r="L3905" s="392" t="n"/>
      <c r="M3905" s="392" t="n"/>
    </row>
    <row r="3906">
      <c r="A3906" s="568" t="n">
        <v>45168</v>
      </c>
      <c r="B3906" s="392" t="n">
        <v>10435</v>
      </c>
      <c r="C3906" s="392" t="n">
        <v>92</v>
      </c>
      <c r="D3906" s="392" t="n"/>
      <c r="E3906" s="392" t="n"/>
      <c r="F3906" s="392" t="n"/>
      <c r="G3906" s="392" t="n">
        <v>30</v>
      </c>
      <c r="H3906" s="446">
        <f>H3905-G3906</f>
        <v/>
      </c>
      <c r="I3906" s="392" t="n"/>
      <c r="J3906" s="392" t="n"/>
      <c r="K3906" s="392" t="n"/>
      <c r="L3906" s="392" t="n"/>
      <c r="M3906" s="392" t="n"/>
    </row>
    <row r="3907" ht="15.75" customHeight="1" s="436" thickBot="1">
      <c r="A3907" s="414" t="n"/>
      <c r="H3907" s="390" t="n"/>
    </row>
    <row r="3908" ht="32.25" customHeight="1" s="436" thickBot="1">
      <c r="A3908" s="735" t="inlineStr">
        <is>
          <t>Setembro</t>
        </is>
      </c>
      <c r="B3908" s="697" t="n"/>
      <c r="C3908" s="697" t="n"/>
      <c r="D3908" s="697" t="n"/>
      <c r="E3908" s="697" t="n"/>
      <c r="F3908" s="697" t="n"/>
      <c r="G3908" s="697" t="n"/>
      <c r="H3908" s="697" t="n"/>
      <c r="I3908" s="697" t="n"/>
      <c r="J3908" s="697" t="n"/>
      <c r="K3908" s="697" t="n"/>
      <c r="L3908" s="697" t="n"/>
      <c r="M3908" s="698" t="n"/>
    </row>
    <row r="3909" ht="27" customHeight="1" s="436" thickBot="1">
      <c r="A3909" s="720" t="inlineStr">
        <is>
          <t xml:space="preserve"> FARINHA DE TRIGO TIPO: 1 - 25 KG</t>
        </is>
      </c>
      <c r="B3909" s="697" t="n"/>
      <c r="C3909" s="697" t="n"/>
      <c r="D3909" s="697" t="n"/>
      <c r="E3909" s="697" t="n"/>
      <c r="F3909" s="697" t="n"/>
      <c r="G3909" s="697" t="n"/>
      <c r="H3909" s="697" t="n"/>
      <c r="I3909" s="697" t="n"/>
      <c r="J3909" s="697" t="n"/>
      <c r="K3909" s="697" t="n"/>
      <c r="L3909" s="697" t="n"/>
      <c r="M3909" s="698" t="n"/>
    </row>
    <row r="3910">
      <c r="A3910" s="643" t="inlineStr">
        <is>
          <t>DATA</t>
        </is>
      </c>
      <c r="B3910" s="633" t="inlineStr">
        <is>
          <t>N.F.</t>
        </is>
      </c>
      <c r="C3910" s="633" t="inlineStr">
        <is>
          <t>TIPO</t>
        </is>
      </c>
      <c r="D3910" s="670" t="inlineStr">
        <is>
          <t>PREÇO UNITÁRIO</t>
        </is>
      </c>
      <c r="E3910" s="701" t="n"/>
      <c r="F3910" s="633" t="inlineStr">
        <is>
          <t>QUANTIDADE / KG</t>
        </is>
      </c>
      <c r="H3910" s="701" t="n"/>
      <c r="I3910" s="632" t="inlineStr">
        <is>
          <t>PREÇO</t>
        </is>
      </c>
      <c r="J3910" s="632" t="inlineStr">
        <is>
          <t>VALORES</t>
        </is>
      </c>
      <c r="L3910" s="701" t="n"/>
      <c r="M3910" s="649" t="n"/>
    </row>
    <row r="3911" ht="15.75" customHeight="1" s="436" thickBot="1">
      <c r="A3911" s="703" t="n"/>
      <c r="B3911" s="704" t="n"/>
      <c r="C3911" s="704" t="n"/>
      <c r="D3911" s="703" t="n"/>
      <c r="E3911" s="701" t="n"/>
      <c r="F3911" s="705" t="n"/>
      <c r="G3911" s="706" t="n"/>
      <c r="H3911" s="707" t="n"/>
      <c r="I3911" s="704" t="n"/>
      <c r="J3911" s="703" t="n"/>
      <c r="L3911" s="701" t="n"/>
      <c r="M3911" s="704" t="n"/>
    </row>
    <row r="3912" ht="15.75" customHeight="1" s="436" thickBot="1">
      <c r="A3912" s="703" t="n"/>
      <c r="B3912" s="704" t="n"/>
      <c r="C3912" s="704" t="n"/>
      <c r="D3912" s="705" t="n"/>
      <c r="E3912" s="707" t="n"/>
      <c r="F3912" s="3" t="inlineStr">
        <is>
          <t>ENTRADA</t>
        </is>
      </c>
      <c r="G3912" s="3" t="inlineStr">
        <is>
          <t>SAÍDA</t>
        </is>
      </c>
      <c r="H3912" s="640" t="n"/>
      <c r="I3912" s="633" t="inlineStr">
        <is>
          <t>MÉDIO</t>
        </is>
      </c>
      <c r="J3912" s="652" t="inlineStr">
        <is>
          <t>SALDO EM 30/11/2017</t>
        </is>
      </c>
      <c r="K3912" s="706" t="n"/>
      <c r="L3912" s="17" t="n"/>
      <c r="M3912" s="704" t="n"/>
    </row>
    <row r="3913" ht="18" customHeight="1" s="436" thickBot="1">
      <c r="A3913" s="705" t="n"/>
      <c r="B3913" s="695" t="n"/>
      <c r="C3913" s="695" t="n"/>
      <c r="D3913" s="3" t="inlineStr">
        <is>
          <t>C/ICMS</t>
        </is>
      </c>
      <c r="E3913" s="3" t="inlineStr">
        <is>
          <t>S/ICMS</t>
        </is>
      </c>
      <c r="F3913" s="695" t="n"/>
      <c r="G3913" s="695" t="n"/>
      <c r="H3913" s="84" t="inlineStr">
        <is>
          <t>Saldo em 30/08/2022</t>
        </is>
      </c>
      <c r="I3913" s="695" t="n"/>
      <c r="J3913" s="645" t="inlineStr">
        <is>
          <t>ENTRADA</t>
        </is>
      </c>
      <c r="K3913" s="633" t="inlineStr">
        <is>
          <t>SAÍDA / CMV</t>
        </is>
      </c>
      <c r="L3913" s="643" t="inlineStr">
        <is>
          <t>SALDO</t>
        </is>
      </c>
      <c r="M3913" s="392" t="n"/>
    </row>
    <row r="3914">
      <c r="A3914" s="392" t="n"/>
      <c r="B3914" s="392" t="n"/>
      <c r="C3914" s="392" t="n"/>
      <c r="D3914" s="392" t="n"/>
      <c r="E3914" s="392" t="n"/>
      <c r="F3914" s="392" t="n"/>
      <c r="G3914" s="392" t="n"/>
      <c r="H3914" s="446" t="n">
        <v>3165</v>
      </c>
      <c r="I3914" s="392" t="n"/>
      <c r="J3914" s="392" t="n"/>
      <c r="K3914" s="392" t="n"/>
      <c r="L3914" s="392" t="n"/>
      <c r="M3914" s="392" t="n"/>
    </row>
    <row r="3915">
      <c r="A3915" s="568" t="n">
        <v>45173</v>
      </c>
      <c r="B3915" s="392" t="n">
        <v>10437</v>
      </c>
      <c r="C3915" s="392" t="n">
        <v>95</v>
      </c>
      <c r="D3915" s="392" t="n"/>
      <c r="E3915" s="392" t="n"/>
      <c r="F3915" s="392" t="n"/>
      <c r="G3915" s="392" t="n">
        <v>20</v>
      </c>
      <c r="H3915" s="446">
        <f>H3914-G3915</f>
        <v/>
      </c>
      <c r="I3915" s="392" t="n"/>
      <c r="J3915" s="392" t="n"/>
      <c r="K3915" s="392" t="n"/>
      <c r="L3915" s="392" t="n"/>
      <c r="M3915" s="392" t="n"/>
    </row>
    <row r="3916">
      <c r="A3916" s="568" t="n">
        <v>45173</v>
      </c>
      <c r="B3916" s="392" t="n">
        <v>10438</v>
      </c>
      <c r="C3916" s="392" t="n">
        <v>94</v>
      </c>
      <c r="D3916" s="392" t="n"/>
      <c r="E3916" s="392" t="n"/>
      <c r="F3916" s="392" t="n"/>
      <c r="G3916" s="392" t="n">
        <v>30</v>
      </c>
      <c r="H3916" s="446">
        <f>H3915-G3916</f>
        <v/>
      </c>
      <c r="I3916" s="392" t="n"/>
      <c r="J3916" s="392" t="n"/>
      <c r="K3916" s="392" t="n"/>
      <c r="L3916" s="392" t="n"/>
      <c r="M3916" s="392" t="n"/>
    </row>
    <row r="3917">
      <c r="A3917" s="568" t="n">
        <v>45173</v>
      </c>
      <c r="B3917" s="392" t="n">
        <v>10439</v>
      </c>
      <c r="C3917" s="392" t="n">
        <v>96</v>
      </c>
      <c r="D3917" s="392" t="n"/>
      <c r="E3917" s="392" t="n"/>
      <c r="F3917" s="392" t="n"/>
      <c r="G3917" s="392" t="n">
        <v>20</v>
      </c>
      <c r="H3917" s="446">
        <f>H3916-G3917</f>
        <v/>
      </c>
      <c r="I3917" s="392" t="n"/>
      <c r="J3917" s="392" t="n"/>
      <c r="K3917" s="392" t="n"/>
      <c r="L3917" s="392" t="n"/>
      <c r="M3917" s="392" t="n"/>
    </row>
    <row r="3918">
      <c r="A3918" s="568" t="n">
        <v>45173</v>
      </c>
      <c r="B3918" s="392" t="n">
        <v>10440</v>
      </c>
      <c r="C3918" s="392" t="n">
        <v>96</v>
      </c>
      <c r="D3918" s="392" t="n"/>
      <c r="E3918" s="392" t="n"/>
      <c r="F3918" s="392" t="n"/>
      <c r="G3918" s="392" t="n">
        <v>20</v>
      </c>
      <c r="H3918" s="446">
        <f>H3917-G3918</f>
        <v/>
      </c>
      <c r="I3918" s="392" t="n"/>
      <c r="J3918" s="392" t="n"/>
      <c r="K3918" s="392" t="n"/>
      <c r="L3918" s="392" t="n"/>
      <c r="M3918" s="392" t="n"/>
    </row>
    <row r="3919">
      <c r="A3919" s="568" t="n">
        <v>45173</v>
      </c>
      <c r="B3919" s="392" t="n">
        <v>10441</v>
      </c>
      <c r="C3919" s="392" t="n">
        <v>94</v>
      </c>
      <c r="D3919" s="392" t="n"/>
      <c r="E3919" s="392" t="n"/>
      <c r="F3919" s="392" t="n"/>
      <c r="G3919" s="392" t="n">
        <v>20</v>
      </c>
      <c r="H3919" s="446">
        <f>H3918-G3919</f>
        <v/>
      </c>
      <c r="I3919" s="392" t="n"/>
      <c r="J3919" s="392" t="n"/>
      <c r="K3919" s="392" t="n"/>
      <c r="L3919" s="392" t="n"/>
      <c r="M3919" s="392" t="n"/>
    </row>
    <row r="3920">
      <c r="A3920" s="568" t="n">
        <v>45173</v>
      </c>
      <c r="B3920" s="392" t="n">
        <v>10444</v>
      </c>
      <c r="C3920" s="392" t="n">
        <v>99</v>
      </c>
      <c r="D3920" s="392" t="n"/>
      <c r="E3920" s="392" t="n"/>
      <c r="F3920" s="392" t="n"/>
      <c r="G3920" s="392" t="n">
        <v>25</v>
      </c>
      <c r="H3920" s="446">
        <f>H3919-G3920</f>
        <v/>
      </c>
      <c r="I3920" s="392" t="n"/>
      <c r="J3920" s="392" t="n"/>
      <c r="K3920" s="392" t="n"/>
      <c r="L3920" s="392" t="n"/>
      <c r="M3920" s="392" t="n"/>
    </row>
    <row r="3921">
      <c r="A3921" s="568" t="n">
        <v>45174</v>
      </c>
      <c r="B3921" s="392" t="n">
        <v>10447</v>
      </c>
      <c r="C3921" s="392" t="n">
        <v>93</v>
      </c>
      <c r="D3921" s="392" t="n"/>
      <c r="E3921" s="392" t="n"/>
      <c r="F3921" s="392" t="n"/>
      <c r="G3921" s="392" t="n">
        <v>30</v>
      </c>
      <c r="H3921" s="446">
        <f>H3920-G3921</f>
        <v/>
      </c>
      <c r="I3921" s="392" t="n"/>
      <c r="J3921" s="392" t="n"/>
      <c r="K3921" s="392" t="n"/>
      <c r="L3921" s="392" t="n"/>
      <c r="M3921" s="392" t="n"/>
    </row>
    <row r="3922">
      <c r="A3922" s="568" t="n">
        <v>45174</v>
      </c>
      <c r="B3922" s="392" t="n">
        <v>10450</v>
      </c>
      <c r="C3922" s="392" t="n">
        <v>99</v>
      </c>
      <c r="D3922" s="392" t="n"/>
      <c r="E3922" s="392" t="n"/>
      <c r="F3922" s="392" t="n"/>
      <c r="G3922" s="392" t="n">
        <v>20</v>
      </c>
      <c r="H3922" s="446">
        <f>H3921-G3922</f>
        <v/>
      </c>
      <c r="I3922" s="392" t="n"/>
      <c r="J3922" s="392" t="n"/>
      <c r="K3922" s="392" t="n"/>
      <c r="L3922" s="392" t="n"/>
      <c r="M3922" s="392" t="n"/>
    </row>
    <row r="3923">
      <c r="A3923" s="568" t="n">
        <v>45174</v>
      </c>
      <c r="B3923" s="392" t="n">
        <v>10451</v>
      </c>
      <c r="C3923" s="392" t="n">
        <v>93</v>
      </c>
      <c r="D3923" s="392" t="n"/>
      <c r="E3923" s="392" t="n"/>
      <c r="F3923" s="392" t="n"/>
      <c r="G3923" s="392" t="n">
        <v>30</v>
      </c>
      <c r="H3923" s="446">
        <f>H3922-G3923</f>
        <v/>
      </c>
      <c r="I3923" s="392" t="n"/>
      <c r="J3923" s="392" t="n"/>
      <c r="K3923" s="392" t="n"/>
      <c r="L3923" s="392" t="n"/>
      <c r="M3923" s="392" t="n"/>
    </row>
    <row r="3924">
      <c r="A3924" s="568" t="n">
        <v>45175</v>
      </c>
      <c r="B3924" s="392" t="n">
        <v>10454</v>
      </c>
      <c r="C3924" s="392" t="n">
        <v>96</v>
      </c>
      <c r="D3924" s="392" t="n"/>
      <c r="E3924" s="392" t="n"/>
      <c r="F3924" s="392" t="n"/>
      <c r="G3924" s="392" t="n">
        <v>25</v>
      </c>
      <c r="H3924" s="446">
        <f>H3923-G3924</f>
        <v/>
      </c>
      <c r="I3924" s="392" t="n"/>
      <c r="J3924" s="392" t="n"/>
      <c r="K3924" s="392" t="n"/>
      <c r="L3924" s="392" t="n"/>
      <c r="M3924" s="392" t="n"/>
    </row>
    <row r="3925">
      <c r="A3925" s="568" t="n">
        <v>45181</v>
      </c>
      <c r="B3925" s="392" t="n">
        <v>10455</v>
      </c>
      <c r="C3925" s="392" t="n">
        <v>93</v>
      </c>
      <c r="D3925" s="392" t="n"/>
      <c r="E3925" s="392" t="n"/>
      <c r="F3925" s="392" t="n"/>
      <c r="G3925" s="392" t="n">
        <v>50</v>
      </c>
      <c r="H3925" s="446">
        <f>H3924-G3925</f>
        <v/>
      </c>
      <c r="I3925" s="392" t="n"/>
      <c r="J3925" s="392" t="n"/>
      <c r="K3925" s="392" t="n"/>
      <c r="L3925" s="392" t="n"/>
      <c r="M3925" s="392" t="n"/>
    </row>
    <row r="3926">
      <c r="A3926" s="568" t="n">
        <v>45181</v>
      </c>
      <c r="B3926" s="392" t="n">
        <v>10458</v>
      </c>
      <c r="C3926" s="392" t="n">
        <v>94</v>
      </c>
      <c r="D3926" s="392" t="n"/>
      <c r="E3926" s="392" t="n"/>
      <c r="F3926" s="392" t="n"/>
      <c r="G3926" s="392" t="n">
        <v>20</v>
      </c>
      <c r="H3926" s="446">
        <f>H3925-G3926</f>
        <v/>
      </c>
      <c r="I3926" s="392" t="n"/>
      <c r="J3926" s="392" t="n"/>
      <c r="K3926" s="392" t="n"/>
      <c r="L3926" s="392" t="n"/>
      <c r="M3926" s="392" t="n"/>
    </row>
    <row r="3927">
      <c r="A3927" s="568" t="n">
        <v>45181</v>
      </c>
      <c r="B3927" s="392" t="n">
        <v>10459</v>
      </c>
      <c r="C3927" s="392" t="n">
        <v>93</v>
      </c>
      <c r="D3927" s="392" t="n"/>
      <c r="E3927" s="392" t="n"/>
      <c r="F3927" s="392" t="n"/>
      <c r="G3927" s="392" t="n">
        <v>30</v>
      </c>
      <c r="H3927" s="446">
        <f>H3926-G3927</f>
        <v/>
      </c>
      <c r="I3927" s="392" t="n"/>
      <c r="J3927" s="392" t="n"/>
      <c r="K3927" s="392" t="n"/>
      <c r="L3927" s="392" t="n"/>
      <c r="M3927" s="392" t="n"/>
    </row>
    <row r="3928">
      <c r="A3928" s="568" t="n">
        <v>45181</v>
      </c>
      <c r="B3928" s="392" t="n">
        <v>10461</v>
      </c>
      <c r="C3928" s="392" t="n">
        <v>99</v>
      </c>
      <c r="D3928" s="392" t="n"/>
      <c r="E3928" s="392" t="n"/>
      <c r="F3928" s="392" t="n"/>
      <c r="G3928" s="392" t="n">
        <v>25</v>
      </c>
      <c r="H3928" s="446">
        <f>H3927-G3928</f>
        <v/>
      </c>
      <c r="I3928" s="392" t="n"/>
      <c r="J3928" s="392" t="n"/>
      <c r="K3928" s="392" t="n"/>
      <c r="L3928" s="392" t="n"/>
      <c r="M3928" s="392" t="n"/>
    </row>
    <row r="3929">
      <c r="A3929" s="568" t="n">
        <v>45181</v>
      </c>
      <c r="B3929" s="392" t="n">
        <v>10464</v>
      </c>
      <c r="C3929" s="392" t="n">
        <v>99</v>
      </c>
      <c r="D3929" s="392" t="n"/>
      <c r="E3929" s="392" t="n"/>
      <c r="F3929" s="392" t="n"/>
      <c r="G3929" s="392" t="n">
        <v>35</v>
      </c>
      <c r="H3929" s="446">
        <f>H3928-G3929</f>
        <v/>
      </c>
      <c r="I3929" s="392" t="n"/>
      <c r="J3929" s="392" t="n"/>
      <c r="K3929" s="392" t="n"/>
      <c r="L3929" s="392" t="n"/>
      <c r="M3929" s="392" t="n"/>
    </row>
    <row r="3930">
      <c r="A3930" s="568" t="n">
        <v>45181</v>
      </c>
      <c r="B3930" s="392" t="n">
        <v>10470</v>
      </c>
      <c r="C3930" s="392" t="n">
        <v>99</v>
      </c>
      <c r="D3930" s="392" t="n"/>
      <c r="E3930" s="392" t="n"/>
      <c r="F3930" s="392" t="n"/>
      <c r="G3930" s="392" t="n">
        <v>20</v>
      </c>
      <c r="H3930" s="446">
        <f>H3929-G3930</f>
        <v/>
      </c>
      <c r="I3930" s="392" t="n"/>
      <c r="J3930" s="392" t="n"/>
      <c r="K3930" s="392" t="n"/>
      <c r="L3930" s="392" t="n"/>
      <c r="M3930" s="392" t="n"/>
    </row>
    <row r="3931">
      <c r="A3931" s="568" t="n">
        <v>45182</v>
      </c>
      <c r="B3931" s="392" t="n">
        <v>10471</v>
      </c>
      <c r="C3931" s="392" t="n">
        <v>95</v>
      </c>
      <c r="D3931" s="392" t="n"/>
      <c r="E3931" s="392" t="n"/>
      <c r="F3931" s="392" t="n"/>
      <c r="G3931" s="392" t="n">
        <v>20</v>
      </c>
      <c r="H3931" s="446">
        <f>H3930-G3931</f>
        <v/>
      </c>
      <c r="I3931" s="392" t="n"/>
      <c r="J3931" s="392" t="n"/>
      <c r="K3931" s="392" t="n"/>
      <c r="L3931" s="392" t="n"/>
      <c r="M3931" s="392" t="n"/>
    </row>
    <row r="3932">
      <c r="A3932" s="568" t="n">
        <v>45182</v>
      </c>
      <c r="B3932" s="392" t="n">
        <v>10472</v>
      </c>
      <c r="C3932" s="392" t="n">
        <v>93</v>
      </c>
      <c r="D3932" s="392" t="n"/>
      <c r="E3932" s="392" t="n"/>
      <c r="F3932" s="392" t="n"/>
      <c r="G3932" s="392" t="n">
        <v>20</v>
      </c>
      <c r="H3932" s="446">
        <f>H3931-G3932</f>
        <v/>
      </c>
      <c r="I3932" s="392" t="n"/>
      <c r="J3932" s="392" t="n"/>
      <c r="K3932" s="392" t="n"/>
      <c r="L3932" s="392" t="n"/>
      <c r="M3932" s="392" t="n"/>
    </row>
    <row r="3933">
      <c r="A3933" s="568" t="n">
        <v>45182</v>
      </c>
      <c r="B3933" s="392" t="n">
        <v>10473</v>
      </c>
      <c r="C3933" s="392" t="n">
        <v>91</v>
      </c>
      <c r="D3933" s="392" t="n"/>
      <c r="E3933" s="392" t="n"/>
      <c r="F3933" s="392" t="n"/>
      <c r="G3933" s="392" t="n">
        <v>20</v>
      </c>
      <c r="H3933" s="446">
        <f>H3932-G3933</f>
        <v/>
      </c>
      <c r="I3933" s="392" t="n"/>
      <c r="J3933" s="392" t="n"/>
      <c r="K3933" s="392" t="n"/>
      <c r="L3933" s="392" t="n"/>
      <c r="M3933" s="392" t="n"/>
    </row>
    <row r="3934">
      <c r="A3934" s="568" t="n">
        <v>45182</v>
      </c>
      <c r="B3934" s="392" t="n">
        <v>10474</v>
      </c>
      <c r="C3934" s="392" t="n">
        <v>95.84</v>
      </c>
      <c r="D3934" s="392" t="n"/>
      <c r="E3934" s="392" t="n"/>
      <c r="F3934" s="392" t="n"/>
      <c r="G3934" s="392" t="n">
        <v>42</v>
      </c>
      <c r="H3934" s="446">
        <f>H3933-G3934</f>
        <v/>
      </c>
      <c r="I3934" s="392" t="n"/>
      <c r="J3934" s="392" t="n"/>
      <c r="K3934" s="392" t="n"/>
      <c r="L3934" s="392" t="n"/>
      <c r="M3934" s="392" t="n"/>
    </row>
    <row r="3935">
      <c r="A3935" s="304" t="n">
        <v>45184</v>
      </c>
      <c r="B3935" s="401" t="n">
        <v>227479</v>
      </c>
      <c r="C3935" s="401" t="n">
        <v>74</v>
      </c>
      <c r="D3935" s="401" t="n"/>
      <c r="E3935" s="401" t="n"/>
      <c r="F3935" s="401" t="n">
        <v>200</v>
      </c>
      <c r="G3935" s="401" t="n"/>
      <c r="H3935" s="322" t="n">
        <v>2843</v>
      </c>
      <c r="I3935" s="392" t="n"/>
      <c r="J3935" s="392" t="n"/>
      <c r="K3935" s="392" t="n"/>
      <c r="L3935" s="392" t="n"/>
      <c r="M3935" s="392" t="n"/>
    </row>
    <row r="3936">
      <c r="A3936" s="568" t="n">
        <v>45187</v>
      </c>
      <c r="B3936" s="392" t="n">
        <v>10481</v>
      </c>
      <c r="C3936" s="392" t="n">
        <v>99</v>
      </c>
      <c r="D3936" s="392" t="n"/>
      <c r="E3936" s="392" t="n"/>
      <c r="F3936" s="392" t="n"/>
      <c r="G3936" s="392" t="n">
        <v>30</v>
      </c>
      <c r="H3936" s="446">
        <f>H3935-G3936</f>
        <v/>
      </c>
      <c r="I3936" s="392" t="n"/>
      <c r="J3936" s="392" t="n"/>
      <c r="K3936" s="392" t="n"/>
      <c r="L3936" s="392" t="n"/>
      <c r="M3936" s="392" t="n"/>
    </row>
    <row r="3937">
      <c r="A3937" s="568" t="n">
        <v>45187</v>
      </c>
      <c r="B3937" s="392" t="n">
        <v>10485</v>
      </c>
      <c r="C3937" s="392" t="n">
        <v>96</v>
      </c>
      <c r="D3937" s="392" t="n"/>
      <c r="E3937" s="392" t="n"/>
      <c r="F3937" s="392" t="n"/>
      <c r="G3937" s="392" t="n">
        <v>120</v>
      </c>
      <c r="H3937" s="446">
        <f>H3936-G3937</f>
        <v/>
      </c>
      <c r="I3937" s="392" t="n"/>
      <c r="J3937" s="392" t="n"/>
      <c r="K3937" s="392" t="n"/>
      <c r="L3937" s="392" t="n"/>
      <c r="M3937" s="392" t="n"/>
    </row>
    <row r="3938">
      <c r="A3938" s="568" t="n">
        <v>45188</v>
      </c>
      <c r="B3938" s="392" t="n">
        <v>10487</v>
      </c>
      <c r="C3938" s="392" t="n">
        <v>94</v>
      </c>
      <c r="D3938" s="392" t="n"/>
      <c r="E3938" s="392" t="n"/>
      <c r="F3938" s="392" t="n"/>
      <c r="G3938" s="392" t="n">
        <v>10</v>
      </c>
      <c r="H3938" s="446">
        <f>H3937-G3938</f>
        <v/>
      </c>
      <c r="I3938" s="392" t="n"/>
      <c r="J3938" s="392" t="n"/>
      <c r="K3938" s="392" t="n"/>
      <c r="L3938" s="392" t="n"/>
      <c r="M3938" s="392" t="n"/>
    </row>
    <row r="3939">
      <c r="A3939" s="568" t="n">
        <v>45188</v>
      </c>
      <c r="B3939" s="392" t="n">
        <v>10492</v>
      </c>
      <c r="C3939" s="392" t="n">
        <v>93</v>
      </c>
      <c r="D3939" s="392" t="n"/>
      <c r="E3939" s="392" t="n"/>
      <c r="F3939" s="392" t="n"/>
      <c r="G3939" s="392" t="n">
        <v>20</v>
      </c>
      <c r="H3939" s="446">
        <f>H3938-G3939</f>
        <v/>
      </c>
      <c r="I3939" s="392" t="n"/>
      <c r="J3939" s="392" t="n"/>
      <c r="K3939" s="392" t="n"/>
      <c r="L3939" s="392" t="n"/>
      <c r="M3939" s="392" t="n"/>
    </row>
    <row r="3940">
      <c r="A3940" s="568" t="n">
        <v>45189</v>
      </c>
      <c r="B3940" s="392" t="n">
        <v>10493</v>
      </c>
      <c r="C3940" s="392" t="n">
        <v>85</v>
      </c>
      <c r="D3940" s="392" t="n"/>
      <c r="E3940" s="392" t="n"/>
      <c r="F3940" s="392" t="n"/>
      <c r="G3940" s="392" t="n">
        <v>100</v>
      </c>
      <c r="H3940" s="446">
        <f>H3939-G3940</f>
        <v/>
      </c>
      <c r="I3940" s="392" t="n"/>
      <c r="J3940" s="392" t="n"/>
      <c r="K3940" s="392" t="n"/>
      <c r="L3940" s="392" t="n"/>
      <c r="M3940" s="392" t="n"/>
    </row>
    <row r="3941">
      <c r="A3941" s="568" t="n">
        <v>45190</v>
      </c>
      <c r="B3941" s="392" t="n">
        <v>10500</v>
      </c>
      <c r="C3941" s="392" t="n">
        <v>95</v>
      </c>
      <c r="D3941" s="392" t="n"/>
      <c r="E3941" s="392" t="n"/>
      <c r="F3941" s="392" t="n"/>
      <c r="G3941" s="392" t="n">
        <v>20</v>
      </c>
      <c r="H3941" s="446">
        <f>H3940-G3941</f>
        <v/>
      </c>
      <c r="I3941" s="392" t="n"/>
      <c r="J3941" s="392" t="n"/>
      <c r="K3941" s="392" t="n"/>
      <c r="L3941" s="392" t="n"/>
      <c r="M3941" s="392" t="n"/>
    </row>
    <row r="3942">
      <c r="A3942" s="568" t="n">
        <v>45190</v>
      </c>
      <c r="B3942" s="392" t="n">
        <v>10498</v>
      </c>
      <c r="C3942" s="392" t="n">
        <v>92</v>
      </c>
      <c r="D3942" s="392" t="n"/>
      <c r="E3942" s="392" t="n"/>
      <c r="F3942" s="392" t="n"/>
      <c r="G3942" s="392" t="n">
        <v>30</v>
      </c>
      <c r="H3942" s="446">
        <f>H3941-G3942</f>
        <v/>
      </c>
      <c r="I3942" s="392" t="n"/>
      <c r="J3942" s="392" t="n"/>
      <c r="K3942" s="392" t="n"/>
      <c r="L3942" s="392" t="n"/>
      <c r="M3942" s="392" t="n"/>
    </row>
    <row r="3943">
      <c r="A3943" s="568" t="n">
        <v>45190</v>
      </c>
      <c r="B3943" s="392" t="n">
        <v>10499</v>
      </c>
      <c r="C3943" s="392" t="n">
        <v>95</v>
      </c>
      <c r="D3943" s="392" t="n"/>
      <c r="E3943" s="392" t="n"/>
      <c r="F3943" s="392" t="n"/>
      <c r="G3943" s="392" t="n">
        <v>40</v>
      </c>
      <c r="H3943" s="446">
        <f>H3942-G3943</f>
        <v/>
      </c>
      <c r="I3943" s="392" t="n"/>
      <c r="J3943" s="392" t="n"/>
      <c r="K3943" s="392" t="n"/>
      <c r="L3943" s="392" t="n"/>
      <c r="M3943" s="392" t="n"/>
    </row>
    <row r="3944">
      <c r="A3944" s="568" t="n">
        <v>45195</v>
      </c>
      <c r="B3944" s="392" t="n">
        <v>10501</v>
      </c>
      <c r="C3944" s="392" t="n">
        <v>92</v>
      </c>
      <c r="D3944" s="392" t="n"/>
      <c r="E3944" s="392" t="n"/>
      <c r="F3944" s="392" t="n"/>
      <c r="G3944" s="392" t="n">
        <v>15</v>
      </c>
      <c r="H3944" s="446">
        <f>H3943-G3944</f>
        <v/>
      </c>
      <c r="I3944" s="392" t="n"/>
      <c r="J3944" s="392" t="n"/>
      <c r="K3944" s="392" t="n"/>
      <c r="L3944" s="392" t="n"/>
      <c r="M3944" s="392" t="n"/>
    </row>
    <row r="3945">
      <c r="A3945" s="568" t="n">
        <v>45195</v>
      </c>
      <c r="B3945" s="392" t="n">
        <v>10502</v>
      </c>
      <c r="C3945" s="392" t="n">
        <v>99</v>
      </c>
      <c r="D3945" s="392" t="n"/>
      <c r="E3945" s="392" t="n"/>
      <c r="F3945" s="392" t="n"/>
      <c r="G3945" s="392" t="n">
        <v>30</v>
      </c>
      <c r="H3945" s="446">
        <f>H3944-G3945</f>
        <v/>
      </c>
      <c r="I3945" s="392" t="n"/>
      <c r="J3945" s="392" t="n"/>
      <c r="K3945" s="392" t="n"/>
      <c r="L3945" s="392" t="n"/>
      <c r="M3945" s="392" t="n"/>
    </row>
    <row r="3946">
      <c r="A3946" s="568" t="n">
        <v>45195</v>
      </c>
      <c r="B3946" s="392" t="n">
        <v>10503</v>
      </c>
      <c r="C3946" s="392" t="n">
        <v>93</v>
      </c>
      <c r="D3946" s="392" t="n"/>
      <c r="E3946" s="392" t="n"/>
      <c r="F3946" s="392" t="n"/>
      <c r="G3946" s="392" t="n">
        <v>50</v>
      </c>
      <c r="H3946" s="446">
        <f>H3945-G3946</f>
        <v/>
      </c>
      <c r="I3946" s="392" t="n"/>
      <c r="J3946" s="392" t="n"/>
      <c r="K3946" s="392" t="n"/>
      <c r="L3946" s="392" t="n"/>
      <c r="M3946" s="392" t="n"/>
    </row>
    <row r="3947">
      <c r="A3947" s="568" t="n">
        <v>45195</v>
      </c>
      <c r="B3947" s="392" t="n">
        <v>10504</v>
      </c>
      <c r="C3947" s="392" t="n">
        <v>94.17</v>
      </c>
      <c r="D3947" s="392" t="n"/>
      <c r="E3947" s="392" t="n"/>
      <c r="F3947" s="392" t="n"/>
      <c r="G3947" s="392" t="n">
        <v>36</v>
      </c>
      <c r="H3947" s="446">
        <f>H3946-G3947</f>
        <v/>
      </c>
      <c r="I3947" s="392" t="n"/>
      <c r="J3947" s="392" t="n"/>
      <c r="K3947" s="392" t="n"/>
      <c r="L3947" s="392" t="n"/>
      <c r="M3947" s="392" t="n"/>
    </row>
    <row r="3948">
      <c r="A3948" s="568" t="n">
        <v>45195</v>
      </c>
      <c r="B3948" s="392" t="n">
        <v>10508</v>
      </c>
      <c r="C3948" s="392" t="n">
        <v>94.5</v>
      </c>
      <c r="D3948" s="392" t="n"/>
      <c r="E3948" s="392" t="n"/>
      <c r="F3948" s="392" t="n"/>
      <c r="G3948" s="392" t="n">
        <v>30</v>
      </c>
      <c r="H3948" s="446">
        <f>H3947-G3948</f>
        <v/>
      </c>
      <c r="I3948" s="392" t="n"/>
      <c r="J3948" s="392" t="n"/>
      <c r="K3948" s="392" t="n"/>
      <c r="L3948" s="392" t="n"/>
      <c r="M3948" s="392" t="n"/>
    </row>
    <row r="3949">
      <c r="A3949" s="568" t="n">
        <v>45195</v>
      </c>
      <c r="B3949" s="392" t="n">
        <v>10511</v>
      </c>
      <c r="C3949" s="392" t="n">
        <v>99</v>
      </c>
      <c r="D3949" s="392" t="n"/>
      <c r="E3949" s="392" t="n"/>
      <c r="F3949" s="392" t="n"/>
      <c r="G3949" s="392" t="n">
        <v>25</v>
      </c>
      <c r="H3949" s="446">
        <f>H3948-G3949</f>
        <v/>
      </c>
      <c r="I3949" s="392" t="n"/>
      <c r="J3949" s="392" t="n"/>
      <c r="K3949" s="392" t="n"/>
      <c r="L3949" s="392" t="n"/>
      <c r="M3949" s="392" t="n"/>
    </row>
    <row r="3950">
      <c r="A3950" s="304" t="n">
        <v>45195</v>
      </c>
      <c r="B3950" s="401" t="n">
        <v>35344</v>
      </c>
      <c r="C3950" s="401" t="n">
        <v>75</v>
      </c>
      <c r="D3950" s="401" t="n"/>
      <c r="E3950" s="401" t="n"/>
      <c r="F3950" s="401" t="n">
        <v>1120</v>
      </c>
      <c r="G3950" s="401" t="n"/>
      <c r="H3950" s="322" t="n">
        <v>3407</v>
      </c>
      <c r="I3950" s="392" t="n"/>
      <c r="J3950" s="392" t="n"/>
      <c r="K3950" s="392" t="n"/>
      <c r="L3950" s="392" t="n"/>
      <c r="M3950" s="392" t="n"/>
    </row>
    <row r="3951">
      <c r="A3951" s="568" t="n"/>
      <c r="B3951" s="392" t="n"/>
      <c r="C3951" s="392" t="n"/>
      <c r="D3951" s="392" t="n"/>
      <c r="E3951" s="392" t="n"/>
      <c r="F3951" s="392" t="n"/>
      <c r="G3951" s="392" t="n"/>
      <c r="H3951" s="446">
        <f>H3950-G3951</f>
        <v/>
      </c>
      <c r="I3951" s="392" t="n"/>
      <c r="J3951" s="392" t="n"/>
      <c r="K3951" s="392" t="n"/>
      <c r="L3951" s="392" t="n"/>
      <c r="M3951" s="392" t="n"/>
    </row>
    <row r="3952">
      <c r="A3952" s="568" t="n"/>
      <c r="B3952" s="392" t="n"/>
      <c r="C3952" s="392" t="n"/>
      <c r="D3952" s="392" t="n"/>
      <c r="E3952" s="392" t="n"/>
      <c r="F3952" s="392" t="n"/>
      <c r="G3952" s="392" t="n"/>
      <c r="H3952" s="446">
        <f>H3951-G3952</f>
        <v/>
      </c>
      <c r="I3952" s="392" t="n"/>
      <c r="J3952" s="392" t="n"/>
      <c r="K3952" s="392" t="n"/>
      <c r="L3952" s="392" t="n"/>
      <c r="M3952" s="392" t="n"/>
    </row>
    <row r="3953">
      <c r="A3953" s="568" t="n"/>
      <c r="B3953" s="392" t="n"/>
      <c r="C3953" s="392" t="n"/>
      <c r="D3953" s="392" t="n"/>
      <c r="E3953" s="392" t="n"/>
      <c r="F3953" s="392" t="n"/>
      <c r="G3953" s="392" t="n"/>
      <c r="H3953" s="446">
        <f>H3952-G3953</f>
        <v/>
      </c>
      <c r="I3953" s="392" t="n"/>
      <c r="J3953" s="392" t="n"/>
      <c r="K3953" s="392" t="n"/>
      <c r="L3953" s="392" t="n"/>
      <c r="M3953" s="392" t="n"/>
    </row>
    <row r="3954">
      <c r="A3954" s="414" t="n"/>
      <c r="H3954" s="390" t="n"/>
    </row>
    <row r="3955" ht="15.75" customHeight="1" s="436" thickBot="1">
      <c r="A3955" s="414" t="n"/>
      <c r="H3955" s="390" t="n"/>
    </row>
    <row r="3956" ht="32.25" customHeight="1" s="436" thickBot="1">
      <c r="A3956" s="735" t="inlineStr">
        <is>
          <t>Outubro</t>
        </is>
      </c>
      <c r="B3956" s="697" t="n"/>
      <c r="C3956" s="697" t="n"/>
      <c r="D3956" s="697" t="n"/>
      <c r="E3956" s="697" t="n"/>
      <c r="F3956" s="697" t="n"/>
      <c r="G3956" s="697" t="n"/>
      <c r="H3956" s="697" t="n"/>
      <c r="I3956" s="697" t="n"/>
      <c r="J3956" s="697" t="n"/>
      <c r="K3956" s="697" t="n"/>
      <c r="L3956" s="697" t="n"/>
      <c r="M3956" s="698" t="n"/>
    </row>
    <row r="3957" ht="27" customHeight="1" s="436" thickBot="1">
      <c r="A3957" s="720" t="inlineStr">
        <is>
          <t xml:space="preserve"> FARINHA DE TRIGO TIPO: 1 - 25 KG</t>
        </is>
      </c>
      <c r="B3957" s="697" t="n"/>
      <c r="C3957" s="697" t="n"/>
      <c r="D3957" s="697" t="n"/>
      <c r="E3957" s="697" t="n"/>
      <c r="F3957" s="697" t="n"/>
      <c r="G3957" s="697" t="n"/>
      <c r="H3957" s="697" t="n"/>
      <c r="I3957" s="697" t="n"/>
      <c r="J3957" s="697" t="n"/>
      <c r="K3957" s="697" t="n"/>
      <c r="L3957" s="697" t="n"/>
      <c r="M3957" s="698" t="n"/>
    </row>
    <row r="3958">
      <c r="A3958" s="643" t="inlineStr">
        <is>
          <t>DATA</t>
        </is>
      </c>
      <c r="B3958" s="633" t="inlineStr">
        <is>
          <t>N.F.</t>
        </is>
      </c>
      <c r="C3958" s="633" t="inlineStr">
        <is>
          <t>TIPO</t>
        </is>
      </c>
      <c r="D3958" s="670" t="inlineStr">
        <is>
          <t>PREÇO UNITÁRIO</t>
        </is>
      </c>
      <c r="E3958" s="701" t="n"/>
      <c r="F3958" s="633" t="inlineStr">
        <is>
          <t>QUANTIDADE / KG</t>
        </is>
      </c>
      <c r="H3958" s="701" t="n"/>
      <c r="I3958" s="632" t="inlineStr">
        <is>
          <t>PREÇO</t>
        </is>
      </c>
      <c r="J3958" s="632" t="inlineStr">
        <is>
          <t>VALORES</t>
        </is>
      </c>
      <c r="L3958" s="701" t="n"/>
      <c r="M3958" s="649" t="n"/>
    </row>
    <row r="3959" ht="15.75" customHeight="1" s="436" thickBot="1">
      <c r="A3959" s="703" t="n"/>
      <c r="B3959" s="704" t="n"/>
      <c r="C3959" s="704" t="n"/>
      <c r="D3959" s="703" t="n"/>
      <c r="E3959" s="701" t="n"/>
      <c r="F3959" s="705" t="n"/>
      <c r="G3959" s="706" t="n"/>
      <c r="H3959" s="707" t="n"/>
      <c r="I3959" s="704" t="n"/>
      <c r="J3959" s="703" t="n"/>
      <c r="L3959" s="701" t="n"/>
      <c r="M3959" s="704" t="n"/>
    </row>
    <row r="3960" ht="15.75" customHeight="1" s="436" thickBot="1">
      <c r="A3960" s="703" t="n"/>
      <c r="B3960" s="704" t="n"/>
      <c r="C3960" s="704" t="n"/>
      <c r="D3960" s="705" t="n"/>
      <c r="E3960" s="707" t="n"/>
      <c r="F3960" s="3" t="inlineStr">
        <is>
          <t>ENTRADA</t>
        </is>
      </c>
      <c r="G3960" s="3" t="inlineStr">
        <is>
          <t>SAÍDA</t>
        </is>
      </c>
      <c r="H3960" s="640" t="n"/>
      <c r="I3960" s="633" t="inlineStr">
        <is>
          <t>MÉDIO</t>
        </is>
      </c>
      <c r="J3960" s="652" t="inlineStr">
        <is>
          <t>SALDO EM 30/11/2017</t>
        </is>
      </c>
      <c r="K3960" s="706" t="n"/>
      <c r="L3960" s="17" t="n"/>
      <c r="M3960" s="704" t="n"/>
    </row>
    <row r="3961" ht="18" customHeight="1" s="436" thickBot="1">
      <c r="A3961" s="705" t="n"/>
      <c r="B3961" s="695" t="n"/>
      <c r="C3961" s="695" t="n"/>
      <c r="D3961" s="3" t="inlineStr">
        <is>
          <t>C/ICMS</t>
        </is>
      </c>
      <c r="E3961" s="3" t="inlineStr">
        <is>
          <t>S/ICMS</t>
        </is>
      </c>
      <c r="F3961" s="695" t="n"/>
      <c r="G3961" s="695" t="n"/>
      <c r="H3961" s="84" t="inlineStr">
        <is>
          <t>Saldo em 30/09/2022</t>
        </is>
      </c>
      <c r="I3961" s="695" t="n"/>
      <c r="J3961" s="645" t="inlineStr">
        <is>
          <t>ENTRADA</t>
        </is>
      </c>
      <c r="K3961" s="633" t="inlineStr">
        <is>
          <t>SAÍDA / CMV</t>
        </is>
      </c>
      <c r="L3961" s="643" t="inlineStr">
        <is>
          <t>SALDO</t>
        </is>
      </c>
      <c r="M3961" s="392" t="n"/>
    </row>
    <row r="3962">
      <c r="A3962" s="392" t="n"/>
      <c r="B3962" s="392" t="n"/>
      <c r="C3962" s="392" t="n"/>
      <c r="D3962" s="392" t="n"/>
      <c r="E3962" s="392" t="n"/>
      <c r="F3962" s="392" t="n"/>
      <c r="G3962" s="392" t="n"/>
      <c r="H3962" s="446" t="n">
        <v>3407</v>
      </c>
      <c r="I3962" s="392" t="n"/>
      <c r="J3962" s="392" t="n"/>
      <c r="K3962" s="392" t="n"/>
      <c r="L3962" s="392" t="n"/>
      <c r="M3962" s="392" t="n"/>
    </row>
    <row r="3963">
      <c r="A3963" s="568" t="n">
        <v>45202</v>
      </c>
      <c r="B3963" s="392" t="n">
        <v>10520</v>
      </c>
      <c r="C3963" s="392" t="n">
        <v>89</v>
      </c>
      <c r="D3963" s="392" t="n"/>
      <c r="E3963" s="392" t="n"/>
      <c r="F3963" s="392" t="n"/>
      <c r="G3963" s="392" t="n">
        <v>50</v>
      </c>
      <c r="H3963" s="446">
        <f>H3962-G3963</f>
        <v/>
      </c>
      <c r="I3963" s="392" t="n"/>
      <c r="J3963" s="392" t="n"/>
      <c r="K3963" s="392" t="n"/>
      <c r="L3963" s="392" t="n"/>
      <c r="M3963" s="392" t="n"/>
    </row>
    <row r="3964">
      <c r="A3964" s="568" t="n">
        <v>45202</v>
      </c>
      <c r="B3964" s="392" t="n">
        <v>10521</v>
      </c>
      <c r="C3964" s="392" t="n">
        <v>94</v>
      </c>
      <c r="D3964" s="392" t="n"/>
      <c r="E3964" s="392" t="n"/>
      <c r="F3964" s="392" t="n"/>
      <c r="G3964" s="392" t="n">
        <v>10</v>
      </c>
      <c r="H3964" s="446">
        <f>H3963-G3964</f>
        <v/>
      </c>
      <c r="I3964" s="392" t="n"/>
      <c r="J3964" s="392" t="n"/>
      <c r="K3964" s="392" t="n"/>
      <c r="L3964" s="392" t="n"/>
      <c r="M3964" s="392" t="n"/>
    </row>
    <row r="3965">
      <c r="A3965" s="568" t="n">
        <v>45203</v>
      </c>
      <c r="B3965" s="392" t="n">
        <v>10524</v>
      </c>
      <c r="C3965" s="392" t="n">
        <v>97</v>
      </c>
      <c r="D3965" s="392" t="n"/>
      <c r="E3965" s="392" t="n"/>
      <c r="F3965" s="392" t="n"/>
      <c r="G3965" s="392" t="n">
        <v>20</v>
      </c>
      <c r="H3965" s="446">
        <f>H3964-G3965</f>
        <v/>
      </c>
      <c r="I3965" s="392" t="n"/>
      <c r="J3965" s="392" t="n"/>
      <c r="K3965" s="392" t="n"/>
      <c r="L3965" s="392" t="n"/>
      <c r="M3965" s="392" t="n"/>
    </row>
    <row r="3966">
      <c r="A3966" s="568" t="n">
        <v>45203</v>
      </c>
      <c r="B3966" s="392" t="n">
        <v>10526</v>
      </c>
      <c r="C3966" s="392" t="n">
        <v>93</v>
      </c>
      <c r="D3966" s="392" t="n"/>
      <c r="E3966" s="392" t="n"/>
      <c r="F3966" s="392" t="n"/>
      <c r="G3966" s="392" t="n">
        <v>50</v>
      </c>
      <c r="H3966" s="446">
        <f>H3965-G3966</f>
        <v/>
      </c>
      <c r="I3966" s="392" t="n"/>
      <c r="J3966" s="392" t="n"/>
      <c r="K3966" s="392" t="n"/>
      <c r="L3966" s="392" t="n"/>
      <c r="M3966" s="392" t="n"/>
    </row>
    <row r="3967">
      <c r="A3967" s="568" t="n">
        <v>45203</v>
      </c>
      <c r="B3967" s="392" t="n">
        <v>10528</v>
      </c>
      <c r="C3967" s="392" t="n">
        <v>85</v>
      </c>
      <c r="D3967" s="392" t="n"/>
      <c r="E3967" s="392" t="n"/>
      <c r="F3967" s="392" t="n"/>
      <c r="G3967" s="392" t="n">
        <v>20</v>
      </c>
      <c r="H3967" s="446">
        <f>H3966-G3967</f>
        <v/>
      </c>
      <c r="I3967" s="392" t="n"/>
      <c r="J3967" s="392" t="n"/>
      <c r="K3967" s="392" t="n"/>
      <c r="L3967" s="392" t="n"/>
      <c r="M3967" s="392" t="n"/>
    </row>
    <row r="3968">
      <c r="A3968" s="568" t="n">
        <v>45203</v>
      </c>
      <c r="B3968" s="392" t="n">
        <v>10532</v>
      </c>
      <c r="C3968" s="392" t="n">
        <v>93</v>
      </c>
      <c r="D3968" s="392" t="n"/>
      <c r="E3968" s="392" t="n"/>
      <c r="F3968" s="392" t="n"/>
      <c r="G3968" s="392" t="n">
        <v>30</v>
      </c>
      <c r="H3968" s="446">
        <f>H3967-G3968</f>
        <v/>
      </c>
      <c r="I3968" s="392" t="n"/>
      <c r="J3968" s="392" t="n"/>
      <c r="K3968" s="392" t="n"/>
      <c r="L3968" s="392" t="n"/>
      <c r="M3968" s="392" t="n"/>
    </row>
    <row r="3969">
      <c r="A3969" s="568" t="n">
        <v>45203</v>
      </c>
      <c r="B3969" s="392" t="n">
        <v>10534</v>
      </c>
      <c r="C3969" s="392" t="n">
        <v>96</v>
      </c>
      <c r="D3969" s="392" t="n"/>
      <c r="E3969" s="392" t="n"/>
      <c r="F3969" s="392" t="n"/>
      <c r="G3969" s="392" t="n">
        <v>70</v>
      </c>
      <c r="H3969" s="446">
        <f>H3968-G3969</f>
        <v/>
      </c>
      <c r="I3969" s="392" t="n"/>
      <c r="J3969" s="392" t="n"/>
      <c r="K3969" s="392" t="n"/>
      <c r="L3969" s="392" t="n"/>
      <c r="M3969" s="392" t="n"/>
    </row>
    <row r="3970">
      <c r="A3970" s="568" t="n">
        <v>45203</v>
      </c>
      <c r="B3970" s="392" t="n">
        <v>10535</v>
      </c>
      <c r="C3970" s="392" t="n">
        <v>92</v>
      </c>
      <c r="D3970" s="392" t="n"/>
      <c r="E3970" s="392" t="n"/>
      <c r="F3970" s="392" t="n"/>
      <c r="G3970" s="392" t="n">
        <v>30</v>
      </c>
      <c r="H3970" s="446">
        <f>H3969-G3970</f>
        <v/>
      </c>
      <c r="I3970" s="392" t="n"/>
      <c r="J3970" s="392" t="n"/>
      <c r="K3970" s="392" t="n"/>
      <c r="L3970" s="392" t="n"/>
      <c r="M3970" s="392" t="n"/>
    </row>
    <row r="3971">
      <c r="A3971" s="568" t="n">
        <v>45205</v>
      </c>
      <c r="B3971" s="392" t="n">
        <v>10537</v>
      </c>
      <c r="C3971" s="392" t="n">
        <v>97</v>
      </c>
      <c r="D3971" s="392" t="n"/>
      <c r="E3971" s="392" t="n"/>
      <c r="F3971" s="392" t="n"/>
      <c r="G3971" s="392" t="n">
        <v>20</v>
      </c>
      <c r="H3971" s="446">
        <f>H3970-G3971</f>
        <v/>
      </c>
      <c r="I3971" s="392" t="n"/>
      <c r="J3971" s="392" t="n"/>
      <c r="K3971" s="392" t="n"/>
      <c r="L3971" s="392" t="n"/>
      <c r="M3971" s="392" t="n"/>
    </row>
    <row r="3972">
      <c r="A3972" s="568" t="n">
        <v>45208</v>
      </c>
      <c r="B3972" s="392" t="n">
        <v>10539</v>
      </c>
      <c r="C3972" s="392" t="n">
        <v>97</v>
      </c>
      <c r="D3972" s="392" t="n"/>
      <c r="E3972" s="392" t="n"/>
      <c r="F3972" s="392" t="n"/>
      <c r="G3972" s="392" t="n">
        <v>20</v>
      </c>
      <c r="H3972" s="446">
        <f>H3971-G3972</f>
        <v/>
      </c>
      <c r="I3972" s="392" t="n"/>
      <c r="J3972" s="392" t="n"/>
      <c r="K3972" s="392" t="n"/>
      <c r="L3972" s="392" t="n"/>
      <c r="M3972" s="392" t="n"/>
    </row>
    <row r="3973">
      <c r="A3973" s="568" t="n">
        <v>45208</v>
      </c>
      <c r="B3973" s="392" t="n">
        <v>10547</v>
      </c>
      <c r="C3973" s="392" t="n">
        <v>90.5</v>
      </c>
      <c r="D3973" s="392" t="n"/>
      <c r="E3973" s="392" t="n"/>
      <c r="F3973" s="392" t="n"/>
      <c r="G3973" s="392" t="n">
        <v>30</v>
      </c>
      <c r="H3973" s="446">
        <f>H3972-G3973</f>
        <v/>
      </c>
      <c r="I3973" s="392" t="n"/>
      <c r="J3973" s="392" t="n"/>
      <c r="K3973" s="392" t="n"/>
      <c r="L3973" s="392" t="n"/>
      <c r="M3973" s="392" t="n"/>
    </row>
    <row r="3974">
      <c r="A3974" s="568" t="n">
        <v>45208</v>
      </c>
      <c r="B3974" s="392" t="n">
        <v>10548</v>
      </c>
      <c r="C3974" s="392" t="n">
        <v>91</v>
      </c>
      <c r="D3974" s="392" t="n"/>
      <c r="E3974" s="392" t="n"/>
      <c r="F3974" s="392" t="n"/>
      <c r="G3974" s="392" t="n">
        <v>20</v>
      </c>
      <c r="H3974" s="446">
        <f>H3973-G3974</f>
        <v/>
      </c>
      <c r="I3974" s="392" t="n"/>
      <c r="J3974" s="392" t="n"/>
      <c r="K3974" s="392" t="n"/>
      <c r="L3974" s="392" t="n"/>
      <c r="M3974" s="392" t="n"/>
    </row>
    <row r="3975">
      <c r="A3975" s="568" t="n">
        <v>45208</v>
      </c>
      <c r="B3975" s="392" t="n">
        <v>10551</v>
      </c>
      <c r="C3975" s="392" t="n">
        <v>84</v>
      </c>
      <c r="D3975" s="392" t="n"/>
      <c r="E3975" s="392" t="n"/>
      <c r="F3975" s="392" t="n"/>
      <c r="G3975" s="392" t="n">
        <v>10</v>
      </c>
      <c r="H3975" s="446">
        <f>H3974-G3975</f>
        <v/>
      </c>
      <c r="I3975" s="392" t="n"/>
      <c r="J3975" s="392" t="n"/>
      <c r="K3975" s="392" t="n"/>
      <c r="L3975" s="392" t="n"/>
      <c r="M3975" s="392" t="n"/>
    </row>
    <row r="3976">
      <c r="A3976" s="568" t="n">
        <v>45208</v>
      </c>
      <c r="B3976" s="392" t="n">
        <v>10552</v>
      </c>
      <c r="C3976" s="392" t="n">
        <v>97</v>
      </c>
      <c r="D3976" s="392" t="n"/>
      <c r="E3976" s="392" t="n"/>
      <c r="F3976" s="392" t="n"/>
      <c r="G3976" s="392" t="n">
        <v>15</v>
      </c>
      <c r="H3976" s="446">
        <f>H3975-G3976</f>
        <v/>
      </c>
      <c r="I3976" s="392" t="n"/>
      <c r="J3976" s="392" t="n"/>
      <c r="K3976" s="392" t="n"/>
      <c r="L3976" s="392" t="n"/>
      <c r="M3976" s="392" t="n"/>
    </row>
    <row r="3977">
      <c r="A3977" s="568" t="n">
        <v>45208</v>
      </c>
      <c r="B3977" s="392" t="n">
        <v>10553</v>
      </c>
      <c r="C3977" s="392" t="n">
        <v>93.56</v>
      </c>
      <c r="D3977" s="392" t="n"/>
      <c r="E3977" s="392" t="n"/>
      <c r="F3977" s="392" t="n"/>
      <c r="G3977" s="392" t="n">
        <v>40</v>
      </c>
      <c r="H3977" s="446">
        <f>H3976-G3977</f>
        <v/>
      </c>
      <c r="I3977" s="392" t="n"/>
      <c r="J3977" s="392" t="n"/>
      <c r="K3977" s="392" t="n"/>
      <c r="L3977" s="392" t="n"/>
      <c r="M3977" s="392" t="n"/>
    </row>
    <row r="3978">
      <c r="A3978" s="568" t="n">
        <v>45208</v>
      </c>
      <c r="B3978" s="392" t="n">
        <v>10554</v>
      </c>
      <c r="C3978" s="392" t="n">
        <v>94</v>
      </c>
      <c r="D3978" s="392" t="n"/>
      <c r="E3978" s="392" t="n"/>
      <c r="F3978" s="392" t="n"/>
      <c r="G3978" s="392" t="n">
        <v>40</v>
      </c>
      <c r="H3978" s="446">
        <f>H3977-G3978</f>
        <v/>
      </c>
      <c r="I3978" s="392" t="n"/>
      <c r="J3978" s="392" t="n"/>
      <c r="K3978" s="392" t="n"/>
      <c r="L3978" s="392" t="n"/>
      <c r="M3978" s="392" t="n"/>
    </row>
    <row r="3979">
      <c r="A3979" s="568" t="n">
        <v>45209</v>
      </c>
      <c r="B3979" s="392" t="n">
        <v>10555</v>
      </c>
      <c r="C3979" s="392" t="n">
        <v>88</v>
      </c>
      <c r="D3979" s="392" t="n"/>
      <c r="E3979" s="392" t="n"/>
      <c r="F3979" s="392" t="n"/>
      <c r="G3979" s="392" t="n">
        <v>40</v>
      </c>
      <c r="H3979" s="446">
        <f>H3978-G3979</f>
        <v/>
      </c>
      <c r="I3979" s="392" t="n"/>
      <c r="J3979" s="392" t="n"/>
      <c r="K3979" s="392" t="n"/>
      <c r="L3979" s="392" t="n"/>
      <c r="M3979" s="392" t="n"/>
    </row>
    <row r="3980">
      <c r="A3980" s="568" t="n">
        <v>45209</v>
      </c>
      <c r="B3980" s="392" t="n">
        <v>10556</v>
      </c>
      <c r="C3980" s="392" t="n">
        <v>97</v>
      </c>
      <c r="D3980" s="392" t="n"/>
      <c r="E3980" s="392" t="n"/>
      <c r="F3980" s="392" t="n"/>
      <c r="G3980" s="392" t="n">
        <v>15</v>
      </c>
      <c r="H3980" s="446">
        <f>H3979-G3980</f>
        <v/>
      </c>
      <c r="I3980" s="392" t="n"/>
      <c r="J3980" s="392" t="n"/>
      <c r="K3980" s="392" t="n"/>
      <c r="L3980" s="392" t="n"/>
      <c r="M3980" s="392" t="n"/>
    </row>
    <row r="3981">
      <c r="A3981" s="568" t="n">
        <v>45209</v>
      </c>
      <c r="B3981" s="392" t="n">
        <v>10558</v>
      </c>
      <c r="C3981" s="392" t="n">
        <v>85</v>
      </c>
      <c r="D3981" s="392" t="n"/>
      <c r="E3981" s="392" t="n"/>
      <c r="F3981" s="392" t="n"/>
      <c r="G3981" s="392" t="n">
        <v>100</v>
      </c>
      <c r="H3981" s="446">
        <f>H3980-G3981</f>
        <v/>
      </c>
      <c r="I3981" s="392" t="n"/>
      <c r="J3981" s="392" t="n"/>
      <c r="K3981" s="392" t="n"/>
      <c r="L3981" s="392" t="n"/>
      <c r="M3981" s="392" t="n"/>
    </row>
    <row r="3982">
      <c r="A3982" s="568" t="n">
        <v>45209</v>
      </c>
      <c r="B3982" s="392" t="n">
        <v>10559</v>
      </c>
      <c r="C3982" s="392" t="n">
        <v>93.63</v>
      </c>
      <c r="D3982" s="392" t="n"/>
      <c r="E3982" s="392" t="n"/>
      <c r="F3982" s="392" t="n"/>
      <c r="G3982" s="392" t="n">
        <v>40</v>
      </c>
      <c r="H3982" s="446">
        <f>H3981-G3982</f>
        <v/>
      </c>
      <c r="I3982" s="392" t="n"/>
      <c r="J3982" s="392" t="n"/>
      <c r="K3982" s="392" t="n"/>
      <c r="L3982" s="392" t="n"/>
      <c r="M3982" s="392" t="n"/>
    </row>
    <row r="3983">
      <c r="A3983" s="568" t="n">
        <v>45209</v>
      </c>
      <c r="B3983" s="392" t="n">
        <v>10560</v>
      </c>
      <c r="C3983" s="392" t="n">
        <v>85</v>
      </c>
      <c r="D3983" s="392" t="n"/>
      <c r="E3983" s="392" t="n"/>
      <c r="F3983" s="392" t="n"/>
      <c r="G3983" s="392" t="n">
        <v>12</v>
      </c>
      <c r="H3983" s="446">
        <f>H3982-G3983</f>
        <v/>
      </c>
      <c r="I3983" s="392" t="n"/>
      <c r="J3983" s="392" t="n"/>
      <c r="K3983" s="392" t="n"/>
      <c r="L3983" s="392" t="n"/>
      <c r="M3983" s="392" t="n"/>
    </row>
    <row r="3984">
      <c r="A3984" s="568" t="n">
        <v>45209</v>
      </c>
      <c r="B3984" s="392" t="n">
        <v>10561</v>
      </c>
      <c r="C3984" s="392" t="n">
        <v>85</v>
      </c>
      <c r="D3984" s="392" t="n"/>
      <c r="E3984" s="392" t="n"/>
      <c r="F3984" s="392" t="n"/>
      <c r="G3984" s="392" t="n">
        <v>10</v>
      </c>
      <c r="H3984" s="446">
        <f>H3983-G3984</f>
        <v/>
      </c>
      <c r="I3984" s="392" t="n"/>
      <c r="J3984" s="392" t="n"/>
      <c r="K3984" s="392" t="n"/>
      <c r="L3984" s="392" t="n"/>
      <c r="M3984" s="392" t="n"/>
    </row>
    <row r="3985">
      <c r="A3985" s="304" t="n">
        <v>45212</v>
      </c>
      <c r="B3985" s="401" t="n">
        <v>35556</v>
      </c>
      <c r="C3985" s="401" t="n">
        <v>75</v>
      </c>
      <c r="D3985" s="401" t="n"/>
      <c r="E3985" s="401" t="n"/>
      <c r="F3985" s="401" t="n"/>
      <c r="G3985" s="401" t="n"/>
      <c r="H3985" s="322" t="n">
        <v>3835</v>
      </c>
      <c r="I3985" s="392" t="n"/>
      <c r="J3985" s="392" t="n"/>
      <c r="K3985" s="392" t="n"/>
      <c r="L3985" s="392" t="n"/>
      <c r="M3985" s="392" t="n"/>
    </row>
    <row r="3986">
      <c r="A3986" s="568" t="n">
        <v>45215</v>
      </c>
      <c r="B3986" s="392" t="n">
        <v>10562</v>
      </c>
      <c r="C3986" s="392" t="n">
        <v>87</v>
      </c>
      <c r="D3986" s="392" t="n"/>
      <c r="E3986" s="392" t="n"/>
      <c r="F3986" s="392" t="n"/>
      <c r="G3986" s="392" t="n">
        <v>20</v>
      </c>
      <c r="H3986" s="446">
        <f>H3985-G3986</f>
        <v/>
      </c>
      <c r="I3986" s="392" t="n"/>
      <c r="J3986" s="392" t="n"/>
      <c r="K3986" s="392" t="n"/>
      <c r="L3986" s="392" t="n"/>
      <c r="M3986" s="392" t="n"/>
    </row>
    <row r="3987">
      <c r="A3987" s="304" t="n">
        <v>45216</v>
      </c>
      <c r="B3987" s="401" t="n">
        <v>35596</v>
      </c>
      <c r="C3987" s="401" t="n">
        <v>84</v>
      </c>
      <c r="D3987" s="401" t="n"/>
      <c r="E3987" s="401" t="n"/>
      <c r="F3987" s="401" t="n">
        <v>1120</v>
      </c>
      <c r="G3987" s="401" t="n"/>
      <c r="H3987" s="322" t="n">
        <v>4935</v>
      </c>
      <c r="I3987" s="392" t="n"/>
      <c r="J3987" s="392" t="n"/>
      <c r="K3987" s="392" t="n"/>
      <c r="L3987" s="392" t="n"/>
      <c r="M3987" s="392" t="n"/>
    </row>
    <row r="3988">
      <c r="A3988" s="568" t="n">
        <v>45216</v>
      </c>
      <c r="B3988" s="392" t="n">
        <v>10564</v>
      </c>
      <c r="C3988" s="392" t="n">
        <v>92.73</v>
      </c>
      <c r="D3988" s="392" t="n"/>
      <c r="E3988" s="392" t="n"/>
      <c r="F3988" s="392" t="n"/>
      <c r="G3988" s="392" t="n">
        <v>55</v>
      </c>
      <c r="H3988" s="446">
        <f>H3987-G3988</f>
        <v/>
      </c>
      <c r="I3988" s="392" t="n"/>
      <c r="J3988" s="392" t="n"/>
      <c r="K3988" s="392" t="n"/>
      <c r="L3988" s="392" t="n"/>
      <c r="M3988" s="392" t="n"/>
    </row>
    <row r="3989">
      <c r="A3989" s="568" t="n">
        <v>45216</v>
      </c>
      <c r="B3989" s="392" t="n">
        <v>10565</v>
      </c>
      <c r="C3989" s="392" t="n">
        <v>89</v>
      </c>
      <c r="D3989" s="392" t="n"/>
      <c r="E3989" s="392" t="n"/>
      <c r="F3989" s="392" t="n"/>
      <c r="G3989" s="392" t="n">
        <v>25</v>
      </c>
      <c r="H3989" s="446">
        <f>H3988-G3989</f>
        <v/>
      </c>
      <c r="I3989" s="392" t="n"/>
      <c r="J3989" s="392" t="n"/>
      <c r="K3989" s="392" t="n"/>
      <c r="L3989" s="392" t="n"/>
      <c r="M3989" s="392" t="n"/>
    </row>
    <row r="3990">
      <c r="A3990" s="568" t="n">
        <v>45216</v>
      </c>
      <c r="B3990" s="392" t="n">
        <v>10566</v>
      </c>
      <c r="C3990" s="392" t="n">
        <v>93</v>
      </c>
      <c r="D3990" s="392" t="n"/>
      <c r="E3990" s="392" t="n"/>
      <c r="F3990" s="392" t="n"/>
      <c r="G3990" s="392" t="n">
        <v>25</v>
      </c>
      <c r="H3990" s="446">
        <f>H3989-G3990</f>
        <v/>
      </c>
      <c r="I3990" s="392" t="n"/>
      <c r="J3990" s="392" t="n"/>
      <c r="K3990" s="392" t="n"/>
      <c r="L3990" s="392" t="n"/>
      <c r="M3990" s="392" t="n"/>
    </row>
    <row r="3991">
      <c r="A3991" s="568" t="n">
        <v>45216</v>
      </c>
      <c r="B3991" s="392" t="n">
        <v>10567</v>
      </c>
      <c r="C3991" s="392" t="n">
        <v>97</v>
      </c>
      <c r="D3991" s="392" t="n"/>
      <c r="E3991" s="392" t="n"/>
      <c r="F3991" s="392" t="n"/>
      <c r="G3991" s="392" t="n">
        <v>20</v>
      </c>
      <c r="H3991" s="446">
        <f>H3990-G3991</f>
        <v/>
      </c>
      <c r="I3991" s="392" t="n"/>
      <c r="J3991" s="392" t="n"/>
      <c r="K3991" s="392" t="n"/>
      <c r="L3991" s="392" t="n"/>
      <c r="M3991" s="392" t="n"/>
    </row>
    <row r="3992">
      <c r="A3992" s="568" t="n">
        <v>45216</v>
      </c>
      <c r="B3992" s="392" t="n">
        <v>10568</v>
      </c>
      <c r="C3992" s="392" t="n">
        <v>89</v>
      </c>
      <c r="D3992" s="392" t="n"/>
      <c r="E3992" s="392" t="n"/>
      <c r="F3992" s="392" t="n"/>
      <c r="G3992" s="392" t="n">
        <v>50</v>
      </c>
      <c r="H3992" s="446">
        <f>H3991-G3992</f>
        <v/>
      </c>
      <c r="I3992" s="392" t="n"/>
      <c r="J3992" s="392" t="n"/>
      <c r="K3992" s="392" t="n"/>
      <c r="L3992" s="392" t="n"/>
      <c r="M3992" s="392" t="n"/>
    </row>
    <row r="3993">
      <c r="A3993" s="568" t="n">
        <v>45216</v>
      </c>
      <c r="B3993" s="392" t="n">
        <v>10569</v>
      </c>
      <c r="C3993" s="392" t="n">
        <v>94</v>
      </c>
      <c r="D3993" s="392" t="n"/>
      <c r="E3993" s="392" t="n"/>
      <c r="F3993" s="392" t="n"/>
      <c r="G3993" s="392" t="n">
        <v>20</v>
      </c>
      <c r="H3993" s="446">
        <f>H3992-G3993</f>
        <v/>
      </c>
      <c r="I3993" s="392" t="n"/>
      <c r="J3993" s="392" t="n"/>
      <c r="K3993" s="392" t="n"/>
      <c r="L3993" s="392" t="n"/>
      <c r="M3993" s="392" t="n"/>
    </row>
    <row r="3994">
      <c r="A3994" s="568" t="n">
        <v>45216</v>
      </c>
      <c r="B3994" s="392" t="n">
        <v>10570</v>
      </c>
      <c r="C3994" s="392" t="n">
        <v>97</v>
      </c>
      <c r="D3994" s="392" t="n"/>
      <c r="E3994" s="392" t="n"/>
      <c r="F3994" s="392" t="n"/>
      <c r="G3994" s="392" t="n">
        <v>20</v>
      </c>
      <c r="H3994" s="446">
        <f>H3993-G3994</f>
        <v/>
      </c>
      <c r="I3994" s="392" t="n"/>
      <c r="J3994" s="392" t="n"/>
      <c r="K3994" s="392" t="n"/>
      <c r="L3994" s="392" t="n"/>
      <c r="M3994" s="392" t="n"/>
    </row>
    <row r="3995">
      <c r="A3995" s="568" t="n">
        <v>45216</v>
      </c>
      <c r="B3995" s="392" t="n">
        <v>10571</v>
      </c>
      <c r="C3995" s="392" t="n">
        <v>97</v>
      </c>
      <c r="D3995" s="392" t="n"/>
      <c r="E3995" s="392" t="n"/>
      <c r="F3995" s="392" t="n"/>
      <c r="G3995" s="392" t="n">
        <v>30</v>
      </c>
      <c r="H3995" s="446">
        <f>H3994-G3995</f>
        <v/>
      </c>
      <c r="I3995" s="392" t="n"/>
      <c r="J3995" s="392" t="n"/>
      <c r="K3995" s="392" t="n"/>
      <c r="L3995" s="392" t="n"/>
      <c r="M3995" s="392" t="n"/>
    </row>
    <row r="3996">
      <c r="A3996" s="568" t="n">
        <v>45216</v>
      </c>
      <c r="B3996" s="392" t="n">
        <v>10572</v>
      </c>
      <c r="C3996" s="392" t="n">
        <v>84.45999999999999</v>
      </c>
      <c r="D3996" s="392" t="n"/>
      <c r="E3996" s="392" t="n"/>
      <c r="F3996" s="392" t="n"/>
      <c r="G3996" s="392" t="n">
        <v>55</v>
      </c>
      <c r="H3996" s="446">
        <f>H3995-G3996</f>
        <v/>
      </c>
      <c r="I3996" s="392" t="n"/>
      <c r="J3996" s="392" t="n"/>
      <c r="K3996" s="392" t="n"/>
      <c r="L3996" s="392" t="n"/>
      <c r="M3996" s="392" t="n"/>
    </row>
    <row r="3997">
      <c r="A3997" s="568" t="n">
        <v>45216</v>
      </c>
      <c r="B3997" s="392" t="n">
        <v>10573</v>
      </c>
      <c r="C3997" s="392" t="n">
        <v>85.5</v>
      </c>
      <c r="D3997" s="392" t="n"/>
      <c r="E3997" s="392" t="n"/>
      <c r="F3997" s="392" t="n"/>
      <c r="G3997" s="392" t="n">
        <v>30</v>
      </c>
      <c r="H3997" s="446">
        <f>H3996-G3997</f>
        <v/>
      </c>
      <c r="I3997" s="392" t="n"/>
      <c r="J3997" s="392" t="n"/>
      <c r="K3997" s="392" t="n"/>
      <c r="L3997" s="392" t="n"/>
      <c r="M3997" s="392" t="n"/>
    </row>
    <row r="3998">
      <c r="A3998" s="568" t="n">
        <v>45216</v>
      </c>
      <c r="B3998" s="392" t="n">
        <v>10574</v>
      </c>
      <c r="C3998" s="392" t="n">
        <v>93</v>
      </c>
      <c r="D3998" s="392" t="n"/>
      <c r="E3998" s="392" t="n"/>
      <c r="F3998" s="392" t="n"/>
      <c r="G3998" s="392" t="n">
        <v>20</v>
      </c>
      <c r="H3998" s="446">
        <f>H3997-G3998</f>
        <v/>
      </c>
      <c r="I3998" s="392" t="n"/>
      <c r="J3998" s="392" t="n"/>
      <c r="K3998" s="392" t="n"/>
      <c r="L3998" s="392" t="n"/>
      <c r="M3998" s="392" t="n"/>
    </row>
    <row r="3999">
      <c r="A3999" s="568" t="n">
        <v>45216</v>
      </c>
      <c r="B3999" s="392" t="n">
        <v>10575</v>
      </c>
      <c r="C3999" s="392" t="n">
        <v>94.81999999999999</v>
      </c>
      <c r="D3999" s="392" t="n"/>
      <c r="E3999" s="392" t="n"/>
      <c r="F3999" s="392" t="n"/>
      <c r="G3999" s="392" t="n">
        <v>33</v>
      </c>
      <c r="H3999" s="446">
        <f>H3998-G3999</f>
        <v/>
      </c>
      <c r="I3999" s="392" t="n"/>
      <c r="J3999" s="392" t="n"/>
      <c r="K3999" s="392" t="n"/>
      <c r="L3999" s="392" t="n"/>
      <c r="M3999" s="392" t="n"/>
    </row>
    <row r="4000">
      <c r="A4000" s="568" t="n">
        <v>45217</v>
      </c>
      <c r="B4000" s="392" t="n">
        <v>10576</v>
      </c>
      <c r="C4000" s="392" t="n">
        <v>90.53</v>
      </c>
      <c r="D4000" s="392" t="n"/>
      <c r="E4000" s="392" t="n"/>
      <c r="F4000" s="392" t="n"/>
      <c r="G4000" s="392" t="n">
        <v>35</v>
      </c>
      <c r="H4000" s="446">
        <f>H3999-G4000</f>
        <v/>
      </c>
      <c r="I4000" s="392" t="n"/>
      <c r="J4000" s="392" t="n"/>
      <c r="K4000" s="392" t="n"/>
      <c r="L4000" s="392" t="n"/>
      <c r="M4000" s="392" t="n"/>
    </row>
    <row r="4001">
      <c r="A4001" s="568" t="n">
        <v>45217</v>
      </c>
      <c r="B4001" s="392" t="n">
        <v>10577</v>
      </c>
      <c r="C4001" s="392" t="n">
        <v>87.40000000000001</v>
      </c>
      <c r="D4001" s="392" t="n"/>
      <c r="E4001" s="392" t="n"/>
      <c r="F4001" s="392" t="n"/>
      <c r="G4001" s="392" t="n">
        <v>25</v>
      </c>
      <c r="H4001" s="446">
        <f>H4000-G4001</f>
        <v/>
      </c>
      <c r="I4001" s="392" t="n"/>
      <c r="J4001" s="392" t="n"/>
      <c r="K4001" s="392" t="n"/>
      <c r="L4001" s="392" t="n"/>
      <c r="M4001" s="392" t="n"/>
    </row>
    <row r="4002">
      <c r="A4002" s="568" t="n">
        <v>45217</v>
      </c>
      <c r="B4002" s="392" t="n">
        <v>10578</v>
      </c>
      <c r="C4002" s="392" t="n">
        <v>89</v>
      </c>
      <c r="D4002" s="392" t="n"/>
      <c r="E4002" s="392" t="n"/>
      <c r="F4002" s="392" t="n"/>
      <c r="G4002" s="392" t="n">
        <v>30</v>
      </c>
      <c r="H4002" s="446">
        <f>H4001-G4002</f>
        <v/>
      </c>
      <c r="I4002" s="392" t="n"/>
      <c r="J4002" s="392" t="n"/>
      <c r="K4002" s="392" t="n"/>
      <c r="L4002" s="392" t="n"/>
      <c r="M4002" s="392" t="n"/>
    </row>
    <row r="4003">
      <c r="A4003" s="568" t="n">
        <v>45217</v>
      </c>
      <c r="B4003" s="392" t="n">
        <v>10579</v>
      </c>
      <c r="C4003" s="392" t="n">
        <v>90</v>
      </c>
      <c r="D4003" s="392" t="n"/>
      <c r="E4003" s="392" t="n"/>
      <c r="F4003" s="392" t="n"/>
      <c r="G4003" s="392" t="n">
        <v>30</v>
      </c>
      <c r="H4003" s="446">
        <f>H4002-G4003</f>
        <v/>
      </c>
      <c r="I4003" s="392" t="n"/>
      <c r="J4003" s="392" t="n"/>
      <c r="K4003" s="392" t="n"/>
      <c r="L4003" s="392" t="n"/>
      <c r="M4003" s="392" t="n"/>
    </row>
    <row r="4004">
      <c r="A4004" s="568" t="n">
        <v>45217</v>
      </c>
      <c r="B4004" s="392" t="n">
        <v>10580</v>
      </c>
      <c r="C4004" s="392" t="n">
        <v>93.45</v>
      </c>
      <c r="D4004" s="392" t="n"/>
      <c r="E4004" s="392" t="n"/>
      <c r="F4004" s="392" t="n"/>
      <c r="G4004" s="392" t="n">
        <v>45</v>
      </c>
      <c r="H4004" s="446">
        <f>H4003-G4004</f>
        <v/>
      </c>
      <c r="I4004" s="392" t="n"/>
      <c r="J4004" s="392" t="n"/>
      <c r="K4004" s="392" t="n"/>
      <c r="L4004" s="392" t="n"/>
      <c r="M4004" s="392" t="n"/>
    </row>
    <row r="4005">
      <c r="A4005" s="568" t="n">
        <v>45217</v>
      </c>
      <c r="B4005" s="392" t="n">
        <v>10581</v>
      </c>
      <c r="C4005" s="392" t="n">
        <v>92.2</v>
      </c>
      <c r="D4005" s="392" t="n"/>
      <c r="E4005" s="392" t="n"/>
      <c r="F4005" s="392" t="n"/>
      <c r="G4005" s="392" t="n">
        <v>20</v>
      </c>
      <c r="H4005" s="446">
        <f>H4004-G4005</f>
        <v/>
      </c>
      <c r="I4005" s="392" t="n"/>
      <c r="J4005" s="392" t="n"/>
      <c r="K4005" s="392" t="n"/>
      <c r="L4005" s="392" t="n"/>
      <c r="M4005" s="392" t="n"/>
    </row>
    <row r="4006">
      <c r="A4006" s="568" t="n">
        <v>45218</v>
      </c>
      <c r="B4006" s="392" t="n">
        <v>10582</v>
      </c>
      <c r="C4006" s="392" t="n">
        <v>85</v>
      </c>
      <c r="D4006" s="392" t="n"/>
      <c r="E4006" s="392" t="n"/>
      <c r="F4006" s="392" t="n"/>
      <c r="G4006" s="392" t="n">
        <v>30</v>
      </c>
      <c r="H4006" s="446">
        <f>H4005-G4006</f>
        <v/>
      </c>
      <c r="I4006" s="392" t="n"/>
      <c r="J4006" s="392" t="n"/>
      <c r="K4006" s="392" t="n"/>
      <c r="L4006" s="392" t="n"/>
      <c r="M4006" s="392" t="n"/>
    </row>
    <row r="4007">
      <c r="A4007" s="568" t="n">
        <v>45218</v>
      </c>
      <c r="B4007" s="392" t="n">
        <v>10583</v>
      </c>
      <c r="C4007" s="392" t="n">
        <v>92</v>
      </c>
      <c r="D4007" s="392" t="n"/>
      <c r="E4007" s="392" t="n"/>
      <c r="F4007" s="392" t="n"/>
      <c r="G4007" s="392" t="n">
        <v>30</v>
      </c>
      <c r="H4007" s="446">
        <f>H4006-G4007</f>
        <v/>
      </c>
      <c r="I4007" s="392" t="n"/>
      <c r="J4007" s="392" t="n"/>
      <c r="K4007" s="392" t="n"/>
      <c r="L4007" s="392" t="n"/>
      <c r="M4007" s="392" t="n"/>
    </row>
    <row r="4008">
      <c r="A4008" s="568" t="n">
        <v>45223</v>
      </c>
      <c r="B4008" s="392" t="n">
        <v>10586</v>
      </c>
      <c r="C4008" s="392" t="n">
        <v>84</v>
      </c>
      <c r="D4008" s="392" t="n"/>
      <c r="E4008" s="392" t="n"/>
      <c r="F4008" s="392" t="n"/>
      <c r="G4008" s="392" t="n">
        <v>100</v>
      </c>
      <c r="H4008" s="446">
        <f>H4007-G4008</f>
        <v/>
      </c>
      <c r="I4008" s="392" t="n"/>
      <c r="J4008" s="392" t="n"/>
      <c r="K4008" s="392" t="n"/>
      <c r="L4008" s="392" t="n"/>
      <c r="M4008" s="392" t="n"/>
    </row>
    <row r="4009">
      <c r="A4009" s="568" t="n">
        <v>45223</v>
      </c>
      <c r="B4009" s="392" t="n">
        <v>10587</v>
      </c>
      <c r="C4009" s="392" t="n">
        <v>92</v>
      </c>
      <c r="D4009" s="392" t="n"/>
      <c r="E4009" s="392" t="n"/>
      <c r="F4009" s="392" t="n"/>
      <c r="G4009" s="392" t="n">
        <v>50</v>
      </c>
      <c r="H4009" s="446">
        <f>H4008-G4009</f>
        <v/>
      </c>
      <c r="I4009" s="392" t="n"/>
      <c r="J4009" s="392" t="n"/>
      <c r="K4009" s="392" t="n"/>
      <c r="L4009" s="392" t="n"/>
      <c r="M4009" s="392" t="n"/>
    </row>
    <row r="4010">
      <c r="A4010" s="568" t="n">
        <v>45223</v>
      </c>
      <c r="B4010" s="392" t="n">
        <v>10588</v>
      </c>
      <c r="C4010" s="392" t="n">
        <v>90.5</v>
      </c>
      <c r="D4010" s="392" t="n"/>
      <c r="E4010" s="392" t="n"/>
      <c r="F4010" s="392" t="n"/>
      <c r="G4010" s="392" t="n">
        <v>30</v>
      </c>
      <c r="H4010" s="446">
        <f>H4009-G4010</f>
        <v/>
      </c>
      <c r="I4010" s="392" t="n"/>
      <c r="J4010" s="392" t="n"/>
      <c r="K4010" s="392" t="n"/>
      <c r="L4010" s="392" t="n"/>
      <c r="M4010" s="392" t="n"/>
    </row>
    <row r="4011">
      <c r="A4011" s="568" t="n">
        <v>45223</v>
      </c>
      <c r="B4011" s="392" t="n">
        <v>10591</v>
      </c>
      <c r="C4011" s="392" t="n">
        <v>85</v>
      </c>
      <c r="D4011" s="392" t="n"/>
      <c r="E4011" s="392" t="n"/>
      <c r="F4011" s="392" t="n"/>
      <c r="G4011" s="392" t="n">
        <v>30</v>
      </c>
      <c r="H4011" s="446">
        <f>H4010-G4011</f>
        <v/>
      </c>
      <c r="I4011" s="392" t="n"/>
      <c r="J4011" s="392" t="n"/>
      <c r="K4011" s="392" t="n"/>
      <c r="L4011" s="392" t="n"/>
      <c r="M4011" s="392" t="n"/>
    </row>
    <row r="4012">
      <c r="A4012" s="568" t="n">
        <v>45223</v>
      </c>
      <c r="B4012" s="392" t="n">
        <v>10595</v>
      </c>
      <c r="C4012" s="392" t="n">
        <v>89</v>
      </c>
      <c r="D4012" s="392" t="n"/>
      <c r="E4012" s="392" t="n"/>
      <c r="F4012" s="392" t="n"/>
      <c r="G4012" s="392" t="n">
        <v>20</v>
      </c>
      <c r="H4012" s="446">
        <f>H4011-G4012</f>
        <v/>
      </c>
      <c r="I4012" s="392" t="n"/>
      <c r="J4012" s="392" t="n"/>
      <c r="K4012" s="392" t="n"/>
      <c r="L4012" s="392" t="n"/>
      <c r="M4012" s="392" t="n"/>
    </row>
    <row r="4013">
      <c r="A4013" s="568" t="n">
        <v>45223</v>
      </c>
      <c r="B4013" s="392" t="n">
        <v>10596</v>
      </c>
      <c r="C4013" s="392" t="n">
        <v>94</v>
      </c>
      <c r="D4013" s="392" t="n"/>
      <c r="E4013" s="392" t="n"/>
      <c r="F4013" s="392" t="n"/>
      <c r="G4013" s="392" t="n">
        <v>30</v>
      </c>
      <c r="H4013" s="446">
        <f>H4012-G4013</f>
        <v/>
      </c>
      <c r="I4013" s="392" t="n"/>
      <c r="J4013" s="392" t="n"/>
      <c r="K4013" s="392" t="n"/>
      <c r="L4013" s="392" t="n"/>
      <c r="M4013" s="392" t="n"/>
    </row>
    <row r="4014">
      <c r="A4014" s="568" t="n">
        <v>45224</v>
      </c>
      <c r="B4014" s="392" t="n">
        <v>10597</v>
      </c>
      <c r="C4014" s="392" t="n">
        <v>95</v>
      </c>
      <c r="D4014" s="392" t="n"/>
      <c r="E4014" s="392" t="n"/>
      <c r="F4014" s="392" t="n"/>
      <c r="G4014" s="392" t="n">
        <v>20</v>
      </c>
      <c r="H4014" s="446">
        <f>H4013-G4014</f>
        <v/>
      </c>
      <c r="I4014" s="392" t="n"/>
      <c r="J4014" s="392" t="n"/>
      <c r="K4014" s="392" t="n"/>
      <c r="L4014" s="392" t="n"/>
      <c r="M4014" s="392" t="n"/>
    </row>
    <row r="4015">
      <c r="A4015" s="568" t="n">
        <v>45224</v>
      </c>
      <c r="B4015" s="392" t="n">
        <v>10600</v>
      </c>
      <c r="C4015" s="392" t="n">
        <v>92</v>
      </c>
      <c r="D4015" s="392" t="n"/>
      <c r="E4015" s="392" t="n"/>
      <c r="F4015" s="392" t="n"/>
      <c r="G4015" s="392" t="n">
        <v>200</v>
      </c>
      <c r="H4015" s="446">
        <f>H4014-G4015</f>
        <v/>
      </c>
      <c r="I4015" s="392" t="n"/>
      <c r="J4015" s="392" t="n"/>
      <c r="K4015" s="392" t="n"/>
      <c r="L4015" s="392" t="n"/>
      <c r="M4015" s="392" t="n"/>
    </row>
    <row r="4016">
      <c r="A4016" s="568" t="n">
        <v>45229</v>
      </c>
      <c r="B4016" s="392" t="n">
        <v>10601</v>
      </c>
      <c r="C4016" s="392" t="n">
        <v>85</v>
      </c>
      <c r="D4016" s="392" t="n"/>
      <c r="E4016" s="392" t="n"/>
      <c r="F4016" s="392" t="n"/>
      <c r="G4016" s="392" t="n">
        <v>100</v>
      </c>
      <c r="H4016" s="446">
        <f>H4015-G4016</f>
        <v/>
      </c>
      <c r="I4016" s="392" t="n"/>
      <c r="J4016" s="392" t="n"/>
      <c r="K4016" s="392" t="n"/>
      <c r="L4016" s="392" t="n"/>
      <c r="M4016" s="392" t="n"/>
    </row>
    <row r="4017">
      <c r="A4017" s="568" t="n">
        <v>45229</v>
      </c>
      <c r="B4017" s="392" t="n">
        <v>10602</v>
      </c>
      <c r="C4017" s="392" t="n">
        <v>94</v>
      </c>
      <c r="D4017" s="392" t="n"/>
      <c r="E4017" s="392" t="n"/>
      <c r="F4017" s="392" t="n"/>
      <c r="G4017" s="392" t="n">
        <v>150</v>
      </c>
      <c r="H4017" s="446">
        <f>H4016-G4017</f>
        <v/>
      </c>
      <c r="I4017" s="392" t="n"/>
      <c r="J4017" s="392" t="n"/>
      <c r="K4017" s="392" t="n"/>
      <c r="L4017" s="392" t="n"/>
      <c r="M4017" s="392" t="n"/>
    </row>
    <row r="4018">
      <c r="A4018" s="568" t="n">
        <v>45229</v>
      </c>
      <c r="B4018" s="392" t="n">
        <v>10603</v>
      </c>
      <c r="C4018" s="392" t="n">
        <v>95</v>
      </c>
      <c r="D4018" s="392" t="n"/>
      <c r="E4018" s="392" t="n"/>
      <c r="F4018" s="392" t="n"/>
      <c r="G4018" s="392" t="n">
        <v>20</v>
      </c>
      <c r="H4018" s="446">
        <f>H4017-G4018</f>
        <v/>
      </c>
      <c r="I4018" s="392" t="n"/>
      <c r="J4018" s="392" t="n"/>
      <c r="K4018" s="392" t="n"/>
      <c r="L4018" s="392" t="n"/>
      <c r="M4018" s="392" t="n"/>
    </row>
    <row r="4019">
      <c r="A4019" s="568" t="n">
        <v>45229</v>
      </c>
      <c r="B4019" s="392" t="n">
        <v>10604</v>
      </c>
      <c r="C4019" s="392" t="n">
        <v>93</v>
      </c>
      <c r="D4019" s="392" t="n"/>
      <c r="E4019" s="392" t="n"/>
      <c r="F4019" s="392" t="n"/>
      <c r="G4019" s="392" t="n">
        <v>50</v>
      </c>
      <c r="H4019" s="446">
        <f>H4018-G4019</f>
        <v/>
      </c>
      <c r="I4019" s="392" t="n"/>
      <c r="J4019" s="392" t="n"/>
      <c r="K4019" s="392" t="n"/>
      <c r="L4019" s="392" t="n"/>
      <c r="M4019" s="392" t="n"/>
    </row>
    <row r="4020">
      <c r="A4020" s="568" t="n">
        <v>45230</v>
      </c>
      <c r="B4020" s="392" t="n">
        <v>10616</v>
      </c>
      <c r="C4020" s="392" t="n">
        <v>97</v>
      </c>
      <c r="D4020" s="392" t="n"/>
      <c r="E4020" s="392" t="n"/>
      <c r="F4020" s="392" t="n"/>
      <c r="G4020" s="392" t="n">
        <v>20</v>
      </c>
      <c r="H4020" s="446">
        <f>H4019-G4020</f>
        <v/>
      </c>
      <c r="I4020" s="392" t="n"/>
      <c r="J4020" s="392" t="n"/>
      <c r="K4020" s="392" t="n"/>
      <c r="L4020" s="392" t="n"/>
      <c r="M4020" s="392" t="n"/>
    </row>
    <row r="4021">
      <c r="A4021" s="568" t="n">
        <v>45230</v>
      </c>
      <c r="B4021" s="392" t="n">
        <v>10617</v>
      </c>
      <c r="C4021" s="392" t="n">
        <v>85</v>
      </c>
      <c r="D4021" s="392" t="n"/>
      <c r="E4021" s="392" t="n"/>
      <c r="F4021" s="392" t="n"/>
      <c r="G4021" s="392" t="n">
        <v>25</v>
      </c>
      <c r="H4021" s="446">
        <f>H4020-G4021</f>
        <v/>
      </c>
      <c r="I4021" s="392" t="n"/>
      <c r="J4021" s="392" t="n"/>
      <c r="K4021" s="392" t="n"/>
      <c r="L4021" s="392" t="n"/>
      <c r="M4021" s="392" t="n"/>
    </row>
    <row r="4022">
      <c r="A4022" s="568" t="n"/>
      <c r="B4022" s="392" t="n"/>
      <c r="C4022" s="392" t="n"/>
      <c r="D4022" s="392" t="n"/>
      <c r="E4022" s="392" t="n"/>
      <c r="F4022" s="392" t="n"/>
      <c r="G4022" s="392" t="n"/>
      <c r="H4022" s="446">
        <f>H4021-G4022</f>
        <v/>
      </c>
      <c r="I4022" s="392" t="n"/>
      <c r="J4022" s="392" t="n"/>
      <c r="K4022" s="392" t="n"/>
      <c r="L4022" s="392" t="n"/>
      <c r="M4022" s="392" t="n"/>
    </row>
    <row r="4023" ht="15.75" customHeight="1" s="436" thickBot="1">
      <c r="A4023" s="414" t="n"/>
      <c r="H4023" s="390" t="n"/>
    </row>
    <row r="4024" ht="32.25" customHeight="1" s="436" thickBot="1">
      <c r="A4024" s="735" t="inlineStr">
        <is>
          <t>Novembro</t>
        </is>
      </c>
      <c r="B4024" s="697" t="n"/>
      <c r="C4024" s="697" t="n"/>
      <c r="D4024" s="697" t="n"/>
      <c r="E4024" s="697" t="n"/>
      <c r="F4024" s="697" t="n"/>
      <c r="G4024" s="697" t="n"/>
      <c r="H4024" s="697" t="n"/>
      <c r="I4024" s="697" t="n"/>
      <c r="J4024" s="697" t="n"/>
      <c r="K4024" s="697" t="n"/>
      <c r="L4024" s="697" t="n"/>
      <c r="M4024" s="698" t="n"/>
    </row>
    <row r="4025" ht="27" customHeight="1" s="436" thickBot="1">
      <c r="A4025" s="720" t="inlineStr">
        <is>
          <t xml:space="preserve"> FARINHA DE TRIGO TIPO: 1 - 25 KG</t>
        </is>
      </c>
      <c r="B4025" s="697" t="n"/>
      <c r="C4025" s="697" t="n"/>
      <c r="D4025" s="697" t="n"/>
      <c r="E4025" s="697" t="n"/>
      <c r="F4025" s="697" t="n"/>
      <c r="G4025" s="697" t="n"/>
      <c r="H4025" s="697" t="n"/>
      <c r="I4025" s="697" t="n"/>
      <c r="J4025" s="697" t="n"/>
      <c r="K4025" s="697" t="n"/>
      <c r="L4025" s="697" t="n"/>
      <c r="M4025" s="698" t="n"/>
    </row>
    <row r="4026">
      <c r="A4026" s="643" t="inlineStr">
        <is>
          <t>DATA</t>
        </is>
      </c>
      <c r="B4026" s="633" t="inlineStr">
        <is>
          <t>N.F.</t>
        </is>
      </c>
      <c r="C4026" s="633" t="inlineStr">
        <is>
          <t>TIPO</t>
        </is>
      </c>
      <c r="D4026" s="670" t="inlineStr">
        <is>
          <t>PREÇO UNITÁRIO</t>
        </is>
      </c>
      <c r="E4026" s="701" t="n"/>
      <c r="F4026" s="633" t="inlineStr">
        <is>
          <t>QUANTIDADE / KG</t>
        </is>
      </c>
      <c r="H4026" s="701" t="n"/>
      <c r="I4026" s="632" t="inlineStr">
        <is>
          <t>PREÇO</t>
        </is>
      </c>
      <c r="J4026" s="632" t="inlineStr">
        <is>
          <t>VALORES</t>
        </is>
      </c>
      <c r="L4026" s="701" t="n"/>
      <c r="M4026" s="649" t="n"/>
    </row>
    <row r="4027" ht="15.75" customHeight="1" s="436" thickBot="1">
      <c r="A4027" s="703" t="n"/>
      <c r="B4027" s="704" t="n"/>
      <c r="C4027" s="704" t="n"/>
      <c r="D4027" s="703" t="n"/>
      <c r="E4027" s="701" t="n"/>
      <c r="F4027" s="705" t="n"/>
      <c r="G4027" s="706" t="n"/>
      <c r="H4027" s="707" t="n"/>
      <c r="I4027" s="704" t="n"/>
      <c r="J4027" s="703" t="n"/>
      <c r="L4027" s="701" t="n"/>
      <c r="M4027" s="704" t="n"/>
    </row>
    <row r="4028" ht="15.75" customHeight="1" s="436" thickBot="1">
      <c r="A4028" s="703" t="n"/>
      <c r="B4028" s="704" t="n"/>
      <c r="C4028" s="704" t="n"/>
      <c r="D4028" s="705" t="n"/>
      <c r="E4028" s="707" t="n"/>
      <c r="F4028" s="3" t="inlineStr">
        <is>
          <t>ENTRADA</t>
        </is>
      </c>
      <c r="G4028" s="3" t="inlineStr">
        <is>
          <t>SAÍDA</t>
        </is>
      </c>
      <c r="H4028" s="640" t="n"/>
      <c r="I4028" s="633" t="inlineStr">
        <is>
          <t>MÉDIO</t>
        </is>
      </c>
      <c r="J4028" s="652" t="inlineStr">
        <is>
          <t>SALDO EM 30/11/2017</t>
        </is>
      </c>
      <c r="K4028" s="706" t="n"/>
      <c r="L4028" s="17" t="n"/>
      <c r="M4028" s="704" t="n"/>
    </row>
    <row r="4029" ht="18" customHeight="1" s="436" thickBot="1">
      <c r="A4029" s="705" t="n"/>
      <c r="B4029" s="695" t="n"/>
      <c r="C4029" s="695" t="n"/>
      <c r="D4029" s="3" t="inlineStr">
        <is>
          <t>C/ICMS</t>
        </is>
      </c>
      <c r="E4029" s="3" t="inlineStr">
        <is>
          <t>S/ICMS</t>
        </is>
      </c>
      <c r="F4029" s="695" t="n"/>
      <c r="G4029" s="695" t="n"/>
      <c r="H4029" s="84" t="inlineStr">
        <is>
          <t>Saldo em 30/10/2022</t>
        </is>
      </c>
      <c r="I4029" s="695" t="n"/>
      <c r="J4029" s="645" t="inlineStr">
        <is>
          <t>ENTRADA</t>
        </is>
      </c>
      <c r="K4029" s="633" t="inlineStr">
        <is>
          <t>SAÍDA / CMV</t>
        </is>
      </c>
      <c r="L4029" s="643" t="inlineStr">
        <is>
          <t>SALDO</t>
        </is>
      </c>
      <c r="M4029" s="392" t="n"/>
    </row>
    <row r="4030">
      <c r="A4030" s="392" t="n"/>
      <c r="B4030" s="392" t="n"/>
      <c r="C4030" s="392" t="n"/>
      <c r="D4030" s="392" t="n"/>
      <c r="E4030" s="392" t="n"/>
      <c r="F4030" s="392" t="n"/>
      <c r="G4030" s="392" t="n"/>
      <c r="H4030" s="446" t="n">
        <v>3462</v>
      </c>
      <c r="I4030" s="392" t="n"/>
      <c r="J4030" s="392" t="n"/>
      <c r="K4030" s="392" t="n"/>
      <c r="L4030" s="392" t="n"/>
      <c r="M4030" s="392" t="n"/>
    </row>
    <row r="4031">
      <c r="A4031" s="568" t="n">
        <v>45237</v>
      </c>
      <c r="B4031" s="392" t="n">
        <v>10620</v>
      </c>
      <c r="C4031" s="392" t="n">
        <v>92</v>
      </c>
      <c r="D4031" s="392" t="n"/>
      <c r="E4031" s="392" t="n"/>
      <c r="F4031" s="392" t="n"/>
      <c r="G4031" s="392" t="n">
        <v>30</v>
      </c>
      <c r="H4031" s="446">
        <f>H4030-G4031</f>
        <v/>
      </c>
      <c r="I4031" s="392" t="n"/>
      <c r="J4031" s="392" t="n"/>
      <c r="K4031" s="392" t="n"/>
      <c r="L4031" s="392" t="n"/>
      <c r="M4031" s="392" t="n"/>
    </row>
    <row r="4032">
      <c r="A4032" s="568" t="n">
        <v>45237</v>
      </c>
      <c r="B4032" s="392" t="n">
        <v>10621</v>
      </c>
      <c r="C4032" s="392" t="n">
        <v>89</v>
      </c>
      <c r="D4032" s="392" t="n"/>
      <c r="E4032" s="392" t="n"/>
      <c r="F4032" s="392" t="n"/>
      <c r="G4032" s="392" t="n">
        <v>50</v>
      </c>
      <c r="H4032" s="446">
        <f>H4031-G4032</f>
        <v/>
      </c>
      <c r="I4032" s="392" t="n"/>
      <c r="J4032" s="392" t="n"/>
      <c r="K4032" s="392" t="n"/>
      <c r="L4032" s="392" t="n"/>
      <c r="M4032" s="392" t="n"/>
    </row>
    <row r="4033">
      <c r="A4033" s="568" t="n">
        <v>45237</v>
      </c>
      <c r="B4033" s="392" t="n">
        <v>10622</v>
      </c>
      <c r="C4033" s="392" t="n">
        <v>85</v>
      </c>
      <c r="D4033" s="392" t="n"/>
      <c r="E4033" s="392" t="n"/>
      <c r="F4033" s="392" t="n"/>
      <c r="G4033" s="392" t="n">
        <v>10</v>
      </c>
      <c r="H4033" s="446">
        <f>H4032-G4033</f>
        <v/>
      </c>
      <c r="I4033" s="392" t="n"/>
      <c r="J4033" s="392" t="n"/>
      <c r="K4033" s="392" t="n"/>
      <c r="L4033" s="392" t="n"/>
      <c r="M4033" s="392" t="n"/>
    </row>
    <row r="4034">
      <c r="A4034" s="568" t="n">
        <v>45237</v>
      </c>
      <c r="B4034" s="392" t="n">
        <v>10623</v>
      </c>
      <c r="C4034" s="392" t="n">
        <v>90.5</v>
      </c>
      <c r="D4034" s="392" t="n"/>
      <c r="E4034" s="392" t="n"/>
      <c r="F4034" s="392" t="n"/>
      <c r="G4034" s="392" t="n">
        <v>30</v>
      </c>
      <c r="H4034" s="446">
        <f>H4033-G4034</f>
        <v/>
      </c>
      <c r="I4034" s="392" t="n"/>
      <c r="J4034" s="392" t="n"/>
      <c r="K4034" s="392" t="n"/>
      <c r="L4034" s="392" t="n"/>
      <c r="M4034" s="392" t="n"/>
    </row>
    <row r="4035">
      <c r="A4035" s="568" t="n">
        <v>45237</v>
      </c>
      <c r="B4035" s="392" t="n">
        <v>10624</v>
      </c>
      <c r="C4035" s="392" t="n">
        <v>95</v>
      </c>
      <c r="D4035" s="392" t="n"/>
      <c r="E4035" s="392" t="n"/>
      <c r="F4035" s="392" t="n"/>
      <c r="G4035" s="392" t="n">
        <v>25</v>
      </c>
      <c r="H4035" s="446">
        <f>H4034-G4035</f>
        <v/>
      </c>
      <c r="I4035" s="392" t="n"/>
      <c r="J4035" s="392" t="n"/>
      <c r="K4035" s="392" t="n"/>
      <c r="L4035" s="392" t="n"/>
      <c r="M4035" s="392" t="n"/>
    </row>
    <row r="4036">
      <c r="A4036" s="568" t="n">
        <v>45237</v>
      </c>
      <c r="B4036" s="392" t="n">
        <v>10625</v>
      </c>
      <c r="C4036" s="392" t="n">
        <v>89</v>
      </c>
      <c r="D4036" s="392" t="n"/>
      <c r="E4036" s="392" t="n"/>
      <c r="F4036" s="392" t="n"/>
      <c r="G4036" s="392" t="n">
        <v>20</v>
      </c>
      <c r="H4036" s="446">
        <f>H4035-G4036</f>
        <v/>
      </c>
      <c r="I4036" s="392" t="n"/>
      <c r="J4036" s="392" t="n"/>
      <c r="K4036" s="392" t="n"/>
      <c r="L4036" s="392" t="n"/>
      <c r="M4036" s="392" t="n"/>
    </row>
    <row r="4037">
      <c r="A4037" s="568" t="n">
        <v>45237</v>
      </c>
      <c r="B4037" s="392" t="n">
        <v>10628</v>
      </c>
      <c r="C4037" s="392" t="n">
        <v>89.95999999999999</v>
      </c>
      <c r="D4037" s="392" t="n"/>
      <c r="E4037" s="392" t="n"/>
      <c r="F4037" s="392" t="n"/>
      <c r="G4037" s="392" t="n">
        <v>25</v>
      </c>
      <c r="H4037" s="446">
        <f>H4036-G4037</f>
        <v/>
      </c>
      <c r="I4037" s="392" t="n"/>
      <c r="J4037" s="392" t="n"/>
      <c r="K4037" s="392" t="n"/>
      <c r="L4037" s="392" t="n"/>
      <c r="M4037" s="392" t="n"/>
    </row>
    <row r="4038">
      <c r="A4038" s="568" t="n">
        <v>45237</v>
      </c>
      <c r="B4038" s="392" t="n">
        <v>10630</v>
      </c>
      <c r="C4038" s="392" t="n">
        <v>85</v>
      </c>
      <c r="D4038" s="392" t="n"/>
      <c r="E4038" s="392" t="n"/>
      <c r="F4038" s="392" t="n"/>
      <c r="G4038" s="392" t="n">
        <v>30</v>
      </c>
      <c r="H4038" s="446">
        <f>H4037-G4038</f>
        <v/>
      </c>
      <c r="I4038" s="392" t="n"/>
      <c r="J4038" s="392" t="n"/>
      <c r="K4038" s="392" t="n"/>
      <c r="L4038" s="392" t="n"/>
      <c r="M4038" s="392" t="n"/>
    </row>
    <row r="4039">
      <c r="A4039" s="568" t="n">
        <v>45237</v>
      </c>
      <c r="B4039" s="392" t="n">
        <v>10631</v>
      </c>
      <c r="C4039" s="392" t="n">
        <v>85</v>
      </c>
      <c r="D4039" s="392" t="n"/>
      <c r="E4039" s="392" t="n"/>
      <c r="F4039" s="392" t="n"/>
      <c r="G4039" s="392" t="n">
        <v>40</v>
      </c>
      <c r="H4039" s="446">
        <f>H4038-G4039</f>
        <v/>
      </c>
      <c r="I4039" s="392" t="n"/>
      <c r="J4039" s="392" t="n"/>
      <c r="K4039" s="392" t="n"/>
      <c r="L4039" s="392" t="n"/>
      <c r="M4039" s="392" t="n"/>
    </row>
    <row r="4040">
      <c r="A4040" s="568" t="n">
        <v>45238</v>
      </c>
      <c r="B4040" s="392" t="n">
        <v>10633</v>
      </c>
      <c r="C4040" s="392" t="n">
        <v>94</v>
      </c>
      <c r="D4040" s="392" t="n"/>
      <c r="E4040" s="392" t="n"/>
      <c r="F4040" s="392" t="n"/>
      <c r="G4040" s="392" t="n">
        <v>30</v>
      </c>
      <c r="H4040" s="446">
        <f>H4039-G4040</f>
        <v/>
      </c>
      <c r="I4040" s="392" t="n"/>
      <c r="J4040" s="392" t="n"/>
      <c r="K4040" s="392" t="n"/>
      <c r="L4040" s="392" t="n"/>
      <c r="M4040" s="392" t="n"/>
    </row>
    <row r="4041">
      <c r="A4041" s="568" t="n">
        <v>45238</v>
      </c>
      <c r="B4041" s="392" t="n">
        <v>10634</v>
      </c>
      <c r="C4041" s="392" t="n">
        <v>85</v>
      </c>
      <c r="D4041" s="392" t="n"/>
      <c r="E4041" s="392" t="n"/>
      <c r="F4041" s="392" t="n"/>
      <c r="G4041" s="392" t="n">
        <v>12</v>
      </c>
      <c r="H4041" s="446">
        <f>H4040-G4041</f>
        <v/>
      </c>
      <c r="I4041" s="392" t="n"/>
      <c r="J4041" s="392" t="n"/>
      <c r="K4041" s="392" t="n"/>
      <c r="L4041" s="392" t="n"/>
      <c r="M4041" s="392" t="n"/>
    </row>
    <row r="4042">
      <c r="A4042" s="304" t="n">
        <v>45240</v>
      </c>
      <c r="B4042" s="401" t="n">
        <v>231648</v>
      </c>
      <c r="C4042" s="401" t="n">
        <v>72</v>
      </c>
      <c r="D4042" s="401" t="n"/>
      <c r="E4042" s="401" t="n"/>
      <c r="F4042" s="401" t="n">
        <v>100</v>
      </c>
      <c r="G4042" s="401" t="n"/>
      <c r="H4042" s="322" t="n">
        <v>3260</v>
      </c>
      <c r="I4042" s="392" t="n"/>
      <c r="J4042" s="392" t="n"/>
      <c r="K4042" s="392" t="n"/>
      <c r="L4042" s="392" t="n"/>
      <c r="M4042" s="392" t="n"/>
    </row>
    <row r="4043">
      <c r="A4043" s="568" t="n">
        <v>45243</v>
      </c>
      <c r="B4043" s="392" t="n">
        <v>10638</v>
      </c>
      <c r="C4043" s="392" t="n">
        <v>94</v>
      </c>
      <c r="D4043" s="392" t="n"/>
      <c r="E4043" s="392" t="n"/>
      <c r="F4043" s="392" t="n"/>
      <c r="G4043" s="392" t="n">
        <v>40</v>
      </c>
      <c r="H4043" s="446">
        <f>H4042-G4043</f>
        <v/>
      </c>
      <c r="I4043" s="392" t="n"/>
      <c r="J4043" s="392" t="n"/>
      <c r="K4043" s="392" t="n"/>
      <c r="L4043" s="392" t="n"/>
      <c r="M4043" s="392" t="n"/>
    </row>
    <row r="4044">
      <c r="A4044" s="568" t="n">
        <v>45243</v>
      </c>
      <c r="B4044" s="392" t="n">
        <v>10640</v>
      </c>
      <c r="C4044" s="392" t="n">
        <v>91</v>
      </c>
      <c r="D4044" s="392" t="n"/>
      <c r="E4044" s="392" t="n"/>
      <c r="F4044" s="392" t="n"/>
      <c r="G4044" s="392" t="n">
        <v>40</v>
      </c>
      <c r="H4044" s="446">
        <f>H4043-G4044</f>
        <v/>
      </c>
      <c r="I4044" s="392" t="n"/>
      <c r="J4044" s="392" t="n"/>
      <c r="K4044" s="392" t="n"/>
      <c r="L4044" s="392" t="n"/>
      <c r="M4044" s="392" t="n"/>
    </row>
    <row r="4045">
      <c r="A4045" s="568" t="n">
        <v>45243</v>
      </c>
      <c r="B4045" s="392" t="n">
        <v>10643</v>
      </c>
      <c r="C4045" s="392" t="n">
        <v>95</v>
      </c>
      <c r="D4045" s="392" t="n"/>
      <c r="E4045" s="392" t="n"/>
      <c r="F4045" s="392" t="n"/>
      <c r="G4045" s="392" t="n">
        <v>30</v>
      </c>
      <c r="H4045" s="446">
        <f>H4044-G4045</f>
        <v/>
      </c>
      <c r="I4045" s="392" t="n"/>
      <c r="J4045" s="392" t="n"/>
      <c r="K4045" s="392" t="n"/>
      <c r="L4045" s="392" t="n"/>
      <c r="M4045" s="392" t="n"/>
    </row>
    <row r="4046">
      <c r="A4046" s="568" t="n">
        <v>45245</v>
      </c>
      <c r="B4046" s="392" t="n">
        <v>10649</v>
      </c>
      <c r="C4046" s="392" t="n">
        <v>88</v>
      </c>
      <c r="D4046" s="392" t="n"/>
      <c r="E4046" s="392" t="n"/>
      <c r="F4046" s="392" t="n"/>
      <c r="G4046" s="392" t="n">
        <v>30</v>
      </c>
      <c r="H4046" s="446">
        <f>H4045-G4046</f>
        <v/>
      </c>
      <c r="I4046" s="392" t="n"/>
      <c r="J4046" s="392" t="n"/>
      <c r="K4046" s="392" t="n"/>
      <c r="L4046" s="392" t="n"/>
      <c r="M4046" s="392" t="n"/>
    </row>
    <row r="4047">
      <c r="A4047" s="568" t="n">
        <v>45245</v>
      </c>
      <c r="B4047" s="392" t="n">
        <v>10651</v>
      </c>
      <c r="C4047" s="392" t="n">
        <v>85</v>
      </c>
      <c r="D4047" s="392" t="n"/>
      <c r="E4047" s="392" t="n"/>
      <c r="F4047" s="392" t="n"/>
      <c r="G4047" s="392" t="n">
        <v>20</v>
      </c>
      <c r="H4047" s="446">
        <f>H4046-G4047</f>
        <v/>
      </c>
      <c r="I4047" s="392" t="n"/>
      <c r="J4047" s="392" t="n"/>
      <c r="K4047" s="392" t="n"/>
      <c r="L4047" s="392" t="n"/>
      <c r="M4047" s="392" t="n"/>
    </row>
    <row r="4048">
      <c r="A4048" s="568" t="n">
        <v>45245</v>
      </c>
      <c r="B4048" s="392" t="n">
        <v>10652</v>
      </c>
      <c r="C4048" s="392" t="n">
        <v>88</v>
      </c>
      <c r="D4048" s="392" t="n"/>
      <c r="E4048" s="392" t="n"/>
      <c r="F4048" s="392" t="n"/>
      <c r="G4048" s="392" t="n">
        <v>20</v>
      </c>
      <c r="H4048" s="446">
        <f>H4047-G4048</f>
        <v/>
      </c>
      <c r="I4048" s="392" t="n"/>
      <c r="J4048" s="392" t="n"/>
      <c r="K4048" s="392" t="n"/>
      <c r="L4048" s="392" t="n"/>
      <c r="M4048" s="392" t="n"/>
    </row>
    <row r="4049">
      <c r="A4049" s="568" t="n">
        <v>45245</v>
      </c>
      <c r="B4049" s="392" t="n">
        <v>10653</v>
      </c>
      <c r="C4049" s="392" t="n">
        <v>85</v>
      </c>
      <c r="D4049" s="392" t="n"/>
      <c r="E4049" s="392" t="n"/>
      <c r="F4049" s="392" t="n"/>
      <c r="G4049" s="392" t="n">
        <v>10</v>
      </c>
      <c r="H4049" s="446">
        <f>H4048-G4049</f>
        <v/>
      </c>
      <c r="I4049" s="392" t="n"/>
      <c r="J4049" s="392" t="n"/>
      <c r="K4049" s="392" t="n"/>
      <c r="L4049" s="392" t="n"/>
      <c r="M4049" s="392" t="n"/>
    </row>
    <row r="4050">
      <c r="A4050" s="568" t="n">
        <v>45250</v>
      </c>
      <c r="B4050" s="392" t="n">
        <v>10654</v>
      </c>
      <c r="C4050" s="392" t="n">
        <v>85</v>
      </c>
      <c r="D4050" s="392" t="n"/>
      <c r="E4050" s="392" t="n"/>
      <c r="F4050" s="392" t="n"/>
      <c r="G4050" s="392" t="n">
        <v>70</v>
      </c>
      <c r="H4050" s="446">
        <f>H4049-G4050</f>
        <v/>
      </c>
      <c r="I4050" s="392" t="n"/>
      <c r="J4050" s="392" t="n"/>
      <c r="K4050" s="392" t="n"/>
      <c r="L4050" s="392" t="n"/>
      <c r="M4050" s="392" t="n"/>
    </row>
    <row r="4051">
      <c r="A4051" s="568" t="n">
        <v>45250</v>
      </c>
      <c r="B4051" s="392" t="n">
        <v>10655</v>
      </c>
      <c r="C4051" s="392" t="n">
        <v>94</v>
      </c>
      <c r="D4051" s="392" t="n"/>
      <c r="E4051" s="392" t="n"/>
      <c r="F4051" s="392" t="n"/>
      <c r="G4051" s="392" t="n">
        <v>50</v>
      </c>
      <c r="H4051" s="446">
        <f>H4050-G4051</f>
        <v/>
      </c>
      <c r="I4051" s="392" t="n"/>
      <c r="J4051" s="392" t="n"/>
      <c r="K4051" s="392" t="n"/>
      <c r="L4051" s="392" t="n"/>
      <c r="M4051" s="392" t="n"/>
    </row>
    <row r="4052">
      <c r="A4052" s="568" t="n">
        <v>45250</v>
      </c>
      <c r="B4052" s="392" t="n">
        <v>10656</v>
      </c>
      <c r="C4052" s="392" t="n">
        <v>89</v>
      </c>
      <c r="D4052" s="392" t="n"/>
      <c r="E4052" s="392" t="n"/>
      <c r="F4052" s="392" t="n"/>
      <c r="G4052" s="392" t="n">
        <v>20</v>
      </c>
      <c r="H4052" s="446">
        <f>H4051-G4052</f>
        <v/>
      </c>
      <c r="I4052" s="392" t="n"/>
      <c r="J4052" s="392" t="n"/>
      <c r="K4052" s="392" t="n"/>
      <c r="L4052" s="392" t="n"/>
      <c r="M4052" s="392" t="n"/>
    </row>
    <row r="4053">
      <c r="A4053" s="568" t="n">
        <v>45250</v>
      </c>
      <c r="B4053" s="392" t="n">
        <v>10657</v>
      </c>
      <c r="C4053" s="392" t="n">
        <v>92</v>
      </c>
      <c r="D4053" s="392" t="n"/>
      <c r="E4053" s="392" t="n"/>
      <c r="F4053" s="392" t="n"/>
      <c r="G4053" s="392" t="n">
        <v>50</v>
      </c>
      <c r="H4053" s="446">
        <f>H4052-G4053</f>
        <v/>
      </c>
      <c r="I4053" s="392" t="n"/>
      <c r="J4053" s="392" t="n"/>
      <c r="K4053" s="392" t="n"/>
      <c r="L4053" s="392" t="n"/>
      <c r="M4053" s="392" t="n"/>
    </row>
    <row r="4054">
      <c r="A4054" s="568" t="n">
        <v>45250</v>
      </c>
      <c r="B4054" s="392" t="n">
        <v>10658</v>
      </c>
      <c r="C4054" s="392" t="n">
        <v>89</v>
      </c>
      <c r="D4054" s="392" t="n"/>
      <c r="E4054" s="392" t="n"/>
      <c r="F4054" s="392" t="n"/>
      <c r="G4054" s="392" t="n">
        <v>20</v>
      </c>
      <c r="H4054" s="446">
        <f>H4053-G4054</f>
        <v/>
      </c>
      <c r="I4054" s="392" t="n"/>
      <c r="J4054" s="392" t="n"/>
      <c r="K4054" s="392" t="n"/>
      <c r="L4054" s="392" t="n"/>
      <c r="M4054" s="392" t="n"/>
    </row>
    <row r="4055">
      <c r="A4055" s="568" t="n">
        <v>45250</v>
      </c>
      <c r="B4055" s="392" t="n">
        <v>10660</v>
      </c>
      <c r="C4055" s="392" t="n">
        <v>89</v>
      </c>
      <c r="D4055" s="392" t="n"/>
      <c r="E4055" s="392" t="n"/>
      <c r="F4055" s="392" t="n"/>
      <c r="G4055" s="392" t="n">
        <v>50</v>
      </c>
      <c r="H4055" s="446">
        <f>H4054-G4055</f>
        <v/>
      </c>
      <c r="I4055" s="392" t="n"/>
      <c r="J4055" s="392" t="n"/>
      <c r="K4055" s="392" t="n"/>
      <c r="L4055" s="392" t="n"/>
      <c r="M4055" s="392" t="n"/>
    </row>
    <row r="4056">
      <c r="A4056" s="568" t="n">
        <v>45250</v>
      </c>
      <c r="B4056" s="392" t="n">
        <v>10661</v>
      </c>
      <c r="C4056" s="392" t="n">
        <v>90.5</v>
      </c>
      <c r="D4056" s="392" t="n"/>
      <c r="E4056" s="392" t="n"/>
      <c r="F4056" s="392" t="n"/>
      <c r="G4056" s="392" t="n">
        <v>30</v>
      </c>
      <c r="H4056" s="446">
        <f>H4055-G4056</f>
        <v/>
      </c>
      <c r="I4056" s="392" t="n"/>
      <c r="J4056" s="392" t="n"/>
      <c r="K4056" s="392" t="n"/>
      <c r="L4056" s="392" t="n"/>
      <c r="M4056" s="392" t="n"/>
    </row>
    <row r="4057">
      <c r="A4057" s="568" t="n">
        <v>45252</v>
      </c>
      <c r="B4057" s="392" t="n">
        <v>10663</v>
      </c>
      <c r="C4057" s="392" t="n">
        <v>93</v>
      </c>
      <c r="D4057" s="392" t="n"/>
      <c r="E4057" s="392" t="n"/>
      <c r="F4057" s="392" t="n"/>
      <c r="G4057" s="392" t="n">
        <v>15</v>
      </c>
      <c r="H4057" s="446">
        <f>H4056-G4057</f>
        <v/>
      </c>
      <c r="I4057" s="392" t="n"/>
      <c r="J4057" s="392" t="n"/>
      <c r="K4057" s="392" t="n"/>
      <c r="L4057" s="392" t="n"/>
      <c r="M4057" s="392" t="n"/>
    </row>
    <row r="4058">
      <c r="A4058" s="568" t="n">
        <v>45252</v>
      </c>
      <c r="B4058" s="392" t="n">
        <v>10667</v>
      </c>
      <c r="C4058" s="392" t="n">
        <v>90</v>
      </c>
      <c r="D4058" s="392" t="n"/>
      <c r="E4058" s="392" t="n"/>
      <c r="F4058" s="392" t="n"/>
      <c r="G4058" s="392" t="n">
        <v>20</v>
      </c>
      <c r="H4058" s="446">
        <f>H4057-G4058</f>
        <v/>
      </c>
      <c r="I4058" s="392" t="n"/>
      <c r="J4058" s="392" t="n"/>
      <c r="K4058" s="392" t="n"/>
      <c r="L4058" s="392" t="n"/>
      <c r="M4058" s="392" t="n"/>
    </row>
    <row r="4059">
      <c r="A4059" s="568" t="n">
        <v>45257</v>
      </c>
      <c r="B4059" s="392" t="n">
        <v>10672</v>
      </c>
      <c r="C4059" s="392" t="n">
        <v>85</v>
      </c>
      <c r="D4059" s="392" t="n"/>
      <c r="E4059" s="392" t="n"/>
      <c r="F4059" s="392" t="n"/>
      <c r="G4059" s="392" t="n">
        <v>30</v>
      </c>
      <c r="H4059" s="446">
        <f>H4058-G4059</f>
        <v/>
      </c>
      <c r="I4059" s="392" t="n"/>
      <c r="J4059" s="392" t="n"/>
      <c r="K4059" s="392" t="n"/>
      <c r="L4059" s="392" t="n"/>
      <c r="M4059" s="392" t="n"/>
    </row>
    <row r="4060">
      <c r="A4060" s="568" t="n">
        <v>45257</v>
      </c>
      <c r="B4060" s="392" t="n">
        <v>10673</v>
      </c>
      <c r="C4060" s="392" t="n">
        <v>94</v>
      </c>
      <c r="D4060" s="392" t="n"/>
      <c r="E4060" s="392" t="n"/>
      <c r="F4060" s="392" t="n"/>
      <c r="G4060" s="392" t="n">
        <v>30</v>
      </c>
      <c r="H4060" s="446">
        <f>H4059-G4060</f>
        <v/>
      </c>
      <c r="I4060" s="392" t="n"/>
      <c r="J4060" s="392" t="n"/>
      <c r="K4060" s="392" t="n"/>
      <c r="L4060" s="392" t="n"/>
      <c r="M4060" s="392" t="n"/>
    </row>
    <row r="4061">
      <c r="A4061" s="568" t="n">
        <v>45258</v>
      </c>
      <c r="B4061" s="392" t="n">
        <v>10675</v>
      </c>
      <c r="C4061" s="392" t="n">
        <v>94</v>
      </c>
      <c r="D4061" s="392" t="n"/>
      <c r="E4061" s="392" t="n"/>
      <c r="F4061" s="392" t="n"/>
      <c r="G4061" s="392" t="n">
        <v>20</v>
      </c>
      <c r="H4061" s="446">
        <f>H4060-G4061</f>
        <v/>
      </c>
      <c r="I4061" s="392" t="n"/>
      <c r="J4061" s="392" t="n"/>
      <c r="K4061" s="392" t="n"/>
      <c r="L4061" s="392" t="n"/>
      <c r="M4061" s="392" t="n"/>
    </row>
    <row r="4062">
      <c r="A4062" s="568" t="n">
        <v>45258</v>
      </c>
      <c r="B4062" s="392" t="n">
        <v>10677</v>
      </c>
      <c r="C4062" s="392" t="n">
        <v>95</v>
      </c>
      <c r="D4062" s="392" t="n"/>
      <c r="E4062" s="392" t="n"/>
      <c r="F4062" s="392" t="n"/>
      <c r="G4062" s="392" t="n">
        <v>20</v>
      </c>
      <c r="H4062" s="446">
        <f>H4061-G4062</f>
        <v/>
      </c>
      <c r="I4062" s="392" t="n"/>
      <c r="J4062" s="392" t="n"/>
      <c r="K4062" s="392" t="n"/>
      <c r="L4062" s="392" t="n"/>
      <c r="M4062" s="392" t="n"/>
    </row>
    <row r="4063">
      <c r="A4063" s="568" t="n">
        <v>45258</v>
      </c>
      <c r="B4063" s="392" t="n">
        <v>10678</v>
      </c>
      <c r="C4063" s="392" t="n">
        <v>89</v>
      </c>
      <c r="D4063" s="392" t="n"/>
      <c r="E4063" s="392" t="n"/>
      <c r="F4063" s="392" t="n"/>
      <c r="G4063" s="392" t="n">
        <v>30</v>
      </c>
      <c r="H4063" s="446">
        <f>H4062-G4063</f>
        <v/>
      </c>
      <c r="I4063" s="392" t="n"/>
      <c r="J4063" s="392" t="n"/>
      <c r="K4063" s="392" t="n"/>
      <c r="L4063" s="392" t="n"/>
      <c r="M4063" s="392" t="n"/>
    </row>
    <row r="4064">
      <c r="A4064" s="568" t="n">
        <v>45258</v>
      </c>
      <c r="B4064" s="392" t="n">
        <v>10680</v>
      </c>
      <c r="C4064" s="392" t="n">
        <v>89</v>
      </c>
      <c r="D4064" s="392" t="n"/>
      <c r="E4064" s="392" t="n"/>
      <c r="F4064" s="392" t="n"/>
      <c r="G4064" s="392" t="n">
        <v>30</v>
      </c>
      <c r="H4064" s="446">
        <f>H4063-G4064</f>
        <v/>
      </c>
      <c r="I4064" s="392" t="n"/>
      <c r="J4064" s="392" t="n"/>
      <c r="K4064" s="392" t="n"/>
      <c r="L4064" s="392" t="n"/>
      <c r="M4064" s="392" t="n"/>
    </row>
    <row r="4065">
      <c r="A4065" s="568" t="n">
        <v>45258</v>
      </c>
      <c r="B4065" s="392" t="n">
        <v>10682</v>
      </c>
      <c r="C4065" s="392" t="n">
        <v>95</v>
      </c>
      <c r="D4065" s="392" t="n"/>
      <c r="E4065" s="392" t="n"/>
      <c r="F4065" s="392" t="n"/>
      <c r="G4065" s="392" t="n">
        <v>20</v>
      </c>
      <c r="H4065" s="446">
        <f>H4064-G4065</f>
        <v/>
      </c>
      <c r="I4065" s="392" t="n"/>
      <c r="J4065" s="392" t="n"/>
      <c r="K4065" s="392" t="n"/>
      <c r="L4065" s="392" t="n"/>
      <c r="M4065" s="392" t="n"/>
    </row>
    <row r="4066">
      <c r="A4066" s="568" t="n">
        <v>45258</v>
      </c>
      <c r="B4066" s="392" t="n">
        <v>10684</v>
      </c>
      <c r="C4066" s="392" t="n">
        <v>90</v>
      </c>
      <c r="D4066" s="392" t="n"/>
      <c r="E4066" s="392" t="n"/>
      <c r="F4066" s="392" t="n"/>
      <c r="G4066" s="392" t="n">
        <v>30</v>
      </c>
      <c r="H4066" s="446">
        <f>H4065-G4066</f>
        <v/>
      </c>
      <c r="I4066" s="392" t="n"/>
      <c r="J4066" s="392" t="n"/>
      <c r="K4066" s="392" t="n"/>
      <c r="L4066" s="392" t="n"/>
      <c r="M4066" s="392" t="n"/>
    </row>
    <row r="4067">
      <c r="A4067" s="568" t="n">
        <v>45258</v>
      </c>
      <c r="B4067" s="392" t="n">
        <v>10685</v>
      </c>
      <c r="C4067" s="392" t="n">
        <v>89</v>
      </c>
      <c r="D4067" s="392" t="n"/>
      <c r="E4067" s="392" t="n"/>
      <c r="F4067" s="392" t="n"/>
      <c r="G4067" s="392" t="n">
        <v>30</v>
      </c>
      <c r="H4067" s="446">
        <f>H4066-G4067</f>
        <v/>
      </c>
      <c r="I4067" s="392" t="n"/>
      <c r="J4067" s="392" t="n"/>
      <c r="K4067" s="392" t="n"/>
      <c r="L4067" s="392" t="n"/>
      <c r="M4067" s="392" t="n"/>
    </row>
    <row r="4068">
      <c r="A4068" s="568" t="n">
        <v>45259</v>
      </c>
      <c r="B4068" s="392" t="n">
        <v>10690</v>
      </c>
      <c r="C4068" s="392" t="n">
        <v>80</v>
      </c>
      <c r="D4068" s="392" t="n"/>
      <c r="E4068" s="392" t="n"/>
      <c r="F4068" s="392" t="n"/>
      <c r="G4068" s="392" t="n">
        <v>300</v>
      </c>
      <c r="H4068" s="446">
        <f>H4067-G4068</f>
        <v/>
      </c>
      <c r="I4068" s="392" t="n"/>
      <c r="J4068" s="392" t="n"/>
      <c r="K4068" s="392" t="n"/>
      <c r="L4068" s="392" t="n"/>
      <c r="M4068" s="392" t="n"/>
    </row>
    <row r="4069">
      <c r="A4069" s="304" t="n">
        <v>45260</v>
      </c>
      <c r="B4069" s="401" t="n">
        <v>36325</v>
      </c>
      <c r="C4069" s="401" t="n">
        <v>85</v>
      </c>
      <c r="D4069" s="401" t="n"/>
      <c r="E4069" s="401" t="n"/>
      <c r="F4069" s="401" t="n">
        <v>1120</v>
      </c>
      <c r="G4069" s="401" t="n"/>
      <c r="H4069" s="322" t="n">
        <v>3325</v>
      </c>
      <c r="I4069" s="392" t="n"/>
      <c r="J4069" s="392" t="n"/>
      <c r="K4069" s="392" t="n"/>
      <c r="L4069" s="392" t="n"/>
      <c r="M4069" s="392" t="n"/>
    </row>
    <row r="4070">
      <c r="A4070" s="414" t="n"/>
      <c r="H4070" s="390" t="n"/>
    </row>
    <row r="4071">
      <c r="A4071" s="414" t="n"/>
      <c r="H4071" s="390" t="n"/>
    </row>
    <row r="4072">
      <c r="A4072" s="414" t="n"/>
      <c r="H4072" s="390" t="n"/>
    </row>
    <row r="4073">
      <c r="A4073" s="414" t="n"/>
      <c r="H4073" s="390" t="n"/>
    </row>
    <row r="4074">
      <c r="A4074" s="414" t="n"/>
      <c r="H4074" s="390" t="n"/>
    </row>
    <row r="4075" ht="15.75" customHeight="1" s="436" thickBot="1">
      <c r="A4075" s="414" t="n"/>
      <c r="H4075" s="390" t="n"/>
    </row>
    <row r="4076" ht="32.25" customHeight="1" s="436" thickBot="1">
      <c r="A4076" s="735" t="inlineStr">
        <is>
          <t>Dezembro</t>
        </is>
      </c>
      <c r="B4076" s="697" t="n"/>
      <c r="C4076" s="697" t="n"/>
      <c r="D4076" s="697" t="n"/>
      <c r="E4076" s="697" t="n"/>
      <c r="F4076" s="697" t="n"/>
      <c r="G4076" s="697" t="n"/>
      <c r="H4076" s="697" t="n"/>
      <c r="I4076" s="697" t="n"/>
      <c r="J4076" s="697" t="n"/>
      <c r="K4076" s="697" t="n"/>
      <c r="L4076" s="697" t="n"/>
      <c r="M4076" s="698" t="n"/>
    </row>
    <row r="4077" ht="27" customHeight="1" s="436" thickBot="1">
      <c r="A4077" s="720" t="inlineStr">
        <is>
          <t xml:space="preserve"> FARINHA DE TRIGO TIPO: 1 - 25 KG</t>
        </is>
      </c>
      <c r="B4077" s="697" t="n"/>
      <c r="C4077" s="697" t="n"/>
      <c r="D4077" s="697" t="n"/>
      <c r="E4077" s="697" t="n"/>
      <c r="F4077" s="697" t="n"/>
      <c r="G4077" s="697" t="n"/>
      <c r="H4077" s="697" t="n"/>
      <c r="I4077" s="697" t="n"/>
      <c r="J4077" s="697" t="n"/>
      <c r="K4077" s="697" t="n"/>
      <c r="L4077" s="697" t="n"/>
      <c r="M4077" s="698" t="n"/>
    </row>
    <row r="4078">
      <c r="A4078" s="643" t="inlineStr">
        <is>
          <t>DATA</t>
        </is>
      </c>
      <c r="B4078" s="633" t="inlineStr">
        <is>
          <t>N.F.</t>
        </is>
      </c>
      <c r="C4078" s="633" t="inlineStr">
        <is>
          <t>TIPO</t>
        </is>
      </c>
      <c r="D4078" s="670" t="inlineStr">
        <is>
          <t>PREÇO UNITÁRIO</t>
        </is>
      </c>
      <c r="E4078" s="701" t="n"/>
      <c r="F4078" s="633" t="inlineStr">
        <is>
          <t>QUANTIDADE / KG</t>
        </is>
      </c>
      <c r="H4078" s="701" t="n"/>
      <c r="I4078" s="632" t="inlineStr">
        <is>
          <t>PREÇO</t>
        </is>
      </c>
      <c r="J4078" s="632" t="inlineStr">
        <is>
          <t>VALORES</t>
        </is>
      </c>
      <c r="L4078" s="701" t="n"/>
      <c r="M4078" s="649" t="n"/>
    </row>
    <row r="4079" ht="15.75" customHeight="1" s="436" thickBot="1">
      <c r="A4079" s="703" t="n"/>
      <c r="B4079" s="704" t="n"/>
      <c r="C4079" s="704" t="n"/>
      <c r="D4079" s="703" t="n"/>
      <c r="E4079" s="701" t="n"/>
      <c r="F4079" s="705" t="n"/>
      <c r="G4079" s="706" t="n"/>
      <c r="H4079" s="707" t="n"/>
      <c r="I4079" s="704" t="n"/>
      <c r="J4079" s="703" t="n"/>
      <c r="L4079" s="701" t="n"/>
      <c r="M4079" s="704" t="n"/>
    </row>
    <row r="4080" ht="15.75" customHeight="1" s="436" thickBot="1">
      <c r="A4080" s="703" t="n"/>
      <c r="B4080" s="704" t="n"/>
      <c r="C4080" s="704" t="n"/>
      <c r="D4080" s="705" t="n"/>
      <c r="E4080" s="707" t="n"/>
      <c r="F4080" s="3" t="inlineStr">
        <is>
          <t>ENTRADA</t>
        </is>
      </c>
      <c r="G4080" s="3" t="inlineStr">
        <is>
          <t>SAÍDA</t>
        </is>
      </c>
      <c r="H4080" s="640" t="n"/>
      <c r="I4080" s="633" t="inlineStr">
        <is>
          <t>MÉDIO</t>
        </is>
      </c>
      <c r="J4080" s="652" t="inlineStr">
        <is>
          <t>SALDO EM 30/11/2017</t>
        </is>
      </c>
      <c r="K4080" s="706" t="n"/>
      <c r="L4080" s="17" t="n"/>
      <c r="M4080" s="704" t="n"/>
    </row>
    <row r="4081" ht="18" customHeight="1" s="436" thickBot="1">
      <c r="A4081" s="705" t="n"/>
      <c r="B4081" s="695" t="n"/>
      <c r="C4081" s="695" t="n"/>
      <c r="D4081" s="3" t="inlineStr">
        <is>
          <t>C/ICMS</t>
        </is>
      </c>
      <c r="E4081" s="3" t="inlineStr">
        <is>
          <t>S/ICMS</t>
        </is>
      </c>
      <c r="F4081" s="695" t="n"/>
      <c r="G4081" s="695" t="n"/>
      <c r="H4081" s="84" t="inlineStr">
        <is>
          <t>Saldo em 30/11/2022</t>
        </is>
      </c>
      <c r="I4081" s="695" t="n"/>
      <c r="J4081" s="645" t="inlineStr">
        <is>
          <t>ENTRADA</t>
        </is>
      </c>
      <c r="K4081" s="633" t="inlineStr">
        <is>
          <t>SAÍDA / CMV</t>
        </is>
      </c>
      <c r="L4081" s="643" t="inlineStr">
        <is>
          <t>SALDO</t>
        </is>
      </c>
      <c r="M4081" s="392" t="n"/>
    </row>
    <row r="4082">
      <c r="A4082" s="392" t="n"/>
      <c r="B4082" s="392" t="n"/>
      <c r="C4082" s="392" t="n"/>
      <c r="D4082" s="392" t="n"/>
      <c r="E4082" s="392" t="n"/>
      <c r="F4082" s="392" t="n"/>
      <c r="G4082" s="392" t="n"/>
      <c r="H4082" s="446" t="n">
        <v>3325</v>
      </c>
      <c r="I4082" s="392" t="n"/>
      <c r="J4082" s="392" t="n"/>
      <c r="K4082" s="392" t="n"/>
      <c r="L4082" s="392" t="n"/>
      <c r="M4082" s="392" t="n"/>
    </row>
    <row r="4083">
      <c r="A4083" s="568" t="n">
        <v>45264</v>
      </c>
      <c r="B4083" s="392" t="n">
        <v>10693</v>
      </c>
      <c r="C4083" s="392" t="n">
        <v>91.3</v>
      </c>
      <c r="D4083" s="392" t="n"/>
      <c r="E4083" s="392" t="n"/>
      <c r="F4083" s="392" t="n"/>
      <c r="G4083" s="392" t="n">
        <v>130</v>
      </c>
      <c r="H4083" s="446">
        <f>H4082-G4083</f>
        <v/>
      </c>
      <c r="I4083" s="392" t="n"/>
      <c r="J4083" s="392" t="n"/>
      <c r="K4083" s="392" t="n"/>
      <c r="L4083" s="392" t="n"/>
      <c r="M4083" s="392" t="n"/>
    </row>
    <row r="4084">
      <c r="A4084" s="568" t="n">
        <v>45264</v>
      </c>
      <c r="B4084" s="392" t="n">
        <v>10695</v>
      </c>
      <c r="C4084" s="392" t="n">
        <v>89</v>
      </c>
      <c r="D4084" s="392" t="n"/>
      <c r="E4084" s="392" t="n"/>
      <c r="F4084" s="392" t="n"/>
      <c r="G4084" s="392" t="n">
        <v>40</v>
      </c>
      <c r="H4084" s="446">
        <f>H4083-G4084</f>
        <v/>
      </c>
      <c r="I4084" s="392" t="n"/>
      <c r="J4084" s="392" t="n"/>
      <c r="K4084" s="392" t="n"/>
      <c r="L4084" s="392" t="n"/>
      <c r="M4084" s="392" t="n"/>
    </row>
    <row r="4085">
      <c r="A4085" s="568" t="n">
        <v>45266</v>
      </c>
      <c r="B4085" s="392" t="n">
        <v>10698</v>
      </c>
      <c r="C4085" s="392" t="n">
        <v>89</v>
      </c>
      <c r="D4085" s="392" t="n"/>
      <c r="E4085" s="392" t="n"/>
      <c r="F4085" s="392" t="n"/>
      <c r="G4085" s="392" t="n">
        <v>20</v>
      </c>
      <c r="H4085" s="446">
        <f>H4084-G4085</f>
        <v/>
      </c>
      <c r="I4085" s="392" t="n"/>
      <c r="J4085" s="392" t="n"/>
      <c r="K4085" s="392" t="n"/>
      <c r="L4085" s="392" t="n"/>
      <c r="M4085" s="392" t="n"/>
    </row>
    <row r="4086">
      <c r="A4086" s="568" t="n">
        <v>45266</v>
      </c>
      <c r="B4086" s="392" t="n">
        <v>10700</v>
      </c>
      <c r="C4086" s="392" t="n">
        <v>84</v>
      </c>
      <c r="D4086" s="392" t="n"/>
      <c r="E4086" s="392" t="n"/>
      <c r="F4086" s="392" t="n"/>
      <c r="G4086" s="392" t="n">
        <v>90</v>
      </c>
      <c r="H4086" s="446">
        <f>H4085-G4086</f>
        <v/>
      </c>
      <c r="I4086" s="392" t="n"/>
      <c r="J4086" s="392" t="n"/>
      <c r="K4086" s="392" t="n"/>
      <c r="L4086" s="392" t="n"/>
      <c r="M4086" s="392" t="n"/>
    </row>
    <row r="4087">
      <c r="A4087" s="568" t="n">
        <v>45266</v>
      </c>
      <c r="B4087" s="392" t="n">
        <v>10707</v>
      </c>
      <c r="C4087" s="392" t="n">
        <v>95</v>
      </c>
      <c r="D4087" s="392" t="n"/>
      <c r="E4087" s="392" t="n"/>
      <c r="F4087" s="392" t="n"/>
      <c r="G4087" s="392" t="n">
        <v>20</v>
      </c>
      <c r="H4087" s="446">
        <f>H4086-G4087</f>
        <v/>
      </c>
      <c r="I4087" s="392" t="n"/>
      <c r="J4087" s="392" t="n"/>
      <c r="K4087" s="392" t="n"/>
      <c r="L4087" s="392" t="n"/>
      <c r="M4087" s="392" t="n"/>
    </row>
    <row r="4088">
      <c r="A4088" s="568" t="n">
        <v>45267</v>
      </c>
      <c r="B4088" s="392" t="n">
        <v>10709</v>
      </c>
      <c r="C4088" s="392" t="n">
        <v>94</v>
      </c>
      <c r="D4088" s="392" t="n"/>
      <c r="E4088" s="392" t="n"/>
      <c r="F4088" s="392" t="n"/>
      <c r="G4088" s="392" t="n">
        <v>60</v>
      </c>
      <c r="H4088" s="446">
        <f>H4087-G4088</f>
        <v/>
      </c>
      <c r="I4088" s="392" t="n"/>
      <c r="J4088" s="392" t="n"/>
      <c r="K4088" s="392" t="n"/>
      <c r="L4088" s="392" t="n"/>
      <c r="M4088" s="392" t="n"/>
    </row>
    <row r="4089">
      <c r="A4089" s="568" t="n">
        <v>45271</v>
      </c>
      <c r="B4089" s="392" t="n">
        <v>10711</v>
      </c>
      <c r="C4089" s="392" t="n">
        <v>85</v>
      </c>
      <c r="D4089" s="392" t="n"/>
      <c r="E4089" s="392" t="n"/>
      <c r="F4089" s="392" t="n"/>
      <c r="G4089" s="392" t="n">
        <v>100</v>
      </c>
      <c r="H4089" s="446">
        <f>H4088-G4089</f>
        <v/>
      </c>
      <c r="I4089" s="392" t="n"/>
      <c r="J4089" s="392" t="n"/>
      <c r="K4089" s="392" t="n"/>
      <c r="L4089" s="392" t="n"/>
      <c r="M4089" s="392" t="n"/>
    </row>
    <row r="4090">
      <c r="A4090" s="568" t="n">
        <v>45271</v>
      </c>
      <c r="B4090" s="392" t="n">
        <v>10711</v>
      </c>
      <c r="C4090" s="392" t="n">
        <v>82</v>
      </c>
      <c r="D4090" s="392" t="n"/>
      <c r="E4090" s="392" t="n"/>
      <c r="F4090" s="392" t="n"/>
      <c r="G4090" s="392" t="n">
        <v>50</v>
      </c>
      <c r="H4090" s="446">
        <f>H4089-G4090</f>
        <v/>
      </c>
      <c r="I4090" s="392" t="n"/>
      <c r="J4090" s="392" t="n"/>
      <c r="K4090" s="392" t="n"/>
      <c r="L4090" s="392" t="n"/>
      <c r="M4090" s="392" t="n"/>
    </row>
    <row r="4091">
      <c r="A4091" s="568" t="n">
        <v>45271</v>
      </c>
      <c r="B4091" s="392" t="n">
        <v>10714</v>
      </c>
      <c r="C4091" s="392" t="n">
        <v>90.2</v>
      </c>
      <c r="D4091" s="392" t="n"/>
      <c r="E4091" s="392" t="n"/>
      <c r="F4091" s="392" t="n"/>
      <c r="G4091" s="392" t="n">
        <v>50</v>
      </c>
      <c r="H4091" s="446">
        <f>H4090-G4091</f>
        <v/>
      </c>
      <c r="I4091" s="392" t="n"/>
      <c r="J4091" s="392" t="n"/>
      <c r="K4091" s="392" t="n"/>
      <c r="L4091" s="392" t="n"/>
      <c r="M4091" s="392" t="n"/>
    </row>
    <row r="4092">
      <c r="A4092" s="568" t="n">
        <v>45271</v>
      </c>
      <c r="B4092" s="392" t="n">
        <v>10716</v>
      </c>
      <c r="C4092" s="392" t="n">
        <v>94</v>
      </c>
      <c r="D4092" s="392" t="n"/>
      <c r="E4092" s="392" t="n"/>
      <c r="F4092" s="392" t="n"/>
      <c r="G4092" s="392" t="n">
        <v>50</v>
      </c>
      <c r="H4092" s="446">
        <f>H4091-G4092</f>
        <v/>
      </c>
      <c r="I4092" s="392" t="n"/>
      <c r="J4092" s="392" t="n"/>
      <c r="K4092" s="392" t="n"/>
      <c r="L4092" s="392" t="n"/>
      <c r="M4092" s="392" t="n"/>
    </row>
    <row r="4093">
      <c r="A4093" s="568" t="n">
        <v>45272</v>
      </c>
      <c r="B4093" s="392" t="n">
        <v>10718</v>
      </c>
      <c r="C4093" s="392" t="n">
        <v>87</v>
      </c>
      <c r="D4093" s="392" t="n"/>
      <c r="E4093" s="392" t="n"/>
      <c r="F4093" s="392" t="n"/>
      <c r="G4093" s="392" t="n">
        <v>60</v>
      </c>
      <c r="H4093" s="446">
        <f>H4092-G4093</f>
        <v/>
      </c>
      <c r="I4093" s="392" t="n"/>
      <c r="J4093" s="392" t="n"/>
      <c r="K4093" s="392" t="n"/>
      <c r="L4093" s="392" t="n"/>
      <c r="M4093" s="392" t="n"/>
    </row>
    <row r="4094">
      <c r="A4094" s="568" t="n">
        <v>45272</v>
      </c>
      <c r="B4094" s="392" t="n">
        <v>10720</v>
      </c>
      <c r="C4094" s="392" t="n">
        <v>82</v>
      </c>
      <c r="D4094" s="392" t="n"/>
      <c r="E4094" s="392" t="n"/>
      <c r="F4094" s="392" t="n"/>
      <c r="G4094" s="392" t="n">
        <v>20</v>
      </c>
      <c r="H4094" s="446">
        <f>H4093-G4094</f>
        <v/>
      </c>
      <c r="I4094" s="392" t="n"/>
      <c r="J4094" s="392" t="n"/>
      <c r="K4094" s="392" t="n"/>
      <c r="L4094" s="392" t="n"/>
      <c r="M4094" s="392" t="n"/>
    </row>
    <row r="4095">
      <c r="A4095" s="568" t="n">
        <v>45272</v>
      </c>
      <c r="B4095" s="392" t="n">
        <v>10721</v>
      </c>
      <c r="C4095" s="392" t="n">
        <v>89</v>
      </c>
      <c r="D4095" s="392" t="n"/>
      <c r="E4095" s="392" t="n"/>
      <c r="F4095" s="392" t="n"/>
      <c r="G4095" s="392" t="n">
        <v>30</v>
      </c>
      <c r="H4095" s="446">
        <f>H4094-G4095</f>
        <v/>
      </c>
      <c r="I4095" s="392" t="n"/>
      <c r="J4095" s="392" t="n"/>
      <c r="K4095" s="392" t="n"/>
      <c r="L4095" s="392" t="n"/>
      <c r="M4095" s="392" t="n"/>
    </row>
    <row r="4096">
      <c r="A4096" s="568" t="n">
        <v>45272</v>
      </c>
      <c r="B4096" s="392" t="n">
        <v>10723</v>
      </c>
      <c r="C4096" s="392" t="n">
        <v>92</v>
      </c>
      <c r="D4096" s="392" t="n"/>
      <c r="E4096" s="392" t="n"/>
      <c r="F4096" s="392" t="n"/>
      <c r="G4096" s="392" t="n">
        <v>70</v>
      </c>
      <c r="H4096" s="446">
        <f>H4095-G4096</f>
        <v/>
      </c>
      <c r="I4096" s="392" t="n"/>
      <c r="J4096" s="392" t="n"/>
      <c r="K4096" s="392" t="n"/>
      <c r="L4096" s="392" t="n"/>
      <c r="M4096" s="392" t="n"/>
    </row>
    <row r="4097">
      <c r="A4097" s="568" t="n">
        <v>45272</v>
      </c>
      <c r="B4097" s="392" t="n">
        <v>10724</v>
      </c>
      <c r="C4097" s="392" t="n">
        <v>92</v>
      </c>
      <c r="D4097" s="392" t="n"/>
      <c r="E4097" s="392" t="n"/>
      <c r="F4097" s="392" t="n"/>
      <c r="G4097" s="392" t="n">
        <v>50</v>
      </c>
      <c r="H4097" s="446">
        <f>H4096-G4097</f>
        <v/>
      </c>
      <c r="I4097" s="392" t="n"/>
      <c r="J4097" s="392" t="n"/>
      <c r="K4097" s="392" t="n"/>
      <c r="L4097" s="392" t="n"/>
      <c r="M4097" s="392" t="n"/>
    </row>
    <row r="4098">
      <c r="A4098" s="568" t="n">
        <v>45272</v>
      </c>
      <c r="B4098" s="392" t="n">
        <v>10725</v>
      </c>
      <c r="C4098" s="392" t="n">
        <v>89</v>
      </c>
      <c r="D4098" s="392" t="n"/>
      <c r="E4098" s="392" t="n"/>
      <c r="F4098" s="392" t="n"/>
      <c r="G4098" s="392" t="n">
        <v>20</v>
      </c>
      <c r="H4098" s="446">
        <f>H4097-G4098</f>
        <v/>
      </c>
      <c r="I4098" s="392" t="n"/>
      <c r="J4098" s="392" t="n"/>
      <c r="K4098" s="392" t="n"/>
      <c r="L4098" s="392" t="n"/>
      <c r="M4098" s="392" t="n"/>
    </row>
    <row r="4099">
      <c r="A4099" s="568" t="n">
        <v>45274</v>
      </c>
      <c r="B4099" s="392" t="n">
        <v>10727</v>
      </c>
      <c r="C4099" s="392" t="n">
        <v>92</v>
      </c>
      <c r="D4099" s="392" t="n"/>
      <c r="E4099" s="392" t="n"/>
      <c r="F4099" s="392" t="n"/>
      <c r="G4099" s="392" t="n">
        <v>60</v>
      </c>
      <c r="H4099" s="446">
        <f>H4098-G4099</f>
        <v/>
      </c>
      <c r="I4099" s="392" t="n"/>
      <c r="J4099" s="392" t="n"/>
      <c r="K4099" s="392" t="n"/>
      <c r="L4099" s="392" t="n"/>
      <c r="M4099" s="392" t="n"/>
    </row>
    <row r="4100">
      <c r="A4100" s="568" t="n">
        <v>45274</v>
      </c>
      <c r="B4100" s="392" t="n">
        <v>10728</v>
      </c>
      <c r="C4100" s="392" t="n">
        <v>89</v>
      </c>
      <c r="D4100" s="392" t="n"/>
      <c r="E4100" s="392" t="n"/>
      <c r="F4100" s="392" t="n"/>
      <c r="G4100" s="392" t="n">
        <v>30</v>
      </c>
      <c r="H4100" s="446">
        <f>H4099-G4100</f>
        <v/>
      </c>
      <c r="I4100" s="392" t="n"/>
      <c r="J4100" s="392" t="n"/>
      <c r="K4100" s="392" t="n"/>
      <c r="L4100" s="392" t="n"/>
      <c r="M4100" s="392" t="n"/>
    </row>
    <row r="4101">
      <c r="A4101" s="568" t="n">
        <v>45274</v>
      </c>
      <c r="B4101" s="392" t="n">
        <v>10729</v>
      </c>
      <c r="C4101" s="392" t="n">
        <v>85</v>
      </c>
      <c r="D4101" s="392" t="n"/>
      <c r="E4101" s="392" t="n"/>
      <c r="F4101" s="392" t="n"/>
      <c r="G4101" s="392" t="n">
        <v>10</v>
      </c>
      <c r="H4101" s="446">
        <f>H4100-G4101</f>
        <v/>
      </c>
      <c r="I4101" s="392" t="n"/>
      <c r="J4101" s="392" t="n"/>
      <c r="K4101" s="392" t="n"/>
      <c r="L4101" s="392" t="n"/>
      <c r="M4101" s="392" t="n"/>
    </row>
    <row r="4102">
      <c r="A4102" s="568" t="n">
        <v>45274</v>
      </c>
      <c r="B4102" s="392" t="n">
        <v>10730</v>
      </c>
      <c r="C4102" s="392" t="n">
        <v>89</v>
      </c>
      <c r="D4102" s="392" t="n"/>
      <c r="E4102" s="392" t="n"/>
      <c r="F4102" s="392" t="n"/>
      <c r="G4102" s="392" t="n">
        <v>30</v>
      </c>
      <c r="H4102" s="446">
        <f>H4101-G4102</f>
        <v/>
      </c>
      <c r="I4102" s="392" t="n"/>
      <c r="J4102" s="392" t="n"/>
      <c r="K4102" s="392" t="n"/>
      <c r="L4102" s="392" t="n"/>
      <c r="M4102" s="392" t="n"/>
    </row>
    <row r="4103">
      <c r="A4103" s="568" t="n">
        <v>45274</v>
      </c>
      <c r="B4103" s="392" t="n">
        <v>10731</v>
      </c>
      <c r="C4103" s="392" t="n">
        <v>89</v>
      </c>
      <c r="D4103" s="392" t="n"/>
      <c r="E4103" s="392" t="n"/>
      <c r="F4103" s="392" t="n"/>
      <c r="G4103" s="392" t="n">
        <v>20</v>
      </c>
      <c r="H4103" s="446">
        <f>H4102-G4103</f>
        <v/>
      </c>
      <c r="I4103" s="392" t="n"/>
      <c r="J4103" s="392" t="n"/>
      <c r="K4103" s="392" t="n"/>
      <c r="L4103" s="392" t="n"/>
      <c r="M4103" s="392" t="n"/>
    </row>
    <row r="4104">
      <c r="A4104" s="568" t="n">
        <v>45274</v>
      </c>
      <c r="B4104" s="392" t="n">
        <v>10733</v>
      </c>
      <c r="C4104" s="392" t="n">
        <v>85</v>
      </c>
      <c r="D4104" s="392" t="n"/>
      <c r="E4104" s="392" t="n"/>
      <c r="F4104" s="392" t="n"/>
      <c r="G4104" s="392" t="n">
        <v>35</v>
      </c>
      <c r="H4104" s="446">
        <f>H4103-G4104</f>
        <v/>
      </c>
      <c r="I4104" s="392" t="n"/>
      <c r="J4104" s="392" t="n"/>
      <c r="K4104" s="392" t="n"/>
      <c r="L4104" s="392" t="n"/>
      <c r="M4104" s="392" t="n"/>
    </row>
    <row r="4105">
      <c r="A4105" s="568" t="n">
        <v>45274</v>
      </c>
      <c r="B4105" s="392" t="n">
        <v>10734</v>
      </c>
      <c r="C4105" s="392" t="n">
        <v>85</v>
      </c>
      <c r="D4105" s="392" t="n"/>
      <c r="E4105" s="392" t="n"/>
      <c r="F4105" s="392" t="n"/>
      <c r="G4105" s="392" t="n">
        <v>10</v>
      </c>
      <c r="H4105" s="446">
        <f>H4104-G4105</f>
        <v/>
      </c>
      <c r="I4105" s="392" t="n"/>
      <c r="J4105" s="392" t="n"/>
      <c r="K4105" s="392" t="n"/>
      <c r="L4105" s="392" t="n"/>
      <c r="M4105" s="392" t="n"/>
    </row>
    <row r="4106">
      <c r="A4106" s="568" t="n">
        <v>45274</v>
      </c>
      <c r="B4106" s="392" t="n">
        <v>10735</v>
      </c>
      <c r="C4106" s="392" t="n">
        <v>84</v>
      </c>
      <c r="D4106" s="392" t="n"/>
      <c r="E4106" s="392" t="n"/>
      <c r="F4106" s="392" t="n"/>
      <c r="G4106" s="392" t="n">
        <v>60</v>
      </c>
      <c r="H4106" s="446">
        <f>H4105-G4106</f>
        <v/>
      </c>
      <c r="I4106" s="392" t="n"/>
      <c r="J4106" s="392" t="n"/>
      <c r="K4106" s="392" t="n"/>
      <c r="L4106" s="392" t="n"/>
      <c r="M4106" s="392" t="n"/>
    </row>
    <row r="4107">
      <c r="A4107" s="568" t="n">
        <v>45274</v>
      </c>
      <c r="B4107" s="392" t="n">
        <v>10738</v>
      </c>
      <c r="C4107" s="392" t="n">
        <v>79.72</v>
      </c>
      <c r="D4107" s="392" t="n"/>
      <c r="E4107" s="392" t="n"/>
      <c r="F4107" s="392" t="n"/>
      <c r="G4107" s="392" t="n">
        <v>35</v>
      </c>
      <c r="H4107" s="446">
        <f>H4106-G4107</f>
        <v/>
      </c>
      <c r="I4107" s="392" t="n"/>
      <c r="J4107" s="392" t="n"/>
      <c r="K4107" s="392" t="n"/>
      <c r="L4107" s="392" t="n"/>
      <c r="M4107" s="392" t="n"/>
    </row>
    <row r="4108">
      <c r="A4108" s="568" t="n">
        <v>45274</v>
      </c>
      <c r="B4108" s="392" t="n">
        <v>10740</v>
      </c>
      <c r="C4108" s="392" t="n">
        <v>94</v>
      </c>
      <c r="D4108" s="392" t="n"/>
      <c r="E4108" s="392" t="n"/>
      <c r="F4108" s="392" t="n"/>
      <c r="G4108" s="392" t="n">
        <v>20</v>
      </c>
      <c r="H4108" s="446">
        <f>H4107-G4108</f>
        <v/>
      </c>
      <c r="I4108" s="392" t="n"/>
      <c r="J4108" s="392" t="n"/>
      <c r="K4108" s="392" t="n"/>
      <c r="L4108" s="392" t="n"/>
      <c r="M4108" s="392" t="n"/>
    </row>
    <row r="4109">
      <c r="A4109" s="568" t="n">
        <v>45281</v>
      </c>
      <c r="B4109" s="392" t="n">
        <v>10741</v>
      </c>
      <c r="C4109" s="392" t="n">
        <v>70</v>
      </c>
      <c r="D4109" s="392" t="n"/>
      <c r="E4109" s="392" t="n"/>
      <c r="F4109" s="392" t="n"/>
      <c r="G4109" s="392" t="n">
        <v>400</v>
      </c>
      <c r="H4109" s="446">
        <f>H4108-G4109</f>
        <v/>
      </c>
      <c r="I4109" s="392" t="n"/>
      <c r="J4109" s="392" t="n"/>
      <c r="K4109" s="392" t="n"/>
      <c r="L4109" s="392" t="n"/>
      <c r="M4109" s="392" t="n"/>
    </row>
    <row r="4110" ht="15.75" customHeight="1" s="436" thickBot="1">
      <c r="A4110" s="414" t="n"/>
      <c r="H4110" s="390" t="n"/>
    </row>
    <row r="4111" ht="32.25" customHeight="1" s="436" thickBot="1">
      <c r="A4111" s="735" t="inlineStr">
        <is>
          <t>Janeiro</t>
        </is>
      </c>
      <c r="B4111" s="697" t="n"/>
      <c r="C4111" s="697" t="n"/>
      <c r="D4111" s="697" t="n"/>
      <c r="E4111" s="697" t="n"/>
      <c r="F4111" s="697" t="n"/>
      <c r="G4111" s="697" t="n"/>
      <c r="H4111" s="697" t="n"/>
      <c r="I4111" s="697" t="n"/>
      <c r="J4111" s="697" t="n"/>
      <c r="K4111" s="697" t="n"/>
      <c r="L4111" s="697" t="n"/>
      <c r="M4111" s="698" t="n"/>
    </row>
    <row r="4112" ht="27" customHeight="1" s="436" thickBot="1">
      <c r="A4112" s="720" t="inlineStr">
        <is>
          <t xml:space="preserve"> FARINHA DE TRIGO TIPO: 1 - 25 KG</t>
        </is>
      </c>
      <c r="B4112" s="697" t="n"/>
      <c r="C4112" s="697" t="n"/>
      <c r="D4112" s="697" t="n"/>
      <c r="E4112" s="697" t="n"/>
      <c r="F4112" s="697" t="n"/>
      <c r="G4112" s="697" t="n"/>
      <c r="H4112" s="697" t="n"/>
      <c r="I4112" s="697" t="n"/>
      <c r="J4112" s="697" t="n"/>
      <c r="K4112" s="697" t="n"/>
      <c r="L4112" s="697" t="n"/>
      <c r="M4112" s="698" t="n"/>
    </row>
    <row r="4113">
      <c r="A4113" s="643" t="inlineStr">
        <is>
          <t>DATA</t>
        </is>
      </c>
      <c r="B4113" s="633" t="inlineStr">
        <is>
          <t>N.F.</t>
        </is>
      </c>
      <c r="C4113" s="633" t="inlineStr">
        <is>
          <t>TIPO</t>
        </is>
      </c>
      <c r="D4113" s="670" t="inlineStr">
        <is>
          <t>PREÇO UNITÁRIO</t>
        </is>
      </c>
      <c r="E4113" s="701" t="n"/>
      <c r="F4113" s="633" t="inlineStr">
        <is>
          <t>QUANTIDADE / KG</t>
        </is>
      </c>
      <c r="H4113" s="701" t="n"/>
      <c r="I4113" s="632" t="inlineStr">
        <is>
          <t>PREÇO</t>
        </is>
      </c>
      <c r="J4113" s="632" t="inlineStr">
        <is>
          <t>VALORES</t>
        </is>
      </c>
      <c r="L4113" s="701" t="n"/>
      <c r="M4113" s="649" t="n"/>
    </row>
    <row r="4114" ht="15.75" customHeight="1" s="436" thickBot="1">
      <c r="A4114" s="703" t="n"/>
      <c r="B4114" s="704" t="n"/>
      <c r="C4114" s="704" t="n"/>
      <c r="D4114" s="703" t="n"/>
      <c r="E4114" s="701" t="n"/>
      <c r="F4114" s="705" t="n"/>
      <c r="G4114" s="706" t="n"/>
      <c r="H4114" s="707" t="n"/>
      <c r="I4114" s="704" t="n"/>
      <c r="J4114" s="703" t="n"/>
      <c r="L4114" s="701" t="n"/>
      <c r="M4114" s="704" t="n"/>
    </row>
    <row r="4115" ht="15.75" customHeight="1" s="436" thickBot="1">
      <c r="A4115" s="703" t="n"/>
      <c r="B4115" s="704" t="n"/>
      <c r="C4115" s="704" t="n"/>
      <c r="D4115" s="705" t="n"/>
      <c r="E4115" s="707" t="n"/>
      <c r="F4115" s="3" t="inlineStr">
        <is>
          <t>ENTRADA</t>
        </is>
      </c>
      <c r="G4115" s="3" t="inlineStr">
        <is>
          <t>SAÍDA</t>
        </is>
      </c>
      <c r="H4115" s="640" t="n"/>
      <c r="I4115" s="633" t="inlineStr">
        <is>
          <t>MÉDIO</t>
        </is>
      </c>
      <c r="J4115" s="652" t="inlineStr">
        <is>
          <t>SALDO EM 30/11/2017</t>
        </is>
      </c>
      <c r="K4115" s="706" t="n"/>
      <c r="L4115" s="17" t="n"/>
      <c r="M4115" s="704" t="n"/>
    </row>
    <row r="4116" ht="18" customHeight="1" s="436" thickBot="1">
      <c r="A4116" s="705" t="n"/>
      <c r="B4116" s="695" t="n"/>
      <c r="C4116" s="695" t="n"/>
      <c r="D4116" s="3" t="inlineStr">
        <is>
          <t>C/ICMS</t>
        </is>
      </c>
      <c r="E4116" s="3" t="inlineStr">
        <is>
          <t>S/ICMS</t>
        </is>
      </c>
      <c r="F4116" s="695" t="n"/>
      <c r="G4116" s="695" t="n"/>
      <c r="H4116" s="84" t="inlineStr">
        <is>
          <t>Saldo em 31/12/2023</t>
        </is>
      </c>
      <c r="I4116" s="695" t="n"/>
      <c r="J4116" s="645" t="inlineStr">
        <is>
          <t>ENTRADA</t>
        </is>
      </c>
      <c r="K4116" s="633" t="inlineStr">
        <is>
          <t>SAÍDA / CMV</t>
        </is>
      </c>
      <c r="L4116" s="643" t="inlineStr">
        <is>
          <t>SALDO</t>
        </is>
      </c>
      <c r="M4116" s="392" t="n"/>
    </row>
    <row r="4117">
      <c r="A4117" s="392" t="n"/>
      <c r="B4117" s="392" t="n"/>
      <c r="C4117" s="392" t="n"/>
      <c r="D4117" s="392" t="n"/>
      <c r="E4117" s="392" t="n"/>
      <c r="F4117" s="392" t="n"/>
      <c r="G4117" s="392" t="n"/>
      <c r="H4117" s="446" t="n">
        <v>1755</v>
      </c>
      <c r="I4117" s="392" t="n"/>
      <c r="J4117" s="392" t="n"/>
      <c r="K4117" s="392" t="n"/>
      <c r="L4117" s="392" t="n"/>
      <c r="M4117" s="392" t="n"/>
    </row>
    <row r="4118">
      <c r="A4118" s="568" t="n">
        <v>45294</v>
      </c>
      <c r="B4118" s="392" t="n">
        <v>10745</v>
      </c>
      <c r="C4118" s="392" t="n">
        <v>94</v>
      </c>
      <c r="D4118" s="392" t="n"/>
      <c r="E4118" s="392" t="n"/>
      <c r="F4118" s="392" t="n"/>
      <c r="G4118" s="392" t="n">
        <v>20</v>
      </c>
      <c r="H4118" s="446">
        <f>H4117-G4118</f>
        <v/>
      </c>
      <c r="I4118" s="392" t="n"/>
      <c r="J4118" s="392" t="n"/>
      <c r="K4118" s="392" t="n"/>
      <c r="L4118" s="392" t="n"/>
      <c r="M4118" s="392" t="n"/>
    </row>
    <row r="4119">
      <c r="A4119" s="568" t="n">
        <v>45294</v>
      </c>
      <c r="B4119" s="392" t="n">
        <v>10746</v>
      </c>
      <c r="C4119" s="392" t="n">
        <v>89</v>
      </c>
      <c r="D4119" s="392" t="n"/>
      <c r="E4119" s="392" t="n"/>
      <c r="F4119" s="392" t="n"/>
      <c r="G4119" s="392" t="n">
        <v>30</v>
      </c>
      <c r="H4119" s="446">
        <f>H4118-G4119</f>
        <v/>
      </c>
      <c r="I4119" s="392" t="n"/>
      <c r="J4119" s="392" t="n"/>
      <c r="K4119" s="392" t="n"/>
      <c r="L4119" s="392" t="n"/>
      <c r="M4119" s="392" t="n"/>
    </row>
    <row r="4120">
      <c r="A4120" s="568" t="n">
        <v>45294</v>
      </c>
      <c r="B4120" s="392" t="n">
        <v>10747</v>
      </c>
      <c r="C4120" s="392" t="n">
        <v>89</v>
      </c>
      <c r="D4120" s="392" t="n"/>
      <c r="E4120" s="392" t="n"/>
      <c r="F4120" s="392" t="n"/>
      <c r="G4120" s="392" t="n">
        <v>50</v>
      </c>
      <c r="H4120" s="446">
        <f>H4119-G4120</f>
        <v/>
      </c>
      <c r="I4120" s="392" t="n"/>
      <c r="J4120" s="392" t="n"/>
      <c r="K4120" s="392" t="n"/>
      <c r="L4120" s="392" t="n"/>
      <c r="M4120" s="392" t="n"/>
    </row>
    <row r="4121">
      <c r="A4121" s="568" t="n">
        <v>45294</v>
      </c>
      <c r="B4121" s="392" t="n">
        <v>10750</v>
      </c>
      <c r="C4121" s="392" t="n">
        <v>93</v>
      </c>
      <c r="D4121" s="392" t="n"/>
      <c r="E4121" s="392" t="n"/>
      <c r="F4121" s="392" t="n"/>
      <c r="G4121" s="392" t="n">
        <v>40</v>
      </c>
      <c r="H4121" s="446">
        <f>H4120-G4121</f>
        <v/>
      </c>
      <c r="I4121" s="392" t="n"/>
      <c r="J4121" s="392" t="n"/>
      <c r="K4121" s="392" t="n"/>
      <c r="L4121" s="392" t="n"/>
      <c r="M4121" s="392" t="n"/>
    </row>
    <row r="4122">
      <c r="A4122" s="568" t="n">
        <v>45294</v>
      </c>
      <c r="B4122" s="392" t="n">
        <v>10752</v>
      </c>
      <c r="C4122" s="392" t="n">
        <v>90.8</v>
      </c>
      <c r="D4122" s="392" t="n"/>
      <c r="E4122" s="392" t="n"/>
      <c r="F4122" s="392" t="n"/>
      <c r="G4122" s="392" t="n">
        <v>20</v>
      </c>
      <c r="H4122" s="446">
        <f>H4121-G4122</f>
        <v/>
      </c>
      <c r="I4122" s="392" t="n"/>
      <c r="J4122" s="392" t="n"/>
      <c r="K4122" s="392" t="n"/>
      <c r="L4122" s="392" t="n"/>
      <c r="M4122" s="392" t="n"/>
    </row>
    <row r="4123">
      <c r="A4123" s="568" t="n">
        <v>45294</v>
      </c>
      <c r="B4123" s="392" t="n">
        <v>10753</v>
      </c>
      <c r="C4123" s="392" t="n">
        <v>89</v>
      </c>
      <c r="D4123" s="392" t="n"/>
      <c r="E4123" s="392" t="n"/>
      <c r="F4123" s="392" t="n"/>
      <c r="G4123" s="392" t="n">
        <v>30</v>
      </c>
      <c r="H4123" s="446">
        <f>H4122-G4123</f>
        <v/>
      </c>
      <c r="I4123" s="392" t="n"/>
      <c r="J4123" s="392" t="n"/>
      <c r="K4123" s="392" t="n"/>
      <c r="L4123" s="392" t="n"/>
      <c r="M4123" s="392" t="n"/>
    </row>
    <row r="4124">
      <c r="A4124" s="568" t="n">
        <v>45294</v>
      </c>
      <c r="B4124" s="392" t="n">
        <v>10755</v>
      </c>
      <c r="C4124" s="392" t="n">
        <v>90</v>
      </c>
      <c r="D4124" s="392" t="n"/>
      <c r="E4124" s="392" t="n"/>
      <c r="F4124" s="392" t="n"/>
      <c r="G4124" s="392" t="n">
        <v>30</v>
      </c>
      <c r="H4124" s="446">
        <f>H4123-G4124</f>
        <v/>
      </c>
      <c r="I4124" s="392" t="n"/>
      <c r="J4124" s="392" t="n"/>
      <c r="K4124" s="392" t="n"/>
      <c r="L4124" s="392" t="n"/>
      <c r="M4124" s="392" t="n"/>
    </row>
    <row r="4125">
      <c r="A4125" s="568" t="n">
        <v>45299</v>
      </c>
      <c r="B4125" s="392" t="n">
        <v>10759</v>
      </c>
      <c r="C4125" s="392" t="n">
        <v>89</v>
      </c>
      <c r="D4125" s="392" t="n"/>
      <c r="E4125" s="392" t="n"/>
      <c r="F4125" s="392" t="n"/>
      <c r="G4125" s="392" t="n">
        <v>30</v>
      </c>
      <c r="H4125" s="446">
        <f>H4124-G4125</f>
        <v/>
      </c>
      <c r="I4125" s="392" t="n"/>
      <c r="J4125" s="392" t="n"/>
      <c r="K4125" s="392" t="n"/>
      <c r="L4125" s="392" t="n"/>
      <c r="M4125" s="392" t="n"/>
    </row>
    <row r="4126">
      <c r="A4126" s="568" t="n">
        <v>45299</v>
      </c>
      <c r="B4126" s="392" t="n">
        <v>10760</v>
      </c>
      <c r="C4126" s="392" t="n">
        <v>92</v>
      </c>
      <c r="D4126" s="392" t="n"/>
      <c r="E4126" s="392" t="n"/>
      <c r="F4126" s="392" t="n"/>
      <c r="G4126" s="392" t="n">
        <v>30</v>
      </c>
      <c r="H4126" s="446">
        <f>H4125-G4126</f>
        <v/>
      </c>
      <c r="I4126" s="392" t="n"/>
      <c r="J4126" s="392" t="n"/>
      <c r="K4126" s="392" t="n"/>
      <c r="L4126" s="392" t="n"/>
      <c r="M4126" s="392" t="n"/>
    </row>
    <row r="4127">
      <c r="A4127" s="568" t="n">
        <v>45299</v>
      </c>
      <c r="B4127" s="392" t="n">
        <v>10764</v>
      </c>
      <c r="C4127" s="392" t="n">
        <v>88</v>
      </c>
      <c r="D4127" s="392" t="n"/>
      <c r="E4127" s="392" t="n"/>
      <c r="F4127" s="392" t="n"/>
      <c r="G4127" s="392" t="n">
        <v>30</v>
      </c>
      <c r="H4127" s="446">
        <f>H4126-G4127</f>
        <v/>
      </c>
      <c r="I4127" s="392" t="n"/>
      <c r="J4127" s="392" t="n"/>
      <c r="K4127" s="392" t="n"/>
      <c r="L4127" s="392" t="n"/>
      <c r="M4127" s="392" t="n"/>
    </row>
    <row r="4128">
      <c r="A4128" s="568" t="n">
        <v>45299</v>
      </c>
      <c r="B4128" s="392" t="n">
        <v>10765</v>
      </c>
      <c r="C4128" s="392" t="n">
        <v>85</v>
      </c>
      <c r="D4128" s="392" t="n"/>
      <c r="E4128" s="392" t="n"/>
      <c r="F4128" s="392" t="n"/>
      <c r="G4128" s="392" t="n">
        <v>30</v>
      </c>
      <c r="H4128" s="446">
        <f>H4127-G4128</f>
        <v/>
      </c>
      <c r="I4128" s="392" t="n"/>
      <c r="J4128" s="392" t="n"/>
      <c r="K4128" s="392" t="n"/>
      <c r="L4128" s="392" t="n"/>
      <c r="M4128" s="392" t="n"/>
    </row>
    <row r="4129">
      <c r="A4129" s="568" t="n">
        <v>45301</v>
      </c>
      <c r="B4129" s="392" t="n">
        <v>10768</v>
      </c>
      <c r="C4129" s="392" t="n">
        <v>92</v>
      </c>
      <c r="D4129" s="392" t="n"/>
      <c r="E4129" s="392" t="n"/>
      <c r="F4129" s="392" t="n"/>
      <c r="G4129" s="392" t="n">
        <v>30</v>
      </c>
      <c r="H4129" s="446">
        <f>H4128-G4129</f>
        <v/>
      </c>
      <c r="I4129" s="392" t="n"/>
      <c r="J4129" s="392" t="n"/>
      <c r="K4129" s="392" t="n"/>
      <c r="L4129" s="392" t="n"/>
      <c r="M4129" s="392" t="n"/>
    </row>
    <row r="4130">
      <c r="A4130" s="568" t="n">
        <v>45301</v>
      </c>
      <c r="B4130" s="392" t="n">
        <v>10772</v>
      </c>
      <c r="C4130" s="392" t="n">
        <v>89</v>
      </c>
      <c r="D4130" s="392" t="n"/>
      <c r="E4130" s="392" t="n"/>
      <c r="F4130" s="392" t="n"/>
      <c r="G4130" s="392" t="n">
        <v>30</v>
      </c>
      <c r="H4130" s="446">
        <f>H4129-G4130</f>
        <v/>
      </c>
      <c r="I4130" s="392" t="n"/>
      <c r="J4130" s="392" t="n"/>
      <c r="K4130" s="392" t="n"/>
      <c r="L4130" s="392" t="n"/>
      <c r="M4130" s="392" t="n"/>
    </row>
    <row r="4131">
      <c r="A4131" s="568" t="n">
        <v>45301</v>
      </c>
      <c r="B4131" s="392" t="n">
        <v>10775</v>
      </c>
      <c r="C4131" s="392" t="n">
        <v>93</v>
      </c>
      <c r="D4131" s="392" t="n"/>
      <c r="E4131" s="392" t="n"/>
      <c r="F4131" s="392" t="n"/>
      <c r="G4131" s="392" t="n">
        <v>20</v>
      </c>
      <c r="H4131" s="446">
        <f>H4130-G4131</f>
        <v/>
      </c>
      <c r="I4131" s="392" t="n"/>
      <c r="J4131" s="392" t="n"/>
      <c r="K4131" s="392" t="n"/>
      <c r="L4131" s="392" t="n"/>
      <c r="M4131" s="392" t="n"/>
    </row>
    <row r="4132">
      <c r="A4132" s="304" t="n">
        <v>45296</v>
      </c>
      <c r="B4132" s="401" t="n">
        <v>2684</v>
      </c>
      <c r="C4132" s="401" t="n">
        <v>65</v>
      </c>
      <c r="D4132" s="401" t="n"/>
      <c r="E4132" s="401" t="n"/>
      <c r="F4132" s="401" t="n">
        <v>600</v>
      </c>
      <c r="G4132" s="401" t="n"/>
      <c r="H4132" s="322" t="n">
        <v>1935</v>
      </c>
      <c r="I4132" s="392" t="n"/>
      <c r="J4132" s="392" t="n"/>
      <c r="K4132" s="392" t="n"/>
      <c r="L4132" s="392" t="n"/>
      <c r="M4132" s="392" t="n"/>
    </row>
    <row r="4133">
      <c r="A4133" s="304" t="n">
        <v>45303</v>
      </c>
      <c r="B4133" s="401" t="n">
        <v>36732</v>
      </c>
      <c r="C4133" s="401" t="n">
        <v>68</v>
      </c>
      <c r="D4133" s="401" t="n"/>
      <c r="E4133" s="401" t="n"/>
      <c r="F4133" s="401" t="n">
        <v>1120</v>
      </c>
      <c r="G4133" s="401" t="n"/>
      <c r="H4133" s="322" t="n">
        <v>3055</v>
      </c>
      <c r="I4133" s="392" t="n"/>
      <c r="J4133" s="392" t="n"/>
      <c r="K4133" s="392" t="n"/>
      <c r="L4133" s="392" t="n"/>
      <c r="M4133" s="392" t="n"/>
    </row>
    <row r="4134">
      <c r="A4134" s="304" t="n">
        <v>45306</v>
      </c>
      <c r="B4134" s="401" t="n">
        <v>36734</v>
      </c>
      <c r="C4134" s="401" t="n">
        <v>71</v>
      </c>
      <c r="D4134" s="401" t="n"/>
      <c r="E4134" s="401" t="n"/>
      <c r="F4134" s="401" t="n">
        <v>1120</v>
      </c>
      <c r="G4134" s="401" t="n"/>
      <c r="H4134" s="322" t="n">
        <v>4175</v>
      </c>
      <c r="I4134" s="392" t="n"/>
      <c r="J4134" s="392" t="n"/>
      <c r="K4134" s="392" t="n"/>
      <c r="L4134" s="392" t="n"/>
      <c r="M4134" s="392" t="n"/>
    </row>
    <row r="4135">
      <c r="A4135" s="568" t="n">
        <v>45306</v>
      </c>
      <c r="B4135" s="392" t="n">
        <v>10776</v>
      </c>
      <c r="C4135" s="392" t="n">
        <v>89</v>
      </c>
      <c r="D4135" s="392" t="n"/>
      <c r="E4135" s="392" t="n"/>
      <c r="F4135" s="392" t="n"/>
      <c r="G4135" s="392" t="n">
        <v>30</v>
      </c>
      <c r="H4135" s="446">
        <f>H4134-G4135</f>
        <v/>
      </c>
      <c r="I4135" s="392" t="n"/>
      <c r="J4135" s="392" t="n"/>
      <c r="K4135" s="392" t="n"/>
      <c r="L4135" s="392" t="n"/>
      <c r="M4135" s="392" t="n"/>
    </row>
    <row r="4136">
      <c r="A4136" s="568" t="n">
        <v>45306</v>
      </c>
      <c r="B4136" s="392" t="n">
        <v>10777</v>
      </c>
      <c r="C4136" s="392" t="n">
        <v>84</v>
      </c>
      <c r="D4136" s="392" t="n"/>
      <c r="E4136" s="392" t="n"/>
      <c r="F4136" s="392" t="n"/>
      <c r="G4136" s="392" t="n">
        <v>100</v>
      </c>
      <c r="H4136" s="446">
        <f>H4135-G4136</f>
        <v/>
      </c>
      <c r="I4136" s="392" t="n"/>
      <c r="J4136" s="392" t="n"/>
      <c r="K4136" s="392" t="n"/>
      <c r="L4136" s="392" t="n"/>
      <c r="M4136" s="392" t="n"/>
    </row>
    <row r="4137">
      <c r="A4137" s="568" t="n">
        <v>45306</v>
      </c>
      <c r="B4137" s="392" t="n">
        <v>10778</v>
      </c>
      <c r="C4137" s="392" t="n">
        <v>92.84</v>
      </c>
      <c r="D4137" s="392" t="n"/>
      <c r="E4137" s="392" t="n"/>
      <c r="F4137" s="392" t="n"/>
      <c r="G4137" s="392" t="n">
        <v>120</v>
      </c>
      <c r="H4137" s="446">
        <f>H4136-G4137</f>
        <v/>
      </c>
      <c r="I4137" s="392" t="n"/>
      <c r="J4137" s="392" t="n"/>
      <c r="K4137" s="392" t="n"/>
      <c r="L4137" s="392" t="n"/>
      <c r="M4137" s="392" t="n"/>
    </row>
    <row r="4138">
      <c r="A4138" s="568" t="n">
        <v>45306</v>
      </c>
      <c r="B4138" s="392" t="n">
        <v>10781</v>
      </c>
      <c r="C4138" s="392" t="n">
        <v>87</v>
      </c>
      <c r="D4138" s="392" t="n"/>
      <c r="E4138" s="392" t="n"/>
      <c r="F4138" s="392" t="n"/>
      <c r="G4138" s="392" t="n">
        <v>50</v>
      </c>
      <c r="H4138" s="446">
        <f>H4137-G4138</f>
        <v/>
      </c>
      <c r="I4138" s="392" t="n"/>
      <c r="J4138" s="392" t="n"/>
      <c r="K4138" s="392" t="n"/>
      <c r="L4138" s="392" t="n"/>
      <c r="M4138" s="392" t="n"/>
    </row>
    <row r="4139">
      <c r="A4139" s="568" t="n">
        <v>45308</v>
      </c>
      <c r="B4139" s="392" t="n">
        <v>10786</v>
      </c>
      <c r="C4139" s="392" t="n">
        <v>91</v>
      </c>
      <c r="D4139" s="392" t="n"/>
      <c r="E4139" s="392" t="n"/>
      <c r="F4139" s="392" t="n"/>
      <c r="G4139" s="392" t="n">
        <v>35</v>
      </c>
      <c r="H4139" s="446">
        <f>H4138-G4139</f>
        <v/>
      </c>
      <c r="I4139" s="392" t="n"/>
      <c r="J4139" s="392" t="n"/>
      <c r="K4139" s="392" t="n"/>
      <c r="L4139" s="392" t="n"/>
      <c r="M4139" s="392" t="n"/>
    </row>
    <row r="4140">
      <c r="A4140" s="568" t="n">
        <v>45308</v>
      </c>
      <c r="B4140" s="392" t="n">
        <v>10789</v>
      </c>
      <c r="C4140" s="392" t="n">
        <v>92</v>
      </c>
      <c r="D4140" s="392" t="n"/>
      <c r="E4140" s="392" t="n"/>
      <c r="F4140" s="392" t="n"/>
      <c r="G4140" s="392" t="n">
        <v>20</v>
      </c>
      <c r="H4140" s="446">
        <f>H4139-G4140</f>
        <v/>
      </c>
      <c r="I4140" s="392" t="n"/>
      <c r="J4140" s="392" t="n"/>
      <c r="K4140" s="392" t="n"/>
      <c r="L4140" s="392" t="n"/>
      <c r="M4140" s="392" t="n"/>
    </row>
    <row r="4141">
      <c r="A4141" s="568" t="n">
        <v>45308</v>
      </c>
      <c r="B4141" s="392" t="n">
        <v>10791</v>
      </c>
      <c r="C4141" s="392" t="n">
        <v>89</v>
      </c>
      <c r="D4141" s="392" t="n"/>
      <c r="E4141" s="392" t="n"/>
      <c r="F4141" s="392" t="n"/>
      <c r="G4141" s="392" t="n">
        <v>20</v>
      </c>
      <c r="H4141" s="446">
        <f>H4140-G4141</f>
        <v/>
      </c>
      <c r="I4141" s="392" t="n"/>
      <c r="J4141" s="392" t="n"/>
      <c r="K4141" s="392" t="n"/>
      <c r="L4141" s="392" t="n"/>
      <c r="M4141" s="392" t="n"/>
    </row>
    <row r="4142">
      <c r="A4142" s="568" t="n">
        <v>45308</v>
      </c>
      <c r="B4142" s="392" t="n">
        <v>10792</v>
      </c>
      <c r="C4142" s="392" t="n">
        <v>89</v>
      </c>
      <c r="D4142" s="392" t="n"/>
      <c r="E4142" s="392" t="n"/>
      <c r="F4142" s="392" t="n"/>
      <c r="G4142" s="392" t="n">
        <v>20</v>
      </c>
      <c r="H4142" s="446">
        <f>H4141-G4142</f>
        <v/>
      </c>
      <c r="I4142" s="392" t="n"/>
      <c r="J4142" s="392" t="n"/>
      <c r="K4142" s="392" t="n"/>
      <c r="L4142" s="392" t="n"/>
      <c r="M4142" s="392" t="n"/>
    </row>
    <row r="4143">
      <c r="A4143" s="568" t="n">
        <v>45314</v>
      </c>
      <c r="B4143" s="392" t="n">
        <v>10796</v>
      </c>
      <c r="C4143" s="392" t="n">
        <v>80</v>
      </c>
      <c r="D4143" s="392" t="n"/>
      <c r="E4143" s="392" t="n"/>
      <c r="F4143" s="392" t="n"/>
      <c r="G4143" s="392" t="n">
        <v>50</v>
      </c>
      <c r="H4143" s="446">
        <f>H4142-G4143</f>
        <v/>
      </c>
      <c r="I4143" s="392" t="n"/>
      <c r="J4143" s="392" t="n"/>
      <c r="K4143" s="392" t="n"/>
      <c r="L4143" s="392" t="n"/>
      <c r="M4143" s="392" t="n"/>
    </row>
    <row r="4144">
      <c r="A4144" s="568" t="n">
        <v>45314</v>
      </c>
      <c r="B4144" s="392" t="n">
        <v>10797</v>
      </c>
      <c r="C4144" s="392" t="n">
        <v>90</v>
      </c>
      <c r="D4144" s="392" t="n"/>
      <c r="E4144" s="392" t="n"/>
      <c r="F4144" s="392" t="n"/>
      <c r="G4144" s="392" t="n">
        <v>100</v>
      </c>
      <c r="H4144" s="446">
        <f>H4143-G4144</f>
        <v/>
      </c>
      <c r="I4144" s="392" t="n"/>
      <c r="J4144" s="392" t="n"/>
      <c r="K4144" s="392" t="n"/>
      <c r="L4144" s="392" t="n"/>
      <c r="M4144" s="392" t="n"/>
    </row>
    <row r="4145">
      <c r="A4145" s="568" t="n">
        <v>45314</v>
      </c>
      <c r="B4145" s="392" t="n">
        <v>10798</v>
      </c>
      <c r="C4145" s="392" t="n">
        <v>89</v>
      </c>
      <c r="D4145" s="392" t="n"/>
      <c r="E4145" s="392" t="n"/>
      <c r="F4145" s="392" t="n"/>
      <c r="G4145" s="392" t="n">
        <v>30</v>
      </c>
      <c r="H4145" s="446">
        <f>H4144-G4145</f>
        <v/>
      </c>
      <c r="I4145" s="392" t="n"/>
      <c r="J4145" s="392" t="n"/>
      <c r="K4145" s="392" t="n"/>
      <c r="L4145" s="392" t="n"/>
      <c r="M4145" s="392" t="n"/>
    </row>
    <row r="4146">
      <c r="A4146" s="568" t="n">
        <v>45314</v>
      </c>
      <c r="B4146" s="392" t="n">
        <v>10799</v>
      </c>
      <c r="C4146" s="392" t="n">
        <v>92</v>
      </c>
      <c r="D4146" s="392" t="n"/>
      <c r="E4146" s="392" t="n"/>
      <c r="F4146" s="392" t="n"/>
      <c r="G4146" s="392" t="n">
        <v>30</v>
      </c>
      <c r="H4146" s="446">
        <f>H4145-G4146</f>
        <v/>
      </c>
      <c r="I4146" s="392" t="n"/>
      <c r="J4146" s="392" t="n"/>
      <c r="K4146" s="392" t="n"/>
      <c r="L4146" s="392" t="n"/>
      <c r="M4146" s="392" t="n"/>
    </row>
    <row r="4147">
      <c r="A4147" s="568" t="n">
        <v>45314</v>
      </c>
      <c r="B4147" s="392" t="n">
        <v>10800</v>
      </c>
      <c r="C4147" s="392" t="n">
        <v>89</v>
      </c>
      <c r="D4147" s="392" t="n"/>
      <c r="E4147" s="392" t="n"/>
      <c r="F4147" s="392" t="n"/>
      <c r="G4147" s="392" t="n">
        <v>50</v>
      </c>
      <c r="H4147" s="446">
        <f>H4146-G4147</f>
        <v/>
      </c>
      <c r="I4147" s="392" t="n"/>
      <c r="J4147" s="392" t="n"/>
      <c r="K4147" s="392" t="n"/>
      <c r="L4147" s="392" t="n"/>
      <c r="M4147" s="392" t="n"/>
    </row>
    <row r="4148">
      <c r="A4148" s="304" t="n">
        <v>45313</v>
      </c>
      <c r="B4148" s="401" t="n">
        <v>237612</v>
      </c>
      <c r="C4148" s="401" t="n">
        <v>71</v>
      </c>
      <c r="D4148" s="401" t="n"/>
      <c r="E4148" s="401" t="n"/>
      <c r="F4148" s="401" t="n">
        <v>180</v>
      </c>
      <c r="G4148" s="401" t="n"/>
      <c r="H4148" s="322" t="n">
        <v>3700</v>
      </c>
      <c r="I4148" s="392" t="n"/>
      <c r="J4148" s="392" t="n"/>
      <c r="K4148" s="392" t="n"/>
      <c r="L4148" s="392" t="n"/>
      <c r="M4148" s="392" t="n"/>
    </row>
    <row r="4149">
      <c r="A4149" s="568" t="n">
        <v>45315</v>
      </c>
      <c r="B4149" s="392" t="n">
        <v>10803</v>
      </c>
      <c r="C4149" s="392" t="n">
        <v>92</v>
      </c>
      <c r="D4149" s="392" t="n"/>
      <c r="E4149" s="392" t="n"/>
      <c r="F4149" s="392" t="n"/>
      <c r="G4149" s="392" t="n">
        <v>15</v>
      </c>
      <c r="H4149" s="446">
        <f>H4148-G4149</f>
        <v/>
      </c>
      <c r="I4149" s="392" t="n"/>
      <c r="J4149" s="392" t="n"/>
      <c r="K4149" s="392" t="n"/>
      <c r="L4149" s="392" t="n"/>
      <c r="M4149" s="392" t="n"/>
    </row>
    <row r="4150">
      <c r="A4150" s="568" t="n">
        <v>45320</v>
      </c>
      <c r="B4150" s="392" t="n">
        <v>10806</v>
      </c>
      <c r="C4150" s="392" t="n">
        <v>92</v>
      </c>
      <c r="D4150" s="392" t="n"/>
      <c r="E4150" s="392" t="n"/>
      <c r="F4150" s="392" t="n"/>
      <c r="G4150" s="392" t="n">
        <v>20</v>
      </c>
      <c r="H4150" s="446">
        <f>H4149-G4150</f>
        <v/>
      </c>
      <c r="I4150" s="392" t="n"/>
      <c r="J4150" s="392" t="n"/>
      <c r="K4150" s="392" t="n"/>
      <c r="L4150" s="392" t="n"/>
      <c r="M4150" s="392" t="n"/>
    </row>
    <row r="4151">
      <c r="A4151" s="568" t="n">
        <v>45320</v>
      </c>
      <c r="B4151" s="392" t="n">
        <v>10808</v>
      </c>
      <c r="C4151" s="392" t="n">
        <v>87</v>
      </c>
      <c r="D4151" s="392" t="n"/>
      <c r="E4151" s="392" t="n"/>
      <c r="F4151" s="392" t="n"/>
      <c r="G4151" s="392" t="n">
        <v>50</v>
      </c>
      <c r="H4151" s="446">
        <f>H4150-G4151</f>
        <v/>
      </c>
      <c r="I4151" s="392" t="n"/>
      <c r="J4151" s="392" t="n"/>
      <c r="K4151" s="392" t="n"/>
      <c r="L4151" s="392" t="n"/>
      <c r="M4151" s="392" t="n"/>
    </row>
    <row r="4152">
      <c r="A4152" s="568" t="n">
        <v>45321</v>
      </c>
      <c r="B4152" s="392" t="n">
        <v>10811</v>
      </c>
      <c r="C4152" s="392" t="n">
        <v>91</v>
      </c>
      <c r="D4152" s="392" t="n"/>
      <c r="E4152" s="392" t="n"/>
      <c r="F4152" s="392" t="n"/>
      <c r="G4152" s="392" t="n">
        <v>20</v>
      </c>
      <c r="H4152" s="446">
        <f>H4151-G4152</f>
        <v/>
      </c>
      <c r="I4152" s="392" t="n"/>
      <c r="J4152" s="392" t="n"/>
      <c r="K4152" s="392" t="n"/>
      <c r="L4152" s="392" t="n"/>
      <c r="M4152" s="392" t="n"/>
    </row>
    <row r="4153">
      <c r="A4153" s="568" t="n">
        <v>45321</v>
      </c>
      <c r="B4153" s="392" t="n">
        <v>10812</v>
      </c>
      <c r="C4153" s="392" t="n">
        <v>89</v>
      </c>
      <c r="D4153" s="392" t="n"/>
      <c r="E4153" s="392" t="n"/>
      <c r="F4153" s="392" t="n"/>
      <c r="G4153" s="392" t="n">
        <v>20</v>
      </c>
      <c r="H4153" s="446">
        <f>H4152-G4153</f>
        <v/>
      </c>
      <c r="I4153" s="392" t="n"/>
      <c r="J4153" s="392" t="n"/>
      <c r="K4153" s="392" t="n"/>
      <c r="L4153" s="392" t="n"/>
      <c r="M4153" s="392" t="n"/>
    </row>
    <row r="4154">
      <c r="A4154" s="568" t="n">
        <v>45322</v>
      </c>
      <c r="B4154" s="392" t="n">
        <v>10814</v>
      </c>
      <c r="C4154" s="392" t="n">
        <v>92</v>
      </c>
      <c r="D4154" s="392" t="n"/>
      <c r="E4154" s="392" t="n"/>
      <c r="F4154" s="392" t="n"/>
      <c r="G4154" s="392" t="n">
        <v>20</v>
      </c>
      <c r="H4154" s="446">
        <f>H4153-G4154</f>
        <v/>
      </c>
      <c r="I4154" s="392" t="n"/>
      <c r="J4154" s="392" t="n"/>
      <c r="K4154" s="392" t="n"/>
      <c r="L4154" s="392" t="n"/>
      <c r="M4154" s="392" t="n"/>
    </row>
    <row r="4155">
      <c r="A4155" s="568" t="n">
        <v>45322</v>
      </c>
      <c r="B4155" s="392" t="n">
        <v>10823</v>
      </c>
      <c r="C4155" s="392" t="n">
        <v>75</v>
      </c>
      <c r="D4155" s="392" t="n"/>
      <c r="E4155" s="392" t="n"/>
      <c r="F4155" s="392" t="n"/>
      <c r="G4155" s="392" t="n">
        <v>300</v>
      </c>
      <c r="H4155" s="446">
        <f>H4154-G4155</f>
        <v/>
      </c>
      <c r="I4155" s="392" t="n"/>
      <c r="J4155" s="392" t="n"/>
      <c r="K4155" s="392" t="n"/>
      <c r="L4155" s="392" t="n"/>
      <c r="M4155" s="392" t="n"/>
    </row>
    <row r="4156" ht="15.75" customHeight="1" s="436" thickBot="1">
      <c r="A4156" s="414" t="n"/>
      <c r="H4156" s="390" t="n"/>
    </row>
    <row r="4157" ht="32.25" customHeight="1" s="436" thickBot="1">
      <c r="A4157" s="735" t="inlineStr">
        <is>
          <t>Fevereiro</t>
        </is>
      </c>
      <c r="B4157" s="697" t="n"/>
      <c r="C4157" s="697" t="n"/>
      <c r="D4157" s="697" t="n"/>
      <c r="E4157" s="697" t="n"/>
      <c r="F4157" s="697" t="n"/>
      <c r="G4157" s="697" t="n"/>
      <c r="H4157" s="697" t="n"/>
      <c r="I4157" s="697" t="n"/>
      <c r="J4157" s="697" t="n"/>
      <c r="K4157" s="697" t="n"/>
      <c r="L4157" s="697" t="n"/>
      <c r="M4157" s="698" t="n"/>
    </row>
    <row r="4158" ht="27" customHeight="1" s="436" thickBot="1">
      <c r="A4158" s="720" t="inlineStr">
        <is>
          <t xml:space="preserve"> FARINHA DE TRIGO TIPO: 1 - 25 KG</t>
        </is>
      </c>
      <c r="B4158" s="697" t="n"/>
      <c r="C4158" s="697" t="n"/>
      <c r="D4158" s="697" t="n"/>
      <c r="E4158" s="697" t="n"/>
      <c r="F4158" s="697" t="n"/>
      <c r="G4158" s="697" t="n"/>
      <c r="H4158" s="697" t="n"/>
      <c r="I4158" s="697" t="n"/>
      <c r="J4158" s="697" t="n"/>
      <c r="K4158" s="697" t="n"/>
      <c r="L4158" s="697" t="n"/>
      <c r="M4158" s="698" t="n"/>
    </row>
    <row r="4159">
      <c r="A4159" s="643" t="inlineStr">
        <is>
          <t>DATA</t>
        </is>
      </c>
      <c r="B4159" s="633" t="inlineStr">
        <is>
          <t>N.F.</t>
        </is>
      </c>
      <c r="C4159" s="633" t="inlineStr">
        <is>
          <t>TIPO</t>
        </is>
      </c>
      <c r="D4159" s="670" t="inlineStr">
        <is>
          <t>PREÇO UNITÁRIO</t>
        </is>
      </c>
      <c r="E4159" s="701" t="n"/>
      <c r="F4159" s="633" t="inlineStr">
        <is>
          <t>QUANTIDADE / KG</t>
        </is>
      </c>
      <c r="H4159" s="701" t="n"/>
      <c r="I4159" s="632" t="inlineStr">
        <is>
          <t>PREÇO</t>
        </is>
      </c>
      <c r="J4159" s="632" t="inlineStr">
        <is>
          <t>VALORES</t>
        </is>
      </c>
      <c r="L4159" s="701" t="n"/>
      <c r="M4159" s="649" t="n"/>
    </row>
    <row r="4160" ht="15.75" customHeight="1" s="436" thickBot="1">
      <c r="A4160" s="703" t="n"/>
      <c r="B4160" s="704" t="n"/>
      <c r="C4160" s="704" t="n"/>
      <c r="D4160" s="703" t="n"/>
      <c r="E4160" s="701" t="n"/>
      <c r="F4160" s="705" t="n"/>
      <c r="G4160" s="706" t="n"/>
      <c r="H4160" s="707" t="n"/>
      <c r="I4160" s="704" t="n"/>
      <c r="J4160" s="703" t="n"/>
      <c r="L4160" s="701" t="n"/>
      <c r="M4160" s="704" t="n"/>
    </row>
    <row r="4161" ht="15.75" customHeight="1" s="436" thickBot="1">
      <c r="A4161" s="703" t="n"/>
      <c r="B4161" s="704" t="n"/>
      <c r="C4161" s="704" t="n"/>
      <c r="D4161" s="705" t="n"/>
      <c r="E4161" s="707" t="n"/>
      <c r="F4161" s="3" t="inlineStr">
        <is>
          <t>ENTRADA</t>
        </is>
      </c>
      <c r="G4161" s="3" t="inlineStr">
        <is>
          <t>SAÍDA</t>
        </is>
      </c>
      <c r="H4161" s="640" t="n"/>
      <c r="I4161" s="633" t="inlineStr">
        <is>
          <t>MÉDIO</t>
        </is>
      </c>
      <c r="J4161" s="652" t="inlineStr">
        <is>
          <t>SALDO EM 30/11/2017</t>
        </is>
      </c>
      <c r="K4161" s="706" t="n"/>
      <c r="L4161" s="17" t="n"/>
      <c r="M4161" s="704" t="n"/>
    </row>
    <row r="4162" ht="18" customHeight="1" s="436" thickBot="1">
      <c r="A4162" s="705" t="n"/>
      <c r="B4162" s="695" t="n"/>
      <c r="C4162" s="695" t="n"/>
      <c r="D4162" s="3" t="inlineStr">
        <is>
          <t>C/ICMS</t>
        </is>
      </c>
      <c r="E4162" s="3" t="inlineStr">
        <is>
          <t>S/ICMS</t>
        </is>
      </c>
      <c r="F4162" s="695" t="n"/>
      <c r="G4162" s="695" t="n"/>
      <c r="H4162" s="84" t="inlineStr">
        <is>
          <t>Saldo em 31/01/2024</t>
        </is>
      </c>
      <c r="I4162" s="695" t="n"/>
      <c r="J4162" s="645" t="inlineStr">
        <is>
          <t>ENTRADA</t>
        </is>
      </c>
      <c r="K4162" s="633" t="inlineStr">
        <is>
          <t>SAÍDA / CMV</t>
        </is>
      </c>
      <c r="L4162" s="643" t="inlineStr">
        <is>
          <t>SALDO</t>
        </is>
      </c>
      <c r="M4162" s="392" t="n"/>
    </row>
    <row r="4163">
      <c r="A4163" s="392" t="n"/>
      <c r="B4163" s="392" t="n"/>
      <c r="C4163" s="392" t="n"/>
      <c r="D4163" s="392" t="n"/>
      <c r="E4163" s="392" t="n"/>
      <c r="F4163" s="392" t="n"/>
      <c r="G4163" s="392" t="n"/>
      <c r="H4163" s="446" t="n">
        <v>3255</v>
      </c>
      <c r="I4163" s="392" t="n"/>
      <c r="J4163" s="392" t="n"/>
      <c r="K4163" s="392" t="n"/>
      <c r="L4163" s="392" t="n"/>
      <c r="M4163" s="392" t="n"/>
    </row>
    <row r="4164">
      <c r="A4164" s="568" t="n">
        <v>45329</v>
      </c>
      <c r="B4164" s="392" t="n">
        <v>10826</v>
      </c>
      <c r="C4164" s="392" t="n">
        <v>89</v>
      </c>
      <c r="D4164" s="392" t="n"/>
      <c r="E4164" s="392" t="n"/>
      <c r="F4164" s="392" t="n"/>
      <c r="G4164" s="392" t="n">
        <v>50</v>
      </c>
      <c r="H4164" s="446">
        <f>H4163-G4164</f>
        <v/>
      </c>
      <c r="I4164" s="392" t="n"/>
      <c r="J4164" s="392" t="n"/>
      <c r="K4164" s="392" t="n"/>
      <c r="L4164" s="392" t="n"/>
      <c r="M4164" s="392" t="n"/>
    </row>
    <row r="4165">
      <c r="A4165" s="568" t="n">
        <v>45329</v>
      </c>
      <c r="B4165" s="392" t="n">
        <v>10827</v>
      </c>
      <c r="C4165" s="392" t="n">
        <v>92</v>
      </c>
      <c r="D4165" s="392" t="n"/>
      <c r="E4165" s="392" t="n"/>
      <c r="F4165" s="392" t="n"/>
      <c r="G4165" s="392" t="n">
        <v>30</v>
      </c>
      <c r="H4165" s="446">
        <f>H4164-G4165</f>
        <v/>
      </c>
      <c r="I4165" s="392" t="n"/>
      <c r="J4165" s="392" t="n"/>
      <c r="K4165" s="392" t="n"/>
      <c r="L4165" s="392" t="n"/>
      <c r="M4165" s="392" t="n"/>
    </row>
    <row r="4166">
      <c r="A4166" s="568" t="n">
        <v>45329</v>
      </c>
      <c r="B4166" s="392" t="n">
        <v>10829</v>
      </c>
      <c r="C4166" s="392" t="n">
        <v>92</v>
      </c>
      <c r="D4166" s="392" t="n"/>
      <c r="E4166" s="392" t="n"/>
      <c r="F4166" s="392" t="n"/>
      <c r="G4166" s="392" t="n">
        <v>20</v>
      </c>
      <c r="H4166" s="446">
        <f>H4165-G4166</f>
        <v/>
      </c>
      <c r="I4166" s="392" t="n"/>
      <c r="J4166" s="392" t="n"/>
      <c r="K4166" s="392" t="n"/>
      <c r="L4166" s="392" t="n"/>
      <c r="M4166" s="392" t="n"/>
    </row>
    <row r="4167">
      <c r="A4167" s="568" t="n">
        <v>45329</v>
      </c>
      <c r="B4167" s="392" t="n">
        <v>10831</v>
      </c>
      <c r="C4167" s="392" t="n">
        <v>89</v>
      </c>
      <c r="D4167" s="392" t="n"/>
      <c r="E4167" s="392" t="n"/>
      <c r="F4167" s="392" t="n"/>
      <c r="G4167" s="392" t="n">
        <v>20</v>
      </c>
      <c r="H4167" s="446">
        <f>H4166-G4167</f>
        <v/>
      </c>
      <c r="I4167" s="392" t="n"/>
      <c r="J4167" s="392" t="n"/>
      <c r="K4167" s="392" t="n"/>
      <c r="L4167" s="392" t="n"/>
      <c r="M4167" s="392" t="n"/>
    </row>
    <row r="4168">
      <c r="A4168" s="568" t="n">
        <v>45329</v>
      </c>
      <c r="B4168" s="392" t="n">
        <v>10833</v>
      </c>
      <c r="C4168" s="392" t="n">
        <v>89</v>
      </c>
      <c r="D4168" s="392" t="n"/>
      <c r="E4168" s="392" t="n"/>
      <c r="F4168" s="392" t="n"/>
      <c r="G4168" s="392" t="n">
        <v>30</v>
      </c>
      <c r="H4168" s="446">
        <f>H4167-G4168</f>
        <v/>
      </c>
      <c r="I4168" s="392" t="n"/>
      <c r="J4168" s="392" t="n"/>
      <c r="K4168" s="392" t="n"/>
      <c r="L4168" s="392" t="n"/>
      <c r="M4168" s="392" t="n"/>
    </row>
    <row r="4169">
      <c r="A4169" s="568" t="n">
        <v>45329</v>
      </c>
      <c r="B4169" s="392" t="n">
        <v>10834</v>
      </c>
      <c r="C4169" s="392" t="n">
        <v>87</v>
      </c>
      <c r="D4169" s="392" t="n"/>
      <c r="E4169" s="392" t="n"/>
      <c r="F4169" s="392" t="n"/>
      <c r="G4169" s="392" t="n">
        <v>30</v>
      </c>
      <c r="H4169" s="446">
        <f>H4168-G4169</f>
        <v/>
      </c>
      <c r="I4169" s="392" t="n"/>
      <c r="J4169" s="392" t="n"/>
      <c r="K4169" s="392" t="n"/>
      <c r="L4169" s="392" t="n"/>
      <c r="M4169" s="392" t="n"/>
    </row>
    <row r="4170">
      <c r="A4170" s="568" t="n">
        <v>45329</v>
      </c>
      <c r="B4170" s="392" t="n">
        <v>10837</v>
      </c>
      <c r="C4170" s="392" t="n">
        <v>79</v>
      </c>
      <c r="D4170" s="392" t="n"/>
      <c r="E4170" s="392" t="n"/>
      <c r="F4170" s="392" t="n"/>
      <c r="G4170" s="392" t="n">
        <v>400</v>
      </c>
      <c r="H4170" s="446">
        <f>H4169-G4170</f>
        <v/>
      </c>
      <c r="I4170" s="392" t="n"/>
      <c r="J4170" s="392" t="n"/>
      <c r="K4170" s="392" t="n"/>
      <c r="L4170" s="392" t="n"/>
      <c r="M4170" s="392" t="n"/>
    </row>
    <row r="4171">
      <c r="A4171" s="568" t="n">
        <v>45329</v>
      </c>
      <c r="B4171" s="392" t="n">
        <v>10839</v>
      </c>
      <c r="C4171" s="392" t="n">
        <v>89</v>
      </c>
      <c r="D4171" s="392" t="n"/>
      <c r="E4171" s="392" t="n"/>
      <c r="F4171" s="392" t="n"/>
      <c r="G4171" s="392" t="n">
        <v>100</v>
      </c>
      <c r="H4171" s="446">
        <f>H4170-G4171</f>
        <v/>
      </c>
      <c r="I4171" s="392" t="n"/>
      <c r="J4171" s="392" t="n"/>
      <c r="K4171" s="392" t="n"/>
      <c r="L4171" s="392" t="n"/>
      <c r="M4171" s="392" t="n"/>
    </row>
    <row r="4172">
      <c r="A4172" s="568" t="n">
        <v>45329</v>
      </c>
      <c r="B4172" s="392" t="n">
        <v>10840</v>
      </c>
      <c r="C4172" s="392" t="n">
        <v>90</v>
      </c>
      <c r="D4172" s="392" t="n"/>
      <c r="E4172" s="392" t="n"/>
      <c r="F4172" s="392" t="n"/>
      <c r="G4172" s="392" t="n">
        <v>20</v>
      </c>
      <c r="H4172" s="446">
        <f>H4171-G4172</f>
        <v/>
      </c>
      <c r="I4172" s="392" t="n"/>
      <c r="J4172" s="392" t="n"/>
      <c r="K4172" s="392" t="n"/>
      <c r="L4172" s="392" t="n"/>
      <c r="M4172" s="392" t="n"/>
    </row>
    <row r="4173">
      <c r="A4173" s="568" t="n">
        <v>45330</v>
      </c>
      <c r="B4173" s="392" t="n">
        <v>10841</v>
      </c>
      <c r="C4173" s="392" t="n">
        <v>20</v>
      </c>
      <c r="D4173" s="392" t="n"/>
      <c r="E4173" s="392" t="n"/>
      <c r="F4173" s="392" t="n"/>
      <c r="G4173" s="392" t="n">
        <v>85</v>
      </c>
      <c r="H4173" s="446">
        <f>H4172-G4173</f>
        <v/>
      </c>
      <c r="I4173" s="392" t="n"/>
      <c r="J4173" s="392" t="n"/>
      <c r="K4173" s="392" t="n"/>
      <c r="L4173" s="392" t="n"/>
      <c r="M4173" s="392" t="n"/>
    </row>
    <row r="4174">
      <c r="A4174" s="568" t="n">
        <v>45335</v>
      </c>
      <c r="B4174" s="392" t="n">
        <v>10842</v>
      </c>
      <c r="C4174" s="392" t="n">
        <v>79</v>
      </c>
      <c r="D4174" s="392" t="n"/>
      <c r="E4174" s="392" t="n"/>
      <c r="F4174" s="392" t="n"/>
      <c r="G4174" s="392" t="n">
        <v>400</v>
      </c>
      <c r="H4174" s="446">
        <f>H4173-G4174</f>
        <v/>
      </c>
      <c r="I4174" s="392" t="n"/>
      <c r="J4174" s="392" t="n"/>
      <c r="K4174" s="392" t="n"/>
      <c r="L4174" s="392" t="n"/>
      <c r="M4174" s="392" t="n"/>
    </row>
    <row r="4175">
      <c r="A4175" s="568" t="n">
        <v>45336</v>
      </c>
      <c r="B4175" s="392" t="n">
        <v>10843</v>
      </c>
      <c r="C4175" s="392" t="n">
        <v>100</v>
      </c>
      <c r="D4175" s="392" t="n"/>
      <c r="E4175" s="392" t="n"/>
      <c r="F4175" s="392" t="n"/>
      <c r="G4175" s="392" t="n">
        <v>85</v>
      </c>
      <c r="H4175" s="446">
        <f>H4174-G4175</f>
        <v/>
      </c>
      <c r="I4175" s="392" t="n"/>
      <c r="J4175" s="392" t="n"/>
      <c r="K4175" s="392" t="n"/>
      <c r="L4175" s="392" t="n"/>
      <c r="M4175" s="392" t="n"/>
    </row>
    <row r="4176">
      <c r="A4176" s="568" t="n">
        <v>45336</v>
      </c>
      <c r="B4176" s="392" t="n">
        <v>10844</v>
      </c>
      <c r="C4176" s="392" t="n">
        <v>90</v>
      </c>
      <c r="D4176" s="392" t="n"/>
      <c r="E4176" s="392" t="n"/>
      <c r="F4176" s="392" t="n"/>
      <c r="G4176" s="392" t="n">
        <v>30</v>
      </c>
      <c r="H4176" s="446">
        <f>H4175-G4176</f>
        <v/>
      </c>
      <c r="I4176" s="392" t="n"/>
      <c r="J4176" s="392" t="n"/>
      <c r="K4176" s="392" t="n"/>
      <c r="L4176" s="392" t="n"/>
      <c r="M4176" s="392" t="n"/>
    </row>
    <row r="4177">
      <c r="A4177" s="568" t="n">
        <v>45336</v>
      </c>
      <c r="B4177" s="392" t="n">
        <v>10845</v>
      </c>
      <c r="C4177" s="392" t="n">
        <v>89</v>
      </c>
      <c r="D4177" s="392" t="n"/>
      <c r="E4177" s="392" t="n"/>
      <c r="F4177" s="392" t="n"/>
      <c r="G4177" s="392" t="n">
        <v>100</v>
      </c>
      <c r="H4177" s="446">
        <f>H4176-G4177</f>
        <v/>
      </c>
      <c r="I4177" s="392" t="n"/>
      <c r="J4177" s="392" t="n"/>
      <c r="K4177" s="392" t="n"/>
      <c r="L4177" s="392" t="n"/>
      <c r="M4177" s="392" t="n"/>
    </row>
    <row r="4178">
      <c r="A4178" s="568" t="n">
        <v>45336</v>
      </c>
      <c r="B4178" s="392" t="n">
        <v>10850</v>
      </c>
      <c r="C4178" s="392" t="n">
        <v>92</v>
      </c>
      <c r="D4178" s="392" t="n"/>
      <c r="E4178" s="392" t="n"/>
      <c r="F4178" s="392" t="n"/>
      <c r="G4178" s="392" t="n">
        <v>20</v>
      </c>
      <c r="H4178" s="446">
        <f>H4177-G4178</f>
        <v/>
      </c>
      <c r="I4178" s="392" t="n"/>
      <c r="J4178" s="392" t="n"/>
      <c r="K4178" s="392" t="n"/>
      <c r="L4178" s="392" t="n"/>
      <c r="M4178" s="392" t="n"/>
    </row>
    <row r="4179">
      <c r="A4179" s="568" t="n">
        <v>45336</v>
      </c>
      <c r="B4179" s="392" t="n">
        <v>10851</v>
      </c>
      <c r="C4179" s="392" t="n">
        <v>89.17</v>
      </c>
      <c r="D4179" s="392" t="n"/>
      <c r="E4179" s="392" t="n"/>
      <c r="F4179" s="392" t="n"/>
      <c r="G4179" s="392" t="n">
        <v>12</v>
      </c>
      <c r="H4179" s="446">
        <f>H4178-G4179</f>
        <v/>
      </c>
      <c r="I4179" s="392" t="n"/>
      <c r="J4179" s="392" t="n"/>
      <c r="K4179" s="392" t="n"/>
      <c r="L4179" s="392" t="n"/>
      <c r="M4179" s="392" t="n"/>
    </row>
    <row r="4180">
      <c r="A4180" s="568" t="n">
        <v>45336</v>
      </c>
      <c r="B4180" s="392" t="n">
        <v>10852</v>
      </c>
      <c r="C4180" s="392" t="n">
        <v>89</v>
      </c>
      <c r="D4180" s="392" t="n"/>
      <c r="E4180" s="392" t="n"/>
      <c r="F4180" s="392" t="n"/>
      <c r="G4180" s="392" t="n">
        <v>30</v>
      </c>
      <c r="H4180" s="446">
        <f>H4179-G4180</f>
        <v/>
      </c>
      <c r="I4180" s="392" t="n"/>
      <c r="J4180" s="392" t="n"/>
      <c r="K4180" s="392" t="n"/>
      <c r="L4180" s="392" t="n"/>
      <c r="M4180" s="392" t="n"/>
    </row>
    <row r="4181">
      <c r="A4181" s="568" t="n">
        <v>45337</v>
      </c>
      <c r="B4181" s="392" t="n">
        <v>10855</v>
      </c>
      <c r="C4181" s="392" t="n">
        <v>87</v>
      </c>
      <c r="D4181" s="392" t="n"/>
      <c r="E4181" s="392" t="n"/>
      <c r="F4181" s="392" t="n"/>
      <c r="G4181" s="392" t="n">
        <v>10</v>
      </c>
      <c r="H4181" s="446">
        <f>H4180-G4181</f>
        <v/>
      </c>
      <c r="I4181" s="392" t="n"/>
      <c r="J4181" s="392" t="n"/>
      <c r="K4181" s="392" t="n"/>
      <c r="L4181" s="392" t="n"/>
      <c r="M4181" s="392" t="n"/>
    </row>
    <row r="4182">
      <c r="A4182" s="568" t="n">
        <v>45341</v>
      </c>
      <c r="B4182" s="392" t="n">
        <v>10857</v>
      </c>
      <c r="C4182" s="392" t="n">
        <v>85</v>
      </c>
      <c r="D4182" s="392" t="n"/>
      <c r="E4182" s="392" t="n"/>
      <c r="F4182" s="392" t="n"/>
      <c r="G4182" s="392" t="n">
        <v>50</v>
      </c>
      <c r="H4182" s="446">
        <f>H4181-G4182</f>
        <v/>
      </c>
      <c r="I4182" s="392" t="n"/>
      <c r="J4182" s="392" t="n"/>
      <c r="K4182" s="392" t="n"/>
      <c r="L4182" s="392" t="n"/>
      <c r="M4182" s="392" t="n"/>
    </row>
    <row r="4183">
      <c r="A4183" s="568" t="n">
        <v>45342</v>
      </c>
      <c r="B4183" s="392" t="n">
        <v>10858</v>
      </c>
      <c r="C4183" s="392" t="n">
        <v>89</v>
      </c>
      <c r="D4183" s="392" t="n"/>
      <c r="E4183" s="392" t="n"/>
      <c r="F4183" s="392" t="n"/>
      <c r="G4183" s="392" t="n">
        <v>15</v>
      </c>
      <c r="H4183" s="446">
        <f>H4182-G4183</f>
        <v/>
      </c>
      <c r="I4183" s="392" t="n"/>
      <c r="J4183" s="392" t="n"/>
      <c r="K4183" s="392" t="n"/>
      <c r="L4183" s="392" t="n"/>
      <c r="M4183" s="392" t="n"/>
    </row>
    <row r="4184">
      <c r="A4184" s="568" t="n">
        <v>45342</v>
      </c>
      <c r="B4184" s="392" t="n">
        <v>10861</v>
      </c>
      <c r="C4184" s="392" t="n">
        <v>89</v>
      </c>
      <c r="D4184" s="392" t="n"/>
      <c r="E4184" s="392" t="n"/>
      <c r="F4184" s="392" t="n"/>
      <c r="G4184" s="392" t="n">
        <v>30</v>
      </c>
      <c r="H4184" s="446">
        <f>H4183-G4184</f>
        <v/>
      </c>
      <c r="I4184" s="392" t="n"/>
      <c r="J4184" s="392" t="n"/>
      <c r="K4184" s="392" t="n"/>
      <c r="L4184" s="392" t="n"/>
      <c r="M4184" s="392" t="n"/>
    </row>
    <row r="4185">
      <c r="A4185" s="568" t="n">
        <v>45342</v>
      </c>
      <c r="B4185" s="392" t="n">
        <v>10862</v>
      </c>
      <c r="C4185" s="392" t="n">
        <v>92</v>
      </c>
      <c r="D4185" s="392" t="n"/>
      <c r="E4185" s="392" t="n"/>
      <c r="F4185" s="392" t="n"/>
      <c r="G4185" s="392" t="n">
        <v>20</v>
      </c>
      <c r="H4185" s="446">
        <f>H4184-G4185</f>
        <v/>
      </c>
      <c r="I4185" s="392" t="n"/>
      <c r="J4185" s="392" t="n"/>
      <c r="K4185" s="392" t="n"/>
      <c r="L4185" s="392" t="n"/>
      <c r="M4185" s="392" t="n"/>
    </row>
    <row r="4186">
      <c r="A4186" s="568" t="n">
        <v>45342</v>
      </c>
      <c r="B4186" s="392" t="n">
        <v>10863</v>
      </c>
      <c r="C4186" s="392" t="n">
        <v>92</v>
      </c>
      <c r="D4186" s="392" t="n"/>
      <c r="E4186" s="392" t="n"/>
      <c r="F4186" s="392" t="n"/>
      <c r="G4186" s="392" t="n">
        <v>30</v>
      </c>
      <c r="H4186" s="446">
        <f>H4185-G4186</f>
        <v/>
      </c>
      <c r="I4186" s="392" t="n"/>
      <c r="J4186" s="392" t="n"/>
      <c r="K4186" s="392" t="n"/>
      <c r="L4186" s="392" t="n"/>
      <c r="M4186" s="392" t="n"/>
    </row>
    <row r="4187">
      <c r="A4187" s="568" t="n">
        <v>45342</v>
      </c>
      <c r="B4187" s="392" t="n">
        <v>10870</v>
      </c>
      <c r="C4187" s="392" t="n">
        <v>90.59999999999999</v>
      </c>
      <c r="D4187" s="392" t="n"/>
      <c r="E4187" s="392" t="n"/>
      <c r="F4187" s="392" t="n"/>
      <c r="G4187" s="392" t="n">
        <v>25</v>
      </c>
      <c r="H4187" s="446">
        <f>H4186-G4187</f>
        <v/>
      </c>
      <c r="I4187" s="392" t="n"/>
      <c r="J4187" s="392" t="n"/>
      <c r="K4187" s="392" t="n"/>
      <c r="L4187" s="392" t="n"/>
      <c r="M4187" s="392" t="n"/>
    </row>
    <row r="4188">
      <c r="A4188" s="568" t="n">
        <v>45342</v>
      </c>
      <c r="B4188" s="392" t="n">
        <v>10873</v>
      </c>
      <c r="C4188" s="392" t="n">
        <v>89</v>
      </c>
      <c r="D4188" s="392" t="n"/>
      <c r="E4188" s="392" t="n"/>
      <c r="F4188" s="392" t="n"/>
      <c r="G4188" s="392" t="n">
        <v>30</v>
      </c>
      <c r="H4188" s="446">
        <f>H4187-G4188</f>
        <v/>
      </c>
      <c r="I4188" s="392" t="n"/>
      <c r="J4188" s="392" t="n"/>
      <c r="K4188" s="392" t="n"/>
      <c r="L4188" s="392" t="n"/>
      <c r="M4188" s="392" t="n"/>
    </row>
    <row r="4189">
      <c r="A4189" s="568" t="n">
        <v>45343</v>
      </c>
      <c r="B4189" s="392" t="n">
        <v>10874</v>
      </c>
      <c r="C4189" s="392" t="n">
        <v>90</v>
      </c>
      <c r="D4189" s="392" t="n"/>
      <c r="E4189" s="392" t="n"/>
      <c r="F4189" s="392" t="n"/>
      <c r="G4189" s="392" t="n">
        <v>20</v>
      </c>
      <c r="H4189" s="446">
        <f>H4188-G4189</f>
        <v/>
      </c>
      <c r="I4189" s="392" t="n"/>
      <c r="J4189" s="392" t="n"/>
      <c r="K4189" s="392" t="n"/>
      <c r="L4189" s="392" t="n"/>
      <c r="M4189" s="392" t="n"/>
    </row>
    <row r="4190">
      <c r="A4190" s="568" t="n">
        <v>45343</v>
      </c>
      <c r="B4190" s="392" t="n">
        <v>10875</v>
      </c>
      <c r="C4190" s="392" t="n">
        <v>89</v>
      </c>
      <c r="D4190" s="392" t="n"/>
      <c r="E4190" s="392" t="n"/>
      <c r="F4190" s="392" t="n"/>
      <c r="G4190" s="392" t="n">
        <v>30</v>
      </c>
      <c r="H4190" s="446">
        <f>H4189-G4190</f>
        <v/>
      </c>
      <c r="I4190" s="392" t="n"/>
      <c r="J4190" s="392" t="n"/>
      <c r="K4190" s="392" t="n"/>
      <c r="L4190" s="392" t="n"/>
      <c r="M4190" s="392" t="n"/>
    </row>
    <row r="4191">
      <c r="A4191" s="304" t="n">
        <v>45345</v>
      </c>
      <c r="B4191" s="401" t="n">
        <v>531</v>
      </c>
      <c r="C4191" s="401" t="n">
        <v>65</v>
      </c>
      <c r="D4191" s="401" t="n"/>
      <c r="E4191" s="401" t="n"/>
      <c r="F4191" s="401" t="n">
        <v>1120</v>
      </c>
      <c r="G4191" s="401" t="n"/>
      <c r="H4191" s="322" t="n">
        <v>2653</v>
      </c>
      <c r="I4191" s="392" t="n"/>
      <c r="J4191" s="392" t="n"/>
      <c r="K4191" s="392" t="n"/>
      <c r="L4191" s="392" t="n"/>
      <c r="M4191" s="392" t="n"/>
    </row>
    <row r="4192">
      <c r="A4192" s="568" t="n">
        <v>45350</v>
      </c>
      <c r="B4192" s="392" t="n">
        <v>10876</v>
      </c>
      <c r="C4192" s="392" t="n">
        <v>89</v>
      </c>
      <c r="D4192" s="392" t="n"/>
      <c r="E4192" s="392" t="n"/>
      <c r="F4192" s="392" t="n"/>
      <c r="G4192" s="392" t="n">
        <v>60</v>
      </c>
      <c r="H4192" s="446">
        <f>H4191-G4192</f>
        <v/>
      </c>
      <c r="I4192" s="392" t="n"/>
      <c r="J4192" s="392" t="n"/>
      <c r="K4192" s="392" t="n"/>
      <c r="L4192" s="392" t="n"/>
      <c r="M4192" s="392" t="n"/>
    </row>
    <row r="4193">
      <c r="A4193" s="568" t="n">
        <v>45350</v>
      </c>
      <c r="B4193" s="392" t="n">
        <v>10877</v>
      </c>
      <c r="C4193" s="392" t="n">
        <v>80</v>
      </c>
      <c r="D4193" s="392" t="n"/>
      <c r="E4193" s="392" t="n"/>
      <c r="F4193" s="392" t="n"/>
      <c r="G4193" s="392" t="n">
        <v>50</v>
      </c>
      <c r="H4193" s="446">
        <f>H4192-G4193</f>
        <v/>
      </c>
      <c r="I4193" s="392" t="n"/>
      <c r="J4193" s="392" t="n"/>
      <c r="K4193" s="392" t="n"/>
      <c r="L4193" s="392" t="n"/>
      <c r="M4193" s="392" t="n"/>
    </row>
    <row r="4194">
      <c r="A4194" s="304" t="n">
        <v>45345</v>
      </c>
      <c r="B4194" s="401" t="n">
        <v>239742</v>
      </c>
      <c r="C4194" s="401" t="n">
        <v>68</v>
      </c>
      <c r="D4194" s="401" t="n"/>
      <c r="E4194" s="401" t="n"/>
      <c r="F4194" s="401" t="n">
        <v>300</v>
      </c>
      <c r="G4194" s="401" t="n"/>
      <c r="H4194" s="322" t="n">
        <v>2843</v>
      </c>
      <c r="I4194" s="392" t="n"/>
      <c r="J4194" s="392" t="n"/>
      <c r="K4194" s="392" t="n"/>
      <c r="L4194" s="392" t="n"/>
      <c r="M4194" s="392" t="n"/>
    </row>
    <row r="4195">
      <c r="A4195" s="568" t="n">
        <v>45350</v>
      </c>
      <c r="B4195" s="392" t="n">
        <v>10878</v>
      </c>
      <c r="C4195" s="392" t="n">
        <v>90</v>
      </c>
      <c r="D4195" s="392" t="n"/>
      <c r="E4195" s="392" t="n"/>
      <c r="F4195" s="392" t="n"/>
      <c r="G4195" s="392" t="n">
        <v>20</v>
      </c>
      <c r="H4195" s="446">
        <f>H4194-G4195</f>
        <v/>
      </c>
      <c r="I4195" s="392" t="n"/>
      <c r="J4195" s="392" t="n"/>
      <c r="K4195" s="392" t="n"/>
      <c r="L4195" s="392" t="n"/>
      <c r="M4195" s="392" t="n"/>
    </row>
    <row r="4196">
      <c r="A4196" s="568" t="n">
        <v>45350</v>
      </c>
      <c r="B4196" s="392" t="n">
        <v>10881</v>
      </c>
      <c r="C4196" s="392" t="n">
        <v>89</v>
      </c>
      <c r="D4196" s="392" t="n"/>
      <c r="E4196" s="392" t="n"/>
      <c r="F4196" s="392" t="n"/>
      <c r="G4196" s="392" t="n">
        <v>15</v>
      </c>
      <c r="H4196" s="446">
        <f>H4195-G4196</f>
        <v/>
      </c>
      <c r="I4196" s="392" t="n"/>
      <c r="J4196" s="392" t="n"/>
      <c r="K4196" s="392" t="n"/>
      <c r="L4196" s="392" t="n"/>
      <c r="M4196" s="392" t="n"/>
    </row>
    <row r="4197">
      <c r="A4197" s="568" t="n">
        <v>45350</v>
      </c>
      <c r="B4197" s="392" t="n">
        <v>10885</v>
      </c>
      <c r="C4197" s="392" t="n">
        <v>85</v>
      </c>
      <c r="D4197" s="392" t="n"/>
      <c r="E4197" s="392" t="n"/>
      <c r="F4197" s="392" t="n"/>
      <c r="G4197" s="392" t="n">
        <v>50</v>
      </c>
      <c r="H4197" s="446">
        <f>H4196-G4197</f>
        <v/>
      </c>
      <c r="I4197" s="392" t="n"/>
      <c r="J4197" s="392" t="n"/>
      <c r="K4197" s="392" t="n"/>
      <c r="L4197" s="392" t="n"/>
      <c r="M4197" s="392" t="n"/>
    </row>
    <row r="4198" ht="15.75" customHeight="1" s="436" thickBot="1">
      <c r="A4198" s="414" t="n"/>
      <c r="H4198" s="390" t="n"/>
    </row>
    <row r="4199" ht="32.25" customHeight="1" s="436" thickBot="1">
      <c r="A4199" s="735" t="inlineStr">
        <is>
          <t>Março</t>
        </is>
      </c>
      <c r="B4199" s="697" t="n"/>
      <c r="C4199" s="697" t="n"/>
      <c r="D4199" s="697" t="n"/>
      <c r="E4199" s="697" t="n"/>
      <c r="F4199" s="697" t="n"/>
      <c r="G4199" s="697" t="n"/>
      <c r="H4199" s="697" t="n"/>
      <c r="I4199" s="697" t="n"/>
      <c r="J4199" s="697" t="n"/>
      <c r="K4199" s="697" t="n"/>
      <c r="L4199" s="697" t="n"/>
      <c r="M4199" s="698" t="n"/>
    </row>
    <row r="4200" ht="27" customHeight="1" s="436" thickBot="1">
      <c r="A4200" s="720" t="inlineStr">
        <is>
          <t xml:space="preserve"> FARINHA DE TRIGO TIPO: 1 - 25 KG</t>
        </is>
      </c>
      <c r="B4200" s="697" t="n"/>
      <c r="C4200" s="697" t="n"/>
      <c r="D4200" s="697" t="n"/>
      <c r="E4200" s="697" t="n"/>
      <c r="F4200" s="697" t="n"/>
      <c r="G4200" s="697" t="n"/>
      <c r="H4200" s="697" t="n"/>
      <c r="I4200" s="697" t="n"/>
      <c r="J4200" s="697" t="n"/>
      <c r="K4200" s="697" t="n"/>
      <c r="L4200" s="697" t="n"/>
      <c r="M4200" s="698" t="n"/>
    </row>
    <row r="4201">
      <c r="A4201" s="3" t="inlineStr">
        <is>
          <t>DATA</t>
        </is>
      </c>
      <c r="B4201" s="3" t="inlineStr">
        <is>
          <t>N.F.</t>
        </is>
      </c>
      <c r="C4201" s="3" t="inlineStr">
        <is>
          <t>TIPO</t>
        </is>
      </c>
      <c r="D4201" s="708" t="inlineStr">
        <is>
          <t>PREÇO UNITÁRIO</t>
        </is>
      </c>
      <c r="E4201" s="736" t="n"/>
      <c r="F4201" s="3" t="inlineStr">
        <is>
          <t>QUANTIDADE / KG</t>
        </is>
      </c>
      <c r="G4201" s="737" t="n"/>
      <c r="H4201" s="736" t="n"/>
      <c r="I4201" s="631" t="inlineStr">
        <is>
          <t>PREÇO</t>
        </is>
      </c>
      <c r="J4201" s="631" t="inlineStr">
        <is>
          <t>VALORES</t>
        </is>
      </c>
      <c r="K4201" s="737" t="n"/>
      <c r="L4201" s="736" t="n"/>
      <c r="M4201" s="738" t="n"/>
    </row>
    <row r="4202" ht="15.75" customHeight="1" s="436" thickBot="1">
      <c r="A4202" s="704" t="n"/>
      <c r="B4202" s="704" t="n"/>
      <c r="C4202" s="704" t="n"/>
      <c r="D4202" s="703" t="n"/>
      <c r="E4202" s="701" t="n"/>
      <c r="F4202" s="705" t="n"/>
      <c r="G4202" s="706" t="n"/>
      <c r="H4202" s="707" t="n"/>
      <c r="I4202" s="704" t="n"/>
      <c r="J4202" s="703" t="n"/>
      <c r="L4202" s="701" t="n"/>
      <c r="M4202" s="704" t="n"/>
    </row>
    <row r="4203" ht="15.75" customHeight="1" s="436" thickBot="1">
      <c r="A4203" s="704" t="n"/>
      <c r="B4203" s="704" t="n"/>
      <c r="C4203" s="704" t="n"/>
      <c r="D4203" s="705" t="n"/>
      <c r="E4203" s="707" t="n"/>
      <c r="F4203" s="3" t="inlineStr">
        <is>
          <t>ENTRADA</t>
        </is>
      </c>
      <c r="G4203" s="3" t="inlineStr">
        <is>
          <t>SAÍDA</t>
        </is>
      </c>
      <c r="H4203" s="640" t="n"/>
      <c r="I4203" s="633" t="inlineStr">
        <is>
          <t>MÉDIO</t>
        </is>
      </c>
      <c r="J4203" s="739" t="inlineStr">
        <is>
          <t>SALDO EM 30/11/2017</t>
        </is>
      </c>
      <c r="K4203" s="707" t="n"/>
      <c r="L4203" s="17" t="n"/>
      <c r="M4203" s="740" t="n"/>
    </row>
    <row r="4204" ht="18" customHeight="1" s="436" thickBot="1">
      <c r="A4204" s="695" t="n"/>
      <c r="B4204" s="695" t="n"/>
      <c r="C4204" s="695" t="n"/>
      <c r="D4204" s="3" t="inlineStr">
        <is>
          <t>C/ICMS</t>
        </is>
      </c>
      <c r="E4204" s="3" t="inlineStr">
        <is>
          <t>S/ICMS</t>
        </is>
      </c>
      <c r="F4204" s="695" t="n"/>
      <c r="G4204" s="695" t="n"/>
      <c r="H4204" s="84" t="inlineStr">
        <is>
          <t>Saldo em 29/02/2024</t>
        </is>
      </c>
      <c r="I4204" s="695" t="n"/>
      <c r="J4204" s="645" t="inlineStr">
        <is>
          <t>ENTRADA</t>
        </is>
      </c>
      <c r="K4204" s="633" t="inlineStr">
        <is>
          <t>SAÍDA / CMV</t>
        </is>
      </c>
      <c r="L4204" s="643" t="inlineStr">
        <is>
          <t>SALDO</t>
        </is>
      </c>
      <c r="M4204" s="392" t="n"/>
    </row>
    <row r="4205">
      <c r="A4205" s="392" t="n"/>
      <c r="B4205" s="392" t="n"/>
      <c r="C4205" s="392" t="n"/>
      <c r="D4205" s="392" t="n"/>
      <c r="E4205" s="392" t="n"/>
      <c r="F4205" s="392" t="n"/>
      <c r="G4205" s="392" t="n"/>
      <c r="H4205" s="446" t="n">
        <v>2758</v>
      </c>
      <c r="I4205" s="392" t="n"/>
      <c r="J4205" s="392" t="n"/>
      <c r="K4205" s="392" t="n"/>
      <c r="L4205" s="392" t="n"/>
      <c r="M4205" s="392" t="n"/>
    </row>
    <row r="4206">
      <c r="A4206" s="304" t="n">
        <v>45352</v>
      </c>
      <c r="B4206" s="401" t="n">
        <v>622</v>
      </c>
      <c r="C4206" s="401" t="n">
        <v>70</v>
      </c>
      <c r="D4206" s="401" t="n"/>
      <c r="E4206" s="401" t="n"/>
      <c r="F4206" s="401" t="n">
        <v>1120</v>
      </c>
      <c r="G4206" s="401" t="n"/>
      <c r="H4206" s="322" t="n">
        <v>3878</v>
      </c>
      <c r="I4206" s="392" t="n"/>
      <c r="J4206" s="392" t="n"/>
      <c r="K4206" s="392" t="n"/>
      <c r="L4206" s="392" t="n"/>
      <c r="M4206" s="392" t="n"/>
    </row>
    <row r="4207">
      <c r="A4207" s="568" t="n">
        <v>45355</v>
      </c>
      <c r="B4207" s="392" t="n">
        <v>10887</v>
      </c>
      <c r="C4207" s="392" t="n">
        <v>76.90000000000001</v>
      </c>
      <c r="D4207" s="392" t="n"/>
      <c r="E4207" s="392" t="n"/>
      <c r="F4207" s="392" t="n"/>
      <c r="G4207" s="392" t="n">
        <v>200</v>
      </c>
      <c r="H4207" s="446">
        <f>H4206-G4207</f>
        <v/>
      </c>
      <c r="I4207" s="392" t="n"/>
      <c r="J4207" s="392" t="n"/>
      <c r="K4207" s="392" t="n"/>
      <c r="L4207" s="392" t="n"/>
      <c r="M4207" s="392" t="n"/>
    </row>
    <row r="4208">
      <c r="A4208" s="568" t="n">
        <v>45357</v>
      </c>
      <c r="B4208" s="392" t="n">
        <v>10889</v>
      </c>
      <c r="C4208" s="392" t="n">
        <v>89</v>
      </c>
      <c r="D4208" s="392" t="n"/>
      <c r="E4208" s="392" t="n"/>
      <c r="F4208" s="392" t="n"/>
      <c r="G4208" s="392" t="n">
        <v>70</v>
      </c>
      <c r="H4208" s="446">
        <f>H4207-G4208</f>
        <v/>
      </c>
      <c r="I4208" s="392" t="n"/>
      <c r="J4208" s="392" t="n"/>
      <c r="K4208" s="392" t="n"/>
      <c r="L4208" s="392" t="n"/>
      <c r="M4208" s="392" t="n"/>
    </row>
    <row r="4209">
      <c r="A4209" s="568" t="n">
        <v>45357</v>
      </c>
      <c r="B4209" s="392" t="n">
        <v>10891</v>
      </c>
      <c r="C4209" s="392" t="n">
        <v>89</v>
      </c>
      <c r="D4209" s="392" t="n"/>
      <c r="E4209" s="392" t="n"/>
      <c r="F4209" s="392" t="n"/>
      <c r="G4209" s="392" t="n">
        <v>30</v>
      </c>
      <c r="H4209" s="446">
        <f>H4208-G4209</f>
        <v/>
      </c>
      <c r="I4209" s="392" t="n"/>
      <c r="J4209" s="392" t="n"/>
      <c r="K4209" s="392" t="n"/>
      <c r="L4209" s="392" t="n"/>
      <c r="M4209" s="392" t="n"/>
    </row>
    <row r="4210">
      <c r="A4210" s="568" t="n">
        <v>45357</v>
      </c>
      <c r="B4210" s="392" t="n">
        <v>10892</v>
      </c>
      <c r="C4210" s="392" t="n">
        <v>89</v>
      </c>
      <c r="D4210" s="392" t="n"/>
      <c r="E4210" s="392" t="n"/>
      <c r="F4210" s="392" t="n"/>
      <c r="G4210" s="392" t="n">
        <v>30</v>
      </c>
      <c r="H4210" s="446">
        <f>H4209-G4210</f>
        <v/>
      </c>
      <c r="I4210" s="392" t="n"/>
      <c r="J4210" s="392" t="n"/>
      <c r="K4210" s="392" t="n"/>
      <c r="L4210" s="392" t="n"/>
      <c r="M4210" s="392" t="n"/>
    </row>
    <row r="4211">
      <c r="A4211" s="568" t="n">
        <v>45357</v>
      </c>
      <c r="B4211" s="392" t="n">
        <v>10893</v>
      </c>
      <c r="C4211" s="392" t="n">
        <v>90</v>
      </c>
      <c r="D4211" s="392" t="n"/>
      <c r="E4211" s="392" t="n"/>
      <c r="F4211" s="392" t="n"/>
      <c r="G4211" s="392" t="n">
        <v>30</v>
      </c>
      <c r="H4211" s="446">
        <f>H4210-G4211</f>
        <v/>
      </c>
      <c r="I4211" s="392" t="n"/>
      <c r="J4211" s="392" t="n"/>
      <c r="K4211" s="392" t="n"/>
      <c r="L4211" s="392" t="n"/>
      <c r="M4211" s="392" t="n"/>
    </row>
    <row r="4212">
      <c r="A4212" s="568" t="n">
        <v>45357</v>
      </c>
      <c r="B4212" s="392" t="n">
        <v>10894</v>
      </c>
      <c r="C4212" s="392" t="n">
        <v>90</v>
      </c>
      <c r="D4212" s="392" t="n"/>
      <c r="E4212" s="392" t="n"/>
      <c r="F4212" s="392" t="n"/>
      <c r="G4212" s="392" t="n">
        <v>20</v>
      </c>
      <c r="H4212" s="446">
        <f>H4211-G4212</f>
        <v/>
      </c>
      <c r="I4212" s="392" t="n"/>
      <c r="J4212" s="392" t="n"/>
      <c r="K4212" s="392" t="n"/>
      <c r="L4212" s="392" t="n"/>
      <c r="M4212" s="392" t="n"/>
    </row>
    <row r="4213">
      <c r="A4213" s="568" t="n">
        <v>45357</v>
      </c>
      <c r="B4213" s="392" t="n">
        <v>10898</v>
      </c>
      <c r="C4213" s="392" t="n">
        <v>85</v>
      </c>
      <c r="D4213" s="392" t="n"/>
      <c r="E4213" s="392" t="n"/>
      <c r="F4213" s="392" t="n"/>
      <c r="G4213" s="392" t="n">
        <v>10</v>
      </c>
      <c r="H4213" s="446">
        <f>H4212-G4213</f>
        <v/>
      </c>
      <c r="I4213" s="392" t="n"/>
      <c r="J4213" s="392" t="n"/>
      <c r="K4213" s="392" t="n"/>
      <c r="L4213" s="392" t="n"/>
      <c r="M4213" s="392" t="n"/>
    </row>
    <row r="4214">
      <c r="A4214" s="568" t="n">
        <v>45357</v>
      </c>
      <c r="B4214" s="392" t="n">
        <v>10899</v>
      </c>
      <c r="C4214" s="392" t="n">
        <v>89</v>
      </c>
      <c r="D4214" s="392" t="n"/>
      <c r="E4214" s="392" t="n"/>
      <c r="F4214" s="392" t="n"/>
      <c r="G4214" s="392" t="n">
        <v>30</v>
      </c>
      <c r="H4214" s="446">
        <f>H4213-G4214</f>
        <v/>
      </c>
      <c r="I4214" s="392" t="n"/>
      <c r="J4214" s="392" t="n"/>
      <c r="K4214" s="392" t="n"/>
      <c r="L4214" s="392" t="n"/>
      <c r="M4214" s="392" t="n"/>
    </row>
    <row r="4215">
      <c r="A4215" s="568" t="n">
        <v>45362</v>
      </c>
      <c r="B4215" s="392" t="n">
        <v>10901</v>
      </c>
      <c r="C4215" s="392" t="n">
        <v>83</v>
      </c>
      <c r="D4215" s="392" t="n"/>
      <c r="E4215" s="392" t="n"/>
      <c r="F4215" s="392" t="n"/>
      <c r="G4215" s="392" t="n">
        <v>50</v>
      </c>
      <c r="H4215" s="446">
        <f>H4214-G4215</f>
        <v/>
      </c>
      <c r="I4215" s="392" t="n"/>
      <c r="J4215" s="392" t="n"/>
      <c r="K4215" s="392" t="n"/>
      <c r="L4215" s="392" t="n"/>
      <c r="M4215" s="392" t="n"/>
    </row>
    <row r="4216">
      <c r="A4216" s="568" t="n">
        <v>45362</v>
      </c>
      <c r="B4216" s="392" t="n">
        <v>10906</v>
      </c>
      <c r="C4216" s="392" t="n">
        <v>89</v>
      </c>
      <c r="D4216" s="392" t="n"/>
      <c r="E4216" s="392" t="n"/>
      <c r="F4216" s="392" t="n"/>
      <c r="G4216" s="392" t="n">
        <v>100</v>
      </c>
      <c r="H4216" s="446">
        <f>H4215-G4216</f>
        <v/>
      </c>
      <c r="I4216" s="392" t="n"/>
      <c r="J4216" s="392" t="n"/>
      <c r="K4216" s="392" t="n"/>
      <c r="L4216" s="392" t="n"/>
      <c r="M4216" s="392" t="n"/>
    </row>
    <row r="4217">
      <c r="A4217" s="568" t="n">
        <v>45364</v>
      </c>
      <c r="B4217" s="392" t="n">
        <v>10908</v>
      </c>
      <c r="C4217" s="392" t="n">
        <v>89</v>
      </c>
      <c r="D4217" s="392" t="n"/>
      <c r="E4217" s="392" t="n"/>
      <c r="F4217" s="392" t="n"/>
      <c r="G4217" s="392" t="n">
        <v>20</v>
      </c>
      <c r="H4217" s="446">
        <f>H4216-G4217</f>
        <v/>
      </c>
      <c r="I4217" s="392" t="n"/>
      <c r="J4217" s="392" t="n"/>
      <c r="K4217" s="392" t="n"/>
      <c r="L4217" s="392" t="n"/>
      <c r="M4217" s="392" t="n"/>
    </row>
    <row r="4218">
      <c r="A4218" s="568" t="n">
        <v>45364</v>
      </c>
      <c r="B4218" s="392" t="n">
        <v>10909</v>
      </c>
      <c r="C4218" s="392" t="n">
        <v>88.40000000000001</v>
      </c>
      <c r="D4218" s="392" t="n"/>
      <c r="E4218" s="392" t="n"/>
      <c r="F4218" s="392" t="n"/>
      <c r="G4218" s="392" t="n">
        <v>20</v>
      </c>
      <c r="H4218" s="446">
        <f>H4217-G4218</f>
        <v/>
      </c>
      <c r="I4218" s="392" t="n"/>
      <c r="J4218" s="392" t="n"/>
      <c r="K4218" s="392" t="n"/>
      <c r="L4218" s="392" t="n"/>
      <c r="M4218" s="392" t="n"/>
    </row>
    <row r="4219">
      <c r="A4219" s="568" t="n">
        <v>45364</v>
      </c>
      <c r="B4219" s="392" t="n">
        <v>10913</v>
      </c>
      <c r="C4219" s="392" t="n">
        <v>88.34</v>
      </c>
      <c r="D4219" s="392" t="n"/>
      <c r="E4219" s="392" t="n"/>
      <c r="F4219" s="392" t="n"/>
      <c r="G4219" s="392" t="n">
        <v>30</v>
      </c>
      <c r="H4219" s="446">
        <f>H4218-G4219</f>
        <v/>
      </c>
      <c r="I4219" s="392" t="n"/>
      <c r="J4219" s="392" t="n"/>
      <c r="K4219" s="392" t="n"/>
      <c r="L4219" s="392" t="n"/>
      <c r="M4219" s="392" t="n"/>
    </row>
    <row r="4220">
      <c r="A4220" s="568" t="n">
        <v>45364</v>
      </c>
      <c r="B4220" s="392" t="n">
        <v>10915</v>
      </c>
      <c r="C4220" s="392" t="n">
        <v>89</v>
      </c>
      <c r="D4220" s="392" t="n"/>
      <c r="E4220" s="392" t="n"/>
      <c r="F4220" s="392" t="n"/>
      <c r="G4220" s="392" t="n">
        <v>50</v>
      </c>
      <c r="H4220" s="446">
        <f>H4219-G4220</f>
        <v/>
      </c>
      <c r="I4220" s="392" t="n"/>
      <c r="J4220" s="392" t="n"/>
      <c r="K4220" s="392" t="n"/>
      <c r="L4220" s="392" t="n"/>
      <c r="M4220" s="392" t="n"/>
    </row>
    <row r="4221">
      <c r="A4221" s="568" t="n">
        <v>45368</v>
      </c>
      <c r="B4221" s="392" t="n">
        <v>10917</v>
      </c>
      <c r="C4221" s="392" t="n">
        <v>83</v>
      </c>
      <c r="D4221" s="392" t="n"/>
      <c r="E4221" s="392" t="n"/>
      <c r="F4221" s="392" t="n"/>
      <c r="G4221" s="392" t="n">
        <v>25</v>
      </c>
      <c r="H4221" s="446">
        <f>H4220-G4221</f>
        <v/>
      </c>
      <c r="I4221" s="392" t="n"/>
      <c r="J4221" s="392" t="n"/>
      <c r="K4221" s="392" t="n"/>
      <c r="L4221" s="392" t="n"/>
      <c r="M4221" s="392" t="n"/>
    </row>
    <row r="4222">
      <c r="A4222" s="568" t="n">
        <v>45369</v>
      </c>
      <c r="B4222" s="392" t="n">
        <v>10919</v>
      </c>
      <c r="C4222" s="392" t="n">
        <v>80</v>
      </c>
      <c r="D4222" s="392" t="n"/>
      <c r="E4222" s="392" t="n"/>
      <c r="F4222" s="392" t="n"/>
      <c r="G4222" s="392" t="n">
        <v>50</v>
      </c>
      <c r="H4222" s="446">
        <f>H4221-G4222</f>
        <v/>
      </c>
      <c r="I4222" s="392" t="n"/>
      <c r="J4222" s="392" t="n"/>
      <c r="K4222" s="392" t="n"/>
      <c r="L4222" s="392" t="n"/>
      <c r="M4222" s="392" t="n"/>
    </row>
    <row r="4223">
      <c r="A4223" s="568" t="n">
        <v>45369</v>
      </c>
      <c r="B4223" s="392" t="n">
        <v>10920</v>
      </c>
      <c r="C4223" s="392" t="n">
        <v>89</v>
      </c>
      <c r="D4223" s="392" t="n"/>
      <c r="E4223" s="392" t="n"/>
      <c r="F4223" s="392" t="n"/>
      <c r="G4223" s="392" t="n">
        <v>20</v>
      </c>
      <c r="H4223" s="446">
        <f>H4222-G4223</f>
        <v/>
      </c>
      <c r="I4223" s="392" t="n"/>
      <c r="J4223" s="392" t="n"/>
      <c r="K4223" s="392" t="n"/>
      <c r="L4223" s="392" t="n"/>
      <c r="M4223" s="392" t="n"/>
    </row>
    <row r="4224">
      <c r="A4224" s="568" t="n">
        <v>45369</v>
      </c>
      <c r="B4224" s="392" t="n">
        <v>10921</v>
      </c>
      <c r="C4224" s="392" t="n">
        <v>89</v>
      </c>
      <c r="D4224" s="392" t="n"/>
      <c r="E4224" s="392" t="n"/>
      <c r="F4224" s="392" t="n"/>
      <c r="G4224" s="392" t="n">
        <v>20</v>
      </c>
      <c r="H4224" s="446">
        <f>H4223-G4224</f>
        <v/>
      </c>
      <c r="I4224" s="392" t="n"/>
      <c r="J4224" s="392" t="n"/>
      <c r="K4224" s="392" t="n"/>
      <c r="L4224" s="392" t="n"/>
      <c r="M4224" s="392" t="n"/>
    </row>
    <row r="4225">
      <c r="A4225" s="568" t="n">
        <v>45369</v>
      </c>
      <c r="B4225" s="392" t="n">
        <v>10922</v>
      </c>
      <c r="C4225" s="392" t="n">
        <v>89</v>
      </c>
      <c r="D4225" s="392" t="n"/>
      <c r="E4225" s="392" t="n"/>
      <c r="F4225" s="392" t="n"/>
      <c r="G4225" s="392" t="n">
        <v>30</v>
      </c>
      <c r="H4225" s="446">
        <f>H4224-G4225</f>
        <v/>
      </c>
      <c r="I4225" s="392" t="n"/>
      <c r="J4225" s="392" t="n"/>
      <c r="K4225" s="392" t="n"/>
      <c r="L4225" s="392" t="n"/>
      <c r="M4225" s="392" t="n"/>
    </row>
    <row r="4226">
      <c r="A4226" s="568" t="n">
        <v>45369</v>
      </c>
      <c r="B4226" s="392" t="n">
        <v>10923</v>
      </c>
      <c r="C4226" s="392" t="n">
        <v>82</v>
      </c>
      <c r="D4226" s="392" t="n"/>
      <c r="E4226" s="392" t="n"/>
      <c r="F4226" s="392" t="n"/>
      <c r="G4226" s="392" t="n">
        <v>25</v>
      </c>
      <c r="H4226" s="446">
        <f>H4225-G4226</f>
        <v/>
      </c>
      <c r="I4226" s="392" t="n"/>
      <c r="J4226" s="392" t="n"/>
      <c r="K4226" s="392" t="n"/>
      <c r="L4226" s="392" t="n"/>
      <c r="M4226" s="392" t="n"/>
    </row>
    <row r="4227">
      <c r="A4227" s="568" t="n">
        <v>45369</v>
      </c>
      <c r="B4227" s="392" t="n">
        <v>10925</v>
      </c>
      <c r="C4227" s="392" t="n">
        <v>78</v>
      </c>
      <c r="D4227" s="392" t="n"/>
      <c r="E4227" s="392" t="n"/>
      <c r="F4227" s="392" t="n"/>
      <c r="G4227" s="392" t="n">
        <v>50</v>
      </c>
      <c r="H4227" s="446">
        <f>H4226-G4227</f>
        <v/>
      </c>
      <c r="I4227" s="392" t="n"/>
      <c r="J4227" s="392" t="n"/>
      <c r="K4227" s="392" t="n"/>
      <c r="L4227" s="392" t="n"/>
      <c r="M4227" s="392" t="n"/>
    </row>
    <row r="4228">
      <c r="A4228" s="568" t="n">
        <v>45369</v>
      </c>
      <c r="B4228" s="392" t="n">
        <v>10927</v>
      </c>
      <c r="C4228" s="392" t="n">
        <v>87</v>
      </c>
      <c r="D4228" s="392" t="n"/>
      <c r="E4228" s="392" t="n"/>
      <c r="F4228" s="392" t="n"/>
      <c r="G4228" s="392" t="n">
        <v>20</v>
      </c>
      <c r="H4228" s="446">
        <f>H4227-G4228</f>
        <v/>
      </c>
      <c r="I4228" s="392" t="n"/>
      <c r="J4228" s="392" t="n"/>
      <c r="K4228" s="392" t="n"/>
      <c r="L4228" s="392" t="n"/>
      <c r="M4228" s="392" t="n"/>
    </row>
    <row r="4229">
      <c r="A4229" s="304" t="n">
        <v>45371</v>
      </c>
      <c r="B4229" s="401" t="n">
        <v>752</v>
      </c>
      <c r="C4229" s="401" t="n">
        <v>70</v>
      </c>
      <c r="D4229" s="401" t="n"/>
      <c r="E4229" s="401" t="n"/>
      <c r="F4229" s="401" t="n">
        <v>1120</v>
      </c>
      <c r="G4229" s="401" t="n"/>
      <c r="H4229" s="322" t="n">
        <v>4068</v>
      </c>
      <c r="I4229" s="392" t="n"/>
      <c r="J4229" s="392" t="n"/>
      <c r="K4229" s="392" t="n"/>
      <c r="L4229" s="392" t="n"/>
      <c r="M4229" s="392" t="n"/>
    </row>
    <row r="4230">
      <c r="A4230" s="568" t="n">
        <v>45371</v>
      </c>
      <c r="B4230" s="392" t="n">
        <v>10928</v>
      </c>
      <c r="C4230" s="392" t="n">
        <v>89</v>
      </c>
      <c r="D4230" s="392" t="n"/>
      <c r="E4230" s="392" t="n"/>
      <c r="F4230" s="392" t="n"/>
      <c r="G4230" s="392" t="n">
        <v>40</v>
      </c>
      <c r="H4230" s="446">
        <f>H4229-G4230</f>
        <v/>
      </c>
      <c r="I4230" s="392" t="n"/>
      <c r="J4230" s="392" t="n"/>
      <c r="K4230" s="392" t="n"/>
      <c r="L4230" s="392" t="n"/>
      <c r="M4230" s="392" t="n"/>
    </row>
    <row r="4231">
      <c r="A4231" s="568" t="n">
        <v>45371</v>
      </c>
      <c r="B4231" s="392" t="n">
        <v>10931</v>
      </c>
      <c r="C4231" s="392" t="n">
        <v>87</v>
      </c>
      <c r="D4231" s="392" t="n"/>
      <c r="E4231" s="392" t="n"/>
      <c r="F4231" s="392" t="n"/>
      <c r="G4231" s="392" t="n">
        <v>49</v>
      </c>
      <c r="H4231" s="446">
        <f>H4230-G4231</f>
        <v/>
      </c>
      <c r="I4231" s="392" t="n"/>
      <c r="J4231" s="392" t="n"/>
      <c r="K4231" s="392" t="n"/>
      <c r="L4231" s="392" t="n"/>
      <c r="M4231" s="392" t="n"/>
    </row>
    <row r="4232">
      <c r="A4232" s="568" t="n">
        <v>45371</v>
      </c>
      <c r="B4232" s="392" t="n">
        <v>10932</v>
      </c>
      <c r="C4232" s="392" t="n">
        <v>78.84999999999999</v>
      </c>
      <c r="D4232" s="392" t="n"/>
      <c r="E4232" s="392" t="n"/>
      <c r="F4232" s="392" t="n"/>
      <c r="G4232" s="392" t="n">
        <v>20</v>
      </c>
      <c r="H4232" s="446">
        <f>H4231-G4232</f>
        <v/>
      </c>
      <c r="I4232" s="392" t="n"/>
      <c r="J4232" s="392" t="n"/>
      <c r="K4232" s="392" t="n"/>
      <c r="L4232" s="392" t="n"/>
      <c r="M4232" s="392" t="n"/>
    </row>
    <row r="4233">
      <c r="A4233" s="568" t="n">
        <v>45371</v>
      </c>
      <c r="B4233" s="392" t="n">
        <v>10934</v>
      </c>
      <c r="C4233" s="392" t="n">
        <v>89</v>
      </c>
      <c r="D4233" s="392" t="n"/>
      <c r="E4233" s="392" t="n"/>
      <c r="F4233" s="392" t="n"/>
      <c r="G4233" s="392" t="n">
        <v>15</v>
      </c>
      <c r="H4233" s="446">
        <f>H4232-G4233</f>
        <v/>
      </c>
      <c r="I4233" s="392" t="n"/>
      <c r="J4233" s="392" t="n"/>
      <c r="K4233" s="392" t="n"/>
      <c r="L4233" s="392" t="n"/>
      <c r="M4233" s="392" t="n"/>
    </row>
    <row r="4234">
      <c r="A4234" s="568" t="n">
        <v>45373</v>
      </c>
      <c r="B4234" s="392" t="n">
        <v>10936</v>
      </c>
      <c r="C4234" s="392" t="n">
        <v>89</v>
      </c>
      <c r="D4234" s="392" t="n"/>
      <c r="E4234" s="392" t="n"/>
      <c r="F4234" s="392" t="n"/>
      <c r="G4234" s="392" t="n">
        <v>20</v>
      </c>
      <c r="H4234" s="446">
        <f>H4233-G4234</f>
        <v/>
      </c>
      <c r="I4234" s="392" t="n"/>
      <c r="J4234" s="392" t="n"/>
      <c r="K4234" s="392" t="n"/>
      <c r="L4234" s="392" t="n"/>
      <c r="M4234" s="392" t="n"/>
    </row>
    <row r="4235">
      <c r="A4235" s="568" t="n">
        <v>45377</v>
      </c>
      <c r="B4235" s="392" t="n">
        <v>10940</v>
      </c>
      <c r="C4235" s="392" t="n">
        <v>89</v>
      </c>
      <c r="D4235" s="392" t="n"/>
      <c r="E4235" s="392" t="n"/>
      <c r="F4235" s="392" t="n"/>
      <c r="G4235" s="392" t="n">
        <v>15</v>
      </c>
      <c r="H4235" s="446">
        <f>H4234-G4235</f>
        <v/>
      </c>
      <c r="I4235" s="392" t="n"/>
      <c r="J4235" s="392" t="n"/>
      <c r="K4235" s="392" t="n"/>
      <c r="L4235" s="392" t="n"/>
      <c r="M4235" s="392" t="n"/>
    </row>
    <row r="4236">
      <c r="A4236" s="568" t="n">
        <v>45377</v>
      </c>
      <c r="B4236" s="392" t="n">
        <v>10941</v>
      </c>
      <c r="C4236" s="392" t="n">
        <v>89</v>
      </c>
      <c r="D4236" s="392" t="n"/>
      <c r="E4236" s="392" t="n"/>
      <c r="F4236" s="392" t="n"/>
      <c r="G4236" s="392" t="n">
        <v>30</v>
      </c>
      <c r="H4236" s="446">
        <f>H4235-G4236</f>
        <v/>
      </c>
      <c r="I4236" s="392" t="n"/>
      <c r="J4236" s="392" t="n"/>
      <c r="K4236" s="392" t="n"/>
      <c r="L4236" s="392" t="n"/>
      <c r="M4236" s="392" t="n"/>
    </row>
    <row r="4237">
      <c r="A4237" s="568" t="n">
        <v>45377</v>
      </c>
      <c r="B4237" s="392" t="n">
        <v>10942</v>
      </c>
      <c r="C4237" s="392" t="n">
        <v>83</v>
      </c>
      <c r="D4237" s="392" t="n"/>
      <c r="E4237" s="392" t="n"/>
      <c r="F4237" s="392" t="n"/>
      <c r="G4237" s="392" t="n">
        <v>60</v>
      </c>
      <c r="H4237" s="446">
        <f>H4236-G4237</f>
        <v/>
      </c>
      <c r="I4237" s="392" t="n"/>
      <c r="J4237" s="392" t="n"/>
      <c r="K4237" s="392" t="n"/>
      <c r="L4237" s="392" t="n"/>
      <c r="M4237" s="392" t="n"/>
    </row>
    <row r="4238">
      <c r="A4238" s="568" t="n">
        <v>45377</v>
      </c>
      <c r="B4238" s="392" t="n">
        <v>10943</v>
      </c>
      <c r="C4238" s="392" t="n">
        <v>89</v>
      </c>
      <c r="D4238" s="392" t="n"/>
      <c r="E4238" s="392" t="n"/>
      <c r="F4238" s="392" t="n"/>
      <c r="G4238" s="392" t="n">
        <v>30</v>
      </c>
      <c r="H4238" s="446">
        <f>H4237-G4238</f>
        <v/>
      </c>
      <c r="I4238" s="392" t="n"/>
      <c r="J4238" s="392" t="n"/>
      <c r="K4238" s="392" t="n"/>
      <c r="L4238" s="392" t="n"/>
      <c r="M4238" s="392" t="n"/>
    </row>
    <row r="4239">
      <c r="A4239" s="568" t="n">
        <v>45377</v>
      </c>
      <c r="B4239" s="392" t="n">
        <v>10946</v>
      </c>
      <c r="C4239" s="392" t="n">
        <v>88</v>
      </c>
      <c r="D4239" s="392" t="n"/>
      <c r="E4239" s="392" t="n"/>
      <c r="F4239" s="392" t="n"/>
      <c r="G4239" s="392" t="n">
        <v>21</v>
      </c>
      <c r="H4239" s="446">
        <f>H4238-G4239</f>
        <v/>
      </c>
      <c r="I4239" s="392" t="n"/>
      <c r="J4239" s="392" t="n"/>
      <c r="K4239" s="392" t="n"/>
      <c r="L4239" s="392" t="n"/>
      <c r="M4239" s="392" t="n"/>
    </row>
    <row r="4240">
      <c r="A4240" s="568" t="n">
        <v>45377</v>
      </c>
      <c r="B4240" s="392" t="n">
        <v>10947</v>
      </c>
      <c r="C4240" s="392" t="n">
        <v>81</v>
      </c>
      <c r="D4240" s="392" t="n"/>
      <c r="E4240" s="392" t="n"/>
      <c r="F4240" s="392" t="n"/>
      <c r="G4240" s="392" t="n">
        <v>10</v>
      </c>
      <c r="H4240" s="446">
        <f>H4239-G4240</f>
        <v/>
      </c>
      <c r="I4240" s="392" t="n"/>
      <c r="J4240" s="392" t="n"/>
      <c r="K4240" s="392" t="n"/>
      <c r="L4240" s="392" t="n"/>
      <c r="M4240" s="392" t="n"/>
    </row>
    <row r="4241">
      <c r="A4241" s="568" t="n">
        <v>45377</v>
      </c>
      <c r="B4241" s="392" t="n">
        <v>10949</v>
      </c>
      <c r="C4241" s="392" t="n">
        <v>89</v>
      </c>
      <c r="D4241" s="392" t="n"/>
      <c r="E4241" s="392" t="n"/>
      <c r="F4241" s="392" t="n"/>
      <c r="G4241" s="392" t="n">
        <v>20</v>
      </c>
      <c r="H4241" s="446">
        <f>H4240-G4241</f>
        <v/>
      </c>
      <c r="I4241" s="392" t="n"/>
      <c r="J4241" s="392" t="n"/>
      <c r="K4241" s="392" t="n"/>
      <c r="L4241" s="392" t="n"/>
      <c r="M4241" s="392" t="n"/>
    </row>
    <row r="4242">
      <c r="A4242" s="568" t="n">
        <v>45377</v>
      </c>
      <c r="B4242" s="392" t="n">
        <v>10950</v>
      </c>
      <c r="C4242" s="392" t="n">
        <v>78</v>
      </c>
      <c r="D4242" s="392" t="n"/>
      <c r="E4242" s="392" t="n"/>
      <c r="F4242" s="392" t="n"/>
      <c r="G4242" s="392" t="n">
        <v>400</v>
      </c>
      <c r="H4242" s="446">
        <f>H4241-G4242</f>
        <v/>
      </c>
      <c r="I4242" s="392" t="n"/>
      <c r="J4242" s="392" t="n"/>
      <c r="K4242" s="392" t="n"/>
      <c r="L4242" s="392" t="n"/>
      <c r="M4242" s="392" t="n"/>
    </row>
    <row r="4243">
      <c r="A4243" s="568" t="n">
        <v>45378</v>
      </c>
      <c r="B4243" s="392" t="n">
        <v>10952</v>
      </c>
      <c r="C4243" s="392" t="n">
        <v>86.90000000000001</v>
      </c>
      <c r="D4243" s="392" t="n"/>
      <c r="E4243" s="392" t="n"/>
      <c r="F4243" s="392" t="n"/>
      <c r="G4243" s="392" t="n">
        <v>20</v>
      </c>
      <c r="H4243" s="446">
        <f>H4242-G4243</f>
        <v/>
      </c>
      <c r="I4243" s="392" t="n"/>
      <c r="J4243" s="392" t="n"/>
      <c r="K4243" s="392" t="n"/>
      <c r="L4243" s="392" t="n"/>
      <c r="M4243" s="392" t="n"/>
    </row>
    <row r="4244" ht="15.75" customHeight="1" s="436" thickBot="1">
      <c r="A4244" s="414" t="n"/>
      <c r="H4244" s="390" t="n"/>
    </row>
    <row r="4245" ht="32.25" customHeight="1" s="436" thickBot="1">
      <c r="A4245" s="735" t="inlineStr">
        <is>
          <t>Abril</t>
        </is>
      </c>
      <c r="B4245" s="697" t="n"/>
      <c r="C4245" s="697" t="n"/>
      <c r="D4245" s="697" t="n"/>
      <c r="E4245" s="697" t="n"/>
      <c r="F4245" s="697" t="n"/>
      <c r="G4245" s="697" t="n"/>
      <c r="H4245" s="697" t="n"/>
      <c r="I4245" s="697" t="n"/>
      <c r="J4245" s="697" t="n"/>
      <c r="K4245" s="697" t="n"/>
      <c r="L4245" s="697" t="n"/>
      <c r="M4245" s="698" t="n"/>
    </row>
    <row r="4246" ht="27" customHeight="1" s="436" thickBot="1">
      <c r="A4246" s="720" t="inlineStr">
        <is>
          <t xml:space="preserve"> FARINHA DE TRIGO TIPO: 1 - 25 KG</t>
        </is>
      </c>
      <c r="B4246" s="697" t="n"/>
      <c r="C4246" s="697" t="n"/>
      <c r="D4246" s="697" t="n"/>
      <c r="E4246" s="697" t="n"/>
      <c r="F4246" s="697" t="n"/>
      <c r="G4246" s="697" t="n"/>
      <c r="H4246" s="697" t="n"/>
      <c r="I4246" s="697" t="n"/>
      <c r="J4246" s="697" t="n"/>
      <c r="K4246" s="697" t="n"/>
      <c r="L4246" s="697" t="n"/>
      <c r="M4246" s="698" t="n"/>
    </row>
    <row r="4247">
      <c r="A4247" s="3" t="inlineStr">
        <is>
          <t>DATA</t>
        </is>
      </c>
      <c r="B4247" s="3" t="inlineStr">
        <is>
          <t>N.F.</t>
        </is>
      </c>
      <c r="C4247" s="3" t="inlineStr">
        <is>
          <t>TIPO</t>
        </is>
      </c>
      <c r="D4247" s="708" t="inlineStr">
        <is>
          <t>PREÇO UNITÁRIO</t>
        </is>
      </c>
      <c r="E4247" s="736" t="n"/>
      <c r="F4247" s="3" t="inlineStr">
        <is>
          <t>QUANTIDADE / KG</t>
        </is>
      </c>
      <c r="G4247" s="737" t="n"/>
      <c r="H4247" s="736" t="n"/>
      <c r="I4247" s="631" t="inlineStr">
        <is>
          <t>PREÇO</t>
        </is>
      </c>
      <c r="J4247" s="631" t="inlineStr">
        <is>
          <t>VALORES</t>
        </is>
      </c>
      <c r="K4247" s="737" t="n"/>
      <c r="L4247" s="736" t="n"/>
      <c r="M4247" s="738" t="n"/>
    </row>
    <row r="4248" ht="15.75" customHeight="1" s="436" thickBot="1">
      <c r="A4248" s="704" t="n"/>
      <c r="B4248" s="704" t="n"/>
      <c r="C4248" s="704" t="n"/>
      <c r="D4248" s="703" t="n"/>
      <c r="E4248" s="701" t="n"/>
      <c r="F4248" s="705" t="n"/>
      <c r="G4248" s="706" t="n"/>
      <c r="H4248" s="707" t="n"/>
      <c r="I4248" s="704" t="n"/>
      <c r="J4248" s="703" t="n"/>
      <c r="L4248" s="701" t="n"/>
      <c r="M4248" s="704" t="n"/>
    </row>
    <row r="4249" ht="15.75" customHeight="1" s="436" thickBot="1">
      <c r="A4249" s="704" t="n"/>
      <c r="B4249" s="704" t="n"/>
      <c r="C4249" s="704" t="n"/>
      <c r="D4249" s="705" t="n"/>
      <c r="E4249" s="707" t="n"/>
      <c r="F4249" s="3" t="inlineStr">
        <is>
          <t>ENTRADA</t>
        </is>
      </c>
      <c r="G4249" s="3" t="inlineStr">
        <is>
          <t>SAÍDA</t>
        </is>
      </c>
      <c r="H4249" s="640" t="n"/>
      <c r="I4249" s="633" t="inlineStr">
        <is>
          <t>MÉDIO</t>
        </is>
      </c>
      <c r="J4249" s="739" t="inlineStr">
        <is>
          <t>SALDO EM 30/11/2017</t>
        </is>
      </c>
      <c r="K4249" s="707" t="n"/>
      <c r="L4249" s="17" t="n"/>
      <c r="M4249" s="740" t="n"/>
    </row>
    <row r="4250" ht="18" customHeight="1" s="436" thickBot="1">
      <c r="A4250" s="695" t="n"/>
      <c r="B4250" s="695" t="n"/>
      <c r="C4250" s="695" t="n"/>
      <c r="D4250" s="3" t="inlineStr">
        <is>
          <t>C/ICMS</t>
        </is>
      </c>
      <c r="E4250" s="3" t="inlineStr">
        <is>
          <t>S/ICMS</t>
        </is>
      </c>
      <c r="F4250" s="695" t="n"/>
      <c r="G4250" s="695" t="n"/>
      <c r="H4250" s="84" t="inlineStr">
        <is>
          <t>Saldo em 31/03/2024</t>
        </is>
      </c>
      <c r="I4250" s="695" t="n"/>
      <c r="J4250" s="645" t="inlineStr">
        <is>
          <t>ENTRADA</t>
        </is>
      </c>
      <c r="K4250" s="633" t="inlineStr">
        <is>
          <t>SAÍDA / CMV</t>
        </is>
      </c>
      <c r="L4250" s="643" t="inlineStr">
        <is>
          <t>SALDO</t>
        </is>
      </c>
      <c r="M4250" s="392" t="n"/>
    </row>
    <row r="4251">
      <c r="A4251" s="392" t="n"/>
      <c r="B4251" s="392" t="n"/>
      <c r="C4251" s="392" t="n"/>
      <c r="D4251" s="392" t="n"/>
      <c r="E4251" s="392" t="n"/>
      <c r="F4251" s="392" t="n"/>
      <c r="G4251" s="392" t="n"/>
      <c r="H4251" s="446" t="n">
        <v>3318</v>
      </c>
      <c r="I4251" s="392" t="n"/>
      <c r="J4251" s="392" t="n"/>
      <c r="K4251" s="392" t="n"/>
      <c r="L4251" s="392" t="n"/>
      <c r="M4251" s="392" t="n"/>
    </row>
    <row r="4252">
      <c r="A4252" s="568" t="n">
        <v>45383</v>
      </c>
      <c r="B4252" s="392" t="n">
        <v>10953</v>
      </c>
      <c r="C4252" s="392" t="n">
        <v>89</v>
      </c>
      <c r="D4252" s="392" t="n"/>
      <c r="E4252" s="392" t="n"/>
      <c r="F4252" s="392" t="n"/>
      <c r="G4252" s="392" t="n">
        <v>40</v>
      </c>
      <c r="H4252" s="446">
        <f>H4251-G4252</f>
        <v/>
      </c>
      <c r="I4252" s="392" t="n"/>
      <c r="J4252" s="392" t="n"/>
      <c r="K4252" s="392" t="n"/>
      <c r="L4252" s="392" t="n"/>
      <c r="M4252" s="392" t="n"/>
    </row>
    <row r="4253">
      <c r="A4253" s="568" t="n">
        <v>45385</v>
      </c>
      <c r="B4253" s="392" t="n">
        <v>10955</v>
      </c>
      <c r="C4253" s="392" t="n">
        <v>88</v>
      </c>
      <c r="D4253" s="392" t="n"/>
      <c r="E4253" s="392" t="n"/>
      <c r="F4253" s="392" t="n"/>
      <c r="G4253" s="392" t="n">
        <v>30</v>
      </c>
      <c r="H4253" s="446">
        <f>H4252-G4253</f>
        <v/>
      </c>
      <c r="I4253" s="392" t="n"/>
      <c r="J4253" s="392" t="n"/>
      <c r="K4253" s="392" t="n"/>
      <c r="L4253" s="392" t="n"/>
      <c r="M4253" s="392" t="n"/>
    </row>
    <row r="4254">
      <c r="A4254" s="568" t="n">
        <v>45385</v>
      </c>
      <c r="B4254" s="392" t="n">
        <v>10957</v>
      </c>
      <c r="C4254" s="392" t="n">
        <v>87</v>
      </c>
      <c r="D4254" s="392" t="n"/>
      <c r="E4254" s="392" t="n"/>
      <c r="F4254" s="392" t="n"/>
      <c r="G4254" s="392" t="n">
        <v>30</v>
      </c>
      <c r="H4254" s="446">
        <f>H4253-G4254</f>
        <v/>
      </c>
      <c r="I4254" s="392" t="n"/>
      <c r="J4254" s="392" t="n"/>
      <c r="K4254" s="392" t="n"/>
      <c r="L4254" s="392" t="n"/>
      <c r="M4254" s="392" t="n"/>
    </row>
    <row r="4255">
      <c r="A4255" s="568" t="n">
        <v>45385</v>
      </c>
      <c r="B4255" s="392" t="n">
        <v>10959</v>
      </c>
      <c r="C4255" s="392" t="n">
        <v>88.34</v>
      </c>
      <c r="D4255" s="392" t="n"/>
      <c r="E4255" s="392" t="n"/>
      <c r="F4255" s="392" t="n"/>
      <c r="G4255" s="392" t="n">
        <v>30</v>
      </c>
      <c r="H4255" s="446">
        <f>H4254-G4255</f>
        <v/>
      </c>
      <c r="I4255" s="392" t="n"/>
      <c r="J4255" s="392" t="n"/>
      <c r="K4255" s="392" t="n"/>
      <c r="L4255" s="392" t="n"/>
      <c r="M4255" s="392" t="n"/>
    </row>
    <row r="4256">
      <c r="A4256" s="568" t="n">
        <v>45385</v>
      </c>
      <c r="B4256" s="392" t="n">
        <v>10963</v>
      </c>
      <c r="C4256" s="392" t="n">
        <v>80</v>
      </c>
      <c r="D4256" s="392" t="n"/>
      <c r="E4256" s="392" t="n"/>
      <c r="F4256" s="392" t="n"/>
      <c r="G4256" s="392" t="n">
        <v>50</v>
      </c>
      <c r="H4256" s="446">
        <f>H4255-G4256</f>
        <v/>
      </c>
      <c r="I4256" s="392" t="n"/>
      <c r="J4256" s="392" t="n"/>
      <c r="K4256" s="392" t="n"/>
      <c r="L4256" s="392" t="n"/>
      <c r="M4256" s="392" t="n"/>
    </row>
    <row r="4257">
      <c r="A4257" s="568" t="n">
        <v>45385</v>
      </c>
      <c r="B4257" s="392" t="n">
        <v>10964</v>
      </c>
      <c r="C4257" s="392" t="n">
        <v>85</v>
      </c>
      <c r="D4257" s="392" t="n"/>
      <c r="E4257" s="392" t="n"/>
      <c r="F4257" s="392" t="n"/>
      <c r="G4257" s="392" t="n">
        <v>10</v>
      </c>
      <c r="H4257" s="446">
        <f>H4256-G4257</f>
        <v/>
      </c>
      <c r="I4257" s="392" t="n"/>
      <c r="J4257" s="392" t="n"/>
      <c r="K4257" s="392" t="n"/>
      <c r="L4257" s="392" t="n"/>
      <c r="M4257" s="392" t="n"/>
    </row>
    <row r="4258">
      <c r="A4258" s="568" t="n">
        <v>45385</v>
      </c>
      <c r="B4258" s="392" t="n">
        <v>10965</v>
      </c>
      <c r="C4258" s="392" t="n">
        <v>89</v>
      </c>
      <c r="D4258" s="392" t="n"/>
      <c r="E4258" s="392" t="n"/>
      <c r="F4258" s="392" t="n"/>
      <c r="G4258" s="392" t="n">
        <v>20</v>
      </c>
      <c r="H4258" s="446">
        <f>H4257-G4258</f>
        <v/>
      </c>
      <c r="I4258" s="392" t="n"/>
      <c r="J4258" s="392" t="n"/>
      <c r="K4258" s="392" t="n"/>
      <c r="L4258" s="392" t="n"/>
      <c r="M4258" s="392" t="n"/>
    </row>
    <row r="4259">
      <c r="A4259" s="568" t="n">
        <v>45385</v>
      </c>
      <c r="B4259" s="392" t="n">
        <v>10967</v>
      </c>
      <c r="C4259" s="392" t="n">
        <v>87</v>
      </c>
      <c r="D4259" s="392" t="n"/>
      <c r="E4259" s="392" t="n"/>
      <c r="F4259" s="392" t="n"/>
      <c r="G4259" s="392" t="n">
        <v>30</v>
      </c>
      <c r="H4259" s="446">
        <f>H4258-G4259</f>
        <v/>
      </c>
      <c r="I4259" s="392" t="n"/>
      <c r="J4259" s="392" t="n"/>
      <c r="K4259" s="392" t="n"/>
      <c r="L4259" s="392" t="n"/>
      <c r="M4259" s="392" t="n"/>
    </row>
    <row r="4260">
      <c r="A4260" s="568" t="n">
        <v>45387</v>
      </c>
      <c r="B4260" s="392" t="n">
        <v>10968</v>
      </c>
      <c r="C4260" s="392" t="n">
        <v>84</v>
      </c>
      <c r="D4260" s="392" t="n"/>
      <c r="E4260" s="392" t="n"/>
      <c r="F4260" s="392" t="n"/>
      <c r="G4260" s="392" t="n">
        <v>30</v>
      </c>
      <c r="H4260" s="446">
        <f>H4259-G4260</f>
        <v/>
      </c>
      <c r="I4260" s="392" t="n"/>
      <c r="J4260" s="392" t="n"/>
      <c r="K4260" s="392" t="n"/>
      <c r="L4260" s="392" t="n"/>
      <c r="M4260" s="392" t="n"/>
    </row>
    <row r="4261">
      <c r="A4261" s="568" t="n">
        <v>45392</v>
      </c>
      <c r="B4261" s="392" t="n">
        <v>10969</v>
      </c>
      <c r="C4261" s="392" t="n">
        <v>82</v>
      </c>
      <c r="D4261" s="392" t="n"/>
      <c r="E4261" s="392" t="n"/>
      <c r="F4261" s="392" t="n"/>
      <c r="G4261" s="392" t="n">
        <v>50</v>
      </c>
      <c r="H4261" s="446">
        <f>H4260-G4261</f>
        <v/>
      </c>
      <c r="I4261" s="392" t="n"/>
      <c r="J4261" s="392" t="n"/>
      <c r="K4261" s="392" t="n"/>
      <c r="L4261" s="392" t="n"/>
      <c r="M4261" s="392" t="n"/>
    </row>
    <row r="4262">
      <c r="A4262" s="568" t="n">
        <v>45392</v>
      </c>
      <c r="B4262" s="392" t="n">
        <v>10970</v>
      </c>
      <c r="C4262" s="392" t="n">
        <v>78</v>
      </c>
      <c r="D4262" s="392" t="n"/>
      <c r="E4262" s="392" t="n"/>
      <c r="F4262" s="392" t="n"/>
      <c r="G4262" s="392" t="n">
        <v>100</v>
      </c>
      <c r="H4262" s="446">
        <f>H4261-G4262</f>
        <v/>
      </c>
      <c r="I4262" s="392" t="n"/>
      <c r="J4262" s="392" t="n"/>
      <c r="K4262" s="392" t="n"/>
      <c r="L4262" s="392" t="n"/>
      <c r="M4262" s="392" t="n"/>
    </row>
    <row r="4263">
      <c r="A4263" s="568" t="n">
        <v>45392</v>
      </c>
      <c r="B4263" s="392" t="n">
        <v>10971</v>
      </c>
      <c r="C4263" s="392" t="n">
        <v>87</v>
      </c>
      <c r="D4263" s="392" t="n"/>
      <c r="E4263" s="392" t="n"/>
      <c r="F4263" s="392" t="n"/>
      <c r="G4263" s="392" t="n">
        <v>30</v>
      </c>
      <c r="H4263" s="446">
        <f>H4262-G4263</f>
        <v/>
      </c>
      <c r="I4263" s="392" t="n"/>
      <c r="J4263" s="392" t="n"/>
      <c r="K4263" s="392" t="n"/>
      <c r="L4263" s="392" t="n"/>
      <c r="M4263" s="392" t="n"/>
    </row>
    <row r="4264">
      <c r="A4264" s="568" t="n">
        <v>45392</v>
      </c>
      <c r="B4264" s="392" t="n">
        <v>10974</v>
      </c>
      <c r="C4264" s="392" t="n">
        <v>87.87</v>
      </c>
      <c r="D4264" s="392" t="n"/>
      <c r="E4264" s="392" t="n"/>
      <c r="F4264" s="392" t="n"/>
      <c r="G4264" s="392" t="n">
        <v>30</v>
      </c>
      <c r="H4264" s="446">
        <f>H4263-G4264</f>
        <v/>
      </c>
      <c r="I4264" s="392" t="n"/>
      <c r="J4264" s="392" t="n"/>
      <c r="K4264" s="392" t="n"/>
      <c r="L4264" s="392" t="n"/>
      <c r="M4264" s="392" t="n"/>
    </row>
    <row r="4265">
      <c r="A4265" s="568" t="n">
        <v>45392</v>
      </c>
      <c r="B4265" s="392" t="n">
        <v>10975</v>
      </c>
      <c r="C4265" s="392" t="n">
        <v>89</v>
      </c>
      <c r="D4265" s="392" t="n"/>
      <c r="E4265" s="392" t="n"/>
      <c r="F4265" s="392" t="n"/>
      <c r="G4265" s="392" t="n">
        <v>30</v>
      </c>
      <c r="H4265" s="446">
        <f>H4264-G4265</f>
        <v/>
      </c>
      <c r="I4265" s="392" t="n"/>
      <c r="J4265" s="392" t="n"/>
      <c r="K4265" s="392" t="n"/>
      <c r="L4265" s="392" t="n"/>
      <c r="M4265" s="392" t="n"/>
    </row>
    <row r="4266">
      <c r="A4266" s="568" t="n">
        <v>45392</v>
      </c>
      <c r="B4266" s="392" t="n">
        <v>10977</v>
      </c>
      <c r="C4266" s="392" t="n">
        <v>83.5</v>
      </c>
      <c r="D4266" s="392" t="n"/>
      <c r="E4266" s="392" t="n"/>
      <c r="F4266" s="392" t="n"/>
      <c r="G4266" s="392" t="n">
        <v>30</v>
      </c>
      <c r="H4266" s="446">
        <f>H4265-G4266</f>
        <v/>
      </c>
      <c r="I4266" s="392" t="n"/>
      <c r="J4266" s="392" t="n"/>
      <c r="K4266" s="392" t="n"/>
      <c r="L4266" s="392" t="n"/>
      <c r="M4266" s="392" t="n"/>
    </row>
    <row r="4267">
      <c r="A4267" s="568" t="n">
        <v>45392</v>
      </c>
      <c r="B4267" s="392" t="n">
        <v>10980</v>
      </c>
      <c r="C4267" s="392" t="n">
        <v>85</v>
      </c>
      <c r="D4267" s="392" t="n"/>
      <c r="E4267" s="392" t="n"/>
      <c r="F4267" s="392" t="n"/>
      <c r="G4267" s="392" t="n">
        <v>10</v>
      </c>
      <c r="H4267" s="446">
        <f>H4266-G4267</f>
        <v/>
      </c>
      <c r="I4267" s="392" t="n"/>
      <c r="J4267" s="392" t="n"/>
      <c r="K4267" s="392" t="n"/>
      <c r="L4267" s="392" t="n"/>
      <c r="M4267" s="392" t="n"/>
    </row>
    <row r="4268">
      <c r="A4268" s="568" t="n">
        <v>45392</v>
      </c>
      <c r="B4268" s="392" t="n">
        <v>10981</v>
      </c>
      <c r="C4268" s="392" t="n">
        <v>87.5</v>
      </c>
      <c r="D4268" s="392" t="n"/>
      <c r="E4268" s="392" t="n"/>
      <c r="F4268" s="392" t="n"/>
      <c r="G4268" s="392" t="n">
        <v>20</v>
      </c>
      <c r="H4268" s="446">
        <f>H4267-G4268</f>
        <v/>
      </c>
      <c r="I4268" s="392" t="n"/>
      <c r="J4268" s="392" t="n"/>
      <c r="K4268" s="392" t="n"/>
      <c r="L4268" s="392" t="n"/>
      <c r="M4268" s="392" t="n"/>
    </row>
    <row r="4269">
      <c r="A4269" s="568" t="n">
        <v>45392</v>
      </c>
      <c r="B4269" s="392" t="n">
        <v>10983</v>
      </c>
      <c r="C4269" s="392" t="n">
        <v>89</v>
      </c>
      <c r="D4269" s="392" t="n"/>
      <c r="E4269" s="392" t="n"/>
      <c r="F4269" s="392" t="n"/>
      <c r="G4269" s="392" t="n">
        <v>30</v>
      </c>
      <c r="H4269" s="446">
        <f>H4268-G4269</f>
        <v/>
      </c>
      <c r="I4269" s="392" t="n"/>
      <c r="J4269" s="392" t="n"/>
      <c r="K4269" s="392" t="n"/>
      <c r="L4269" s="392" t="n"/>
      <c r="M4269" s="392" t="n"/>
    </row>
    <row r="4270">
      <c r="A4270" s="568" t="n">
        <v>45397</v>
      </c>
      <c r="B4270" s="392" t="n">
        <v>10984</v>
      </c>
      <c r="C4270" s="392" t="n">
        <v>65</v>
      </c>
      <c r="D4270" s="392" t="n"/>
      <c r="E4270" s="392" t="n"/>
      <c r="F4270" s="392" t="n"/>
      <c r="G4270" s="392" t="n">
        <v>30</v>
      </c>
      <c r="H4270" s="446">
        <f>H4269-G4270</f>
        <v/>
      </c>
      <c r="I4270" s="392" t="n"/>
      <c r="J4270" s="392" t="n"/>
      <c r="K4270" s="392" t="n"/>
      <c r="L4270" s="392" t="n"/>
      <c r="M4270" s="392" t="n"/>
    </row>
    <row r="4271">
      <c r="A4271" s="568" t="n">
        <v>45399</v>
      </c>
      <c r="B4271" s="392" t="n">
        <v>10985</v>
      </c>
      <c r="C4271" s="392" t="n">
        <v>85</v>
      </c>
      <c r="D4271" s="392" t="n"/>
      <c r="E4271" s="392" t="n"/>
      <c r="F4271" s="392" t="n"/>
      <c r="G4271" s="392" t="n">
        <v>40</v>
      </c>
      <c r="H4271" s="446">
        <f>H4270-G4271</f>
        <v/>
      </c>
      <c r="I4271" s="392" t="n"/>
      <c r="J4271" s="392" t="n"/>
      <c r="K4271" s="392" t="n"/>
      <c r="L4271" s="392" t="n"/>
      <c r="M4271" s="392" t="n"/>
    </row>
    <row r="4272">
      <c r="A4272" s="568" t="n">
        <v>45399</v>
      </c>
      <c r="B4272" s="392" t="n">
        <v>10986</v>
      </c>
      <c r="C4272" s="392" t="n">
        <v>84</v>
      </c>
      <c r="D4272" s="392" t="n"/>
      <c r="E4272" s="392" t="n"/>
      <c r="F4272" s="392" t="n"/>
      <c r="G4272" s="392" t="n">
        <v>25</v>
      </c>
      <c r="H4272" s="446">
        <f>H4271-G4272</f>
        <v/>
      </c>
      <c r="I4272" s="392" t="n"/>
      <c r="J4272" s="392" t="n"/>
      <c r="K4272" s="392" t="n"/>
      <c r="L4272" s="392" t="n"/>
      <c r="M4272" s="392" t="n"/>
    </row>
    <row r="4273">
      <c r="A4273" s="568" t="n">
        <v>45399</v>
      </c>
      <c r="B4273" s="392" t="n">
        <v>10987</v>
      </c>
      <c r="C4273" s="392" t="n">
        <v>85.59999999999999</v>
      </c>
      <c r="D4273" s="392" t="n"/>
      <c r="E4273" s="392" t="n"/>
      <c r="F4273" s="392" t="n"/>
      <c r="G4273" s="392" t="n">
        <v>30</v>
      </c>
      <c r="H4273" s="446">
        <f>H4272-G4273</f>
        <v/>
      </c>
      <c r="I4273" s="392" t="n"/>
      <c r="J4273" s="392" t="n"/>
      <c r="K4273" s="392" t="n"/>
      <c r="L4273" s="392" t="n"/>
      <c r="M4273" s="392" t="n"/>
    </row>
    <row r="4274">
      <c r="A4274" s="568" t="n">
        <v>45399</v>
      </c>
      <c r="B4274" s="392" t="n">
        <v>10988</v>
      </c>
      <c r="C4274" s="392" t="n">
        <v>87</v>
      </c>
      <c r="D4274" s="392" t="n"/>
      <c r="E4274" s="392" t="n"/>
      <c r="F4274" s="392" t="n"/>
      <c r="G4274" s="392" t="n">
        <v>30</v>
      </c>
      <c r="H4274" s="446">
        <f>H4273-G4274</f>
        <v/>
      </c>
      <c r="I4274" s="392" t="n"/>
      <c r="J4274" s="392" t="n"/>
      <c r="K4274" s="392" t="n"/>
      <c r="L4274" s="392" t="n"/>
      <c r="M4274" s="392" t="n"/>
    </row>
    <row r="4275">
      <c r="A4275" s="568" t="n">
        <v>45399</v>
      </c>
      <c r="B4275" s="392" t="n">
        <v>10989</v>
      </c>
      <c r="C4275" s="392" t="n">
        <v>87.8</v>
      </c>
      <c r="D4275" s="392" t="n"/>
      <c r="E4275" s="392" t="n"/>
      <c r="F4275" s="392" t="n"/>
      <c r="G4275" s="392" t="n">
        <v>20</v>
      </c>
      <c r="H4275" s="446">
        <f>H4274-G4275</f>
        <v/>
      </c>
      <c r="I4275" s="392" t="n"/>
      <c r="J4275" s="392" t="n"/>
      <c r="K4275" s="392" t="n"/>
      <c r="L4275" s="392" t="n"/>
      <c r="M4275" s="392" t="n"/>
    </row>
    <row r="4276">
      <c r="A4276" s="568" t="n">
        <v>45399</v>
      </c>
      <c r="B4276" s="392" t="n">
        <v>10990</v>
      </c>
      <c r="C4276" s="392" t="n">
        <v>87</v>
      </c>
      <c r="D4276" s="392" t="n"/>
      <c r="E4276" s="392" t="n"/>
      <c r="F4276" s="392" t="n"/>
      <c r="G4276" s="392" t="n">
        <v>20</v>
      </c>
      <c r="H4276" s="446">
        <f>H4275-G4276</f>
        <v/>
      </c>
      <c r="I4276" s="392" t="n"/>
      <c r="J4276" s="392" t="n"/>
      <c r="K4276" s="392" t="n"/>
      <c r="L4276" s="392" t="n"/>
      <c r="M4276" s="392" t="n"/>
    </row>
    <row r="4277">
      <c r="A4277" s="568" t="n">
        <v>45399</v>
      </c>
      <c r="B4277" s="392" t="n">
        <v>10993</v>
      </c>
      <c r="C4277" s="392" t="n">
        <v>85</v>
      </c>
      <c r="D4277" s="392" t="n"/>
      <c r="E4277" s="392" t="n"/>
      <c r="F4277" s="392" t="n"/>
      <c r="G4277" s="392" t="n">
        <v>15</v>
      </c>
      <c r="H4277" s="446">
        <f>H4276-G4277</f>
        <v/>
      </c>
      <c r="I4277" s="392" t="n"/>
      <c r="J4277" s="392" t="n"/>
      <c r="K4277" s="392" t="n"/>
      <c r="L4277" s="392" t="n"/>
      <c r="M4277" s="392" t="n"/>
    </row>
    <row r="4278">
      <c r="A4278" s="568" t="n">
        <v>45399</v>
      </c>
      <c r="B4278" s="392" t="n">
        <v>10994</v>
      </c>
      <c r="C4278" s="392" t="n">
        <v>65</v>
      </c>
      <c r="D4278" s="392" t="n"/>
      <c r="E4278" s="392" t="n"/>
      <c r="F4278" s="392" t="n"/>
      <c r="G4278" s="392" t="n">
        <v>20</v>
      </c>
      <c r="H4278" s="446">
        <f>H4277-G4278</f>
        <v/>
      </c>
      <c r="I4278" s="392" t="n"/>
      <c r="J4278" s="392" t="n"/>
      <c r="K4278" s="392" t="n"/>
      <c r="L4278" s="392" t="n"/>
      <c r="M4278" s="392" t="n"/>
    </row>
    <row r="4279">
      <c r="A4279" s="568" t="n">
        <v>45399</v>
      </c>
      <c r="B4279" s="392" t="n">
        <v>10995</v>
      </c>
      <c r="C4279" s="392" t="n">
        <v>85</v>
      </c>
      <c r="D4279" s="392" t="n"/>
      <c r="E4279" s="392" t="n"/>
      <c r="F4279" s="392" t="n"/>
      <c r="G4279" s="392" t="n">
        <v>10</v>
      </c>
      <c r="H4279" s="446">
        <f>H4278-G4279</f>
        <v/>
      </c>
      <c r="I4279" s="392" t="n"/>
      <c r="J4279" s="392" t="n"/>
      <c r="K4279" s="392" t="n"/>
      <c r="L4279" s="392" t="n"/>
      <c r="M4279" s="392" t="n"/>
    </row>
    <row r="4280">
      <c r="A4280" s="568" t="n">
        <v>45399</v>
      </c>
      <c r="B4280" s="392" t="n">
        <v>10998</v>
      </c>
      <c r="C4280" s="392" t="n">
        <v>87.75</v>
      </c>
      <c r="D4280" s="392" t="n"/>
      <c r="E4280" s="392" t="n"/>
      <c r="F4280" s="392" t="n"/>
      <c r="G4280" s="392" t="n">
        <v>20</v>
      </c>
      <c r="H4280" s="446">
        <f>H4279-G4280</f>
        <v/>
      </c>
      <c r="I4280" s="392" t="n"/>
      <c r="J4280" s="392" t="n"/>
      <c r="K4280" s="392" t="n"/>
      <c r="L4280" s="392" t="n"/>
      <c r="M4280" s="392" t="n"/>
    </row>
    <row r="4281">
      <c r="A4281" s="568" t="n">
        <v>45399</v>
      </c>
      <c r="B4281" s="392" t="n">
        <v>10999</v>
      </c>
      <c r="C4281" s="392" t="n">
        <v>87</v>
      </c>
      <c r="D4281" s="392" t="n"/>
      <c r="E4281" s="392" t="n"/>
      <c r="F4281" s="392" t="n"/>
      <c r="G4281" s="392" t="n">
        <v>30</v>
      </c>
      <c r="H4281" s="446">
        <f>H4280-G4281</f>
        <v/>
      </c>
      <c r="I4281" s="392" t="n"/>
      <c r="J4281" s="392" t="n"/>
      <c r="K4281" s="392" t="n"/>
      <c r="L4281" s="392" t="n"/>
      <c r="M4281" s="392" t="n"/>
    </row>
    <row r="4282">
      <c r="A4282" s="304" t="n">
        <v>45405</v>
      </c>
      <c r="B4282" s="401" t="n">
        <v>1119</v>
      </c>
      <c r="C4282" s="401" t="n">
        <v>68</v>
      </c>
      <c r="D4282" s="401" t="n"/>
      <c r="E4282" s="401" t="n"/>
      <c r="F4282" s="401" t="n">
        <v>1120</v>
      </c>
      <c r="G4282" s="401" t="n"/>
      <c r="H4282" s="322" t="n">
        <v>3548</v>
      </c>
      <c r="I4282" s="392" t="n"/>
      <c r="J4282" s="392" t="n"/>
      <c r="K4282" s="392" t="n"/>
      <c r="L4282" s="392" t="n"/>
      <c r="M4282" s="392" t="n"/>
    </row>
    <row r="4283">
      <c r="A4283" s="568" t="n">
        <v>45405</v>
      </c>
      <c r="B4283" s="392" t="n">
        <v>11003</v>
      </c>
      <c r="C4283" s="392" t="n">
        <v>87</v>
      </c>
      <c r="D4283" s="392" t="n"/>
      <c r="E4283" s="392" t="n"/>
      <c r="F4283" s="392" t="n"/>
      <c r="G4283" s="392" t="n">
        <v>100</v>
      </c>
      <c r="H4283" s="446">
        <f>H4282-G4283</f>
        <v/>
      </c>
      <c r="I4283" s="392" t="n"/>
      <c r="J4283" s="392" t="n"/>
      <c r="K4283" s="392" t="n"/>
      <c r="L4283" s="392" t="n"/>
      <c r="M4283" s="392" t="n"/>
    </row>
    <row r="4284">
      <c r="A4284" s="568" t="n">
        <v>45405</v>
      </c>
      <c r="B4284" s="392" t="n">
        <v>11004</v>
      </c>
      <c r="C4284" s="392" t="n">
        <v>82</v>
      </c>
      <c r="D4284" s="392" t="n"/>
      <c r="E4284" s="392" t="n"/>
      <c r="F4284" s="392" t="n"/>
      <c r="G4284" s="392" t="n">
        <v>50</v>
      </c>
      <c r="H4284" s="446">
        <f>H4283-G4284</f>
        <v/>
      </c>
      <c r="I4284" s="392" t="n"/>
      <c r="J4284" s="392" t="n"/>
      <c r="K4284" s="392" t="n"/>
      <c r="L4284" s="392" t="n"/>
      <c r="M4284" s="392" t="n"/>
    </row>
    <row r="4285">
      <c r="A4285" s="568" t="n">
        <v>45405</v>
      </c>
      <c r="B4285" s="392" t="n">
        <v>11005</v>
      </c>
      <c r="C4285" s="392" t="n">
        <v>82</v>
      </c>
      <c r="D4285" s="392" t="n"/>
      <c r="E4285" s="392" t="n"/>
      <c r="F4285" s="392" t="n"/>
      <c r="G4285" s="392" t="n">
        <v>30</v>
      </c>
      <c r="H4285" s="446">
        <f>H4284-G4285</f>
        <v/>
      </c>
      <c r="I4285" s="392" t="n"/>
      <c r="J4285" s="392" t="n"/>
      <c r="K4285" s="392" t="n"/>
      <c r="L4285" s="392" t="n"/>
      <c r="M4285" s="392" t="n"/>
    </row>
    <row r="4286">
      <c r="A4286" s="568" t="n">
        <v>45405</v>
      </c>
      <c r="B4286" s="392" t="n">
        <v>11006</v>
      </c>
      <c r="C4286" s="392" t="n">
        <v>87</v>
      </c>
      <c r="D4286" s="392" t="n"/>
      <c r="E4286" s="392" t="n"/>
      <c r="F4286" s="392" t="n"/>
      <c r="G4286" s="392" t="n">
        <v>30</v>
      </c>
      <c r="H4286" s="446">
        <f>H4285-G4286</f>
        <v/>
      </c>
      <c r="I4286" s="392" t="n"/>
      <c r="J4286" s="392" t="n"/>
      <c r="K4286" s="392" t="n"/>
      <c r="L4286" s="392" t="n"/>
      <c r="M4286" s="392" t="n"/>
    </row>
    <row r="4287">
      <c r="A4287" s="568" t="n">
        <v>45405</v>
      </c>
      <c r="B4287" s="392" t="n">
        <v>11007</v>
      </c>
      <c r="C4287" s="392" t="n">
        <v>80</v>
      </c>
      <c r="D4287" s="392" t="n"/>
      <c r="E4287" s="392" t="n"/>
      <c r="F4287" s="392" t="n"/>
      <c r="G4287" s="392" t="n">
        <v>20</v>
      </c>
      <c r="H4287" s="446">
        <f>H4286-G4287</f>
        <v/>
      </c>
      <c r="I4287" s="392" t="n"/>
      <c r="J4287" s="392" t="n"/>
      <c r="K4287" s="392" t="n"/>
      <c r="L4287" s="392" t="n"/>
      <c r="M4287" s="392" t="n"/>
    </row>
    <row r="4288">
      <c r="A4288" s="568" t="n">
        <v>45405</v>
      </c>
      <c r="B4288" s="392" t="n">
        <v>11008</v>
      </c>
      <c r="C4288" s="392" t="n">
        <v>85.5</v>
      </c>
      <c r="D4288" s="392" t="n"/>
      <c r="E4288" s="392" t="n"/>
      <c r="F4288" s="392" t="n"/>
      <c r="G4288" s="392" t="n">
        <v>30</v>
      </c>
      <c r="H4288" s="446">
        <f>H4287-G4288</f>
        <v/>
      </c>
      <c r="I4288" s="392" t="n"/>
      <c r="J4288" s="392" t="n"/>
      <c r="K4288" s="392" t="n"/>
      <c r="L4288" s="392" t="n"/>
      <c r="M4288" s="392" t="n"/>
    </row>
    <row r="4289">
      <c r="A4289" s="568" t="n">
        <v>45405</v>
      </c>
      <c r="B4289" s="392" t="n">
        <v>11009</v>
      </c>
      <c r="C4289" s="392" t="n">
        <v>87</v>
      </c>
      <c r="D4289" s="392" t="n"/>
      <c r="E4289" s="392" t="n"/>
      <c r="F4289" s="392" t="n"/>
      <c r="G4289" s="392" t="n">
        <v>30</v>
      </c>
      <c r="H4289" s="446">
        <f>H4288-G4289</f>
        <v/>
      </c>
      <c r="I4289" s="392" t="n"/>
      <c r="J4289" s="392" t="n"/>
      <c r="K4289" s="392" t="n"/>
      <c r="L4289" s="392" t="n"/>
      <c r="M4289" s="392" t="n"/>
    </row>
    <row r="4290">
      <c r="A4290" s="568" t="n">
        <v>45405</v>
      </c>
      <c r="B4290" s="392" t="n">
        <v>11010</v>
      </c>
      <c r="C4290" s="392" t="n">
        <v>84</v>
      </c>
      <c r="D4290" s="392" t="n"/>
      <c r="E4290" s="392" t="n"/>
      <c r="F4290" s="392" t="n"/>
      <c r="G4290" s="392" t="n">
        <v>70</v>
      </c>
      <c r="H4290" s="446">
        <f>H4289-G4290</f>
        <v/>
      </c>
      <c r="I4290" s="392" t="n"/>
      <c r="J4290" s="392" t="n"/>
      <c r="K4290" s="392" t="n"/>
      <c r="L4290" s="392" t="n"/>
      <c r="M4290" s="392" t="n"/>
    </row>
    <row r="4291">
      <c r="A4291" s="568" t="n">
        <v>45405</v>
      </c>
      <c r="B4291" s="392" t="n">
        <v>11011</v>
      </c>
      <c r="C4291" s="392" t="n">
        <v>85</v>
      </c>
      <c r="D4291" s="392" t="n"/>
      <c r="E4291" s="392" t="n"/>
      <c r="F4291" s="392" t="n"/>
      <c r="G4291" s="392" t="n">
        <v>20</v>
      </c>
      <c r="H4291" s="446">
        <f>H4290-G4291</f>
        <v/>
      </c>
      <c r="I4291" s="392" t="n"/>
      <c r="J4291" s="392" t="n"/>
      <c r="K4291" s="392" t="n"/>
      <c r="L4291" s="392" t="n"/>
      <c r="M4291" s="392" t="n"/>
    </row>
    <row r="4292">
      <c r="A4292" s="568" t="n">
        <v>45405</v>
      </c>
      <c r="B4292" s="392" t="n">
        <v>11014</v>
      </c>
      <c r="C4292" s="392" t="n">
        <v>83</v>
      </c>
      <c r="D4292" s="392" t="n"/>
      <c r="E4292" s="392" t="n"/>
      <c r="F4292" s="392" t="n"/>
      <c r="G4292" s="392" t="n">
        <v>10</v>
      </c>
      <c r="H4292" s="446">
        <f>H4291-G4292</f>
        <v/>
      </c>
      <c r="I4292" s="392" t="n"/>
      <c r="J4292" s="392" t="n"/>
      <c r="K4292" s="392" t="n"/>
      <c r="L4292" s="392" t="n"/>
      <c r="M4292" s="392" t="n"/>
    </row>
    <row r="4293">
      <c r="A4293" s="568" t="n">
        <v>45406</v>
      </c>
      <c r="B4293" s="392" t="n">
        <v>11016</v>
      </c>
      <c r="C4293" s="392" t="n">
        <v>89</v>
      </c>
      <c r="D4293" s="392" t="n"/>
      <c r="E4293" s="392" t="n"/>
      <c r="F4293" s="392" t="n"/>
      <c r="G4293" s="392" t="n">
        <v>20</v>
      </c>
      <c r="H4293" s="446">
        <f>H4292-G4293</f>
        <v/>
      </c>
      <c r="I4293" s="392" t="n"/>
      <c r="J4293" s="392" t="n"/>
      <c r="K4293" s="392" t="n"/>
      <c r="L4293" s="392" t="n"/>
      <c r="M4293" s="392" t="n"/>
    </row>
    <row r="4294">
      <c r="A4294" s="568" t="n">
        <v>45406</v>
      </c>
      <c r="B4294" s="392" t="n">
        <v>11019</v>
      </c>
      <c r="C4294" s="392" t="n">
        <v>89</v>
      </c>
      <c r="D4294" s="392" t="n"/>
      <c r="E4294" s="392" t="n"/>
      <c r="F4294" s="392" t="n"/>
      <c r="G4294" s="392" t="n">
        <v>15</v>
      </c>
      <c r="H4294" s="446">
        <f>H4293-G4294</f>
        <v/>
      </c>
      <c r="I4294" s="392" t="n"/>
      <c r="J4294" s="392" t="n"/>
      <c r="K4294" s="392" t="n"/>
      <c r="L4294" s="392" t="n"/>
      <c r="M4294" s="392" t="n"/>
    </row>
    <row r="4295">
      <c r="A4295" s="568" t="n">
        <v>45411</v>
      </c>
      <c r="B4295" s="392" t="n">
        <v>11020</v>
      </c>
      <c r="C4295" s="392" t="n">
        <v>80</v>
      </c>
      <c r="D4295" s="392" t="n"/>
      <c r="E4295" s="392" t="n"/>
      <c r="F4295" s="392" t="n"/>
      <c r="G4295" s="392" t="n">
        <v>30</v>
      </c>
      <c r="H4295" s="446">
        <f>H4294-G4295</f>
        <v/>
      </c>
      <c r="I4295" s="392" t="n"/>
      <c r="J4295" s="392" t="n"/>
      <c r="K4295" s="392" t="n"/>
      <c r="L4295" s="392" t="n"/>
      <c r="M4295" s="392" t="n"/>
    </row>
    <row r="4296">
      <c r="A4296" s="568" t="n">
        <v>45412</v>
      </c>
      <c r="B4296" s="392" t="n">
        <v>11023</v>
      </c>
      <c r="C4296" s="392" t="n">
        <v>78</v>
      </c>
      <c r="D4296" s="392" t="n"/>
      <c r="E4296" s="392" t="n"/>
      <c r="F4296" s="392" t="n"/>
      <c r="G4296" s="392" t="n">
        <v>100</v>
      </c>
      <c r="H4296" s="446">
        <f>H4295-G4296</f>
        <v/>
      </c>
      <c r="I4296" s="392" t="n"/>
      <c r="J4296" s="392" t="n"/>
      <c r="K4296" s="392" t="n"/>
      <c r="L4296" s="392" t="n"/>
      <c r="M4296" s="392" t="n"/>
    </row>
    <row r="4297">
      <c r="A4297" s="568" t="n">
        <v>45412</v>
      </c>
      <c r="B4297" s="392" t="n">
        <v>11024</v>
      </c>
      <c r="C4297" s="392" t="n">
        <v>87</v>
      </c>
      <c r="D4297" s="392" t="n"/>
      <c r="E4297" s="392" t="n"/>
      <c r="F4297" s="392" t="n"/>
      <c r="G4297" s="392" t="n">
        <v>30</v>
      </c>
      <c r="H4297" s="446">
        <f>H4296-G4297</f>
        <v/>
      </c>
      <c r="I4297" s="392" t="n"/>
      <c r="J4297" s="392" t="n"/>
      <c r="K4297" s="392" t="n"/>
      <c r="L4297" s="392" t="n"/>
      <c r="M4297" s="392" t="n"/>
    </row>
    <row r="4298">
      <c r="A4298" s="568" t="n">
        <v>45412</v>
      </c>
      <c r="B4298" s="392" t="n">
        <v>11025</v>
      </c>
      <c r="C4298" s="392" t="n">
        <v>82</v>
      </c>
      <c r="D4298" s="392" t="n"/>
      <c r="E4298" s="392" t="n"/>
      <c r="F4298" s="392" t="n"/>
      <c r="G4298" s="392" t="n">
        <v>20</v>
      </c>
      <c r="H4298" s="446">
        <f>H4297-G4298</f>
        <v/>
      </c>
      <c r="I4298" s="392" t="n"/>
      <c r="J4298" s="392" t="n"/>
      <c r="K4298" s="392" t="n"/>
      <c r="L4298" s="392" t="n"/>
      <c r="M4298" s="392" t="n"/>
    </row>
    <row r="4299">
      <c r="A4299" s="568" t="n">
        <v>45412</v>
      </c>
      <c r="B4299" s="392" t="n">
        <v>11026</v>
      </c>
      <c r="C4299" s="392" t="n">
        <v>82</v>
      </c>
      <c r="D4299" s="392" t="n"/>
      <c r="E4299" s="392" t="n"/>
      <c r="F4299" s="392" t="n"/>
      <c r="G4299" s="392" t="n">
        <v>30</v>
      </c>
      <c r="H4299" s="446">
        <f>H4298-G4299</f>
        <v/>
      </c>
      <c r="I4299" s="392" t="n"/>
      <c r="J4299" s="392" t="n"/>
      <c r="K4299" s="392" t="n"/>
      <c r="L4299" s="392" t="n"/>
      <c r="M4299" s="392" t="n"/>
    </row>
    <row r="4300">
      <c r="A4300" s="568" t="n">
        <v>45412</v>
      </c>
      <c r="B4300" s="392" t="n">
        <v>11034</v>
      </c>
      <c r="C4300" s="392" t="n">
        <v>89</v>
      </c>
      <c r="D4300" s="392" t="n"/>
      <c r="E4300" s="392" t="n"/>
      <c r="F4300" s="392" t="n"/>
      <c r="G4300" s="392" t="n">
        <v>30</v>
      </c>
      <c r="H4300" s="446">
        <f>H4299-G4300</f>
        <v/>
      </c>
      <c r="I4300" s="392" t="n"/>
      <c r="J4300" s="392" t="n"/>
      <c r="K4300" s="392" t="n"/>
      <c r="L4300" s="392" t="n"/>
      <c r="M4300" s="392" t="n"/>
    </row>
    <row r="4301" ht="15.75" customHeight="1" s="436" thickBot="1">
      <c r="A4301" s="414" t="n"/>
      <c r="H4301" s="390" t="n"/>
    </row>
    <row r="4302" ht="32.25" customHeight="1" s="436" thickBot="1">
      <c r="A4302" s="735" t="inlineStr">
        <is>
          <t>Maio</t>
        </is>
      </c>
      <c r="B4302" s="697" t="n"/>
      <c r="C4302" s="697" t="n"/>
      <c r="D4302" s="697" t="n"/>
      <c r="E4302" s="697" t="n"/>
      <c r="F4302" s="697" t="n"/>
      <c r="G4302" s="697" t="n"/>
      <c r="H4302" s="697" t="n"/>
      <c r="I4302" s="697" t="n"/>
      <c r="J4302" s="697" t="n"/>
      <c r="K4302" s="697" t="n"/>
      <c r="L4302" s="697" t="n"/>
      <c r="M4302" s="698" t="n"/>
    </row>
    <row r="4303" ht="27" customHeight="1" s="436" thickBot="1">
      <c r="A4303" s="720" t="inlineStr">
        <is>
          <t xml:space="preserve"> FARINHA DE TRIGO TIPO: 1 - 25 KG</t>
        </is>
      </c>
      <c r="B4303" s="697" t="n"/>
      <c r="C4303" s="697" t="n"/>
      <c r="D4303" s="697" t="n"/>
      <c r="E4303" s="697" t="n"/>
      <c r="F4303" s="697" t="n"/>
      <c r="G4303" s="697" t="n"/>
      <c r="H4303" s="697" t="n"/>
      <c r="I4303" s="697" t="n"/>
      <c r="J4303" s="697" t="n"/>
      <c r="K4303" s="697" t="n"/>
      <c r="L4303" s="697" t="n"/>
      <c r="M4303" s="698" t="n"/>
    </row>
    <row r="4304">
      <c r="A4304" s="3" t="inlineStr">
        <is>
          <t>DATA</t>
        </is>
      </c>
      <c r="B4304" s="3" t="inlineStr">
        <is>
          <t>N.F.</t>
        </is>
      </c>
      <c r="C4304" s="3" t="inlineStr">
        <is>
          <t>TIPO</t>
        </is>
      </c>
      <c r="D4304" s="708" t="inlineStr">
        <is>
          <t>PREÇO UNITÁRIO</t>
        </is>
      </c>
      <c r="E4304" s="736" t="n"/>
      <c r="F4304" s="3" t="inlineStr">
        <is>
          <t>QUANTIDADE / KG</t>
        </is>
      </c>
      <c r="G4304" s="737" t="n"/>
      <c r="H4304" s="736" t="n"/>
      <c r="I4304" s="631" t="inlineStr">
        <is>
          <t>PREÇO</t>
        </is>
      </c>
      <c r="J4304" s="631" t="inlineStr">
        <is>
          <t>VALORES</t>
        </is>
      </c>
      <c r="K4304" s="737" t="n"/>
      <c r="L4304" s="736" t="n"/>
      <c r="M4304" s="738" t="n"/>
    </row>
    <row r="4305" ht="15.75" customHeight="1" s="436" thickBot="1">
      <c r="A4305" s="704" t="n"/>
      <c r="B4305" s="704" t="n"/>
      <c r="C4305" s="704" t="n"/>
      <c r="D4305" s="703" t="n"/>
      <c r="E4305" s="701" t="n"/>
      <c r="F4305" s="705" t="n"/>
      <c r="G4305" s="706" t="n"/>
      <c r="H4305" s="707" t="n"/>
      <c r="I4305" s="704" t="n"/>
      <c r="J4305" s="703" t="n"/>
      <c r="L4305" s="701" t="n"/>
      <c r="M4305" s="704" t="n"/>
    </row>
    <row r="4306" ht="15.75" customHeight="1" s="436" thickBot="1">
      <c r="A4306" s="704" t="n"/>
      <c r="B4306" s="704" t="n"/>
      <c r="C4306" s="704" t="n"/>
      <c r="D4306" s="705" t="n"/>
      <c r="E4306" s="707" t="n"/>
      <c r="F4306" s="3" t="inlineStr">
        <is>
          <t>ENTRADA</t>
        </is>
      </c>
      <c r="G4306" s="3" t="inlineStr">
        <is>
          <t>SAÍDA</t>
        </is>
      </c>
      <c r="H4306" s="640" t="n"/>
      <c r="I4306" s="633" t="inlineStr">
        <is>
          <t>MÉDIO</t>
        </is>
      </c>
      <c r="J4306" s="739" t="inlineStr">
        <is>
          <t>SALDO EM 30/11/2017</t>
        </is>
      </c>
      <c r="K4306" s="707" t="n"/>
      <c r="L4306" s="17" t="n"/>
      <c r="M4306" s="740" t="n"/>
    </row>
    <row r="4307" ht="18" customHeight="1" s="436" thickBot="1">
      <c r="A4307" s="695" t="n"/>
      <c r="B4307" s="695" t="n"/>
      <c r="C4307" s="695" t="n"/>
      <c r="D4307" s="3" t="inlineStr">
        <is>
          <t>C/ICMS</t>
        </is>
      </c>
      <c r="E4307" s="3" t="inlineStr">
        <is>
          <t>S/ICMS</t>
        </is>
      </c>
      <c r="F4307" s="695" t="n"/>
      <c r="G4307" s="695" t="n"/>
      <c r="H4307" s="84" t="inlineStr">
        <is>
          <t>Saldo em 30/04/2024</t>
        </is>
      </c>
      <c r="I4307" s="695" t="n"/>
      <c r="J4307" s="645" t="inlineStr">
        <is>
          <t>ENTRADA</t>
        </is>
      </c>
      <c r="K4307" s="633" t="inlineStr">
        <is>
          <t>SAÍDA / CMV</t>
        </is>
      </c>
      <c r="L4307" s="643" t="inlineStr">
        <is>
          <t>SALDO</t>
        </is>
      </c>
      <c r="M4307" s="392" t="n"/>
    </row>
    <row r="4308">
      <c r="A4308" s="392" t="n"/>
      <c r="B4308" s="392" t="n"/>
      <c r="C4308" s="392" t="n"/>
      <c r="D4308" s="392" t="n"/>
      <c r="E4308" s="392" t="n"/>
      <c r="F4308" s="392" t="n"/>
      <c r="G4308" s="392" t="n"/>
      <c r="H4308" s="446" t="n">
        <v>2883</v>
      </c>
      <c r="I4308" s="392" t="n"/>
      <c r="J4308" s="392" t="n"/>
      <c r="K4308" s="392" t="n"/>
      <c r="L4308" s="392" t="n"/>
      <c r="M4308" s="392" t="n"/>
    </row>
    <row r="4309">
      <c r="A4309" s="304" t="n">
        <v>45414</v>
      </c>
      <c r="B4309" s="401" t="n">
        <v>1182</v>
      </c>
      <c r="C4309" s="401" t="n">
        <v>72.54000000000001</v>
      </c>
      <c r="D4309" s="401" t="n"/>
      <c r="E4309" s="401" t="n"/>
      <c r="F4309" s="401" t="n">
        <v>1120</v>
      </c>
      <c r="G4309" s="401" t="n"/>
      <c r="H4309" s="322" t="n">
        <v>4003</v>
      </c>
      <c r="I4309" s="392" t="n"/>
      <c r="J4309" s="392" t="n"/>
      <c r="K4309" s="392" t="n"/>
      <c r="L4309" s="392" t="n"/>
      <c r="M4309" s="392" t="n"/>
    </row>
    <row r="4310">
      <c r="A4310" s="568" t="n">
        <v>45418</v>
      </c>
      <c r="B4310" s="392" t="n">
        <v>11036</v>
      </c>
      <c r="C4310" s="392" t="n">
        <v>82</v>
      </c>
      <c r="D4310" s="392" t="n"/>
      <c r="E4310" s="392" t="n"/>
      <c r="F4310" s="392" t="n"/>
      <c r="G4310" s="392" t="n">
        <v>20</v>
      </c>
      <c r="H4310" s="446">
        <f>H4309-G4310</f>
        <v/>
      </c>
      <c r="I4310" s="392" t="n"/>
      <c r="J4310" s="392" t="n"/>
      <c r="K4310" s="392" t="n"/>
      <c r="L4310" s="392" t="n"/>
      <c r="M4310" s="392" t="n"/>
    </row>
    <row r="4311">
      <c r="A4311" s="568" t="n">
        <v>45418</v>
      </c>
      <c r="B4311" s="392" t="n">
        <v>11037</v>
      </c>
      <c r="C4311" s="392" t="n">
        <v>82</v>
      </c>
      <c r="D4311" s="392" t="n"/>
      <c r="E4311" s="392" t="n"/>
      <c r="F4311" s="392" t="n"/>
      <c r="G4311" s="392" t="n">
        <v>50</v>
      </c>
      <c r="H4311" s="446">
        <f>H4310-G4311</f>
        <v/>
      </c>
      <c r="I4311" s="392" t="n"/>
      <c r="J4311" s="392" t="n"/>
      <c r="K4311" s="392" t="n"/>
      <c r="L4311" s="392" t="n"/>
      <c r="M4311" s="392" t="n"/>
    </row>
    <row r="4312">
      <c r="A4312" s="568" t="n">
        <v>45418</v>
      </c>
      <c r="B4312" s="392" t="n">
        <v>11038</v>
      </c>
      <c r="C4312" s="392" t="n">
        <v>85.2</v>
      </c>
      <c r="D4312" s="392" t="n"/>
      <c r="E4312" s="392" t="n"/>
      <c r="F4312" s="392" t="n"/>
      <c r="G4312" s="392" t="n">
        <v>30</v>
      </c>
      <c r="H4312" s="446">
        <f>H4311-G4312</f>
        <v/>
      </c>
      <c r="I4312" s="392" t="n"/>
      <c r="J4312" s="392" t="n"/>
      <c r="K4312" s="392" t="n"/>
      <c r="L4312" s="392" t="n"/>
      <c r="M4312" s="392" t="n"/>
    </row>
    <row r="4313">
      <c r="A4313" s="568" t="n">
        <v>45418</v>
      </c>
      <c r="B4313" s="392" t="n">
        <v>11039</v>
      </c>
      <c r="C4313" s="392" t="n">
        <v>78</v>
      </c>
      <c r="D4313" s="392" t="n"/>
      <c r="E4313" s="392" t="n"/>
      <c r="F4313" s="392" t="n"/>
      <c r="G4313" s="392" t="n">
        <v>30</v>
      </c>
      <c r="H4313" s="446">
        <f>H4312-G4313</f>
        <v/>
      </c>
      <c r="I4313" s="392" t="n"/>
      <c r="J4313" s="392" t="n"/>
      <c r="K4313" s="392" t="n"/>
      <c r="L4313" s="392" t="n"/>
      <c r="M4313" s="392" t="n"/>
    </row>
    <row r="4314">
      <c r="A4314" s="568" t="n">
        <v>45418</v>
      </c>
      <c r="B4314" s="392" t="n">
        <v>11040</v>
      </c>
      <c r="C4314" s="392" t="n">
        <v>84.34</v>
      </c>
      <c r="D4314" s="392" t="n"/>
      <c r="E4314" s="392" t="n"/>
      <c r="F4314" s="392" t="n"/>
      <c r="G4314" s="392" t="n">
        <v>22</v>
      </c>
      <c r="H4314" s="446">
        <f>H4313-G4314</f>
        <v/>
      </c>
      <c r="I4314" s="392" t="n"/>
      <c r="J4314" s="392" t="n"/>
      <c r="K4314" s="392" t="n"/>
      <c r="L4314" s="392" t="n"/>
      <c r="M4314" s="392" t="n"/>
    </row>
    <row r="4315">
      <c r="A4315" s="568" t="n">
        <v>45418</v>
      </c>
      <c r="B4315" s="392" t="n">
        <v>11041</v>
      </c>
      <c r="C4315" s="392" t="n">
        <v>81.3</v>
      </c>
      <c r="D4315" s="392" t="n"/>
      <c r="E4315" s="392" t="n"/>
      <c r="F4315" s="392" t="n"/>
      <c r="G4315" s="392" t="n">
        <v>30</v>
      </c>
      <c r="H4315" s="446">
        <f>H4314-G4315</f>
        <v/>
      </c>
      <c r="I4315" s="392" t="n"/>
      <c r="J4315" s="392" t="n"/>
      <c r="K4315" s="392" t="n"/>
      <c r="L4315" s="392" t="n"/>
      <c r="M4315" s="392" t="n"/>
    </row>
    <row r="4316">
      <c r="A4316" s="568" t="n">
        <v>45418</v>
      </c>
      <c r="B4316" s="392" t="n">
        <v>11042</v>
      </c>
      <c r="C4316" s="392" t="n">
        <v>82</v>
      </c>
      <c r="D4316" s="392" t="n"/>
      <c r="E4316" s="392" t="n"/>
      <c r="F4316" s="392" t="n"/>
      <c r="G4316" s="392" t="n">
        <v>10</v>
      </c>
      <c r="H4316" s="446">
        <f>H4315-G4316</f>
        <v/>
      </c>
      <c r="I4316" s="392" t="n"/>
      <c r="J4316" s="392" t="n"/>
      <c r="K4316" s="392" t="n"/>
      <c r="L4316" s="392" t="n"/>
      <c r="M4316" s="392" t="n"/>
    </row>
    <row r="4317">
      <c r="A4317" s="568" t="n">
        <v>45418</v>
      </c>
      <c r="B4317" s="392" t="n">
        <v>11043</v>
      </c>
      <c r="C4317" s="392" t="n">
        <v>89</v>
      </c>
      <c r="D4317" s="392" t="n"/>
      <c r="E4317" s="392" t="n"/>
      <c r="F4317" s="392" t="n"/>
      <c r="G4317" s="392" t="n">
        <v>30</v>
      </c>
      <c r="H4317" s="446">
        <f>H4316-G4317</f>
        <v/>
      </c>
      <c r="I4317" s="392" t="n"/>
      <c r="J4317" s="392" t="n"/>
      <c r="K4317" s="392" t="n"/>
      <c r="L4317" s="392" t="n"/>
      <c r="M4317" s="392" t="n"/>
    </row>
    <row r="4318">
      <c r="A4318" s="568" t="n">
        <v>45418</v>
      </c>
      <c r="B4318" s="392" t="n">
        <v>11044</v>
      </c>
      <c r="C4318" s="392" t="n">
        <v>89</v>
      </c>
      <c r="D4318" s="392" t="n"/>
      <c r="E4318" s="392" t="n"/>
      <c r="F4318" s="392" t="n"/>
      <c r="G4318" s="392" t="n">
        <v>30</v>
      </c>
      <c r="H4318" s="446">
        <f>H4317-G4318</f>
        <v/>
      </c>
      <c r="I4318" s="392" t="n"/>
      <c r="J4318" s="392" t="n"/>
      <c r="K4318" s="392" t="n"/>
      <c r="L4318" s="392" t="n"/>
      <c r="M4318" s="392" t="n"/>
    </row>
    <row r="4319">
      <c r="A4319" s="568" t="n">
        <v>45418</v>
      </c>
      <c r="B4319" s="392" t="n">
        <v>11045</v>
      </c>
      <c r="C4319" s="392" t="n">
        <v>89</v>
      </c>
      <c r="D4319" s="392" t="n"/>
      <c r="E4319" s="392" t="n"/>
      <c r="F4319" s="392" t="n"/>
      <c r="G4319" s="392" t="n">
        <v>20</v>
      </c>
      <c r="H4319" s="446">
        <f>H4318-G4319</f>
        <v/>
      </c>
      <c r="I4319" s="392" t="n"/>
      <c r="J4319" s="392" t="n"/>
      <c r="K4319" s="392" t="n"/>
      <c r="L4319" s="392" t="n"/>
      <c r="M4319" s="392" t="n"/>
    </row>
    <row r="4320">
      <c r="A4320" s="568" t="n">
        <v>45418</v>
      </c>
      <c r="B4320" s="392" t="n">
        <v>11046</v>
      </c>
      <c r="C4320" s="392" t="n">
        <v>82</v>
      </c>
      <c r="D4320" s="392" t="n"/>
      <c r="E4320" s="392" t="n"/>
      <c r="F4320" s="392" t="n"/>
      <c r="G4320" s="392" t="n">
        <v>10</v>
      </c>
      <c r="H4320" s="446">
        <f>H4319-G4320</f>
        <v/>
      </c>
      <c r="I4320" s="392" t="n"/>
      <c r="J4320" s="392" t="n"/>
      <c r="K4320" s="392" t="n"/>
      <c r="L4320" s="392" t="n"/>
      <c r="M4320" s="392" t="n"/>
    </row>
    <row r="4321">
      <c r="A4321" s="568" t="n">
        <v>45418</v>
      </c>
      <c r="B4321" s="392" t="n">
        <v>11047</v>
      </c>
      <c r="C4321" s="392" t="n">
        <v>87.75</v>
      </c>
      <c r="D4321" s="392" t="n"/>
      <c r="E4321" s="392" t="n"/>
      <c r="F4321" s="392" t="n"/>
      <c r="G4321" s="392" t="n">
        <v>20</v>
      </c>
      <c r="H4321" s="446">
        <f>H4320-G4321</f>
        <v/>
      </c>
      <c r="I4321" s="392" t="n"/>
      <c r="J4321" s="392" t="n"/>
      <c r="K4321" s="392" t="n"/>
      <c r="L4321" s="392" t="n"/>
      <c r="M4321" s="392" t="n"/>
    </row>
    <row r="4322">
      <c r="A4322" s="568" t="n">
        <v>45418</v>
      </c>
      <c r="B4322" s="392" t="n">
        <v>11048</v>
      </c>
      <c r="C4322" s="392" t="n">
        <v>82</v>
      </c>
      <c r="D4322" s="392" t="n"/>
      <c r="E4322" s="392" t="n"/>
      <c r="F4322" s="392" t="n"/>
      <c r="G4322" s="392" t="n">
        <v>10</v>
      </c>
      <c r="H4322" s="446">
        <f>H4321-G4322</f>
        <v/>
      </c>
      <c r="I4322" s="392" t="n"/>
      <c r="J4322" s="392" t="n"/>
      <c r="K4322" s="392" t="n"/>
      <c r="L4322" s="392" t="n"/>
      <c r="M4322" s="392" t="n"/>
    </row>
    <row r="4323">
      <c r="A4323" s="568" t="n">
        <v>45418</v>
      </c>
      <c r="B4323" s="392" t="n">
        <v>11049</v>
      </c>
      <c r="C4323" s="392" t="n">
        <v>82</v>
      </c>
      <c r="D4323" s="392" t="n"/>
      <c r="E4323" s="392" t="n"/>
      <c r="F4323" s="392" t="n"/>
      <c r="G4323" s="392" t="n">
        <v>12</v>
      </c>
      <c r="H4323" s="446">
        <f>H4322-G4323</f>
        <v/>
      </c>
      <c r="I4323" s="392" t="n"/>
      <c r="J4323" s="392" t="n"/>
      <c r="K4323" s="392" t="n"/>
      <c r="L4323" s="392" t="n"/>
      <c r="M4323" s="392" t="n"/>
    </row>
    <row r="4324">
      <c r="A4324" s="568" t="n">
        <v>45418</v>
      </c>
      <c r="B4324" s="392" t="n">
        <v>11050</v>
      </c>
      <c r="C4324" s="392" t="n">
        <v>82.73</v>
      </c>
      <c r="D4324" s="392" t="n"/>
      <c r="E4324" s="392" t="n"/>
      <c r="F4324" s="392" t="n"/>
      <c r="G4324" s="392" t="n">
        <v>11</v>
      </c>
      <c r="H4324" s="446">
        <f>H4323-G4324</f>
        <v/>
      </c>
      <c r="I4324" s="392" t="n"/>
      <c r="J4324" s="392" t="n"/>
      <c r="K4324" s="392" t="n"/>
      <c r="L4324" s="392" t="n"/>
      <c r="M4324" s="392" t="n"/>
    </row>
    <row r="4325">
      <c r="A4325" s="568" t="n">
        <v>45420</v>
      </c>
      <c r="B4325" s="392" t="n">
        <v>11052</v>
      </c>
      <c r="C4325" s="392" t="n">
        <v>87</v>
      </c>
      <c r="D4325" s="392" t="n"/>
      <c r="E4325" s="392" t="n"/>
      <c r="F4325" s="392" t="n"/>
      <c r="G4325" s="392" t="n">
        <v>30</v>
      </c>
      <c r="H4325" s="446">
        <f>H4324-G4325</f>
        <v/>
      </c>
      <c r="I4325" s="392" t="n"/>
      <c r="J4325" s="392" t="n"/>
      <c r="K4325" s="392" t="n"/>
      <c r="L4325" s="392" t="n"/>
      <c r="M4325" s="392" t="n"/>
    </row>
    <row r="4326">
      <c r="A4326" s="568" t="n">
        <v>45420</v>
      </c>
      <c r="B4326" s="392" t="n">
        <v>11053</v>
      </c>
      <c r="C4326" s="392" t="n">
        <v>85.5</v>
      </c>
      <c r="D4326" s="392" t="n"/>
      <c r="E4326" s="392" t="n"/>
      <c r="F4326" s="392" t="n"/>
      <c r="G4326" s="392" t="n">
        <v>20</v>
      </c>
      <c r="H4326" s="446">
        <f>H4325-G4326</f>
        <v/>
      </c>
      <c r="I4326" s="392" t="n"/>
      <c r="J4326" s="392" t="n"/>
      <c r="K4326" s="392" t="n"/>
      <c r="L4326" s="392" t="n"/>
      <c r="M4326" s="392" t="n"/>
    </row>
    <row r="4327">
      <c r="A4327" s="568" t="n">
        <v>45421</v>
      </c>
      <c r="B4327" s="392" t="n">
        <v>11054</v>
      </c>
      <c r="C4327" s="392" t="n">
        <v>80</v>
      </c>
      <c r="D4327" s="392" t="n"/>
      <c r="E4327" s="392" t="n"/>
      <c r="F4327" s="392" t="n"/>
      <c r="G4327" s="392" t="n">
        <v>50</v>
      </c>
      <c r="H4327" s="446">
        <f>H4326-G4327</f>
        <v/>
      </c>
      <c r="I4327" s="392" t="n"/>
      <c r="J4327" s="392" t="n"/>
      <c r="K4327" s="392" t="n"/>
      <c r="L4327" s="392" t="n"/>
      <c r="M4327" s="392" t="n"/>
    </row>
    <row r="4328">
      <c r="A4328" s="568" t="n">
        <v>45426</v>
      </c>
      <c r="B4328" s="392" t="n">
        <v>11057</v>
      </c>
      <c r="C4328" s="392" t="n">
        <v>84</v>
      </c>
      <c r="D4328" s="392" t="n"/>
      <c r="E4328" s="392" t="n"/>
      <c r="F4328" s="392" t="n"/>
      <c r="G4328" s="392" t="n">
        <v>30</v>
      </c>
      <c r="H4328" s="446">
        <f>H4327-G4328</f>
        <v/>
      </c>
      <c r="I4328" s="392" t="n"/>
      <c r="J4328" s="392" t="n"/>
      <c r="K4328" s="392" t="n"/>
      <c r="L4328" s="392" t="n"/>
      <c r="M4328" s="392" t="n"/>
    </row>
    <row r="4329">
      <c r="A4329" s="568" t="n">
        <v>45426</v>
      </c>
      <c r="B4329" s="392" t="n">
        <v>11059</v>
      </c>
      <c r="C4329" s="392" t="n">
        <v>84</v>
      </c>
      <c r="D4329" s="392" t="n"/>
      <c r="E4329" s="392" t="n"/>
      <c r="F4329" s="392" t="n"/>
      <c r="G4329" s="392" t="n">
        <v>20</v>
      </c>
      <c r="H4329" s="446">
        <f>H4328-G4329</f>
        <v/>
      </c>
      <c r="I4329" s="392" t="n"/>
      <c r="J4329" s="392" t="n"/>
      <c r="K4329" s="392" t="n"/>
      <c r="L4329" s="392" t="n"/>
      <c r="M4329" s="392" t="n"/>
    </row>
    <row r="4330">
      <c r="A4330" s="568" t="n">
        <v>45426</v>
      </c>
      <c r="B4330" s="392" t="n">
        <v>11060</v>
      </c>
      <c r="C4330" s="392" t="n">
        <v>87</v>
      </c>
      <c r="D4330" s="392" t="n"/>
      <c r="E4330" s="392" t="n"/>
      <c r="F4330" s="392" t="n"/>
      <c r="G4330" s="392" t="n">
        <v>60</v>
      </c>
      <c r="H4330" s="446">
        <f>H4329-G4330</f>
        <v/>
      </c>
      <c r="I4330" s="392" t="n"/>
      <c r="J4330" s="392" t="n"/>
      <c r="K4330" s="392" t="n"/>
      <c r="L4330" s="392" t="n"/>
      <c r="M4330" s="392" t="n"/>
    </row>
    <row r="4331">
      <c r="A4331" s="568" t="n">
        <v>45426</v>
      </c>
      <c r="B4331" s="392" t="n">
        <v>11061</v>
      </c>
      <c r="C4331" s="392" t="n">
        <v>84</v>
      </c>
      <c r="D4331" s="392" t="n"/>
      <c r="E4331" s="392" t="n"/>
      <c r="F4331" s="392" t="n"/>
      <c r="G4331" s="392" t="n">
        <v>20</v>
      </c>
      <c r="H4331" s="446">
        <f>H4330-G4331</f>
        <v/>
      </c>
      <c r="I4331" s="392" t="n"/>
      <c r="J4331" s="392" t="n"/>
      <c r="K4331" s="392" t="n"/>
      <c r="L4331" s="392" t="n"/>
      <c r="M4331" s="392" t="n"/>
    </row>
    <row r="4332">
      <c r="A4332" s="568" t="n">
        <v>45426</v>
      </c>
      <c r="B4332" s="392" t="n">
        <v>11062</v>
      </c>
      <c r="C4332" s="392" t="n">
        <v>89</v>
      </c>
      <c r="D4332" s="392" t="n"/>
      <c r="E4332" s="392" t="n"/>
      <c r="F4332" s="392" t="n"/>
      <c r="G4332" s="392" t="n">
        <v>10</v>
      </c>
      <c r="H4332" s="446">
        <f>H4331-G4332</f>
        <v/>
      </c>
      <c r="I4332" s="392" t="n"/>
      <c r="J4332" s="392" t="n"/>
      <c r="K4332" s="392" t="n"/>
      <c r="L4332" s="392" t="n"/>
      <c r="M4332" s="392" t="n"/>
    </row>
    <row r="4333">
      <c r="A4333" s="568" t="n">
        <v>45426</v>
      </c>
      <c r="B4333" s="392" t="n">
        <v>11063</v>
      </c>
      <c r="C4333" s="392" t="n">
        <v>89</v>
      </c>
      <c r="D4333" s="392" t="n"/>
      <c r="E4333" s="392" t="n"/>
      <c r="F4333" s="392" t="n"/>
      <c r="G4333" s="392" t="n">
        <v>25</v>
      </c>
      <c r="H4333" s="446">
        <f>H4332-G4333</f>
        <v/>
      </c>
      <c r="I4333" s="392" t="n"/>
      <c r="J4333" s="392" t="n"/>
      <c r="K4333" s="392" t="n"/>
      <c r="L4333" s="392" t="n"/>
      <c r="M4333" s="392" t="n"/>
    </row>
    <row r="4334">
      <c r="A4334" s="568" t="n">
        <v>45426</v>
      </c>
      <c r="B4334" s="392" t="n">
        <v>11064</v>
      </c>
      <c r="C4334" s="392" t="n">
        <v>82</v>
      </c>
      <c r="D4334" s="392" t="n"/>
      <c r="E4334" s="392" t="n"/>
      <c r="F4334" s="392" t="n"/>
      <c r="G4334" s="392" t="n">
        <v>30</v>
      </c>
      <c r="H4334" s="446">
        <f>H4333-G4334</f>
        <v/>
      </c>
      <c r="I4334" s="392" t="n"/>
      <c r="J4334" s="392" t="n"/>
      <c r="K4334" s="392" t="n"/>
      <c r="L4334" s="392" t="n"/>
      <c r="M4334" s="392" t="n"/>
    </row>
    <row r="4335">
      <c r="A4335" s="568" t="n">
        <v>45427</v>
      </c>
      <c r="B4335" s="392" t="n">
        <v>11067</v>
      </c>
      <c r="C4335" s="392" t="n">
        <v>84</v>
      </c>
      <c r="D4335" s="392" t="n"/>
      <c r="E4335" s="392" t="n"/>
      <c r="F4335" s="392" t="n"/>
      <c r="G4335" s="392" t="n">
        <v>25</v>
      </c>
      <c r="H4335" s="446">
        <f>H4334-G4335</f>
        <v/>
      </c>
      <c r="I4335" s="392" t="n"/>
      <c r="J4335" s="392" t="n"/>
      <c r="K4335" s="392" t="n"/>
      <c r="L4335" s="392" t="n"/>
      <c r="M4335" s="392" t="n"/>
    </row>
    <row r="4336">
      <c r="A4336" s="568" t="n">
        <v>45427</v>
      </c>
      <c r="B4336" s="392" t="n">
        <v>11068</v>
      </c>
      <c r="C4336" s="392" t="n">
        <v>82</v>
      </c>
      <c r="D4336" s="392" t="n"/>
      <c r="E4336" s="392" t="n"/>
      <c r="F4336" s="392" t="n"/>
      <c r="G4336" s="392" t="n">
        <v>50</v>
      </c>
      <c r="H4336" s="446">
        <f>H4335-G4336</f>
        <v/>
      </c>
      <c r="I4336" s="392" t="n"/>
      <c r="J4336" s="392" t="n"/>
      <c r="K4336" s="392" t="n"/>
      <c r="L4336" s="392" t="n"/>
      <c r="M4336" s="392" t="n"/>
    </row>
    <row r="4337">
      <c r="A4337" s="568" t="n">
        <v>45427</v>
      </c>
      <c r="B4337" s="392" t="n">
        <v>11069</v>
      </c>
      <c r="C4337" s="392" t="n">
        <v>82</v>
      </c>
      <c r="D4337" s="392" t="n"/>
      <c r="E4337" s="392" t="n"/>
      <c r="F4337" s="392" t="n"/>
      <c r="G4337" s="392" t="n">
        <v>30</v>
      </c>
      <c r="H4337" s="446">
        <f>H4336-G4337</f>
        <v/>
      </c>
      <c r="I4337" s="392" t="n"/>
      <c r="J4337" s="392" t="n"/>
      <c r="K4337" s="392" t="n"/>
      <c r="L4337" s="392" t="n"/>
      <c r="M4337" s="392" t="n"/>
    </row>
    <row r="4338">
      <c r="A4338" s="568" t="n">
        <v>45428</v>
      </c>
      <c r="B4338" s="392" t="n">
        <v>11072</v>
      </c>
      <c r="C4338" s="392" t="n">
        <v>79</v>
      </c>
      <c r="D4338" s="392" t="n"/>
      <c r="E4338" s="392" t="n"/>
      <c r="F4338" s="392" t="n"/>
      <c r="G4338" s="392" t="n">
        <v>100</v>
      </c>
      <c r="H4338" s="446">
        <f>H4337-G4338</f>
        <v/>
      </c>
      <c r="I4338" s="392" t="n"/>
      <c r="J4338" s="392" t="n"/>
      <c r="K4338" s="392" t="n"/>
      <c r="L4338" s="392" t="n"/>
      <c r="M4338" s="392" t="n"/>
    </row>
    <row r="4339">
      <c r="A4339" s="304" t="n">
        <v>45433</v>
      </c>
      <c r="B4339" s="401" t="n">
        <v>245451</v>
      </c>
      <c r="C4339" s="401" t="n">
        <v>66</v>
      </c>
      <c r="D4339" s="401" t="n"/>
      <c r="E4339" s="401" t="n"/>
      <c r="F4339" s="401" t="n">
        <v>150</v>
      </c>
      <c r="G4339" s="401" t="n"/>
      <c r="H4339" s="322" t="n">
        <v>3318</v>
      </c>
      <c r="I4339" s="392" t="n"/>
      <c r="J4339" s="392" t="n"/>
      <c r="K4339" s="392" t="n"/>
      <c r="L4339" s="392" t="n"/>
      <c r="M4339" s="392" t="n"/>
    </row>
    <row r="4340">
      <c r="A4340" s="568" t="n">
        <v>45434</v>
      </c>
      <c r="B4340" s="392" t="n">
        <v>11076</v>
      </c>
      <c r="C4340" s="392" t="n">
        <v>80</v>
      </c>
      <c r="D4340" s="392" t="n"/>
      <c r="E4340" s="392" t="n"/>
      <c r="F4340" s="392" t="n"/>
      <c r="G4340" s="392" t="n">
        <v>20</v>
      </c>
      <c r="H4340" s="446">
        <f>H4339-G4340</f>
        <v/>
      </c>
      <c r="I4340" s="392" t="n"/>
      <c r="J4340" s="392" t="n"/>
      <c r="K4340" s="392" t="n"/>
      <c r="L4340" s="392" t="n"/>
      <c r="M4340" s="392" t="n"/>
    </row>
    <row r="4341">
      <c r="A4341" s="568" t="n">
        <v>45434</v>
      </c>
      <c r="B4341" s="392" t="n">
        <v>11077</v>
      </c>
      <c r="C4341" s="392" t="n">
        <v>88.5</v>
      </c>
      <c r="D4341" s="392" t="n"/>
      <c r="E4341" s="392" t="n"/>
      <c r="F4341" s="392" t="n"/>
      <c r="G4341" s="392" t="n">
        <v>20</v>
      </c>
      <c r="H4341" s="446">
        <f>H4340-G4341</f>
        <v/>
      </c>
      <c r="I4341" s="392" t="n"/>
      <c r="J4341" s="392" t="n"/>
      <c r="K4341" s="392" t="n"/>
      <c r="L4341" s="392" t="n"/>
      <c r="M4341" s="392" t="n"/>
    </row>
    <row r="4342">
      <c r="A4342" s="568" t="n">
        <v>45434</v>
      </c>
      <c r="B4342" s="392" t="n">
        <v>11078</v>
      </c>
      <c r="C4342" s="392" t="n">
        <v>89</v>
      </c>
      <c r="D4342" s="392" t="n"/>
      <c r="E4342" s="392" t="n"/>
      <c r="F4342" s="392" t="n"/>
      <c r="G4342" s="392" t="n">
        <v>30</v>
      </c>
      <c r="H4342" s="446">
        <f>H4341-G4342</f>
        <v/>
      </c>
      <c r="I4342" s="392" t="n"/>
      <c r="J4342" s="392" t="n"/>
      <c r="K4342" s="392" t="n"/>
      <c r="L4342" s="392" t="n"/>
      <c r="M4342" s="392" t="n"/>
    </row>
    <row r="4343">
      <c r="A4343" s="568" t="n">
        <v>45434</v>
      </c>
      <c r="B4343" s="392" t="n">
        <v>11079</v>
      </c>
      <c r="C4343" s="392" t="n">
        <v>89</v>
      </c>
      <c r="D4343" s="392" t="n"/>
      <c r="E4343" s="392" t="n"/>
      <c r="F4343" s="392" t="n"/>
      <c r="G4343" s="392" t="n">
        <v>15</v>
      </c>
      <c r="H4343" s="446">
        <f>H4342-G4343</f>
        <v/>
      </c>
      <c r="I4343" s="392" t="n"/>
      <c r="J4343" s="392" t="n"/>
      <c r="K4343" s="392" t="n"/>
      <c r="L4343" s="392" t="n"/>
      <c r="M4343" s="392" t="n"/>
    </row>
    <row r="4344">
      <c r="A4344" s="568" t="n">
        <v>45434</v>
      </c>
      <c r="B4344" s="392" t="n">
        <v>11082</v>
      </c>
      <c r="C4344" s="392" t="n">
        <v>78</v>
      </c>
      <c r="D4344" s="392" t="n"/>
      <c r="E4344" s="392" t="n"/>
      <c r="F4344" s="392" t="n"/>
      <c r="G4344" s="392" t="n">
        <v>100</v>
      </c>
      <c r="H4344" s="446">
        <f>H4343-G4344</f>
        <v/>
      </c>
      <c r="I4344" s="392" t="n"/>
      <c r="J4344" s="392" t="n"/>
      <c r="K4344" s="392" t="n"/>
      <c r="L4344" s="392" t="n"/>
      <c r="M4344" s="392" t="n"/>
    </row>
    <row r="4345">
      <c r="A4345" s="568" t="n">
        <v>45434</v>
      </c>
      <c r="B4345" s="392" t="n">
        <v>11087</v>
      </c>
      <c r="C4345" s="392" t="n">
        <v>80</v>
      </c>
      <c r="D4345" s="392" t="n"/>
      <c r="E4345" s="392" t="n"/>
      <c r="F4345" s="392" t="n"/>
      <c r="G4345" s="392" t="n">
        <v>50</v>
      </c>
      <c r="H4345" s="446">
        <f>H4344-G4345</f>
        <v/>
      </c>
      <c r="I4345" s="392" t="n"/>
      <c r="J4345" s="392" t="n"/>
      <c r="K4345" s="392" t="n"/>
      <c r="L4345" s="392" t="n"/>
      <c r="M4345" s="392" t="n"/>
    </row>
    <row r="4346">
      <c r="A4346" s="568" t="n">
        <v>45434</v>
      </c>
      <c r="B4346" s="392" t="n">
        <v>11088</v>
      </c>
      <c r="C4346" s="392" t="n">
        <v>85.5</v>
      </c>
      <c r="D4346" s="392" t="n"/>
      <c r="E4346" s="392" t="n"/>
      <c r="F4346" s="392" t="n"/>
      <c r="G4346" s="392" t="n">
        <v>30</v>
      </c>
      <c r="H4346" s="446">
        <f>H4345-G4346</f>
        <v/>
      </c>
      <c r="I4346" s="392" t="n"/>
      <c r="J4346" s="392" t="n"/>
      <c r="K4346" s="392" t="n"/>
      <c r="L4346" s="392" t="n"/>
      <c r="M4346" s="392" t="n"/>
    </row>
    <row r="4347">
      <c r="A4347" s="568" t="n">
        <v>45434</v>
      </c>
      <c r="B4347" s="392" t="n">
        <v>11089</v>
      </c>
      <c r="C4347" s="392" t="n">
        <v>82</v>
      </c>
      <c r="D4347" s="392" t="n"/>
      <c r="E4347" s="392" t="n"/>
      <c r="F4347" s="392" t="n"/>
      <c r="G4347" s="392" t="n">
        <v>15</v>
      </c>
      <c r="H4347" s="446">
        <f>H4346-G4347</f>
        <v/>
      </c>
      <c r="I4347" s="392" t="n"/>
      <c r="J4347" s="392" t="n"/>
      <c r="K4347" s="392" t="n"/>
      <c r="L4347" s="392" t="n"/>
      <c r="M4347" s="392" t="n"/>
    </row>
    <row r="4348">
      <c r="A4348" s="568" t="n">
        <v>45439</v>
      </c>
      <c r="B4348" s="392" t="n">
        <v>11091</v>
      </c>
      <c r="C4348" s="392" t="n">
        <v>82</v>
      </c>
      <c r="D4348" s="392" t="n"/>
      <c r="E4348" s="392" t="n"/>
      <c r="F4348" s="392" t="n"/>
      <c r="G4348" s="392" t="n">
        <v>50</v>
      </c>
      <c r="H4348" s="446">
        <f>H4347-G4348</f>
        <v/>
      </c>
      <c r="I4348" s="392" t="n"/>
      <c r="J4348" s="392" t="n"/>
      <c r="K4348" s="392" t="n"/>
      <c r="L4348" s="392" t="n"/>
      <c r="M4348" s="392" t="n"/>
    </row>
    <row r="4349">
      <c r="A4349" s="568" t="n">
        <v>45439</v>
      </c>
      <c r="B4349" s="392" t="n">
        <v>11093</v>
      </c>
      <c r="C4349" s="392" t="n">
        <v>86</v>
      </c>
      <c r="D4349" s="392" t="n"/>
      <c r="E4349" s="392" t="n"/>
      <c r="F4349" s="392" t="n"/>
      <c r="G4349" s="392" t="n">
        <v>20</v>
      </c>
      <c r="H4349" s="446">
        <f>H4348-G4349</f>
        <v/>
      </c>
      <c r="I4349" s="392" t="n"/>
      <c r="J4349" s="392" t="n"/>
      <c r="K4349" s="392" t="n"/>
      <c r="L4349" s="392" t="n"/>
      <c r="M4349" s="392" t="n"/>
    </row>
    <row r="4350">
      <c r="A4350" s="568" t="n">
        <v>45439</v>
      </c>
      <c r="B4350" s="392" t="n">
        <v>11094</v>
      </c>
      <c r="C4350" s="392" t="n">
        <v>87</v>
      </c>
      <c r="D4350" s="392" t="n"/>
      <c r="E4350" s="392" t="n"/>
      <c r="F4350" s="392" t="n"/>
      <c r="G4350" s="392" t="n">
        <v>30</v>
      </c>
      <c r="H4350" s="446">
        <f>H4349-G4350</f>
        <v/>
      </c>
      <c r="I4350" s="392" t="n"/>
      <c r="J4350" s="392" t="n"/>
      <c r="K4350" s="392" t="n"/>
      <c r="L4350" s="392" t="n"/>
      <c r="M4350" s="392" t="n"/>
    </row>
    <row r="4351">
      <c r="A4351" s="568" t="n">
        <v>45439</v>
      </c>
      <c r="B4351" s="392" t="n">
        <v>11095</v>
      </c>
      <c r="C4351" s="392" t="n">
        <v>89</v>
      </c>
      <c r="D4351" s="392" t="n"/>
      <c r="E4351" s="392" t="n"/>
      <c r="F4351" s="392" t="n"/>
      <c r="G4351" s="392" t="n">
        <v>30</v>
      </c>
      <c r="H4351" s="446">
        <f>H4350-G4351</f>
        <v/>
      </c>
      <c r="I4351" s="392" t="n"/>
      <c r="J4351" s="392" t="n"/>
      <c r="K4351" s="392" t="n"/>
      <c r="L4351" s="392" t="n"/>
      <c r="M4351" s="392" t="n"/>
    </row>
    <row r="4352">
      <c r="A4352" s="568" t="n">
        <v>45439</v>
      </c>
      <c r="B4352" s="392" t="n">
        <v>11096</v>
      </c>
      <c r="C4352" s="392" t="n">
        <v>87</v>
      </c>
      <c r="D4352" s="392" t="n"/>
      <c r="E4352" s="392" t="n"/>
      <c r="F4352" s="392" t="n"/>
      <c r="G4352" s="392" t="n">
        <v>100</v>
      </c>
      <c r="H4352" s="446">
        <f>H4351-G4352</f>
        <v/>
      </c>
      <c r="I4352" s="392" t="n"/>
      <c r="J4352" s="392" t="n"/>
      <c r="K4352" s="392" t="n"/>
      <c r="L4352" s="392" t="n"/>
      <c r="M4352" s="392" t="n"/>
    </row>
    <row r="4353">
      <c r="A4353" s="568" t="n">
        <v>45440</v>
      </c>
      <c r="B4353" s="392" t="n">
        <v>11100</v>
      </c>
      <c r="C4353" s="392" t="n">
        <v>88</v>
      </c>
      <c r="D4353" s="392" t="n"/>
      <c r="E4353" s="392" t="n"/>
      <c r="F4353" s="392" t="n"/>
      <c r="G4353" s="392" t="n">
        <v>10</v>
      </c>
      <c r="H4353" s="446">
        <f>H4352-G4353</f>
        <v/>
      </c>
      <c r="I4353" s="392" t="n"/>
      <c r="J4353" s="392" t="n"/>
      <c r="K4353" s="392" t="n"/>
      <c r="L4353" s="392" t="n"/>
      <c r="M4353" s="392" t="n"/>
    </row>
    <row r="4354" ht="15.75" customHeight="1" s="436" thickBot="1">
      <c r="A4354" s="414" t="n"/>
      <c r="H4354" s="390" t="n"/>
    </row>
    <row r="4355" ht="32.25" customHeight="1" s="436" thickBot="1">
      <c r="A4355" s="735" t="inlineStr">
        <is>
          <t>Junho</t>
        </is>
      </c>
      <c r="B4355" s="697" t="n"/>
      <c r="C4355" s="697" t="n"/>
      <c r="D4355" s="697" t="n"/>
      <c r="E4355" s="697" t="n"/>
      <c r="F4355" s="697" t="n"/>
      <c r="G4355" s="697" t="n"/>
      <c r="H4355" s="697" t="n"/>
      <c r="I4355" s="697" t="n"/>
      <c r="J4355" s="697" t="n"/>
      <c r="K4355" s="697" t="n"/>
      <c r="L4355" s="697" t="n"/>
      <c r="M4355" s="698" t="n"/>
    </row>
    <row r="4356" ht="27" customHeight="1" s="436" thickBot="1">
      <c r="A4356" s="720" t="inlineStr">
        <is>
          <t xml:space="preserve"> FARINHA DE TRIGO TIPO: 1 - 25 KG</t>
        </is>
      </c>
      <c r="B4356" s="697" t="n"/>
      <c r="C4356" s="697" t="n"/>
      <c r="D4356" s="697" t="n"/>
      <c r="E4356" s="697" t="n"/>
      <c r="F4356" s="697" t="n"/>
      <c r="G4356" s="697" t="n"/>
      <c r="H4356" s="697" t="n"/>
      <c r="I4356" s="697" t="n"/>
      <c r="J4356" s="697" t="n"/>
      <c r="K4356" s="697" t="n"/>
      <c r="L4356" s="697" t="n"/>
      <c r="M4356" s="698" t="n"/>
    </row>
    <row r="4357">
      <c r="A4357" s="3" t="inlineStr">
        <is>
          <t>DATA</t>
        </is>
      </c>
      <c r="B4357" s="3" t="inlineStr">
        <is>
          <t>N.F.</t>
        </is>
      </c>
      <c r="C4357" s="3" t="inlineStr">
        <is>
          <t>TIPO</t>
        </is>
      </c>
      <c r="D4357" s="708" t="inlineStr">
        <is>
          <t>PREÇO UNITÁRIO</t>
        </is>
      </c>
      <c r="E4357" s="736" t="n"/>
      <c r="F4357" s="3" t="inlineStr">
        <is>
          <t>QUANTIDADE / KG</t>
        </is>
      </c>
      <c r="G4357" s="737" t="n"/>
      <c r="H4357" s="736" t="n"/>
      <c r="I4357" s="631" t="inlineStr">
        <is>
          <t>PREÇO</t>
        </is>
      </c>
      <c r="J4357" s="631" t="inlineStr">
        <is>
          <t>VALORES</t>
        </is>
      </c>
      <c r="K4357" s="737" t="n"/>
      <c r="L4357" s="736" t="n"/>
      <c r="M4357" s="738" t="n"/>
    </row>
    <row r="4358" ht="15.75" customHeight="1" s="436" thickBot="1">
      <c r="A4358" s="704" t="n"/>
      <c r="B4358" s="704" t="n"/>
      <c r="C4358" s="704" t="n"/>
      <c r="D4358" s="703" t="n"/>
      <c r="E4358" s="701" t="n"/>
      <c r="F4358" s="705" t="n"/>
      <c r="G4358" s="706" t="n"/>
      <c r="H4358" s="707" t="n"/>
      <c r="I4358" s="704" t="n"/>
      <c r="J4358" s="703" t="n"/>
      <c r="L4358" s="701" t="n"/>
      <c r="M4358" s="704" t="n"/>
    </row>
    <row r="4359" ht="15.75" customHeight="1" s="436" thickBot="1">
      <c r="A4359" s="704" t="n"/>
      <c r="B4359" s="704" t="n"/>
      <c r="C4359" s="704" t="n"/>
      <c r="D4359" s="705" t="n"/>
      <c r="E4359" s="707" t="n"/>
      <c r="F4359" s="3" t="inlineStr">
        <is>
          <t>ENTRADA</t>
        </is>
      </c>
      <c r="G4359" s="3" t="inlineStr">
        <is>
          <t>SAÍDA</t>
        </is>
      </c>
      <c r="H4359" s="640" t="n"/>
      <c r="I4359" s="633" t="inlineStr">
        <is>
          <t>MÉDIO</t>
        </is>
      </c>
      <c r="J4359" s="739" t="inlineStr">
        <is>
          <t>SALDO EM 30/11/2017</t>
        </is>
      </c>
      <c r="K4359" s="707" t="n"/>
      <c r="L4359" s="17" t="n"/>
      <c r="M4359" s="740" t="n"/>
    </row>
    <row r="4360" ht="18" customHeight="1" s="436" thickBot="1">
      <c r="A4360" s="695" t="n"/>
      <c r="B4360" s="695" t="n"/>
      <c r="C4360" s="695" t="n"/>
      <c r="D4360" s="3" t="inlineStr">
        <is>
          <t>C/ICMS</t>
        </is>
      </c>
      <c r="E4360" s="3" t="inlineStr">
        <is>
          <t>S/ICMS</t>
        </is>
      </c>
      <c r="F4360" s="695" t="n"/>
      <c r="G4360" s="695" t="n"/>
      <c r="H4360" s="84" t="inlineStr">
        <is>
          <t>Saldo em 31/05/2024</t>
        </is>
      </c>
      <c r="I4360" s="695" t="n"/>
      <c r="J4360" s="645" t="inlineStr">
        <is>
          <t>ENTRADA</t>
        </is>
      </c>
      <c r="K4360" s="633" t="inlineStr">
        <is>
          <t>SAÍDA / CMV</t>
        </is>
      </c>
      <c r="L4360" s="643" t="inlineStr">
        <is>
          <t>SALDO</t>
        </is>
      </c>
      <c r="M4360" s="392" t="n"/>
    </row>
    <row r="4361">
      <c r="A4361" s="392" t="n"/>
      <c r="B4361" s="392" t="n"/>
      <c r="C4361" s="392" t="n"/>
      <c r="D4361" s="392" t="n"/>
      <c r="E4361" s="392" t="n"/>
      <c r="F4361" s="392" t="n"/>
      <c r="G4361" s="392" t="n"/>
      <c r="H4361" s="446" t="n">
        <v>2798</v>
      </c>
      <c r="I4361" s="392" t="n"/>
      <c r="J4361" s="392" t="n"/>
      <c r="K4361" s="392" t="n"/>
      <c r="L4361" s="392" t="n"/>
      <c r="M4361" s="392" t="n"/>
    </row>
    <row r="4362">
      <c r="A4362" s="568" t="n">
        <v>45446</v>
      </c>
      <c r="B4362" s="392" t="n">
        <v>11102</v>
      </c>
      <c r="C4362" s="392" t="n">
        <v>88</v>
      </c>
      <c r="D4362" s="392" t="n"/>
      <c r="E4362" s="392" t="n"/>
      <c r="F4362" s="392" t="n"/>
      <c r="G4362" s="392" t="n">
        <v>30</v>
      </c>
      <c r="H4362" s="446">
        <f>H4361-G4362</f>
        <v/>
      </c>
      <c r="I4362" s="392" t="n"/>
      <c r="J4362" s="392" t="n"/>
      <c r="K4362" s="392" t="n"/>
      <c r="L4362" s="392" t="n"/>
      <c r="M4362" s="392" t="n"/>
    </row>
    <row r="4363">
      <c r="A4363" s="568" t="n">
        <v>45448</v>
      </c>
      <c r="B4363" s="392" t="n">
        <v>11105</v>
      </c>
      <c r="C4363" s="392" t="n">
        <v>87</v>
      </c>
      <c r="D4363" s="392" t="n"/>
      <c r="E4363" s="392" t="n"/>
      <c r="F4363" s="392" t="n"/>
      <c r="G4363" s="392" t="n">
        <v>30</v>
      </c>
      <c r="H4363" s="446">
        <f>H4362-G4363</f>
        <v/>
      </c>
      <c r="I4363" s="392" t="n"/>
      <c r="J4363" s="392" t="n"/>
      <c r="K4363" s="392" t="n"/>
      <c r="L4363" s="392" t="n"/>
      <c r="M4363" s="392" t="n"/>
    </row>
    <row r="4364">
      <c r="A4364" s="568" t="n">
        <v>45448</v>
      </c>
      <c r="B4364" s="392" t="n">
        <v>11106</v>
      </c>
      <c r="C4364" s="392" t="n">
        <v>86</v>
      </c>
      <c r="D4364" s="392" t="n"/>
      <c r="E4364" s="392" t="n"/>
      <c r="F4364" s="392" t="n"/>
      <c r="G4364" s="392" t="n">
        <v>20</v>
      </c>
      <c r="H4364" s="446">
        <f>H4363-G4364</f>
        <v/>
      </c>
      <c r="I4364" s="392" t="n"/>
      <c r="J4364" s="392" t="n"/>
      <c r="K4364" s="392" t="n"/>
      <c r="L4364" s="392" t="n"/>
      <c r="M4364" s="392" t="n"/>
    </row>
    <row r="4365">
      <c r="A4365" s="568" t="n">
        <v>45448</v>
      </c>
      <c r="B4365" s="392" t="n">
        <v>11107</v>
      </c>
      <c r="C4365" s="392" t="n">
        <v>93</v>
      </c>
      <c r="D4365" s="392" t="n"/>
      <c r="E4365" s="392" t="n"/>
      <c r="F4365" s="392" t="n"/>
      <c r="G4365" s="392" t="n">
        <v>30</v>
      </c>
      <c r="H4365" s="446">
        <f>H4364-G4365</f>
        <v/>
      </c>
      <c r="I4365" s="392" t="n"/>
      <c r="J4365" s="392" t="n"/>
      <c r="K4365" s="392" t="n"/>
      <c r="L4365" s="392" t="n"/>
      <c r="M4365" s="392" t="n"/>
    </row>
    <row r="4366">
      <c r="A4366" s="568" t="n">
        <v>45448</v>
      </c>
      <c r="B4366" s="392" t="n">
        <v>11111</v>
      </c>
      <c r="C4366" s="392" t="n">
        <v>93</v>
      </c>
      <c r="D4366" s="392" t="n"/>
      <c r="E4366" s="392" t="n"/>
      <c r="F4366" s="392" t="n"/>
      <c r="G4366" s="392" t="n">
        <v>20</v>
      </c>
      <c r="H4366" s="446">
        <f>H4365-G4366</f>
        <v/>
      </c>
      <c r="I4366" s="392" t="n"/>
      <c r="J4366" s="392" t="n"/>
      <c r="K4366" s="392" t="n"/>
      <c r="L4366" s="392" t="n"/>
      <c r="M4366" s="392" t="n"/>
    </row>
    <row r="4367">
      <c r="A4367" s="568" t="n">
        <v>45453</v>
      </c>
      <c r="B4367" s="392" t="n">
        <v>11117</v>
      </c>
      <c r="C4367" s="392" t="n">
        <v>84</v>
      </c>
      <c r="D4367" s="392" t="n"/>
      <c r="E4367" s="392" t="n"/>
      <c r="F4367" s="392" t="n"/>
      <c r="G4367" s="392" t="n">
        <v>30</v>
      </c>
      <c r="H4367" s="446">
        <f>H4366-G4367</f>
        <v/>
      </c>
      <c r="I4367" s="392" t="n"/>
      <c r="J4367" s="392" t="n"/>
      <c r="K4367" s="392" t="n"/>
      <c r="L4367" s="392" t="n"/>
      <c r="M4367" s="392" t="n"/>
    </row>
    <row r="4368">
      <c r="A4368" s="568" t="n">
        <v>45453</v>
      </c>
      <c r="B4368" s="392" t="n">
        <v>11118</v>
      </c>
      <c r="C4368" s="392" t="n">
        <v>86</v>
      </c>
      <c r="D4368" s="392" t="n"/>
      <c r="E4368" s="392" t="n"/>
      <c r="F4368" s="392" t="n"/>
      <c r="G4368" s="392" t="n">
        <v>20</v>
      </c>
      <c r="H4368" s="446">
        <f>H4367-G4368</f>
        <v/>
      </c>
      <c r="I4368" s="392" t="n"/>
      <c r="J4368" s="392" t="n"/>
      <c r="K4368" s="392" t="n"/>
      <c r="L4368" s="392" t="n"/>
      <c r="M4368" s="392" t="n"/>
    </row>
    <row r="4369">
      <c r="A4369" s="568" t="n">
        <v>45453</v>
      </c>
      <c r="B4369" s="392" t="n">
        <v>11121</v>
      </c>
      <c r="C4369" s="392" t="n">
        <v>82</v>
      </c>
      <c r="D4369" s="392" t="n"/>
      <c r="E4369" s="392" t="n"/>
      <c r="F4369" s="392" t="n"/>
      <c r="G4369" s="392" t="n">
        <v>40</v>
      </c>
      <c r="H4369" s="446">
        <f>H4368-G4369</f>
        <v/>
      </c>
      <c r="I4369" s="392" t="n"/>
      <c r="J4369" s="392" t="n"/>
      <c r="K4369" s="392" t="n"/>
      <c r="L4369" s="392" t="n"/>
      <c r="M4369" s="392" t="n"/>
    </row>
    <row r="4370">
      <c r="A4370" s="568" t="n">
        <v>45453</v>
      </c>
      <c r="B4370" s="392" t="n">
        <v>11122</v>
      </c>
      <c r="C4370" s="392" t="n">
        <v>86</v>
      </c>
      <c r="D4370" s="392" t="n"/>
      <c r="E4370" s="392" t="n"/>
      <c r="F4370" s="392" t="n"/>
      <c r="G4370" s="392" t="n">
        <v>50</v>
      </c>
      <c r="H4370" s="446">
        <f>H4369-G4370</f>
        <v/>
      </c>
      <c r="I4370" s="392" t="n"/>
      <c r="J4370" s="392" t="n"/>
      <c r="K4370" s="392" t="n"/>
      <c r="L4370" s="392" t="n"/>
      <c r="M4370" s="392" t="n"/>
    </row>
    <row r="4371">
      <c r="A4371" s="568" t="n">
        <v>45453</v>
      </c>
      <c r="B4371" s="392" t="n">
        <v>11123</v>
      </c>
      <c r="C4371" s="392" t="n">
        <v>87.2</v>
      </c>
      <c r="D4371" s="392" t="n"/>
      <c r="E4371" s="392" t="n"/>
      <c r="F4371" s="392" t="n"/>
      <c r="G4371" s="392" t="n">
        <v>20</v>
      </c>
      <c r="H4371" s="446">
        <f>H4370-G4371</f>
        <v/>
      </c>
      <c r="I4371" s="392" t="n"/>
      <c r="J4371" s="392" t="n"/>
      <c r="K4371" s="392" t="n"/>
      <c r="L4371" s="392" t="n"/>
      <c r="M4371" s="392" t="n"/>
    </row>
    <row r="4372">
      <c r="A4372" s="568" t="n">
        <v>45453</v>
      </c>
      <c r="B4372" s="392" t="n">
        <v>11124</v>
      </c>
      <c r="C4372" s="392" t="n">
        <v>87</v>
      </c>
      <c r="D4372" s="392" t="n"/>
      <c r="E4372" s="392" t="n"/>
      <c r="F4372" s="392" t="n"/>
      <c r="G4372" s="392" t="n">
        <v>30</v>
      </c>
      <c r="H4372" s="446">
        <f>H4371-G4372</f>
        <v/>
      </c>
      <c r="I4372" s="392" t="n"/>
      <c r="J4372" s="392" t="n"/>
      <c r="K4372" s="392" t="n"/>
      <c r="L4372" s="392" t="n"/>
      <c r="M4372" s="392" t="n"/>
    </row>
    <row r="4373">
      <c r="A4373" s="568" t="n">
        <v>45453</v>
      </c>
      <c r="B4373" s="392" t="n">
        <v>11126</v>
      </c>
      <c r="C4373" s="392" t="n">
        <v>86</v>
      </c>
      <c r="D4373" s="392" t="n"/>
      <c r="E4373" s="392" t="n"/>
      <c r="F4373" s="392" t="n"/>
      <c r="G4373" s="392" t="n">
        <v>30</v>
      </c>
      <c r="H4373" s="446">
        <f>H4372-G4373</f>
        <v/>
      </c>
      <c r="I4373" s="392" t="n"/>
      <c r="J4373" s="392" t="n"/>
      <c r="K4373" s="392" t="n"/>
      <c r="L4373" s="392" t="n"/>
      <c r="M4373" s="392" t="n"/>
    </row>
    <row r="4374">
      <c r="A4374" s="568" t="n">
        <v>45453</v>
      </c>
      <c r="B4374" s="392" t="n">
        <v>11129</v>
      </c>
      <c r="C4374" s="392" t="n">
        <v>82</v>
      </c>
      <c r="D4374" s="392" t="n"/>
      <c r="E4374" s="392" t="n"/>
      <c r="F4374" s="392" t="n"/>
      <c r="G4374" s="392" t="n">
        <v>30</v>
      </c>
      <c r="H4374" s="446">
        <f>H4373-G4374</f>
        <v/>
      </c>
      <c r="I4374" s="392" t="n"/>
      <c r="J4374" s="392" t="n"/>
      <c r="K4374" s="392" t="n"/>
      <c r="L4374" s="392" t="n"/>
      <c r="M4374" s="392" t="n"/>
    </row>
    <row r="4375">
      <c r="A4375" s="568" t="n">
        <v>45455</v>
      </c>
      <c r="B4375" s="392" t="n">
        <v>11130</v>
      </c>
      <c r="C4375" s="392" t="n">
        <v>92</v>
      </c>
      <c r="D4375" s="392" t="n"/>
      <c r="E4375" s="392" t="n"/>
      <c r="F4375" s="392" t="n"/>
      <c r="G4375" s="392" t="n">
        <v>30</v>
      </c>
      <c r="H4375" s="446">
        <f>H4374-G4375</f>
        <v/>
      </c>
      <c r="I4375" s="392" t="n"/>
      <c r="J4375" s="392" t="n"/>
      <c r="K4375" s="392" t="n"/>
      <c r="L4375" s="392" t="n"/>
      <c r="M4375" s="392" t="n"/>
    </row>
    <row r="4376">
      <c r="A4376" s="568" t="n">
        <v>45455</v>
      </c>
      <c r="B4376" s="392" t="n">
        <v>11131</v>
      </c>
      <c r="C4376" s="392" t="n">
        <v>88</v>
      </c>
      <c r="D4376" s="392" t="n"/>
      <c r="E4376" s="392" t="n"/>
      <c r="F4376" s="392" t="n"/>
      <c r="G4376" s="392" t="n">
        <v>30</v>
      </c>
      <c r="H4376" s="446">
        <f>H4375-G4376</f>
        <v/>
      </c>
      <c r="I4376" s="392" t="n"/>
      <c r="J4376" s="392" t="n"/>
      <c r="K4376" s="392" t="n"/>
      <c r="L4376" s="392" t="n"/>
      <c r="M4376" s="392" t="n"/>
    </row>
    <row r="4377">
      <c r="A4377" s="568" t="n">
        <v>45455</v>
      </c>
      <c r="B4377" s="392" t="n">
        <v>11137</v>
      </c>
      <c r="C4377" s="392" t="n">
        <v>87.40000000000001</v>
      </c>
      <c r="D4377" s="392" t="n"/>
      <c r="E4377" s="392" t="n"/>
      <c r="F4377" s="392" t="n"/>
      <c r="G4377" s="392" t="n">
        <v>50</v>
      </c>
      <c r="H4377" s="446">
        <f>H4376-G4377</f>
        <v/>
      </c>
      <c r="I4377" s="392" t="n"/>
      <c r="J4377" s="392" t="n"/>
      <c r="K4377" s="392" t="n"/>
      <c r="L4377" s="392" t="n"/>
      <c r="M4377" s="392" t="n"/>
    </row>
    <row r="4378">
      <c r="A4378" s="568" t="n">
        <v>45460</v>
      </c>
      <c r="B4378" s="392" t="n">
        <v>11138</v>
      </c>
      <c r="C4378" s="392" t="n">
        <v>89</v>
      </c>
      <c r="D4378" s="392" t="n"/>
      <c r="E4378" s="392" t="n"/>
      <c r="F4378" s="392" t="n"/>
      <c r="G4378" s="392" t="n">
        <v>30</v>
      </c>
      <c r="H4378" s="446">
        <f>H4377-G4378</f>
        <v/>
      </c>
      <c r="I4378" s="392" t="n"/>
      <c r="J4378" s="392" t="n"/>
      <c r="K4378" s="392" t="n"/>
      <c r="L4378" s="392" t="n"/>
      <c r="M4378" s="392" t="n"/>
    </row>
    <row r="4379">
      <c r="A4379" s="568" t="n">
        <v>45460</v>
      </c>
      <c r="B4379" s="392" t="n">
        <v>11139</v>
      </c>
      <c r="C4379" s="392" t="n">
        <v>92</v>
      </c>
      <c r="D4379" s="392" t="n"/>
      <c r="E4379" s="392" t="n"/>
      <c r="F4379" s="392" t="n"/>
      <c r="G4379" s="392" t="n">
        <v>25</v>
      </c>
      <c r="H4379" s="446">
        <f>H4378-G4379</f>
        <v/>
      </c>
      <c r="I4379" s="392" t="n"/>
      <c r="J4379" s="392" t="n"/>
      <c r="K4379" s="392" t="n"/>
      <c r="L4379" s="392" t="n"/>
      <c r="M4379" s="392" t="n"/>
    </row>
    <row r="4380">
      <c r="A4380" s="568" t="n">
        <v>45460</v>
      </c>
      <c r="B4380" s="392" t="n">
        <v>11141</v>
      </c>
      <c r="C4380" s="392" t="n">
        <v>87</v>
      </c>
      <c r="D4380" s="392" t="n"/>
      <c r="E4380" s="392" t="n"/>
      <c r="F4380" s="392" t="n"/>
      <c r="G4380" s="392" t="n">
        <v>30</v>
      </c>
      <c r="H4380" s="446">
        <f>H4379-G4380</f>
        <v/>
      </c>
      <c r="I4380" s="392" t="n"/>
      <c r="J4380" s="392" t="n"/>
      <c r="K4380" s="392" t="n"/>
      <c r="L4380" s="392" t="n"/>
      <c r="M4380" s="392" t="n"/>
    </row>
    <row r="4381">
      <c r="A4381" s="568" t="n">
        <v>45460</v>
      </c>
      <c r="B4381" s="392" t="n">
        <v>11142</v>
      </c>
      <c r="C4381" s="392" t="n">
        <v>92</v>
      </c>
      <c r="D4381" s="392" t="n"/>
      <c r="E4381" s="392" t="n"/>
      <c r="F4381" s="392" t="n"/>
      <c r="G4381" s="392" t="n">
        <v>20</v>
      </c>
      <c r="H4381" s="446">
        <f>H4380-G4381</f>
        <v/>
      </c>
      <c r="I4381" s="392" t="n"/>
      <c r="J4381" s="392" t="n"/>
      <c r="K4381" s="392" t="n"/>
      <c r="L4381" s="392" t="n"/>
      <c r="M4381" s="392" t="n"/>
    </row>
    <row r="4382">
      <c r="A4382" s="568" t="n">
        <v>45460</v>
      </c>
      <c r="B4382" s="392" t="n">
        <v>11143</v>
      </c>
      <c r="C4382" s="392" t="n">
        <v>86</v>
      </c>
      <c r="D4382" s="392" t="n"/>
      <c r="E4382" s="392" t="n"/>
      <c r="F4382" s="392" t="n"/>
      <c r="G4382" s="392" t="n">
        <v>15</v>
      </c>
      <c r="H4382" s="446">
        <f>H4381-G4382</f>
        <v/>
      </c>
      <c r="I4382" s="392" t="n"/>
      <c r="J4382" s="392" t="n"/>
      <c r="K4382" s="392" t="n"/>
      <c r="L4382" s="392" t="n"/>
      <c r="M4382" s="392" t="n"/>
    </row>
    <row r="4383">
      <c r="A4383" s="568" t="n">
        <v>45460</v>
      </c>
      <c r="B4383" s="392" t="n">
        <v>11145</v>
      </c>
      <c r="C4383" s="392" t="n">
        <v>92</v>
      </c>
      <c r="D4383" s="392" t="n"/>
      <c r="E4383" s="392" t="n"/>
      <c r="F4383" s="392" t="n"/>
      <c r="G4383" s="392" t="n">
        <v>20</v>
      </c>
      <c r="H4383" s="446">
        <f>H4382-G4383</f>
        <v/>
      </c>
      <c r="I4383" s="392" t="n"/>
      <c r="J4383" s="392" t="n"/>
      <c r="K4383" s="392" t="n"/>
      <c r="L4383" s="392" t="n"/>
      <c r="M4383" s="392" t="n"/>
    </row>
    <row r="4384">
      <c r="A4384" s="568" t="n">
        <v>45460</v>
      </c>
      <c r="B4384" s="392" t="n">
        <v>11147</v>
      </c>
      <c r="C4384" s="392" t="n">
        <v>86</v>
      </c>
      <c r="D4384" s="392" t="n"/>
      <c r="E4384" s="392" t="n"/>
      <c r="F4384" s="392" t="n"/>
      <c r="G4384" s="392" t="n">
        <v>40</v>
      </c>
      <c r="H4384" s="446">
        <f>H4383-G4384</f>
        <v/>
      </c>
      <c r="I4384" s="392" t="n"/>
      <c r="J4384" s="392" t="n"/>
      <c r="K4384" s="392" t="n"/>
      <c r="L4384" s="392" t="n"/>
      <c r="M4384" s="392" t="n"/>
    </row>
    <row r="4385">
      <c r="A4385" s="568" t="n">
        <v>45468</v>
      </c>
      <c r="B4385" s="392" t="n">
        <v>11151</v>
      </c>
      <c r="C4385" s="392" t="n">
        <v>86</v>
      </c>
      <c r="D4385" s="392" t="n"/>
      <c r="E4385" s="392" t="n"/>
      <c r="F4385" s="392" t="n"/>
      <c r="G4385" s="392" t="n">
        <v>50</v>
      </c>
      <c r="H4385" s="446">
        <f>H4384-G4385</f>
        <v/>
      </c>
      <c r="I4385" s="392" t="n"/>
      <c r="J4385" s="392" t="n"/>
      <c r="K4385" s="392" t="n"/>
      <c r="L4385" s="392" t="n"/>
      <c r="M4385" s="392" t="n"/>
    </row>
    <row r="4386">
      <c r="A4386" s="568" t="n">
        <v>45468</v>
      </c>
      <c r="B4386" s="392" t="n">
        <v>11153</v>
      </c>
      <c r="C4386" s="392" t="n">
        <v>80</v>
      </c>
      <c r="D4386" s="392" t="n"/>
      <c r="E4386" s="392" t="n"/>
      <c r="F4386" s="392" t="n"/>
      <c r="G4386" s="392" t="n">
        <v>20</v>
      </c>
      <c r="H4386" s="446">
        <f>H4385-G4386</f>
        <v/>
      </c>
      <c r="I4386" s="392" t="n"/>
      <c r="J4386" s="392" t="n"/>
      <c r="K4386" s="392" t="n"/>
      <c r="L4386" s="392" t="n"/>
      <c r="M4386" s="392" t="n"/>
    </row>
    <row r="4387">
      <c r="A4387" s="568" t="n">
        <v>45468</v>
      </c>
      <c r="B4387" s="392" t="n">
        <v>11154</v>
      </c>
      <c r="C4387" s="392" t="n">
        <v>92</v>
      </c>
      <c r="D4387" s="392" t="n"/>
      <c r="E4387" s="392" t="n"/>
      <c r="F4387" s="392" t="n"/>
      <c r="G4387" s="392" t="n">
        <v>35</v>
      </c>
      <c r="H4387" s="446">
        <f>H4386-G4387</f>
        <v/>
      </c>
      <c r="I4387" s="392" t="n"/>
      <c r="J4387" s="392" t="n"/>
      <c r="K4387" s="392" t="n"/>
      <c r="L4387" s="392" t="n"/>
      <c r="M4387" s="392" t="n"/>
    </row>
    <row r="4388">
      <c r="A4388" s="568" t="n">
        <v>45468</v>
      </c>
      <c r="B4388" s="392" t="n">
        <v>11155</v>
      </c>
      <c r="C4388" s="392" t="n">
        <v>87</v>
      </c>
      <c r="D4388" s="392" t="n"/>
      <c r="E4388" s="392" t="n"/>
      <c r="F4388" s="392" t="n"/>
      <c r="G4388" s="392" t="n">
        <v>30</v>
      </c>
      <c r="H4388" s="446">
        <f>H4387-G4388</f>
        <v/>
      </c>
      <c r="I4388" s="392" t="n"/>
      <c r="J4388" s="392" t="n"/>
      <c r="K4388" s="392" t="n"/>
      <c r="L4388" s="392" t="n"/>
      <c r="M4388" s="392" t="n"/>
    </row>
    <row r="4389">
      <c r="A4389" s="568" t="n">
        <v>45468</v>
      </c>
      <c r="B4389" s="392" t="n">
        <v>11156</v>
      </c>
      <c r="C4389" s="392" t="n">
        <v>92</v>
      </c>
      <c r="D4389" s="392" t="n"/>
      <c r="E4389" s="392" t="n"/>
      <c r="F4389" s="392" t="n"/>
      <c r="G4389" s="392" t="n">
        <v>20</v>
      </c>
      <c r="H4389" s="446">
        <f>H4388-G4389</f>
        <v/>
      </c>
      <c r="I4389" s="392" t="n"/>
      <c r="J4389" s="392" t="n"/>
      <c r="K4389" s="392" t="n"/>
      <c r="L4389" s="392" t="n"/>
      <c r="M4389" s="392" t="n"/>
    </row>
    <row r="4390">
      <c r="A4390" s="568" t="n">
        <v>45470</v>
      </c>
      <c r="B4390" s="392" t="n">
        <v>11163</v>
      </c>
      <c r="C4390" s="392" t="n">
        <v>92</v>
      </c>
      <c r="D4390" s="392" t="n"/>
      <c r="E4390" s="392" t="n"/>
      <c r="F4390" s="392" t="n"/>
      <c r="G4390" s="392" t="n">
        <v>30</v>
      </c>
      <c r="H4390" s="446">
        <f>H4389-G4390</f>
        <v/>
      </c>
      <c r="I4390" s="392" t="n"/>
      <c r="J4390" s="392" t="n"/>
      <c r="K4390" s="392" t="n"/>
      <c r="L4390" s="392" t="n"/>
      <c r="M4390" s="392" t="n"/>
    </row>
    <row r="4391" ht="15.75" customHeight="1" s="436" thickBot="1">
      <c r="A4391" s="414" t="n"/>
      <c r="H4391" s="390" t="n"/>
    </row>
    <row r="4392" ht="32.25" customHeight="1" s="436" thickBot="1">
      <c r="A4392" s="735" t="inlineStr">
        <is>
          <t>Julho</t>
        </is>
      </c>
      <c r="B4392" s="697" t="n"/>
      <c r="C4392" s="697" t="n"/>
      <c r="D4392" s="697" t="n"/>
      <c r="E4392" s="697" t="n"/>
      <c r="F4392" s="697" t="n"/>
      <c r="G4392" s="697" t="n"/>
      <c r="H4392" s="697" t="n"/>
      <c r="I4392" s="697" t="n"/>
      <c r="J4392" s="697" t="n"/>
      <c r="K4392" s="697" t="n"/>
      <c r="L4392" s="697" t="n"/>
      <c r="M4392" s="698" t="n"/>
    </row>
    <row r="4393" ht="27" customHeight="1" s="436" thickBot="1">
      <c r="A4393" s="720" t="inlineStr">
        <is>
          <t xml:space="preserve"> FARINHA DE TRIGO TIPO: 1 - 25 KG</t>
        </is>
      </c>
      <c r="B4393" s="697" t="n"/>
      <c r="C4393" s="697" t="n"/>
      <c r="D4393" s="697" t="n"/>
      <c r="E4393" s="697" t="n"/>
      <c r="F4393" s="697" t="n"/>
      <c r="G4393" s="697" t="n"/>
      <c r="H4393" s="697" t="n"/>
      <c r="I4393" s="697" t="n"/>
      <c r="J4393" s="697" t="n"/>
      <c r="K4393" s="697" t="n"/>
      <c r="L4393" s="697" t="n"/>
      <c r="M4393" s="698" t="n"/>
    </row>
    <row r="4394">
      <c r="A4394" s="3" t="inlineStr">
        <is>
          <t>DATA</t>
        </is>
      </c>
      <c r="B4394" s="3" t="inlineStr">
        <is>
          <t>N.F.</t>
        </is>
      </c>
      <c r="C4394" s="3" t="inlineStr">
        <is>
          <t>TIPO</t>
        </is>
      </c>
      <c r="D4394" s="708" t="inlineStr">
        <is>
          <t>PREÇO UNITÁRIO</t>
        </is>
      </c>
      <c r="E4394" s="736" t="n"/>
      <c r="F4394" s="3" t="inlineStr">
        <is>
          <t>QUANTIDADE / KG</t>
        </is>
      </c>
      <c r="G4394" s="737" t="n"/>
      <c r="H4394" s="736" t="n"/>
      <c r="I4394" s="631" t="inlineStr">
        <is>
          <t>PREÇO</t>
        </is>
      </c>
      <c r="J4394" s="631" t="inlineStr">
        <is>
          <t>VALORES</t>
        </is>
      </c>
      <c r="K4394" s="737" t="n"/>
      <c r="L4394" s="736" t="n"/>
      <c r="M4394" s="738" t="n"/>
    </row>
    <row r="4395" ht="15.75" customHeight="1" s="436" thickBot="1">
      <c r="A4395" s="704" t="n"/>
      <c r="B4395" s="704" t="n"/>
      <c r="C4395" s="704" t="n"/>
      <c r="D4395" s="703" t="n"/>
      <c r="E4395" s="701" t="n"/>
      <c r="F4395" s="705" t="n"/>
      <c r="G4395" s="706" t="n"/>
      <c r="H4395" s="707" t="n"/>
      <c r="I4395" s="704" t="n"/>
      <c r="J4395" s="703" t="n"/>
      <c r="L4395" s="701" t="n"/>
      <c r="M4395" s="704" t="n"/>
    </row>
    <row r="4396" ht="15.75" customHeight="1" s="436" thickBot="1">
      <c r="A4396" s="704" t="n"/>
      <c r="B4396" s="704" t="n"/>
      <c r="C4396" s="704" t="n"/>
      <c r="D4396" s="705" t="n"/>
      <c r="E4396" s="707" t="n"/>
      <c r="F4396" s="3" t="inlineStr">
        <is>
          <t>ENTRADA</t>
        </is>
      </c>
      <c r="G4396" s="3" t="inlineStr">
        <is>
          <t>SAÍDA</t>
        </is>
      </c>
      <c r="H4396" s="640" t="n"/>
      <c r="I4396" s="633" t="inlineStr">
        <is>
          <t>MÉDIO</t>
        </is>
      </c>
      <c r="J4396" s="739" t="inlineStr">
        <is>
          <t>SALDO EM 30/11/2017</t>
        </is>
      </c>
      <c r="K4396" s="707" t="n"/>
      <c r="L4396" s="17" t="n"/>
      <c r="M4396" s="740" t="n"/>
    </row>
    <row r="4397" ht="18" customHeight="1" s="436" thickBot="1">
      <c r="A4397" s="695" t="n"/>
      <c r="B4397" s="695" t="n"/>
      <c r="C4397" s="695" t="n"/>
      <c r="D4397" s="3" t="inlineStr">
        <is>
          <t>C/ICMS</t>
        </is>
      </c>
      <c r="E4397" s="3" t="inlineStr">
        <is>
          <t>S/ICMS</t>
        </is>
      </c>
      <c r="F4397" s="695" t="n"/>
      <c r="G4397" s="695" t="n"/>
      <c r="H4397" s="84" t="inlineStr">
        <is>
          <t>Saldo em 31/06/2024</t>
        </is>
      </c>
      <c r="I4397" s="695" t="n"/>
      <c r="J4397" s="645" t="inlineStr">
        <is>
          <t>ENTRADA</t>
        </is>
      </c>
      <c r="K4397" s="633" t="inlineStr">
        <is>
          <t>SAÍDA / CMV</t>
        </is>
      </c>
      <c r="L4397" s="643" t="inlineStr">
        <is>
          <t>SALDO</t>
        </is>
      </c>
      <c r="M4397" s="392" t="n"/>
    </row>
    <row r="4398">
      <c r="A4398" s="392" t="n"/>
      <c r="B4398" s="392" t="n"/>
      <c r="C4398" s="392" t="n"/>
      <c r="D4398" s="392" t="n"/>
      <c r="E4398" s="392" t="n"/>
      <c r="F4398" s="392" t="n"/>
      <c r="G4398" s="392" t="n"/>
      <c r="H4398" s="446" t="n">
        <v>1943</v>
      </c>
      <c r="I4398" s="392" t="n"/>
      <c r="J4398" s="392" t="n"/>
      <c r="K4398" s="392" t="n"/>
      <c r="L4398" s="392" t="n"/>
      <c r="M4398" s="392" t="n"/>
    </row>
    <row r="4399">
      <c r="A4399" s="568" t="n">
        <v>45476</v>
      </c>
      <c r="B4399" s="392" t="n">
        <v>11164</v>
      </c>
      <c r="C4399" s="392" t="n">
        <v>87</v>
      </c>
      <c r="D4399" s="392" t="n"/>
      <c r="E4399" s="392" t="n"/>
      <c r="F4399" s="392" t="n"/>
      <c r="G4399" s="392" t="n">
        <v>30</v>
      </c>
      <c r="H4399" s="446">
        <f>H4398-G4399</f>
        <v/>
      </c>
      <c r="I4399" s="392" t="n"/>
      <c r="J4399" s="392" t="n"/>
      <c r="K4399" s="392" t="n"/>
      <c r="L4399" s="392" t="n"/>
      <c r="M4399" s="392" t="n"/>
    </row>
    <row r="4400">
      <c r="A4400" s="568" t="n">
        <v>45476</v>
      </c>
      <c r="B4400" s="392" t="n">
        <v>11166</v>
      </c>
      <c r="C4400" s="392" t="n">
        <v>93</v>
      </c>
      <c r="D4400" s="392" t="n"/>
      <c r="E4400" s="392" t="n"/>
      <c r="F4400" s="392" t="n"/>
      <c r="G4400" s="392" t="n">
        <v>30</v>
      </c>
      <c r="H4400" s="446">
        <f>H4399-G4400</f>
        <v/>
      </c>
      <c r="I4400" s="392" t="n"/>
      <c r="J4400" s="392" t="n"/>
      <c r="K4400" s="392" t="n"/>
      <c r="L4400" s="392" t="n"/>
      <c r="M4400" s="392" t="n"/>
    </row>
    <row r="4401">
      <c r="A4401" s="568" t="n">
        <v>45476</v>
      </c>
      <c r="B4401" s="392" t="n">
        <v>11167</v>
      </c>
      <c r="C4401" s="392" t="n">
        <v>86</v>
      </c>
      <c r="D4401" s="392" t="n"/>
      <c r="E4401" s="392" t="n"/>
      <c r="F4401" s="392" t="n"/>
      <c r="G4401" s="392" t="n">
        <v>40</v>
      </c>
      <c r="H4401" s="446">
        <f>H4400-G4401</f>
        <v/>
      </c>
      <c r="I4401" s="392" t="n"/>
      <c r="J4401" s="392" t="n"/>
      <c r="K4401" s="392" t="n"/>
      <c r="L4401" s="392" t="n"/>
      <c r="M4401" s="392" t="n"/>
    </row>
    <row r="4402">
      <c r="A4402" s="568" t="n">
        <v>45476</v>
      </c>
      <c r="B4402" s="392" t="n">
        <v>11168</v>
      </c>
      <c r="C4402" s="392" t="n">
        <v>87.48</v>
      </c>
      <c r="D4402" s="392" t="n"/>
      <c r="E4402" s="392" t="n"/>
      <c r="F4402" s="392" t="n"/>
      <c r="G4402" s="392" t="n">
        <v>21</v>
      </c>
      <c r="H4402" s="446">
        <f>H4401-G4402</f>
        <v/>
      </c>
      <c r="I4402" s="392" t="n"/>
      <c r="J4402" s="392" t="n"/>
      <c r="K4402" s="392" t="n"/>
      <c r="L4402" s="392" t="n"/>
      <c r="M4402" s="392" t="n"/>
    </row>
    <row r="4403">
      <c r="A4403" s="568" t="n">
        <v>45476</v>
      </c>
      <c r="B4403" s="392" t="n">
        <v>11171</v>
      </c>
      <c r="C4403" s="392" t="n">
        <v>86</v>
      </c>
      <c r="D4403" s="392" t="n"/>
      <c r="E4403" s="392" t="n"/>
      <c r="F4403" s="392" t="n"/>
      <c r="G4403" s="392" t="n">
        <v>50</v>
      </c>
      <c r="H4403" s="446">
        <f>H4402-G4403</f>
        <v/>
      </c>
      <c r="I4403" s="392" t="n"/>
      <c r="J4403" s="392" t="n"/>
      <c r="K4403" s="392" t="n"/>
      <c r="L4403" s="392" t="n"/>
      <c r="M4403" s="392" t="n"/>
    </row>
    <row r="4404">
      <c r="A4404" s="304" t="n">
        <v>45476</v>
      </c>
      <c r="B4404" s="401" t="n">
        <v>1864</v>
      </c>
      <c r="C4404" s="401" t="n">
        <v>80</v>
      </c>
      <c r="D4404" s="401" t="n"/>
      <c r="E4404" s="401" t="n"/>
      <c r="F4404" s="401" t="n">
        <v>1120</v>
      </c>
      <c r="G4404" s="401" t="n"/>
      <c r="H4404" s="322" t="n">
        <v>2892</v>
      </c>
      <c r="I4404" s="392" t="n"/>
      <c r="J4404" s="392" t="n"/>
      <c r="K4404" s="392" t="n"/>
      <c r="L4404" s="392" t="n"/>
      <c r="M4404" s="392" t="n"/>
    </row>
    <row r="4405">
      <c r="A4405" s="568" t="n">
        <v>45481</v>
      </c>
      <c r="B4405" s="392" t="n">
        <v>11178</v>
      </c>
      <c r="C4405" s="392" t="n">
        <v>84</v>
      </c>
      <c r="D4405" s="392" t="n"/>
      <c r="E4405" s="392" t="n"/>
      <c r="F4405" s="392" t="n"/>
      <c r="G4405" s="392" t="n">
        <v>50</v>
      </c>
      <c r="H4405" s="446">
        <f>H4404-G4405</f>
        <v/>
      </c>
      <c r="I4405" s="392" t="n"/>
      <c r="J4405" s="392" t="n"/>
      <c r="K4405" s="392" t="n"/>
      <c r="L4405" s="392" t="n"/>
      <c r="M4405" s="392" t="n"/>
    </row>
    <row r="4406">
      <c r="A4406" s="568" t="n">
        <v>45481</v>
      </c>
      <c r="B4406" s="392" t="n">
        <v>11178</v>
      </c>
      <c r="C4406" s="392" t="n">
        <v>92</v>
      </c>
      <c r="D4406" s="392" t="n"/>
      <c r="E4406" s="392" t="n"/>
      <c r="F4406" s="392" t="n"/>
      <c r="G4406" s="392" t="n">
        <v>30</v>
      </c>
      <c r="H4406" s="446">
        <f>H4405-G4406</f>
        <v/>
      </c>
      <c r="I4406" s="392" t="n"/>
      <c r="J4406" s="392" t="n"/>
      <c r="K4406" s="392" t="n"/>
      <c r="L4406" s="392" t="n"/>
      <c r="M4406" s="392" t="n"/>
    </row>
    <row r="4407">
      <c r="A4407" s="568" t="n">
        <v>45481</v>
      </c>
      <c r="B4407" s="392" t="n">
        <v>11180</v>
      </c>
      <c r="C4407" s="392" t="n">
        <v>50</v>
      </c>
      <c r="D4407" s="392" t="n"/>
      <c r="E4407" s="392" t="n"/>
      <c r="F4407" s="392" t="n"/>
      <c r="G4407" s="392" t="n">
        <v>82</v>
      </c>
      <c r="H4407" s="446">
        <f>H4406-G4407</f>
        <v/>
      </c>
      <c r="I4407" s="392" t="n"/>
      <c r="J4407" s="392" t="n"/>
      <c r="K4407" s="392" t="n"/>
      <c r="L4407" s="392" t="n"/>
      <c r="M4407" s="392" t="n"/>
    </row>
    <row r="4408">
      <c r="A4408" s="568" t="n">
        <v>45481</v>
      </c>
      <c r="B4408" s="392" t="n">
        <v>11181</v>
      </c>
      <c r="C4408" s="392" t="n">
        <v>83</v>
      </c>
      <c r="D4408" s="392" t="n"/>
      <c r="E4408" s="392" t="n"/>
      <c r="F4408" s="392" t="n"/>
      <c r="G4408" s="392" t="n">
        <v>100</v>
      </c>
      <c r="H4408" s="446">
        <f>H4407-G4408</f>
        <v/>
      </c>
      <c r="I4408" s="392" t="n"/>
      <c r="J4408" s="392" t="n"/>
      <c r="K4408" s="392" t="n"/>
      <c r="L4408" s="392" t="n"/>
      <c r="M4408" s="392" t="n"/>
    </row>
    <row r="4409">
      <c r="A4409" s="568" t="n">
        <v>45481</v>
      </c>
      <c r="B4409" s="392" t="n">
        <v>11185</v>
      </c>
      <c r="C4409" s="392" t="n">
        <v>86</v>
      </c>
      <c r="D4409" s="392" t="n"/>
      <c r="E4409" s="392" t="n"/>
      <c r="F4409" s="392" t="n"/>
      <c r="G4409" s="392" t="n">
        <v>50</v>
      </c>
      <c r="H4409" s="446">
        <f>H4408-G4409</f>
        <v/>
      </c>
      <c r="I4409" s="392" t="n"/>
      <c r="J4409" s="392" t="n"/>
      <c r="K4409" s="392" t="n"/>
      <c r="L4409" s="392" t="n"/>
      <c r="M4409" s="392" t="n"/>
    </row>
    <row r="4410">
      <c r="A4410" s="568" t="n">
        <v>45481</v>
      </c>
      <c r="B4410" s="392" t="n">
        <v>11186</v>
      </c>
      <c r="C4410" s="392" t="n">
        <v>86</v>
      </c>
      <c r="D4410" s="392" t="n"/>
      <c r="E4410" s="392" t="n"/>
      <c r="F4410" s="392" t="n"/>
      <c r="G4410" s="392" t="n">
        <v>20</v>
      </c>
      <c r="H4410" s="446">
        <f>H4409-G4410</f>
        <v/>
      </c>
      <c r="I4410" s="392" t="n"/>
      <c r="J4410" s="392" t="n"/>
      <c r="K4410" s="392" t="n"/>
      <c r="L4410" s="392" t="n"/>
      <c r="M4410" s="392" t="n"/>
    </row>
    <row r="4411">
      <c r="A4411" s="568" t="n">
        <v>45482</v>
      </c>
      <c r="B4411" s="392" t="n">
        <v>11187</v>
      </c>
      <c r="C4411" s="392" t="n">
        <v>86</v>
      </c>
      <c r="D4411" s="392" t="n"/>
      <c r="E4411" s="392" t="n"/>
      <c r="F4411" s="392" t="n"/>
      <c r="G4411" s="392" t="n">
        <v>20</v>
      </c>
      <c r="H4411" s="446">
        <f>H4410-G4411</f>
        <v/>
      </c>
      <c r="I4411" s="392" t="n"/>
      <c r="J4411" s="392" t="n"/>
      <c r="K4411" s="392" t="n"/>
      <c r="L4411" s="392" t="n"/>
      <c r="M4411" s="392" t="n"/>
    </row>
    <row r="4412">
      <c r="A4412" s="568" t="n">
        <v>45482</v>
      </c>
      <c r="B4412" s="392" t="n">
        <v>11188</v>
      </c>
      <c r="C4412" s="392" t="n">
        <v>87</v>
      </c>
      <c r="D4412" s="392" t="n"/>
      <c r="E4412" s="392" t="n"/>
      <c r="F4412" s="392" t="n"/>
      <c r="G4412" s="392" t="n">
        <v>30</v>
      </c>
      <c r="H4412" s="446">
        <f>H4411-G4412</f>
        <v/>
      </c>
      <c r="I4412" s="392" t="n"/>
      <c r="J4412" s="392" t="n"/>
      <c r="K4412" s="392" t="n"/>
      <c r="L4412" s="392" t="n"/>
      <c r="M4412" s="392" t="n"/>
    </row>
    <row r="4413">
      <c r="A4413" s="568" t="n">
        <v>45482</v>
      </c>
      <c r="B4413" s="392" t="n">
        <v>11191</v>
      </c>
      <c r="C4413" s="392" t="n">
        <v>92</v>
      </c>
      <c r="D4413" s="392" t="n"/>
      <c r="E4413" s="392" t="n"/>
      <c r="F4413" s="392" t="n"/>
      <c r="G4413" s="392" t="n">
        <v>20</v>
      </c>
      <c r="H4413" s="446">
        <f>H4412-G4413</f>
        <v/>
      </c>
      <c r="I4413" s="392" t="n"/>
      <c r="J4413" s="392" t="n"/>
      <c r="K4413" s="392" t="n"/>
      <c r="L4413" s="392" t="n"/>
      <c r="M4413" s="392" t="n"/>
    </row>
    <row r="4414">
      <c r="A4414" s="568" t="n">
        <v>45483</v>
      </c>
      <c r="B4414" s="392" t="n">
        <v>11194</v>
      </c>
      <c r="C4414" s="392" t="n">
        <v>86</v>
      </c>
      <c r="D4414" s="392" t="n"/>
      <c r="E4414" s="392" t="n"/>
      <c r="F4414" s="392" t="n"/>
      <c r="G4414" s="392" t="n">
        <v>20</v>
      </c>
      <c r="H4414" s="446">
        <f>H4413-G4414</f>
        <v/>
      </c>
      <c r="I4414" s="392" t="n"/>
      <c r="J4414" s="392" t="n"/>
      <c r="K4414" s="392" t="n"/>
      <c r="L4414" s="392" t="n"/>
      <c r="M4414" s="392" t="n"/>
    </row>
    <row r="4415">
      <c r="A4415" s="568" t="n">
        <v>45483</v>
      </c>
      <c r="B4415" s="392" t="n">
        <v>11195</v>
      </c>
      <c r="C4415" s="392" t="n">
        <v>92</v>
      </c>
      <c r="D4415" s="392" t="n"/>
      <c r="E4415" s="392" t="n"/>
      <c r="F4415" s="392" t="n"/>
      <c r="G4415" s="392" t="n">
        <v>30</v>
      </c>
      <c r="H4415" s="446">
        <f>H4414-G4415</f>
        <v/>
      </c>
      <c r="I4415" s="392" t="n"/>
      <c r="J4415" s="392" t="n"/>
      <c r="K4415" s="392" t="n"/>
      <c r="L4415" s="392" t="n"/>
      <c r="M4415" s="392" t="n"/>
    </row>
    <row r="4416">
      <c r="A4416" s="568" t="n">
        <v>45484</v>
      </c>
      <c r="B4416" s="392" t="n">
        <v>11196</v>
      </c>
      <c r="C4416" s="392" t="n">
        <v>84</v>
      </c>
      <c r="D4416" s="392" t="n"/>
      <c r="E4416" s="392" t="n"/>
      <c r="F4416" s="392" t="n"/>
      <c r="G4416" s="392" t="n">
        <v>30</v>
      </c>
      <c r="H4416" s="446">
        <f>H4415-G4416</f>
        <v/>
      </c>
      <c r="I4416" s="392" t="n"/>
      <c r="J4416" s="392" t="n"/>
      <c r="K4416" s="392" t="n"/>
      <c r="L4416" s="392" t="n"/>
      <c r="M4416" s="392" t="n"/>
    </row>
    <row r="4417">
      <c r="A4417" s="568" t="n">
        <v>45489</v>
      </c>
      <c r="B4417" s="392" t="n">
        <v>11197</v>
      </c>
      <c r="C4417" s="392" t="n">
        <v>84</v>
      </c>
      <c r="D4417" s="392" t="n"/>
      <c r="E4417" s="392" t="n"/>
      <c r="F4417" s="392" t="n"/>
      <c r="G4417" s="392" t="n">
        <v>30</v>
      </c>
      <c r="H4417" s="446">
        <f>H4416-G4417</f>
        <v/>
      </c>
      <c r="I4417" s="392" t="n"/>
      <c r="J4417" s="392" t="n"/>
      <c r="K4417" s="392" t="n"/>
      <c r="L4417" s="392" t="n"/>
      <c r="M4417" s="392" t="n"/>
    </row>
    <row r="4418">
      <c r="A4418" s="568" t="n">
        <v>45489</v>
      </c>
      <c r="B4418" s="392" t="n">
        <v>11198</v>
      </c>
      <c r="C4418" s="392" t="n">
        <v>92</v>
      </c>
      <c r="D4418" s="392" t="n"/>
      <c r="E4418" s="392" t="n"/>
      <c r="F4418" s="392" t="n"/>
      <c r="G4418" s="392" t="n">
        <v>60</v>
      </c>
      <c r="H4418" s="446">
        <f>H4417-G4418</f>
        <v/>
      </c>
      <c r="I4418" s="392" t="n"/>
      <c r="J4418" s="392" t="n"/>
      <c r="K4418" s="392" t="n"/>
      <c r="L4418" s="392" t="n"/>
      <c r="M4418" s="392" t="n"/>
    </row>
    <row r="4419">
      <c r="A4419" s="568" t="n">
        <v>45489</v>
      </c>
      <c r="B4419" s="392" t="n">
        <v>11200</v>
      </c>
      <c r="C4419" s="392" t="n">
        <v>86</v>
      </c>
      <c r="D4419" s="392" t="n"/>
      <c r="E4419" s="392" t="n"/>
      <c r="F4419" s="392" t="n"/>
      <c r="G4419" s="392" t="n">
        <v>30</v>
      </c>
      <c r="H4419" s="446">
        <f>H4418-G4419</f>
        <v/>
      </c>
      <c r="I4419" s="392" t="n"/>
      <c r="J4419" s="392" t="n"/>
      <c r="K4419" s="392" t="n"/>
      <c r="L4419" s="392" t="n"/>
      <c r="M4419" s="392" t="n"/>
    </row>
    <row r="4420">
      <c r="A4420" s="568" t="n">
        <v>45489</v>
      </c>
      <c r="B4420" s="392" t="n">
        <v>11201</v>
      </c>
      <c r="C4420" s="392" t="n">
        <v>86.52</v>
      </c>
      <c r="D4420" s="392" t="n"/>
      <c r="E4420" s="392" t="n"/>
      <c r="F4420" s="392" t="n"/>
      <c r="G4420" s="392" t="n">
        <v>25</v>
      </c>
      <c r="H4420" s="446">
        <f>H4419-G4420</f>
        <v/>
      </c>
      <c r="I4420" s="392" t="n"/>
      <c r="J4420" s="392" t="n"/>
      <c r="K4420" s="392" t="n"/>
      <c r="L4420" s="392" t="n"/>
      <c r="M4420" s="392" t="n"/>
    </row>
    <row r="4421">
      <c r="A4421" s="568" t="n">
        <v>45489</v>
      </c>
      <c r="B4421" s="392" t="n">
        <v>11202</v>
      </c>
      <c r="C4421" s="392" t="n">
        <v>86</v>
      </c>
      <c r="D4421" s="392" t="n"/>
      <c r="E4421" s="392" t="n"/>
      <c r="F4421" s="392" t="n"/>
      <c r="G4421" s="392" t="n">
        <v>50</v>
      </c>
      <c r="H4421" s="446">
        <f>H4420-G4421</f>
        <v/>
      </c>
      <c r="I4421" s="392" t="n"/>
      <c r="J4421" s="392" t="n"/>
      <c r="K4421" s="392" t="n"/>
      <c r="L4421" s="392" t="n"/>
      <c r="M4421" s="392" t="n"/>
    </row>
    <row r="4422">
      <c r="A4422" s="568" t="n">
        <v>45489</v>
      </c>
      <c r="B4422" s="392" t="n">
        <v>11204</v>
      </c>
      <c r="C4422" s="392" t="n">
        <v>92</v>
      </c>
      <c r="D4422" s="392" t="n"/>
      <c r="E4422" s="392" t="n"/>
      <c r="F4422" s="392" t="n"/>
      <c r="G4422" s="392" t="n">
        <v>20</v>
      </c>
      <c r="H4422" s="446">
        <f>H4421-G4422</f>
        <v/>
      </c>
      <c r="I4422" s="392" t="n"/>
      <c r="J4422" s="392" t="n"/>
      <c r="K4422" s="392" t="n"/>
      <c r="L4422" s="392" t="n"/>
      <c r="M4422" s="392" t="n"/>
    </row>
    <row r="4423">
      <c r="A4423" s="568" t="n">
        <v>45489</v>
      </c>
      <c r="B4423" s="392" t="n">
        <v>11204</v>
      </c>
      <c r="C4423" s="392" t="n">
        <v>92</v>
      </c>
      <c r="D4423" s="392" t="n"/>
      <c r="E4423" s="392" t="n"/>
      <c r="F4423" s="392" t="n"/>
      <c r="G4423" s="392" t="n">
        <v>20</v>
      </c>
      <c r="H4423" s="446">
        <f>H4422-G4423</f>
        <v/>
      </c>
      <c r="I4423" s="392" t="n"/>
      <c r="J4423" s="392" t="n"/>
      <c r="K4423" s="392" t="n"/>
      <c r="L4423" s="392" t="n"/>
      <c r="M4423" s="392" t="n"/>
    </row>
    <row r="4424">
      <c r="A4424" s="568" t="n">
        <v>45489</v>
      </c>
      <c r="B4424" s="392" t="n">
        <v>11205</v>
      </c>
      <c r="C4424" s="392" t="n">
        <v>82</v>
      </c>
      <c r="D4424" s="392" t="n"/>
      <c r="E4424" s="392" t="n"/>
      <c r="F4424" s="392" t="n"/>
      <c r="G4424" s="392" t="n">
        <v>10</v>
      </c>
      <c r="H4424" s="446">
        <f>H4423-G4424</f>
        <v/>
      </c>
      <c r="I4424" s="392" t="n"/>
      <c r="J4424" s="392" t="n"/>
      <c r="K4424" s="392" t="n"/>
      <c r="L4424" s="392" t="n"/>
      <c r="M4424" s="392" t="n"/>
    </row>
    <row r="4425">
      <c r="A4425" s="568" t="n">
        <v>45489</v>
      </c>
      <c r="B4425" s="392" t="n">
        <v>11207</v>
      </c>
      <c r="C4425" s="392" t="n">
        <v>83</v>
      </c>
      <c r="D4425" s="392" t="n"/>
      <c r="E4425" s="392" t="n"/>
      <c r="F4425" s="392" t="n"/>
      <c r="G4425" s="392" t="n">
        <v>10</v>
      </c>
      <c r="H4425" s="446">
        <f>H4424-G4425</f>
        <v/>
      </c>
      <c r="I4425" s="392" t="n"/>
      <c r="J4425" s="392" t="n"/>
      <c r="K4425" s="392" t="n"/>
      <c r="L4425" s="392" t="n"/>
      <c r="M4425" s="392" t="n"/>
    </row>
    <row r="4426">
      <c r="A4426" s="568" t="n">
        <v>45495</v>
      </c>
      <c r="B4426" s="392" t="n">
        <v>11210</v>
      </c>
      <c r="C4426" s="392" t="n">
        <v>92</v>
      </c>
      <c r="D4426" s="392" t="n"/>
      <c r="E4426" s="392" t="n"/>
      <c r="F4426" s="392" t="n"/>
      <c r="G4426" s="392" t="n">
        <v>30</v>
      </c>
      <c r="H4426" s="446">
        <f>H4425-G4426</f>
        <v/>
      </c>
      <c r="I4426" s="392" t="n"/>
      <c r="J4426" s="392" t="n"/>
      <c r="K4426" s="392" t="n"/>
      <c r="L4426" s="392" t="n"/>
      <c r="M4426" s="392" t="n"/>
    </row>
    <row r="4427">
      <c r="A4427" s="568" t="n">
        <v>45495</v>
      </c>
      <c r="B4427" s="392" t="n">
        <v>11211</v>
      </c>
      <c r="C4427" s="392" t="n">
        <v>81.59999999999999</v>
      </c>
      <c r="D4427" s="392" t="n"/>
      <c r="E4427" s="392" t="n"/>
      <c r="F4427" s="392" t="n"/>
      <c r="G4427" s="392" t="n">
        <v>30</v>
      </c>
      <c r="H4427" s="446">
        <f>H4426-G4427</f>
        <v/>
      </c>
      <c r="I4427" s="392" t="n"/>
      <c r="J4427" s="392" t="n"/>
      <c r="K4427" s="392" t="n"/>
      <c r="L4427" s="392" t="n"/>
      <c r="M4427" s="392" t="n"/>
    </row>
    <row r="4428">
      <c r="A4428" s="568" t="n">
        <v>45495</v>
      </c>
      <c r="B4428" s="392" t="n">
        <v>11214</v>
      </c>
      <c r="C4428" s="392" t="n">
        <v>80</v>
      </c>
      <c r="D4428" s="392" t="n"/>
      <c r="E4428" s="392" t="n"/>
      <c r="F4428" s="392" t="n"/>
      <c r="G4428" s="392" t="n">
        <v>20</v>
      </c>
      <c r="H4428" s="446">
        <f>H4427-G4428</f>
        <v/>
      </c>
      <c r="I4428" s="392" t="n"/>
      <c r="J4428" s="392" t="n"/>
      <c r="K4428" s="392" t="n"/>
      <c r="L4428" s="392" t="n"/>
      <c r="M4428" s="392" t="n"/>
    </row>
    <row r="4429">
      <c r="A4429" s="568" t="n">
        <v>45495</v>
      </c>
      <c r="B4429" s="392" t="n">
        <v>11215</v>
      </c>
      <c r="C4429" s="392" t="n">
        <v>30</v>
      </c>
      <c r="D4429" s="392" t="n"/>
      <c r="E4429" s="392" t="n"/>
      <c r="F4429" s="392" t="n"/>
      <c r="G4429" s="392" t="n">
        <v>88</v>
      </c>
      <c r="H4429" s="446">
        <f>H4428-G4429</f>
        <v/>
      </c>
      <c r="I4429" s="392" t="n"/>
      <c r="J4429" s="392" t="n"/>
      <c r="K4429" s="392" t="n"/>
      <c r="L4429" s="392" t="n"/>
      <c r="M4429" s="392" t="n"/>
    </row>
    <row r="4430">
      <c r="A4430" s="568" t="n">
        <v>45495</v>
      </c>
      <c r="B4430" s="392" t="n">
        <v>11217</v>
      </c>
      <c r="C4430" s="392" t="n">
        <v>82</v>
      </c>
      <c r="D4430" s="392" t="n"/>
      <c r="E4430" s="392" t="n"/>
      <c r="F4430" s="392" t="n"/>
      <c r="G4430" s="392" t="n">
        <v>20</v>
      </c>
      <c r="H4430" s="446">
        <f>H4429-G4430</f>
        <v/>
      </c>
      <c r="I4430" s="392" t="n"/>
      <c r="J4430" s="392" t="n"/>
      <c r="K4430" s="392" t="n"/>
      <c r="L4430" s="392" t="n"/>
      <c r="M4430" s="392" t="n"/>
    </row>
    <row r="4431">
      <c r="A4431" s="568" t="n">
        <v>45495</v>
      </c>
      <c r="B4431" s="392" t="n">
        <v>11218</v>
      </c>
      <c r="C4431" s="392" t="n">
        <v>20</v>
      </c>
      <c r="D4431" s="392" t="n"/>
      <c r="E4431" s="392" t="n"/>
      <c r="F4431" s="392" t="n"/>
      <c r="G4431" s="392" t="n">
        <v>92</v>
      </c>
      <c r="H4431" s="446">
        <f>H4430-G4431</f>
        <v/>
      </c>
      <c r="I4431" s="392" t="n"/>
      <c r="J4431" s="392" t="n"/>
      <c r="K4431" s="392" t="n"/>
      <c r="L4431" s="392" t="n"/>
      <c r="M4431" s="392" t="n"/>
    </row>
    <row r="4432">
      <c r="A4432" s="568" t="n">
        <v>45495</v>
      </c>
      <c r="B4432" s="392" t="n">
        <v>11219</v>
      </c>
      <c r="C4432" s="392" t="n">
        <v>86</v>
      </c>
      <c r="D4432" s="392" t="n"/>
      <c r="E4432" s="392" t="n"/>
      <c r="F4432" s="392" t="n"/>
      <c r="G4432" s="392" t="n">
        <v>10</v>
      </c>
      <c r="H4432" s="446">
        <f>H4431-G4432</f>
        <v/>
      </c>
      <c r="I4432" s="392" t="n"/>
      <c r="J4432" s="392" t="n"/>
      <c r="K4432" s="392" t="n"/>
      <c r="L4432" s="392" t="n"/>
      <c r="M4432" s="392" t="n"/>
    </row>
    <row r="4433">
      <c r="A4433" s="568" t="n">
        <v>45495</v>
      </c>
      <c r="B4433" s="392" t="n">
        <v>11220</v>
      </c>
      <c r="C4433" s="392" t="n">
        <v>92</v>
      </c>
      <c r="D4433" s="392" t="n"/>
      <c r="E4433" s="392" t="n"/>
      <c r="F4433" s="392" t="n"/>
      <c r="G4433" s="392" t="n">
        <v>20</v>
      </c>
      <c r="H4433" s="446">
        <f>H4432-G4433</f>
        <v/>
      </c>
      <c r="I4433" s="392" t="n"/>
      <c r="J4433" s="392" t="n"/>
      <c r="K4433" s="392" t="n"/>
      <c r="L4433" s="392" t="n"/>
      <c r="M4433" s="392" t="n"/>
    </row>
    <row r="4434">
      <c r="A4434" s="304" t="n">
        <v>45502</v>
      </c>
      <c r="B4434" s="401" t="n">
        <v>2128</v>
      </c>
      <c r="C4434" s="401" t="n">
        <v>76</v>
      </c>
      <c r="D4434" s="401" t="n"/>
      <c r="E4434" s="401" t="n"/>
      <c r="F4434" s="401" t="n">
        <v>1120</v>
      </c>
      <c r="G4434" s="401" t="n"/>
      <c r="H4434" s="322" t="n">
        <v>2965</v>
      </c>
      <c r="I4434" s="392" t="n"/>
      <c r="J4434" s="392" t="n"/>
      <c r="K4434" s="392" t="n"/>
      <c r="L4434" s="392" t="n"/>
      <c r="M4434" s="392" t="n"/>
    </row>
    <row r="4435">
      <c r="A4435" s="568" t="n">
        <v>45503</v>
      </c>
      <c r="B4435" s="392" t="n">
        <v>11224</v>
      </c>
      <c r="C4435" s="392" t="n">
        <v>87</v>
      </c>
      <c r="D4435" s="392" t="n"/>
      <c r="E4435" s="392" t="n"/>
      <c r="F4435" s="392" t="n"/>
      <c r="G4435" s="392" t="n">
        <v>30</v>
      </c>
      <c r="H4435" s="446">
        <f>H4434-G4435</f>
        <v/>
      </c>
      <c r="I4435" s="392" t="n"/>
      <c r="J4435" s="392" t="n"/>
      <c r="K4435" s="392" t="n"/>
      <c r="L4435" s="392" t="n"/>
      <c r="M4435" s="392" t="n"/>
    </row>
    <row r="4436">
      <c r="A4436" s="568" t="n">
        <v>45503</v>
      </c>
      <c r="B4436" s="392" t="n">
        <v>11225</v>
      </c>
      <c r="C4436" s="392" t="n">
        <v>82</v>
      </c>
      <c r="D4436" s="392" t="n"/>
      <c r="E4436" s="392" t="n"/>
      <c r="F4436" s="392" t="n"/>
      <c r="G4436" s="392" t="n">
        <v>100</v>
      </c>
      <c r="H4436" s="446">
        <f>H4435-G4436</f>
        <v/>
      </c>
      <c r="I4436" s="392" t="n"/>
      <c r="J4436" s="392" t="n"/>
      <c r="K4436" s="392" t="n"/>
      <c r="L4436" s="392" t="n"/>
      <c r="M4436" s="392" t="n"/>
    </row>
    <row r="4437">
      <c r="A4437" s="568" t="n">
        <v>45503</v>
      </c>
      <c r="B4437" s="392" t="n">
        <v>11226</v>
      </c>
      <c r="C4437" s="392" t="n">
        <v>86</v>
      </c>
      <c r="D4437" s="392" t="n"/>
      <c r="E4437" s="392" t="n"/>
      <c r="F4437" s="392" t="n"/>
      <c r="G4437" s="392" t="n">
        <v>20</v>
      </c>
      <c r="H4437" s="446">
        <f>H4436-G4437</f>
        <v/>
      </c>
      <c r="I4437" s="392" t="n"/>
      <c r="J4437" s="392" t="n"/>
      <c r="K4437" s="392" t="n"/>
      <c r="L4437" s="392" t="n"/>
      <c r="M4437" s="392" t="n"/>
    </row>
    <row r="4438">
      <c r="A4438" s="568" t="n">
        <v>45503</v>
      </c>
      <c r="B4438" s="392" t="n">
        <v>11227</v>
      </c>
      <c r="C4438" s="392" t="n">
        <v>87</v>
      </c>
      <c r="D4438" s="392" t="n"/>
      <c r="E4438" s="392" t="n"/>
      <c r="F4438" s="392" t="n"/>
      <c r="G4438" s="392" t="n">
        <v>30</v>
      </c>
      <c r="H4438" s="446">
        <f>H4437-G4438</f>
        <v/>
      </c>
      <c r="I4438" s="392" t="n"/>
      <c r="J4438" s="392" t="n"/>
      <c r="K4438" s="392" t="n"/>
      <c r="L4438" s="392" t="n"/>
      <c r="M4438" s="392" t="n"/>
    </row>
    <row r="4439">
      <c r="A4439" s="568" t="n">
        <v>45503</v>
      </c>
      <c r="B4439" s="392" t="n">
        <v>11228</v>
      </c>
      <c r="C4439" s="392" t="n">
        <v>86.34999999999999</v>
      </c>
      <c r="D4439" s="392" t="n"/>
      <c r="E4439" s="392" t="n"/>
      <c r="F4439" s="392" t="n"/>
      <c r="G4439" s="392" t="n">
        <v>23</v>
      </c>
      <c r="H4439" s="446">
        <f>H4438-G4439</f>
        <v/>
      </c>
      <c r="I4439" s="392" t="n"/>
      <c r="J4439" s="392" t="n"/>
      <c r="K4439" s="392" t="n"/>
      <c r="L4439" s="392" t="n"/>
      <c r="M4439" s="392" t="n"/>
    </row>
    <row r="4440">
      <c r="A4440" s="568" t="n">
        <v>45503</v>
      </c>
      <c r="B4440" s="392" t="n">
        <v>11229</v>
      </c>
      <c r="C4440" s="392" t="n">
        <v>86</v>
      </c>
      <c r="D4440" s="392" t="n"/>
      <c r="E4440" s="392" t="n"/>
      <c r="F4440" s="392" t="n"/>
      <c r="G4440" s="392" t="n">
        <v>30</v>
      </c>
      <c r="H4440" s="446">
        <f>H4439-G4440</f>
        <v/>
      </c>
      <c r="I4440" s="392" t="n"/>
      <c r="J4440" s="392" t="n"/>
      <c r="K4440" s="392" t="n"/>
      <c r="L4440" s="392" t="n"/>
      <c r="M4440" s="392" t="n"/>
    </row>
    <row r="4441">
      <c r="A4441" s="568" t="n">
        <v>45503</v>
      </c>
      <c r="B4441" s="392" t="n">
        <v>11231</v>
      </c>
      <c r="C4441" s="392" t="n">
        <v>92</v>
      </c>
      <c r="D4441" s="392" t="n"/>
      <c r="E4441" s="392" t="n"/>
      <c r="F4441" s="392" t="n"/>
      <c r="G4441" s="392" t="n">
        <v>25</v>
      </c>
      <c r="H4441" s="446">
        <f>H4440-G4441</f>
        <v/>
      </c>
      <c r="I4441" s="392" t="n"/>
      <c r="J4441" s="392" t="n"/>
      <c r="K4441" s="392" t="n"/>
      <c r="L4441" s="392" t="n"/>
      <c r="M4441" s="392" t="n"/>
    </row>
    <row r="4442">
      <c r="A4442" s="568" t="n">
        <v>45503</v>
      </c>
      <c r="B4442" s="392" t="n">
        <v>11233</v>
      </c>
      <c r="C4442" s="392" t="n">
        <v>86</v>
      </c>
      <c r="D4442" s="392" t="n"/>
      <c r="E4442" s="392" t="n"/>
      <c r="F4442" s="392" t="n"/>
      <c r="G4442" s="392" t="n">
        <v>20</v>
      </c>
      <c r="H4442" s="446">
        <f>H4441-G4442</f>
        <v/>
      </c>
      <c r="I4442" s="392" t="n"/>
      <c r="J4442" s="392" t="n"/>
      <c r="K4442" s="392" t="n"/>
      <c r="L4442" s="392" t="n"/>
      <c r="M4442" s="392" t="n"/>
    </row>
    <row r="4443">
      <c r="A4443" s="304" t="n">
        <v>45504</v>
      </c>
      <c r="B4443" s="401" t="n">
        <v>1864</v>
      </c>
      <c r="C4443" s="401" t="n">
        <v>83</v>
      </c>
      <c r="D4443" s="401" t="n"/>
      <c r="E4443" s="401" t="n"/>
      <c r="F4443" s="401" t="n">
        <v>1120</v>
      </c>
      <c r="G4443" s="401" t="n"/>
      <c r="H4443" s="322" t="n">
        <v>3807</v>
      </c>
      <c r="I4443" s="392" t="n"/>
      <c r="J4443" s="392" t="n"/>
      <c r="K4443" s="392" t="n"/>
      <c r="L4443" s="392" t="n"/>
      <c r="M4443" s="392" t="n"/>
    </row>
    <row r="4444">
      <c r="A4444" s="568" t="n">
        <v>45503</v>
      </c>
      <c r="B4444" s="392" t="n">
        <v>11235</v>
      </c>
      <c r="C4444" s="392" t="n">
        <v>86</v>
      </c>
      <c r="D4444" s="392" t="n"/>
      <c r="E4444" s="392" t="n"/>
      <c r="F4444" s="392" t="n"/>
      <c r="G4444" s="392" t="n">
        <v>50</v>
      </c>
      <c r="H4444" s="446">
        <f>H4443-G4444</f>
        <v/>
      </c>
      <c r="I4444" s="392" t="n"/>
      <c r="J4444" s="392" t="n"/>
      <c r="K4444" s="392" t="n"/>
      <c r="L4444" s="392" t="n"/>
      <c r="M4444" s="392" t="n"/>
    </row>
    <row r="4445" ht="15.75" customHeight="1" s="436" thickBot="1">
      <c r="A4445" s="414" t="n"/>
      <c r="H4445" s="390" t="n"/>
    </row>
    <row r="4446" ht="32.25" customHeight="1" s="436" thickBot="1">
      <c r="A4446" s="735" t="inlineStr">
        <is>
          <t>Agosto</t>
        </is>
      </c>
      <c r="B4446" s="697" t="n"/>
      <c r="C4446" s="697" t="n"/>
      <c r="D4446" s="697" t="n"/>
      <c r="E4446" s="697" t="n"/>
      <c r="F4446" s="697" t="n"/>
      <c r="G4446" s="697" t="n"/>
      <c r="H4446" s="697" t="n"/>
      <c r="I4446" s="697" t="n"/>
      <c r="J4446" s="697" t="n"/>
      <c r="K4446" s="697" t="n"/>
      <c r="L4446" s="697" t="n"/>
      <c r="M4446" s="698" t="n"/>
    </row>
    <row r="4447" ht="27" customHeight="1" s="436" thickBot="1">
      <c r="A4447" s="720" t="inlineStr">
        <is>
          <t xml:space="preserve"> FARINHA DE TRIGO TIPO: 1 - 25 KG</t>
        </is>
      </c>
      <c r="B4447" s="697" t="n"/>
      <c r="C4447" s="697" t="n"/>
      <c r="D4447" s="697" t="n"/>
      <c r="E4447" s="697" t="n"/>
      <c r="F4447" s="697" t="n"/>
      <c r="G4447" s="697" t="n"/>
      <c r="H4447" s="697" t="n"/>
      <c r="I4447" s="697" t="n"/>
      <c r="J4447" s="697" t="n"/>
      <c r="K4447" s="697" t="n"/>
      <c r="L4447" s="697" t="n"/>
      <c r="M4447" s="698" t="n"/>
    </row>
    <row r="4448">
      <c r="A4448" s="3" t="inlineStr">
        <is>
          <t>DATA</t>
        </is>
      </c>
      <c r="B4448" s="3" t="inlineStr">
        <is>
          <t>N.F.</t>
        </is>
      </c>
      <c r="C4448" s="3" t="inlineStr">
        <is>
          <t>TIPO</t>
        </is>
      </c>
      <c r="D4448" s="708" t="inlineStr">
        <is>
          <t>PREÇO UNITÁRIO</t>
        </is>
      </c>
      <c r="E4448" s="736" t="n"/>
      <c r="F4448" s="3" t="inlineStr">
        <is>
          <t>QUANTIDADE / KG</t>
        </is>
      </c>
      <c r="G4448" s="737" t="n"/>
      <c r="H4448" s="736" t="n"/>
      <c r="I4448" s="631" t="inlineStr">
        <is>
          <t>PREÇO</t>
        </is>
      </c>
      <c r="J4448" s="631" t="inlineStr">
        <is>
          <t>VALORES</t>
        </is>
      </c>
      <c r="K4448" s="737" t="n"/>
      <c r="L4448" s="736" t="n"/>
      <c r="M4448" s="738" t="n"/>
    </row>
    <row r="4449" ht="15.75" customHeight="1" s="436" thickBot="1">
      <c r="A4449" s="704" t="n"/>
      <c r="B4449" s="704" t="n"/>
      <c r="C4449" s="704" t="n"/>
      <c r="D4449" s="703" t="n"/>
      <c r="E4449" s="701" t="n"/>
      <c r="F4449" s="705" t="n"/>
      <c r="G4449" s="706" t="n"/>
      <c r="H4449" s="707" t="n"/>
      <c r="I4449" s="704" t="n"/>
      <c r="J4449" s="703" t="n"/>
      <c r="L4449" s="701" t="n"/>
      <c r="M4449" s="704" t="n"/>
    </row>
    <row r="4450" ht="15.75" customHeight="1" s="436" thickBot="1">
      <c r="A4450" s="704" t="n"/>
      <c r="B4450" s="704" t="n"/>
      <c r="C4450" s="704" t="n"/>
      <c r="D4450" s="705" t="n"/>
      <c r="E4450" s="707" t="n"/>
      <c r="F4450" s="3" t="inlineStr">
        <is>
          <t>ENTRADA</t>
        </is>
      </c>
      <c r="G4450" s="3" t="inlineStr">
        <is>
          <t>SAÍDA</t>
        </is>
      </c>
      <c r="H4450" s="640" t="n"/>
      <c r="I4450" s="633" t="inlineStr">
        <is>
          <t>MÉDIO</t>
        </is>
      </c>
      <c r="J4450" s="739" t="inlineStr">
        <is>
          <t>SALDO EM 30/11/2017</t>
        </is>
      </c>
      <c r="K4450" s="707" t="n"/>
      <c r="L4450" s="17" t="n"/>
      <c r="M4450" s="740" t="n"/>
    </row>
    <row r="4451" ht="18" customHeight="1" s="436" thickBot="1">
      <c r="A4451" s="695" t="n"/>
      <c r="B4451" s="695" t="n"/>
      <c r="C4451" s="695" t="n"/>
      <c r="D4451" s="3" t="inlineStr">
        <is>
          <t>C/ICMS</t>
        </is>
      </c>
      <c r="E4451" s="3" t="inlineStr">
        <is>
          <t>S/ICMS</t>
        </is>
      </c>
      <c r="F4451" s="695" t="n"/>
      <c r="G4451" s="695" t="n"/>
      <c r="H4451" s="84" t="inlineStr">
        <is>
          <t>Saldo em 31/07/2024</t>
        </is>
      </c>
      <c r="I4451" s="695" t="n"/>
      <c r="J4451" s="645" t="inlineStr">
        <is>
          <t>ENTRADA</t>
        </is>
      </c>
      <c r="K4451" s="633" t="inlineStr">
        <is>
          <t>SAÍDA / CMV</t>
        </is>
      </c>
      <c r="L4451" s="643" t="inlineStr">
        <is>
          <t>SALDO</t>
        </is>
      </c>
      <c r="M4451" s="392" t="n"/>
    </row>
    <row r="4452">
      <c r="A4452" s="392" t="n"/>
      <c r="B4452" s="392" t="n"/>
      <c r="C4452" s="392" t="n"/>
      <c r="D4452" s="392" t="n"/>
      <c r="E4452" s="392" t="n"/>
      <c r="F4452" s="392" t="n"/>
      <c r="G4452" s="392" t="n"/>
      <c r="H4452" s="446" t="n">
        <v>3757</v>
      </c>
      <c r="I4452" s="392" t="n"/>
      <c r="J4452" s="392" t="n"/>
      <c r="K4452" s="392" t="n"/>
      <c r="L4452" s="392" t="n"/>
      <c r="M4452" s="392" t="n"/>
    </row>
    <row r="4453">
      <c r="A4453" s="568" t="n">
        <v>45505</v>
      </c>
      <c r="B4453" s="392" t="n">
        <v>11239</v>
      </c>
      <c r="C4453" s="392" t="n">
        <v>86</v>
      </c>
      <c r="D4453" s="392" t="n"/>
      <c r="E4453" s="392" t="n"/>
      <c r="F4453" s="392" t="n"/>
      <c r="G4453" s="392" t="n">
        <v>40</v>
      </c>
      <c r="H4453" s="446">
        <f>H4452-G4453</f>
        <v/>
      </c>
      <c r="I4453" s="392" t="n"/>
      <c r="J4453" s="392" t="n"/>
      <c r="K4453" s="392" t="n"/>
      <c r="L4453" s="392" t="n"/>
      <c r="M4453" s="392" t="n"/>
    </row>
    <row r="4454">
      <c r="A4454" s="568" t="n">
        <v>45505</v>
      </c>
      <c r="B4454" s="392" t="n">
        <v>11240</v>
      </c>
      <c r="C4454" s="392" t="n">
        <v>84</v>
      </c>
      <c r="D4454" s="392" t="n"/>
      <c r="E4454" s="392" t="n"/>
      <c r="F4454" s="392" t="n"/>
      <c r="G4454" s="392" t="n">
        <v>80</v>
      </c>
      <c r="H4454" s="446">
        <f>H4453-G4454</f>
        <v/>
      </c>
      <c r="I4454" s="392" t="n"/>
      <c r="J4454" s="392" t="n"/>
      <c r="K4454" s="392" t="n"/>
      <c r="L4454" s="392" t="n"/>
      <c r="M4454" s="392" t="n"/>
    </row>
    <row r="4455">
      <c r="A4455" s="568" t="n">
        <v>45508</v>
      </c>
      <c r="B4455" s="392" t="n">
        <v>11241</v>
      </c>
      <c r="C4455" s="392" t="n">
        <v>89</v>
      </c>
      <c r="D4455" s="392" t="n"/>
      <c r="E4455" s="392" t="n"/>
      <c r="F4455" s="392" t="n"/>
      <c r="G4455" s="392" t="n">
        <v>30</v>
      </c>
      <c r="H4455" s="446">
        <f>H4454-G4455</f>
        <v/>
      </c>
      <c r="I4455" s="392" t="n"/>
      <c r="J4455" s="392" t="n"/>
      <c r="K4455" s="392" t="n"/>
      <c r="L4455" s="392" t="n"/>
      <c r="M4455" s="392" t="n"/>
    </row>
    <row r="4456">
      <c r="A4456" s="568" t="n">
        <v>45508</v>
      </c>
      <c r="B4456" s="392" t="n">
        <v>11242</v>
      </c>
      <c r="C4456" s="392" t="n">
        <v>84</v>
      </c>
      <c r="D4456" s="392" t="n"/>
      <c r="E4456" s="392" t="n"/>
      <c r="F4456" s="392" t="n"/>
      <c r="G4456" s="392" t="n">
        <v>50</v>
      </c>
      <c r="H4456" s="446">
        <f>H4455-G4456</f>
        <v/>
      </c>
      <c r="I4456" s="392" t="n"/>
      <c r="J4456" s="392" t="n"/>
      <c r="K4456" s="392" t="n"/>
      <c r="L4456" s="392" t="n"/>
      <c r="M4456" s="392" t="n"/>
    </row>
    <row r="4457">
      <c r="A4457" s="568" t="n">
        <v>45510</v>
      </c>
      <c r="B4457" s="392" t="n">
        <v>11243</v>
      </c>
      <c r="C4457" s="392" t="n">
        <v>92</v>
      </c>
      <c r="D4457" s="392" t="n"/>
      <c r="E4457" s="392" t="n"/>
      <c r="F4457" s="392" t="n"/>
      <c r="G4457" s="392" t="n">
        <v>30</v>
      </c>
      <c r="H4457" s="446">
        <f>H4456-G4457</f>
        <v/>
      </c>
      <c r="I4457" s="392" t="n"/>
      <c r="J4457" s="392" t="n"/>
      <c r="K4457" s="392" t="n"/>
      <c r="L4457" s="392" t="n"/>
      <c r="M4457" s="392" t="n"/>
    </row>
    <row r="4458">
      <c r="A4458" s="568" t="n">
        <v>45510</v>
      </c>
      <c r="B4458" s="392" t="n">
        <v>11244</v>
      </c>
      <c r="C4458" s="392" t="n">
        <v>86</v>
      </c>
      <c r="D4458" s="392" t="n"/>
      <c r="E4458" s="392" t="n"/>
      <c r="F4458" s="392" t="n"/>
      <c r="G4458" s="392" t="n">
        <v>50</v>
      </c>
      <c r="H4458" s="446">
        <f>H4457-G4458</f>
        <v/>
      </c>
      <c r="I4458" s="392" t="n"/>
      <c r="J4458" s="392" t="n"/>
      <c r="K4458" s="392" t="n"/>
      <c r="L4458" s="392" t="n"/>
      <c r="M4458" s="392" t="n"/>
    </row>
    <row r="4459">
      <c r="A4459" s="568" t="n">
        <v>45510</v>
      </c>
      <c r="B4459" s="392" t="n">
        <v>11245</v>
      </c>
      <c r="C4459" s="392" t="n">
        <v>86</v>
      </c>
      <c r="D4459" s="392" t="n"/>
      <c r="E4459" s="392" t="n"/>
      <c r="F4459" s="392" t="n"/>
      <c r="G4459" s="392" t="n">
        <v>15</v>
      </c>
      <c r="H4459" s="446">
        <f>H4458-G4459</f>
        <v/>
      </c>
      <c r="I4459" s="392" t="n"/>
      <c r="J4459" s="392" t="n"/>
      <c r="K4459" s="392" t="n"/>
      <c r="L4459" s="392" t="n"/>
      <c r="M4459" s="392" t="n"/>
    </row>
    <row r="4460">
      <c r="A4460" s="568" t="n">
        <v>45510</v>
      </c>
      <c r="B4460" s="392" t="n">
        <v>11246</v>
      </c>
      <c r="C4460" s="392" t="n">
        <v>92</v>
      </c>
      <c r="D4460" s="392" t="n"/>
      <c r="E4460" s="392" t="n"/>
      <c r="F4460" s="392" t="n"/>
      <c r="G4460" s="392" t="n">
        <v>20</v>
      </c>
      <c r="H4460" s="446">
        <f>H4459-G4460</f>
        <v/>
      </c>
      <c r="I4460" s="392" t="n"/>
      <c r="J4460" s="392" t="n"/>
      <c r="K4460" s="392" t="n"/>
      <c r="L4460" s="392" t="n"/>
      <c r="M4460" s="392" t="n"/>
    </row>
    <row r="4461">
      <c r="A4461" s="568" t="n">
        <v>45510</v>
      </c>
      <c r="B4461" s="392" t="n">
        <v>11247</v>
      </c>
      <c r="C4461" s="392" t="n">
        <v>92</v>
      </c>
      <c r="D4461" s="392" t="n"/>
      <c r="E4461" s="392" t="n"/>
      <c r="F4461" s="392" t="n"/>
      <c r="G4461" s="392" t="n">
        <v>30</v>
      </c>
      <c r="H4461" s="446">
        <f>H4460-G4461</f>
        <v/>
      </c>
      <c r="I4461" s="392" t="n"/>
      <c r="J4461" s="392" t="n"/>
      <c r="K4461" s="392" t="n"/>
      <c r="L4461" s="392" t="n"/>
      <c r="M4461" s="392" t="n"/>
    </row>
    <row r="4462">
      <c r="A4462" s="568" t="n">
        <v>45510</v>
      </c>
      <c r="B4462" s="392" t="n">
        <v>11251</v>
      </c>
      <c r="C4462" s="392" t="n">
        <v>100</v>
      </c>
      <c r="D4462" s="392" t="n"/>
      <c r="E4462" s="392" t="n"/>
      <c r="F4462" s="392" t="n"/>
      <c r="G4462" s="392" t="n">
        <v>83</v>
      </c>
      <c r="H4462" s="446">
        <f>H4461-G4462</f>
        <v/>
      </c>
      <c r="I4462" s="392" t="n"/>
      <c r="J4462" s="392" t="n"/>
      <c r="K4462" s="392" t="n"/>
      <c r="L4462" s="392" t="n"/>
      <c r="M4462" s="392" t="n"/>
    </row>
    <row r="4463">
      <c r="A4463" s="568" t="n">
        <v>45510</v>
      </c>
      <c r="B4463" s="392" t="n">
        <v>11253</v>
      </c>
      <c r="C4463" s="392" t="n">
        <v>87.33</v>
      </c>
      <c r="D4463" s="392" t="n"/>
      <c r="E4463" s="392" t="n"/>
      <c r="F4463" s="392" t="n"/>
      <c r="G4463" s="392" t="n">
        <v>15</v>
      </c>
      <c r="H4463" s="446">
        <f>H4462-G4463</f>
        <v/>
      </c>
      <c r="I4463" s="392" t="n"/>
      <c r="J4463" s="392" t="n"/>
      <c r="K4463" s="392" t="n"/>
      <c r="L4463" s="392" t="n"/>
      <c r="M4463" s="392" t="n"/>
    </row>
    <row r="4464">
      <c r="A4464" s="568" t="n">
        <v>45517</v>
      </c>
      <c r="B4464" s="392" t="n">
        <v>11258</v>
      </c>
      <c r="C4464" s="392" t="n">
        <v>82</v>
      </c>
      <c r="D4464" s="392" t="n"/>
      <c r="E4464" s="392" t="n"/>
      <c r="F4464" s="392" t="n"/>
      <c r="G4464" s="392" t="n">
        <v>5</v>
      </c>
      <c r="H4464" s="446">
        <f>H4463-G4464</f>
        <v/>
      </c>
      <c r="I4464" s="392" t="n"/>
      <c r="J4464" s="392" t="n"/>
      <c r="K4464" s="392" t="n"/>
      <c r="L4464" s="392" t="n"/>
      <c r="M4464" s="392" t="n"/>
    </row>
    <row r="4465">
      <c r="A4465" s="568" t="n">
        <v>45517</v>
      </c>
      <c r="B4465" s="392" t="n">
        <v>11261</v>
      </c>
      <c r="C4465" s="392" t="n">
        <v>84</v>
      </c>
      <c r="D4465" s="392" t="n"/>
      <c r="E4465" s="392" t="n"/>
      <c r="F4465" s="392" t="n"/>
      <c r="G4465" s="392" t="n">
        <v>30</v>
      </c>
      <c r="H4465" s="446">
        <f>H4464-G4465</f>
        <v/>
      </c>
      <c r="I4465" s="392" t="n"/>
      <c r="J4465" s="392" t="n"/>
      <c r="K4465" s="392" t="n"/>
      <c r="L4465" s="392" t="n"/>
      <c r="M4465" s="392" t="n"/>
    </row>
    <row r="4466">
      <c r="A4466" s="568" t="n">
        <v>45517</v>
      </c>
      <c r="B4466" s="392" t="n">
        <v>11262</v>
      </c>
      <c r="C4466" s="392" t="n">
        <v>86</v>
      </c>
      <c r="D4466" s="392" t="n"/>
      <c r="E4466" s="392" t="n"/>
      <c r="F4466" s="392" t="n"/>
      <c r="G4466" s="392" t="n">
        <v>40</v>
      </c>
      <c r="H4466" s="446">
        <f>H4465-G4466</f>
        <v/>
      </c>
      <c r="I4466" s="392" t="n"/>
      <c r="J4466" s="392" t="n"/>
      <c r="K4466" s="392" t="n"/>
      <c r="L4466" s="392" t="n"/>
      <c r="M4466" s="392" t="n"/>
    </row>
    <row r="4467">
      <c r="A4467" s="568" t="n">
        <v>45517</v>
      </c>
      <c r="B4467" s="392" t="n">
        <v>11264</v>
      </c>
      <c r="C4467" s="392" t="n">
        <v>87</v>
      </c>
      <c r="D4467" s="392" t="n"/>
      <c r="E4467" s="392" t="n"/>
      <c r="F4467" s="392" t="n"/>
      <c r="G4467" s="392" t="n">
        <v>30</v>
      </c>
      <c r="H4467" s="446">
        <f>H4466-G4467</f>
        <v/>
      </c>
      <c r="I4467" s="392" t="n"/>
      <c r="J4467" s="392" t="n"/>
      <c r="K4467" s="392" t="n"/>
      <c r="L4467" s="392" t="n"/>
      <c r="M4467" s="392" t="n"/>
    </row>
    <row r="4468">
      <c r="A4468" s="568" t="n">
        <v>45517</v>
      </c>
      <c r="B4468" s="392" t="n">
        <v>11266</v>
      </c>
      <c r="C4468" s="392" t="n">
        <v>87.34</v>
      </c>
      <c r="D4468" s="392" t="n"/>
      <c r="E4468" s="392" t="n"/>
      <c r="F4468" s="392" t="n"/>
      <c r="G4468" s="392" t="n">
        <v>30</v>
      </c>
      <c r="H4468" s="446">
        <f>H4467-G4468</f>
        <v/>
      </c>
      <c r="I4468" s="392" t="n"/>
      <c r="J4468" s="392" t="n"/>
      <c r="K4468" s="392" t="n"/>
      <c r="L4468" s="392" t="n"/>
      <c r="M4468" s="392" t="n"/>
    </row>
    <row r="4469">
      <c r="A4469" s="568" t="n">
        <v>45517</v>
      </c>
      <c r="B4469" s="392" t="n">
        <v>11267</v>
      </c>
      <c r="C4469" s="392" t="n">
        <v>92</v>
      </c>
      <c r="D4469" s="392" t="n"/>
      <c r="E4469" s="392" t="n"/>
      <c r="F4469" s="392" t="n"/>
      <c r="G4469" s="392" t="n">
        <v>20</v>
      </c>
      <c r="H4469" s="446">
        <f>H4468-G4469</f>
        <v/>
      </c>
      <c r="I4469" s="392" t="n"/>
      <c r="J4469" s="392" t="n"/>
      <c r="K4469" s="392" t="n"/>
      <c r="L4469" s="392" t="n"/>
      <c r="M4469" s="392" t="n"/>
    </row>
    <row r="4470">
      <c r="A4470" s="568" t="n">
        <v>45517</v>
      </c>
      <c r="B4470" s="392" t="n">
        <v>11268</v>
      </c>
      <c r="C4470" s="392" t="n">
        <v>92</v>
      </c>
      <c r="D4470" s="392" t="n"/>
      <c r="E4470" s="392" t="n"/>
      <c r="F4470" s="392" t="n"/>
      <c r="G4470" s="392" t="n">
        <v>25</v>
      </c>
      <c r="H4470" s="446">
        <f>H4469-G4470</f>
        <v/>
      </c>
      <c r="I4470" s="392" t="n"/>
      <c r="J4470" s="392" t="n"/>
      <c r="K4470" s="392" t="n"/>
      <c r="L4470" s="392" t="n"/>
      <c r="M4470" s="392" t="n"/>
    </row>
    <row r="4471">
      <c r="A4471" s="568" t="n">
        <v>45523</v>
      </c>
      <c r="B4471" s="392" t="n">
        <v>11271</v>
      </c>
      <c r="C4471" s="392" t="n">
        <v>90</v>
      </c>
      <c r="D4471" s="392" t="n"/>
      <c r="E4471" s="392" t="n"/>
      <c r="F4471" s="392" t="n"/>
      <c r="G4471" s="392" t="n">
        <v>30</v>
      </c>
      <c r="H4471" s="446">
        <f>H4470-G4471</f>
        <v/>
      </c>
      <c r="I4471" s="392" t="n"/>
      <c r="J4471" s="392" t="n"/>
      <c r="K4471" s="392" t="n"/>
      <c r="L4471" s="392" t="n"/>
      <c r="M4471" s="392" t="n"/>
    </row>
    <row r="4472">
      <c r="A4472" s="568" t="n">
        <v>45523</v>
      </c>
      <c r="B4472" s="392" t="n">
        <v>11272</v>
      </c>
      <c r="C4472" s="392" t="n">
        <v>89</v>
      </c>
      <c r="D4472" s="392" t="n"/>
      <c r="E4472" s="392" t="n"/>
      <c r="F4472" s="392" t="n"/>
      <c r="G4472" s="392" t="n">
        <v>50</v>
      </c>
      <c r="H4472" s="446">
        <f>H4471-G4472</f>
        <v/>
      </c>
      <c r="I4472" s="392" t="n"/>
      <c r="J4472" s="392" t="n"/>
      <c r="K4472" s="392" t="n"/>
      <c r="L4472" s="392" t="n"/>
      <c r="M4472" s="392" t="n"/>
    </row>
    <row r="4473">
      <c r="A4473" s="568" t="n">
        <v>45523</v>
      </c>
      <c r="B4473" s="392" t="n">
        <v>11273</v>
      </c>
      <c r="C4473" s="392" t="n">
        <v>92</v>
      </c>
      <c r="D4473" s="392" t="n"/>
      <c r="E4473" s="392" t="n"/>
      <c r="F4473" s="392" t="n"/>
      <c r="G4473" s="392" t="n">
        <v>80</v>
      </c>
      <c r="H4473" s="446">
        <f>H4472-G4473</f>
        <v/>
      </c>
      <c r="I4473" s="392" t="n"/>
      <c r="J4473" s="392" t="n"/>
      <c r="K4473" s="392" t="n"/>
      <c r="L4473" s="392" t="n"/>
      <c r="M4473" s="392" t="n"/>
    </row>
    <row r="4474">
      <c r="A4474" s="568" t="n">
        <v>45523</v>
      </c>
      <c r="B4474" s="392" t="n">
        <v>11274</v>
      </c>
      <c r="C4474" s="392" t="n">
        <v>92</v>
      </c>
      <c r="D4474" s="392" t="n"/>
      <c r="E4474" s="392" t="n"/>
      <c r="F4474" s="392" t="n"/>
      <c r="G4474" s="392" t="n">
        <v>30</v>
      </c>
      <c r="H4474" s="446">
        <f>H4473-G4474</f>
        <v/>
      </c>
      <c r="I4474" s="392" t="n"/>
      <c r="J4474" s="392" t="n"/>
      <c r="K4474" s="392" t="n"/>
      <c r="L4474" s="392" t="n"/>
      <c r="M4474" s="392" t="n"/>
    </row>
    <row r="4475">
      <c r="A4475" s="568" t="n">
        <v>45523</v>
      </c>
      <c r="B4475" s="392" t="n">
        <v>11275</v>
      </c>
      <c r="C4475" s="392" t="n">
        <v>86.53</v>
      </c>
      <c r="D4475" s="392" t="n"/>
      <c r="E4475" s="392" t="n"/>
      <c r="F4475" s="392" t="n"/>
      <c r="G4475" s="392" t="n">
        <v>23</v>
      </c>
      <c r="H4475" s="446">
        <f>H4474-G4475</f>
        <v/>
      </c>
      <c r="I4475" s="392" t="n"/>
      <c r="J4475" s="392" t="n"/>
      <c r="K4475" s="392" t="n"/>
      <c r="L4475" s="392" t="n"/>
      <c r="M4475" s="392" t="n"/>
    </row>
    <row r="4476">
      <c r="A4476" s="568" t="n">
        <v>45523</v>
      </c>
      <c r="B4476" s="392" t="n">
        <v>11276</v>
      </c>
      <c r="C4476" s="392" t="n">
        <v>92</v>
      </c>
      <c r="D4476" s="392" t="n"/>
      <c r="E4476" s="392" t="n"/>
      <c r="F4476" s="392" t="n"/>
      <c r="G4476" s="392" t="n">
        <v>20</v>
      </c>
      <c r="H4476" s="446">
        <f>H4475-G4476</f>
        <v/>
      </c>
      <c r="I4476" s="392" t="n"/>
      <c r="J4476" s="392" t="n"/>
      <c r="K4476" s="392" t="n"/>
      <c r="L4476" s="392" t="n"/>
      <c r="M4476" s="392" t="n"/>
    </row>
    <row r="4477">
      <c r="A4477" s="568" t="n">
        <v>45523</v>
      </c>
      <c r="B4477" s="392" t="n">
        <v>11277</v>
      </c>
      <c r="C4477" s="392" t="n">
        <v>92</v>
      </c>
      <c r="D4477" s="392" t="n"/>
      <c r="E4477" s="392" t="n"/>
      <c r="F4477" s="392" t="n"/>
      <c r="G4477" s="392" t="n">
        <v>30</v>
      </c>
      <c r="H4477" s="446">
        <f>H4476-G4477</f>
        <v/>
      </c>
      <c r="I4477" s="392" t="n"/>
      <c r="J4477" s="392" t="n"/>
      <c r="K4477" s="392" t="n"/>
      <c r="L4477" s="392" t="n"/>
      <c r="M4477" s="392" t="n"/>
    </row>
    <row r="4478">
      <c r="A4478" s="568" t="n">
        <v>45523</v>
      </c>
      <c r="B4478" s="392" t="n">
        <v>11278</v>
      </c>
      <c r="C4478" s="392" t="n">
        <v>85.38</v>
      </c>
      <c r="D4478" s="392" t="n"/>
      <c r="E4478" s="392" t="n"/>
      <c r="F4478" s="392" t="n"/>
      <c r="G4478" s="392" t="n">
        <v>50</v>
      </c>
      <c r="H4478" s="446">
        <f>H4477-G4478</f>
        <v/>
      </c>
      <c r="I4478" s="392" t="n"/>
      <c r="J4478" s="392" t="n"/>
      <c r="K4478" s="392" t="n"/>
      <c r="L4478" s="392" t="n"/>
      <c r="M4478" s="392" t="n"/>
    </row>
    <row r="4479">
      <c r="A4479" s="568" t="n">
        <v>45524</v>
      </c>
      <c r="B4479" s="392" t="n">
        <v>11279</v>
      </c>
      <c r="C4479" s="392" t="n">
        <v>86</v>
      </c>
      <c r="D4479" s="392" t="n"/>
      <c r="E4479" s="392" t="n"/>
      <c r="F4479" s="392" t="n"/>
      <c r="G4479" s="392" t="n">
        <v>10</v>
      </c>
      <c r="H4479" s="446">
        <f>H4478-G4479</f>
        <v/>
      </c>
      <c r="I4479" s="392" t="n"/>
      <c r="J4479" s="392" t="n"/>
      <c r="K4479" s="392" t="n"/>
      <c r="L4479" s="392" t="n"/>
      <c r="M4479" s="392" t="n"/>
    </row>
    <row r="4480">
      <c r="A4480" s="568" t="n">
        <v>45524</v>
      </c>
      <c r="B4480" s="392" t="n">
        <v>11280</v>
      </c>
      <c r="C4480" s="392" t="n">
        <v>84</v>
      </c>
      <c r="D4480" s="392" t="n"/>
      <c r="E4480" s="392" t="n"/>
      <c r="F4480" s="392" t="n"/>
      <c r="G4480" s="392" t="n">
        <v>80</v>
      </c>
      <c r="H4480" s="446">
        <f>H4479-G4480</f>
        <v/>
      </c>
      <c r="I4480" s="392" t="n"/>
      <c r="J4480" s="392" t="n"/>
      <c r="K4480" s="392" t="n"/>
      <c r="L4480" s="392" t="n"/>
      <c r="M4480" s="392" t="n"/>
    </row>
    <row r="4481">
      <c r="A4481" s="568" t="n">
        <v>45530</v>
      </c>
      <c r="B4481" s="392" t="n">
        <v>11281</v>
      </c>
      <c r="C4481" s="392" t="n">
        <v>85.38</v>
      </c>
      <c r="D4481" s="392" t="n"/>
      <c r="E4481" s="392" t="n"/>
      <c r="F4481" s="392" t="n"/>
      <c r="G4481" s="392" t="n">
        <v>50</v>
      </c>
      <c r="H4481" s="446">
        <f>H4480-G4481</f>
        <v/>
      </c>
      <c r="I4481" s="392" t="n"/>
      <c r="J4481" s="392" t="n"/>
      <c r="K4481" s="392" t="n"/>
      <c r="L4481" s="392" t="n"/>
      <c r="M4481" s="392" t="n"/>
    </row>
    <row r="4482">
      <c r="A4482" s="568" t="n">
        <v>45530</v>
      </c>
      <c r="B4482" s="392" t="n">
        <v>11283</v>
      </c>
      <c r="C4482" s="392" t="n">
        <v>89</v>
      </c>
      <c r="D4482" s="392" t="n"/>
      <c r="E4482" s="392" t="n"/>
      <c r="F4482" s="392" t="n"/>
      <c r="G4482" s="392" t="n">
        <v>30</v>
      </c>
      <c r="H4482" s="446">
        <f>H4481-G4482</f>
        <v/>
      </c>
      <c r="I4482" s="392" t="n"/>
      <c r="J4482" s="392" t="n"/>
      <c r="K4482" s="392" t="n"/>
      <c r="L4482" s="392" t="n"/>
      <c r="M4482" s="392" t="n"/>
    </row>
    <row r="4483">
      <c r="A4483" s="568" t="n">
        <v>45530</v>
      </c>
      <c r="B4483" s="392" t="n">
        <v>11285</v>
      </c>
      <c r="C4483" s="392" t="n">
        <v>86</v>
      </c>
      <c r="D4483" s="392" t="n"/>
      <c r="E4483" s="392" t="n"/>
      <c r="F4483" s="392" t="n"/>
      <c r="G4483" s="392" t="n">
        <v>20</v>
      </c>
      <c r="H4483" s="446">
        <f>H4482-G4483</f>
        <v/>
      </c>
      <c r="I4483" s="392" t="n"/>
      <c r="J4483" s="392" t="n"/>
      <c r="K4483" s="392" t="n"/>
      <c r="L4483" s="392" t="n"/>
      <c r="M4483" s="392" t="n"/>
    </row>
    <row r="4484">
      <c r="A4484" s="568" t="n">
        <v>45530</v>
      </c>
      <c r="B4484" s="392" t="n">
        <v>11286</v>
      </c>
      <c r="C4484" s="392" t="n">
        <v>86</v>
      </c>
      <c r="D4484" s="392" t="n"/>
      <c r="E4484" s="392" t="n"/>
      <c r="F4484" s="392" t="n"/>
      <c r="G4484" s="392" t="n">
        <v>20</v>
      </c>
      <c r="H4484" s="446">
        <f>H4483-G4484</f>
        <v/>
      </c>
      <c r="I4484" s="392" t="n"/>
      <c r="J4484" s="392" t="n"/>
      <c r="K4484" s="392" t="n"/>
      <c r="L4484" s="392" t="n"/>
      <c r="M4484" s="392" t="n"/>
    </row>
    <row r="4485">
      <c r="A4485" s="568" t="n">
        <v>45530</v>
      </c>
      <c r="B4485" s="392" t="n">
        <v>11288</v>
      </c>
      <c r="C4485" s="392" t="n">
        <v>87</v>
      </c>
      <c r="D4485" s="392" t="n"/>
      <c r="E4485" s="392" t="n"/>
      <c r="F4485" s="392" t="n"/>
      <c r="G4485" s="392" t="n">
        <v>30</v>
      </c>
      <c r="H4485" s="446">
        <f>H4484-G4485</f>
        <v/>
      </c>
      <c r="I4485" s="392" t="n"/>
      <c r="J4485" s="392" t="n"/>
      <c r="K4485" s="392" t="n"/>
      <c r="L4485" s="392" t="n"/>
      <c r="M4485" s="392" t="n"/>
    </row>
    <row r="4486">
      <c r="A4486" s="568" t="n">
        <v>45530</v>
      </c>
      <c r="B4486" s="392" t="n">
        <v>11290</v>
      </c>
      <c r="C4486" s="392" t="n">
        <v>92</v>
      </c>
      <c r="D4486" s="392" t="n"/>
      <c r="E4486" s="392" t="n"/>
      <c r="F4486" s="392" t="n"/>
      <c r="G4486" s="392" t="n">
        <v>20</v>
      </c>
      <c r="H4486" s="446">
        <f>H4485-G4486</f>
        <v/>
      </c>
      <c r="I4486" s="392" t="n"/>
      <c r="J4486" s="392" t="n"/>
      <c r="K4486" s="392" t="n"/>
      <c r="L4486" s="392" t="n"/>
      <c r="M4486" s="392" t="n"/>
    </row>
    <row r="4487">
      <c r="A4487" s="568" t="n">
        <v>45530</v>
      </c>
      <c r="B4487" s="392" t="n">
        <v>11292</v>
      </c>
      <c r="C4487" s="392" t="n">
        <v>92</v>
      </c>
      <c r="D4487" s="392" t="n"/>
      <c r="E4487" s="392" t="n"/>
      <c r="F4487" s="392" t="n"/>
      <c r="G4487" s="392" t="n">
        <v>20</v>
      </c>
      <c r="H4487" s="446">
        <f>H4486-G4487</f>
        <v/>
      </c>
      <c r="I4487" s="392" t="n"/>
      <c r="J4487" s="392" t="n"/>
      <c r="K4487" s="392" t="n"/>
      <c r="L4487" s="392" t="n"/>
      <c r="M4487" s="392" t="n"/>
    </row>
    <row r="4488">
      <c r="A4488" s="568" t="n">
        <v>45530</v>
      </c>
      <c r="B4488" s="392" t="n">
        <v>11293</v>
      </c>
      <c r="C4488" s="392" t="n">
        <v>88.3</v>
      </c>
      <c r="D4488" s="392" t="n"/>
      <c r="E4488" s="392" t="n"/>
      <c r="F4488" s="392" t="n"/>
      <c r="G4488" s="392" t="n">
        <v>20</v>
      </c>
      <c r="H4488" s="446">
        <f>H4487-G4488</f>
        <v/>
      </c>
      <c r="I4488" s="392" t="n"/>
      <c r="J4488" s="392" t="n"/>
      <c r="K4488" s="392" t="n"/>
      <c r="L4488" s="392" t="n"/>
      <c r="M4488" s="392" t="n"/>
    </row>
    <row r="4489">
      <c r="A4489" s="568" t="n">
        <v>45530</v>
      </c>
      <c r="B4489" s="392" t="n">
        <v>11294</v>
      </c>
      <c r="C4489" s="392" t="n">
        <v>78</v>
      </c>
      <c r="D4489" s="392" t="n"/>
      <c r="E4489" s="392" t="n"/>
      <c r="F4489" s="392" t="n"/>
      <c r="G4489" s="392" t="n">
        <v>10</v>
      </c>
      <c r="H4489" s="446">
        <f>H4488-G4489</f>
        <v/>
      </c>
      <c r="I4489" s="392" t="n"/>
      <c r="J4489" s="392" t="n"/>
      <c r="K4489" s="392" t="n"/>
      <c r="L4489" s="392" t="n"/>
      <c r="M4489" s="392" t="n"/>
    </row>
    <row r="4490">
      <c r="A4490" s="568" t="n">
        <v>45530</v>
      </c>
      <c r="B4490" s="392" t="n">
        <v>11295</v>
      </c>
      <c r="C4490" s="392" t="n">
        <v>86</v>
      </c>
      <c r="D4490" s="392" t="n"/>
      <c r="E4490" s="392" t="n"/>
      <c r="F4490" s="392" t="n"/>
      <c r="G4490" s="392" t="n">
        <v>15</v>
      </c>
      <c r="H4490" s="446">
        <f>H4489-G4490</f>
        <v/>
      </c>
      <c r="I4490" s="392" t="n"/>
      <c r="J4490" s="392" t="n"/>
      <c r="K4490" s="392" t="n"/>
      <c r="L4490" s="392" t="n"/>
      <c r="M4490" s="392" t="n"/>
    </row>
    <row r="4491">
      <c r="A4491" s="568" t="n">
        <v>45530</v>
      </c>
      <c r="B4491" s="392" t="n">
        <v>11297</v>
      </c>
      <c r="C4491" s="392" t="n">
        <v>86</v>
      </c>
      <c r="D4491" s="392" t="n"/>
      <c r="E4491" s="392" t="n"/>
      <c r="F4491" s="392" t="n"/>
      <c r="G4491" s="392" t="n">
        <v>40</v>
      </c>
      <c r="H4491" s="446">
        <f>H4490-G4491</f>
        <v/>
      </c>
      <c r="I4491" s="392" t="n"/>
      <c r="J4491" s="392" t="n"/>
      <c r="K4491" s="392" t="n"/>
      <c r="L4491" s="392" t="n"/>
      <c r="M4491" s="392" t="n"/>
    </row>
    <row r="4492">
      <c r="A4492" s="568" t="n">
        <v>45530</v>
      </c>
      <c r="B4492" s="392" t="n">
        <v>11298</v>
      </c>
      <c r="C4492" s="392" t="n">
        <v>78</v>
      </c>
      <c r="D4492" s="392" t="n"/>
      <c r="E4492" s="392" t="n"/>
      <c r="F4492" s="392" t="n"/>
      <c r="G4492" s="392" t="n">
        <v>300</v>
      </c>
      <c r="H4492" s="446">
        <f>H4491-G4492</f>
        <v/>
      </c>
      <c r="I4492" s="392" t="n"/>
      <c r="J4492" s="392" t="n"/>
      <c r="K4492" s="392" t="n"/>
      <c r="L4492" s="392" t="n"/>
      <c r="M4492" s="392" t="n"/>
    </row>
    <row r="4493">
      <c r="A4493" s="568" t="n">
        <v>45531</v>
      </c>
      <c r="B4493" s="392" t="n">
        <v>11299</v>
      </c>
      <c r="C4493" s="392" t="n">
        <v>81</v>
      </c>
      <c r="D4493" s="392" t="n"/>
      <c r="E4493" s="392" t="n"/>
      <c r="F4493" s="392" t="n"/>
      <c r="G4493" s="392" t="n">
        <v>50</v>
      </c>
      <c r="H4493" s="446">
        <f>H4492-G4493</f>
        <v/>
      </c>
      <c r="I4493" s="392" t="n"/>
      <c r="J4493" s="392" t="n"/>
      <c r="K4493" s="392" t="n"/>
      <c r="L4493" s="392" t="n"/>
      <c r="M4493" s="392" t="n"/>
    </row>
    <row r="4494">
      <c r="A4494" s="568" t="n">
        <v>45531</v>
      </c>
      <c r="B4494" s="392" t="n">
        <v>11300</v>
      </c>
      <c r="C4494" s="392" t="n">
        <v>78</v>
      </c>
      <c r="D4494" s="392" t="n"/>
      <c r="E4494" s="392" t="n"/>
      <c r="F4494" s="392" t="n"/>
      <c r="G4494" s="392" t="n">
        <v>10</v>
      </c>
      <c r="H4494" s="446">
        <f>H4493-G4494</f>
        <v/>
      </c>
      <c r="I4494" s="392" t="n"/>
      <c r="J4494" s="392" t="n"/>
      <c r="K4494" s="392" t="n"/>
      <c r="L4494" s="392" t="n"/>
      <c r="M4494" s="392" t="n"/>
    </row>
    <row r="4495">
      <c r="A4495" s="304" t="n">
        <v>45533</v>
      </c>
      <c r="B4495" s="401" t="n">
        <v>24447</v>
      </c>
      <c r="C4495" s="401" t="n"/>
      <c r="D4495" s="401" t="n"/>
      <c r="E4495" s="401" t="n"/>
      <c r="F4495" s="401" t="n">
        <v>1120</v>
      </c>
      <c r="G4495" s="401" t="n"/>
      <c r="H4495" s="322" t="n">
        <v>3216</v>
      </c>
      <c r="I4495" s="392" t="n"/>
      <c r="J4495" s="392" t="n"/>
      <c r="K4495" s="392" t="n"/>
      <c r="L4495" s="392" t="n"/>
      <c r="M4495" s="392" t="n"/>
    </row>
    <row r="4496">
      <c r="A4496" s="568" t="n">
        <v>45532</v>
      </c>
      <c r="B4496" s="392" t="n">
        <v>11301</v>
      </c>
      <c r="C4496" s="392" t="n">
        <v>86</v>
      </c>
      <c r="D4496" s="392" t="n"/>
      <c r="E4496" s="392" t="n"/>
      <c r="F4496" s="392" t="n"/>
      <c r="G4496" s="392" t="n">
        <v>50</v>
      </c>
      <c r="H4496" s="446">
        <f>H4495-G4496</f>
        <v/>
      </c>
      <c r="I4496" s="392" t="n"/>
      <c r="J4496" s="392" t="n"/>
      <c r="K4496" s="392" t="n"/>
      <c r="L4496" s="392" t="n"/>
      <c r="M4496" s="392" t="n"/>
    </row>
    <row r="4497" ht="15.75" customHeight="1" s="436" thickBot="1">
      <c r="A4497" s="414" t="n"/>
      <c r="H4497" s="390" t="n"/>
    </row>
    <row r="4498" ht="32.25" customHeight="1" s="436" thickBot="1">
      <c r="A4498" s="735" t="inlineStr">
        <is>
          <t>Setembro</t>
        </is>
      </c>
      <c r="B4498" s="697" t="n"/>
      <c r="C4498" s="697" t="n"/>
      <c r="D4498" s="697" t="n"/>
      <c r="E4498" s="697" t="n"/>
      <c r="F4498" s="697" t="n"/>
      <c r="G4498" s="697" t="n"/>
      <c r="H4498" s="697" t="n"/>
      <c r="I4498" s="697" t="n"/>
      <c r="J4498" s="697" t="n"/>
      <c r="K4498" s="697" t="n"/>
      <c r="L4498" s="697" t="n"/>
      <c r="M4498" s="698" t="n"/>
    </row>
    <row r="4499" ht="27" customHeight="1" s="436" thickBot="1">
      <c r="A4499" s="720" t="inlineStr">
        <is>
          <t xml:space="preserve"> FARINHA DE TRIGO TIPO: 1 - 25 KG</t>
        </is>
      </c>
      <c r="B4499" s="697" t="n"/>
      <c r="C4499" s="697" t="n"/>
      <c r="D4499" s="697" t="n"/>
      <c r="E4499" s="697" t="n"/>
      <c r="F4499" s="697" t="n"/>
      <c r="G4499" s="697" t="n"/>
      <c r="H4499" s="697" t="n"/>
      <c r="I4499" s="697" t="n"/>
      <c r="J4499" s="697" t="n"/>
      <c r="K4499" s="697" t="n"/>
      <c r="L4499" s="697" t="n"/>
      <c r="M4499" s="698" t="n"/>
    </row>
    <row r="4500">
      <c r="A4500" s="3" t="inlineStr">
        <is>
          <t>DATA</t>
        </is>
      </c>
      <c r="B4500" s="3" t="inlineStr">
        <is>
          <t>N.F.</t>
        </is>
      </c>
      <c r="C4500" s="3" t="inlineStr">
        <is>
          <t>TIPO</t>
        </is>
      </c>
      <c r="D4500" s="708" t="inlineStr">
        <is>
          <t>PREÇO UNITÁRIO</t>
        </is>
      </c>
      <c r="E4500" s="736" t="n"/>
      <c r="F4500" s="3" t="inlineStr">
        <is>
          <t>QUANTIDADE / KG</t>
        </is>
      </c>
      <c r="G4500" s="737" t="n"/>
      <c r="H4500" s="736" t="n"/>
      <c r="I4500" s="631" t="inlineStr">
        <is>
          <t>PREÇO</t>
        </is>
      </c>
      <c r="J4500" s="631" t="inlineStr">
        <is>
          <t>VALORES</t>
        </is>
      </c>
      <c r="K4500" s="737" t="n"/>
      <c r="L4500" s="736" t="n"/>
      <c r="M4500" s="738" t="n"/>
    </row>
    <row r="4501" ht="15.75" customHeight="1" s="436" thickBot="1">
      <c r="A4501" s="704" t="n"/>
      <c r="B4501" s="704" t="n"/>
      <c r="C4501" s="704" t="n"/>
      <c r="D4501" s="703" t="n"/>
      <c r="E4501" s="701" t="n"/>
      <c r="F4501" s="705" t="n"/>
      <c r="G4501" s="706" t="n"/>
      <c r="H4501" s="707" t="n"/>
      <c r="I4501" s="704" t="n"/>
      <c r="J4501" s="703" t="n"/>
      <c r="L4501" s="701" t="n"/>
      <c r="M4501" s="704" t="n"/>
    </row>
    <row r="4502" ht="15.75" customHeight="1" s="436" thickBot="1">
      <c r="A4502" s="704" t="n"/>
      <c r="B4502" s="704" t="n"/>
      <c r="C4502" s="704" t="n"/>
      <c r="D4502" s="705" t="n"/>
      <c r="E4502" s="707" t="n"/>
      <c r="F4502" s="3" t="inlineStr">
        <is>
          <t>ENTRADA</t>
        </is>
      </c>
      <c r="G4502" s="3" t="inlineStr">
        <is>
          <t>SAÍDA</t>
        </is>
      </c>
      <c r="H4502" s="640" t="n"/>
      <c r="I4502" s="633" t="inlineStr">
        <is>
          <t>MÉDIO</t>
        </is>
      </c>
      <c r="J4502" s="739" t="inlineStr">
        <is>
          <t>SALDO EM 30/11/2017</t>
        </is>
      </c>
      <c r="K4502" s="707" t="n"/>
      <c r="L4502" s="17" t="n"/>
      <c r="M4502" s="740" t="n"/>
    </row>
    <row r="4503" ht="18" customHeight="1" s="436" thickBot="1">
      <c r="A4503" s="695" t="n"/>
      <c r="B4503" s="695" t="n"/>
      <c r="C4503" s="695" t="n"/>
      <c r="D4503" s="3" t="inlineStr">
        <is>
          <t>C/ICMS</t>
        </is>
      </c>
      <c r="E4503" s="3" t="inlineStr">
        <is>
          <t>S/ICMS</t>
        </is>
      </c>
      <c r="F4503" s="695" t="n"/>
      <c r="G4503" s="695" t="n"/>
      <c r="H4503" s="84" t="inlineStr">
        <is>
          <t>Saldo em 31/08/2024</t>
        </is>
      </c>
      <c r="I4503" s="695" t="n"/>
      <c r="J4503" s="645" t="inlineStr">
        <is>
          <t>ENTRADA</t>
        </is>
      </c>
      <c r="K4503" s="633" t="inlineStr">
        <is>
          <t>SAÍDA / CMV</t>
        </is>
      </c>
      <c r="L4503" s="643" t="inlineStr">
        <is>
          <t>SALDO</t>
        </is>
      </c>
      <c r="M4503" s="392" t="n"/>
    </row>
    <row r="4504">
      <c r="A4504" s="392" t="n"/>
      <c r="B4504" s="392" t="n"/>
      <c r="C4504" s="392" t="n"/>
      <c r="D4504" s="392" t="n"/>
      <c r="E4504" s="392" t="n"/>
      <c r="F4504" s="392" t="n"/>
      <c r="G4504" s="392" t="n"/>
      <c r="H4504" s="446" t="n">
        <v>3166</v>
      </c>
      <c r="I4504" s="392" t="n"/>
      <c r="J4504" s="392" t="n"/>
      <c r="K4504" s="392" t="n"/>
      <c r="L4504" s="392" t="n"/>
      <c r="M4504" s="392" t="n"/>
    </row>
    <row r="4505">
      <c r="A4505" s="568" t="n">
        <v>45537</v>
      </c>
      <c r="B4505" s="392" t="n">
        <v>11303</v>
      </c>
      <c r="C4505" s="392" t="n">
        <v>83</v>
      </c>
      <c r="D4505" s="392" t="n"/>
      <c r="E4505" s="392" t="n"/>
      <c r="F4505" s="392" t="n"/>
      <c r="G4505" s="392" t="n">
        <v>200</v>
      </c>
      <c r="H4505" s="446">
        <f>H4504-G4505</f>
        <v/>
      </c>
      <c r="I4505" s="392" t="n"/>
      <c r="J4505" s="392" t="n"/>
      <c r="K4505" s="392" t="n"/>
      <c r="L4505" s="392" t="n"/>
      <c r="M4505" s="392" t="n"/>
    </row>
    <row r="4506">
      <c r="A4506" s="568" t="n">
        <v>45539</v>
      </c>
      <c r="B4506" s="392" t="n">
        <v>11306</v>
      </c>
      <c r="C4506" s="392" t="n">
        <v>93</v>
      </c>
      <c r="D4506" s="392" t="n"/>
      <c r="E4506" s="392" t="n"/>
      <c r="F4506" s="392" t="n"/>
      <c r="G4506" s="392" t="n">
        <v>30</v>
      </c>
      <c r="H4506" s="446">
        <f>H4505-G4506</f>
        <v/>
      </c>
      <c r="I4506" s="392" t="n"/>
      <c r="J4506" s="392" t="n"/>
      <c r="K4506" s="392" t="n"/>
      <c r="L4506" s="392" t="n"/>
      <c r="M4506" s="392" t="n"/>
    </row>
    <row r="4507">
      <c r="A4507" s="568" t="n">
        <v>45539</v>
      </c>
      <c r="B4507" s="392" t="n">
        <v>11308</v>
      </c>
      <c r="C4507" s="392" t="n">
        <v>86.40000000000001</v>
      </c>
      <c r="D4507" s="392" t="n"/>
      <c r="E4507" s="392" t="n"/>
      <c r="F4507" s="392" t="n"/>
      <c r="G4507" s="392" t="n">
        <v>20</v>
      </c>
      <c r="H4507" s="446">
        <f>H4506-G4507</f>
        <v/>
      </c>
      <c r="I4507" s="392" t="n"/>
      <c r="J4507" s="392" t="n"/>
      <c r="K4507" s="392" t="n"/>
      <c r="L4507" s="392" t="n"/>
      <c r="M4507" s="392" t="n"/>
    </row>
    <row r="4508">
      <c r="A4508" s="568" t="n">
        <v>45539</v>
      </c>
      <c r="B4508" s="392" t="n">
        <v>11310</v>
      </c>
      <c r="C4508" s="392" t="n">
        <v>92</v>
      </c>
      <c r="D4508" s="392" t="n"/>
      <c r="E4508" s="392" t="n"/>
      <c r="F4508" s="392" t="n"/>
      <c r="G4508" s="392" t="n">
        <v>25</v>
      </c>
      <c r="H4508" s="446">
        <f>H4507-G4508</f>
        <v/>
      </c>
      <c r="I4508" s="392" t="n"/>
      <c r="J4508" s="392" t="n"/>
      <c r="K4508" s="392" t="n"/>
      <c r="L4508" s="392" t="n"/>
      <c r="M4508" s="392" t="n"/>
    </row>
    <row r="4509">
      <c r="A4509" s="568" t="n">
        <v>45539</v>
      </c>
      <c r="B4509" s="392" t="n">
        <v>11311</v>
      </c>
      <c r="C4509" s="392" t="n">
        <v>92</v>
      </c>
      <c r="D4509" s="392" t="n"/>
      <c r="E4509" s="392" t="n"/>
      <c r="F4509" s="392" t="n"/>
      <c r="G4509" s="392" t="n">
        <v>25</v>
      </c>
      <c r="H4509" s="446">
        <f>H4508-G4509</f>
        <v/>
      </c>
      <c r="I4509" s="392" t="n"/>
      <c r="J4509" s="392" t="n"/>
      <c r="K4509" s="392" t="n"/>
      <c r="L4509" s="392" t="n"/>
      <c r="M4509" s="392" t="n"/>
    </row>
    <row r="4510">
      <c r="A4510" s="568" t="n">
        <v>45544</v>
      </c>
      <c r="B4510" s="392" t="n">
        <v>11316</v>
      </c>
      <c r="C4510" s="392" t="n">
        <v>86</v>
      </c>
      <c r="D4510" s="392" t="n"/>
      <c r="E4510" s="392" t="n"/>
      <c r="F4510" s="392" t="n"/>
      <c r="G4510" s="392" t="n">
        <v>40</v>
      </c>
      <c r="H4510" s="446">
        <f>H4509-G4510</f>
        <v/>
      </c>
      <c r="I4510" s="392" t="n"/>
      <c r="J4510" s="392" t="n"/>
      <c r="K4510" s="392" t="n"/>
      <c r="L4510" s="392" t="n"/>
      <c r="M4510" s="392" t="n"/>
    </row>
    <row r="4511">
      <c r="A4511" s="568" t="n">
        <v>45544</v>
      </c>
      <c r="B4511" s="392" t="n">
        <v>11317</v>
      </c>
      <c r="C4511" s="392" t="n">
        <v>78</v>
      </c>
      <c r="D4511" s="392" t="n"/>
      <c r="E4511" s="392" t="n"/>
      <c r="F4511" s="392" t="n"/>
      <c r="G4511" s="392" t="n">
        <v>50</v>
      </c>
      <c r="H4511" s="446">
        <f>H4510-G4511</f>
        <v/>
      </c>
      <c r="I4511" s="392" t="n"/>
      <c r="J4511" s="392" t="n"/>
      <c r="K4511" s="392" t="n"/>
      <c r="L4511" s="392" t="n"/>
      <c r="M4511" s="392" t="n"/>
    </row>
    <row r="4512">
      <c r="A4512" s="568" t="n">
        <v>45544</v>
      </c>
      <c r="B4512" s="392" t="n">
        <v>11318</v>
      </c>
      <c r="C4512" s="392" t="n">
        <v>86</v>
      </c>
      <c r="D4512" s="392" t="n"/>
      <c r="E4512" s="392" t="n"/>
      <c r="F4512" s="392" t="n"/>
      <c r="G4512" s="392" t="n">
        <v>50</v>
      </c>
      <c r="H4512" s="446">
        <f>H4511-G4512</f>
        <v/>
      </c>
      <c r="I4512" s="392" t="n"/>
      <c r="J4512" s="392" t="n"/>
      <c r="K4512" s="392" t="n"/>
      <c r="L4512" s="392" t="n"/>
      <c r="M4512" s="392" t="n"/>
    </row>
    <row r="4513">
      <c r="A4513" s="568" t="n">
        <v>45544</v>
      </c>
      <c r="B4513" s="392" t="n">
        <v>11319</v>
      </c>
      <c r="C4513" s="392" t="n">
        <v>84</v>
      </c>
      <c r="D4513" s="392" t="n"/>
      <c r="E4513" s="392" t="n"/>
      <c r="F4513" s="392" t="n"/>
      <c r="G4513" s="392" t="n">
        <v>30</v>
      </c>
      <c r="H4513" s="446">
        <f>H4512-G4513</f>
        <v/>
      </c>
      <c r="I4513" s="392" t="n"/>
      <c r="J4513" s="392" t="n"/>
      <c r="K4513" s="392" t="n"/>
      <c r="L4513" s="392" t="n"/>
      <c r="M4513" s="392" t="n"/>
    </row>
    <row r="4514">
      <c r="A4514" s="568" t="n">
        <v>45544</v>
      </c>
      <c r="B4514" s="392" t="n">
        <v>11320</v>
      </c>
      <c r="C4514" s="392" t="n">
        <v>87</v>
      </c>
      <c r="D4514" s="392" t="n"/>
      <c r="E4514" s="392" t="n"/>
      <c r="F4514" s="392" t="n"/>
      <c r="G4514" s="392" t="n">
        <v>30</v>
      </c>
      <c r="H4514" s="446">
        <f>H4513-G4514</f>
        <v/>
      </c>
      <c r="I4514" s="392" t="n"/>
      <c r="J4514" s="392" t="n"/>
      <c r="K4514" s="392" t="n"/>
      <c r="L4514" s="392" t="n"/>
      <c r="M4514" s="392" t="n"/>
    </row>
    <row r="4515">
      <c r="A4515" s="568" t="n">
        <v>45544</v>
      </c>
      <c r="B4515" s="392" t="n">
        <v>11321</v>
      </c>
      <c r="C4515" s="392" t="n">
        <v>87</v>
      </c>
      <c r="D4515" s="392" t="n"/>
      <c r="E4515" s="392" t="n"/>
      <c r="F4515" s="392" t="n"/>
      <c r="G4515" s="392" t="n">
        <v>20</v>
      </c>
      <c r="H4515" s="446">
        <f>H4514-G4515</f>
        <v/>
      </c>
      <c r="I4515" s="392" t="n"/>
      <c r="J4515" s="392" t="n"/>
      <c r="K4515" s="392" t="n"/>
      <c r="L4515" s="392" t="n"/>
      <c r="M4515" s="392" t="n"/>
    </row>
    <row r="4516">
      <c r="A4516" s="568" t="n">
        <v>45544</v>
      </c>
      <c r="B4516" s="392" t="n">
        <v>11322</v>
      </c>
      <c r="C4516" s="392" t="n">
        <v>89</v>
      </c>
      <c r="D4516" s="392" t="n"/>
      <c r="E4516" s="392" t="n"/>
      <c r="F4516" s="392" t="n"/>
      <c r="G4516" s="392" t="n">
        <v>20</v>
      </c>
      <c r="H4516" s="446">
        <f>H4515-G4516</f>
        <v/>
      </c>
      <c r="I4516" s="392" t="n"/>
      <c r="J4516" s="392" t="n"/>
      <c r="K4516" s="392" t="n"/>
      <c r="L4516" s="392" t="n"/>
      <c r="M4516" s="392" t="n"/>
    </row>
    <row r="4517">
      <c r="A4517" s="568" t="n">
        <v>45544</v>
      </c>
      <c r="B4517" s="392" t="n">
        <v>11323</v>
      </c>
      <c r="C4517" s="392" t="n">
        <v>92</v>
      </c>
      <c r="D4517" s="392" t="n"/>
      <c r="E4517" s="392" t="n"/>
      <c r="F4517" s="392" t="n"/>
      <c r="G4517" s="392" t="n">
        <v>15</v>
      </c>
      <c r="H4517" s="446">
        <f>H4516-G4517</f>
        <v/>
      </c>
      <c r="I4517" s="392" t="n"/>
      <c r="J4517" s="392" t="n"/>
      <c r="K4517" s="392" t="n"/>
      <c r="L4517" s="392" t="n"/>
      <c r="M4517" s="392" t="n"/>
    </row>
    <row r="4518">
      <c r="A4518" s="568" t="n">
        <v>45544</v>
      </c>
      <c r="B4518" s="392" t="n">
        <v>11324</v>
      </c>
      <c r="C4518" s="392" t="n">
        <v>92</v>
      </c>
      <c r="D4518" s="392" t="n"/>
      <c r="E4518" s="392" t="n"/>
      <c r="F4518" s="392" t="n"/>
      <c r="G4518" s="392" t="n">
        <v>20</v>
      </c>
      <c r="H4518" s="446">
        <f>H4517-G4518</f>
        <v/>
      </c>
      <c r="I4518" s="392" t="n"/>
      <c r="J4518" s="392" t="n"/>
      <c r="K4518" s="392" t="n"/>
      <c r="L4518" s="392" t="n"/>
      <c r="M4518" s="392" t="n"/>
    </row>
    <row r="4519">
      <c r="A4519" s="568" t="n">
        <v>45544</v>
      </c>
      <c r="B4519" s="392" t="n">
        <v>11327</v>
      </c>
      <c r="C4519" s="392" t="n">
        <v>89</v>
      </c>
      <c r="D4519" s="392" t="n"/>
      <c r="E4519" s="392" t="n"/>
      <c r="F4519" s="392" t="n"/>
      <c r="G4519" s="392" t="n">
        <v>50</v>
      </c>
      <c r="H4519" s="446">
        <f>H4518-G4519</f>
        <v/>
      </c>
      <c r="I4519" s="392" t="n"/>
      <c r="J4519" s="392" t="n"/>
      <c r="K4519" s="392" t="n"/>
      <c r="L4519" s="392" t="n"/>
      <c r="M4519" s="392" t="n"/>
    </row>
    <row r="4520">
      <c r="A4520" s="568" t="n">
        <v>45546</v>
      </c>
      <c r="B4520" s="392" t="n">
        <v>11331</v>
      </c>
      <c r="C4520" s="392" t="n">
        <v>88</v>
      </c>
      <c r="D4520" s="392" t="n"/>
      <c r="E4520" s="392" t="n"/>
      <c r="F4520" s="392" t="n"/>
      <c r="G4520" s="392" t="n">
        <v>50</v>
      </c>
      <c r="H4520" s="446">
        <f>H4519-G4520</f>
        <v/>
      </c>
      <c r="I4520" s="392" t="n"/>
      <c r="J4520" s="392" t="n"/>
      <c r="K4520" s="392" t="n"/>
      <c r="L4520" s="392" t="n"/>
      <c r="M4520" s="392" t="n"/>
    </row>
    <row r="4521">
      <c r="A4521" s="304" t="n">
        <v>45552</v>
      </c>
      <c r="B4521" s="401" t="n">
        <v>2637</v>
      </c>
      <c r="C4521" s="401" t="n"/>
      <c r="D4521" s="401" t="n"/>
      <c r="E4521" s="401" t="n"/>
      <c r="F4521" s="401" t="n">
        <v>1120</v>
      </c>
      <c r="G4521" s="401" t="n"/>
      <c r="H4521" s="322" t="n">
        <v>3611</v>
      </c>
      <c r="I4521" s="392" t="n"/>
      <c r="J4521" s="392" t="n"/>
      <c r="K4521" s="392" t="n"/>
      <c r="L4521" s="392" t="n"/>
      <c r="M4521" s="392" t="n"/>
    </row>
    <row r="4522">
      <c r="A4522" s="568" t="n">
        <v>45552</v>
      </c>
      <c r="B4522" s="392" t="n">
        <v>11334</v>
      </c>
      <c r="C4522" s="392" t="n">
        <v>92</v>
      </c>
      <c r="D4522" s="392" t="n"/>
      <c r="E4522" s="392" t="n"/>
      <c r="F4522" s="392" t="n"/>
      <c r="G4522" s="392" t="n">
        <v>30</v>
      </c>
      <c r="H4522" s="446">
        <f>H4521-G4522</f>
        <v/>
      </c>
      <c r="I4522" s="392" t="n"/>
      <c r="J4522" s="392" t="n"/>
      <c r="K4522" s="392" t="n"/>
      <c r="L4522" s="392" t="n"/>
      <c r="M4522" s="392" t="n"/>
    </row>
    <row r="4523">
      <c r="A4523" s="568" t="n">
        <v>45552</v>
      </c>
      <c r="B4523" s="392" t="n">
        <v>11335</v>
      </c>
      <c r="C4523" s="392" t="n">
        <v>82</v>
      </c>
      <c r="D4523" s="392" t="n"/>
      <c r="E4523" s="392" t="n"/>
      <c r="F4523" s="392" t="n"/>
      <c r="G4523" s="392" t="n">
        <v>20</v>
      </c>
      <c r="H4523" s="446">
        <f>H4522-G4523</f>
        <v/>
      </c>
      <c r="I4523" s="392" t="n"/>
      <c r="J4523" s="392" t="n"/>
      <c r="K4523" s="392" t="n"/>
      <c r="L4523" s="392" t="n"/>
      <c r="M4523" s="392" t="n"/>
    </row>
    <row r="4524">
      <c r="A4524" s="568" t="n">
        <v>45552</v>
      </c>
      <c r="B4524" s="392" t="n">
        <v>11336</v>
      </c>
      <c r="C4524" s="392" t="n">
        <v>86</v>
      </c>
      <c r="D4524" s="392" t="n"/>
      <c r="E4524" s="392" t="n"/>
      <c r="F4524" s="392" t="n"/>
      <c r="G4524" s="392" t="n">
        <v>20</v>
      </c>
      <c r="H4524" s="446">
        <f>H4523-G4524</f>
        <v/>
      </c>
      <c r="I4524" s="392" t="n"/>
      <c r="J4524" s="392" t="n"/>
      <c r="K4524" s="392" t="n"/>
      <c r="L4524" s="392" t="n"/>
      <c r="M4524" s="392" t="n"/>
    </row>
    <row r="4525">
      <c r="A4525" s="568" t="n">
        <v>45552</v>
      </c>
      <c r="B4525" s="392" t="n">
        <v>11338</v>
      </c>
      <c r="C4525" s="392" t="n">
        <v>86</v>
      </c>
      <c r="D4525" s="392" t="n"/>
      <c r="E4525" s="392" t="n"/>
      <c r="F4525" s="392" t="n"/>
      <c r="G4525" s="392" t="n">
        <v>15</v>
      </c>
      <c r="H4525" s="446">
        <f>H4524-G4525</f>
        <v/>
      </c>
      <c r="I4525" s="392" t="n"/>
      <c r="J4525" s="392" t="n"/>
      <c r="K4525" s="392" t="n"/>
      <c r="L4525" s="392" t="n"/>
      <c r="M4525" s="392" t="n"/>
    </row>
    <row r="4526">
      <c r="A4526" s="568" t="n">
        <v>45552</v>
      </c>
      <c r="B4526" s="392" t="n">
        <v>11339</v>
      </c>
      <c r="C4526" s="392" t="n">
        <v>86</v>
      </c>
      <c r="D4526" s="392" t="n"/>
      <c r="E4526" s="392" t="n"/>
      <c r="F4526" s="392" t="n"/>
      <c r="G4526" s="392" t="n">
        <v>15</v>
      </c>
      <c r="H4526" s="446">
        <f>H4525-G4526</f>
        <v/>
      </c>
      <c r="I4526" s="392" t="n"/>
      <c r="J4526" s="392" t="n"/>
      <c r="K4526" s="392" t="n"/>
      <c r="L4526" s="392" t="n"/>
      <c r="M4526" s="392" t="n"/>
    </row>
    <row r="4527">
      <c r="A4527" s="568" t="n">
        <v>45552</v>
      </c>
      <c r="B4527" s="392" t="n">
        <v>11340</v>
      </c>
      <c r="C4527" s="392" t="n">
        <v>92</v>
      </c>
      <c r="D4527" s="392" t="n"/>
      <c r="E4527" s="392" t="n"/>
      <c r="F4527" s="392" t="n"/>
      <c r="G4527" s="392" t="n">
        <v>20</v>
      </c>
      <c r="H4527" s="446">
        <f>H4526-G4527</f>
        <v/>
      </c>
      <c r="I4527" s="392" t="n"/>
      <c r="J4527" s="392" t="n"/>
      <c r="K4527" s="392" t="n"/>
      <c r="L4527" s="392" t="n"/>
      <c r="M4527" s="392" t="n"/>
    </row>
    <row r="4528">
      <c r="A4528" s="568" t="n">
        <v>45552</v>
      </c>
      <c r="B4528" s="392" t="n">
        <v>11341</v>
      </c>
      <c r="C4528" s="392" t="n">
        <v>87.33</v>
      </c>
      <c r="D4528" s="392" t="n"/>
      <c r="E4528" s="392" t="n"/>
      <c r="F4528" s="392" t="n"/>
      <c r="G4528" s="392" t="n">
        <v>15</v>
      </c>
      <c r="H4528" s="446">
        <f>H4527-G4528</f>
        <v/>
      </c>
      <c r="I4528" s="392" t="n"/>
      <c r="J4528" s="392" t="n"/>
      <c r="K4528" s="392" t="n"/>
      <c r="L4528" s="392" t="n"/>
      <c r="M4528" s="392" t="n"/>
    </row>
    <row r="4529">
      <c r="A4529" s="568" t="n">
        <v>45552</v>
      </c>
      <c r="B4529" s="392" t="n">
        <v>11343</v>
      </c>
      <c r="C4529" s="392" t="n">
        <v>84</v>
      </c>
      <c r="D4529" s="392" t="n"/>
      <c r="E4529" s="392" t="n"/>
      <c r="F4529" s="392" t="n"/>
      <c r="G4529" s="392" t="n">
        <v>50</v>
      </c>
      <c r="H4529" s="446">
        <f>H4528-G4529</f>
        <v/>
      </c>
      <c r="I4529" s="392" t="n"/>
      <c r="J4529" s="392" t="n"/>
      <c r="K4529" s="392" t="n"/>
      <c r="L4529" s="392" t="n"/>
      <c r="M4529" s="392" t="n"/>
    </row>
    <row r="4530">
      <c r="A4530" s="568" t="n">
        <v>45558</v>
      </c>
      <c r="B4530" s="392" t="n">
        <v>11345</v>
      </c>
      <c r="C4530" s="392" t="n">
        <v>87</v>
      </c>
      <c r="D4530" s="392" t="n"/>
      <c r="E4530" s="392" t="n"/>
      <c r="F4530" s="392" t="n"/>
      <c r="G4530" s="392" t="n">
        <v>30</v>
      </c>
      <c r="H4530" s="446">
        <f>H4529-G4530</f>
        <v/>
      </c>
      <c r="I4530" s="392" t="n"/>
      <c r="J4530" s="392" t="n"/>
      <c r="K4530" s="392" t="n"/>
      <c r="L4530" s="392" t="n"/>
      <c r="M4530" s="392" t="n"/>
    </row>
    <row r="4531">
      <c r="A4531" s="568" t="n">
        <v>45558</v>
      </c>
      <c r="B4531" s="392" t="n">
        <v>11346</v>
      </c>
      <c r="C4531" s="392" t="n">
        <v>82</v>
      </c>
      <c r="D4531" s="392" t="n"/>
      <c r="E4531" s="392" t="n"/>
      <c r="F4531" s="392" t="n"/>
      <c r="G4531" s="392" t="n">
        <v>50</v>
      </c>
      <c r="H4531" s="446">
        <f>H4530-G4531</f>
        <v/>
      </c>
      <c r="I4531" s="392" t="n"/>
      <c r="J4531" s="392" t="n"/>
      <c r="K4531" s="392" t="n"/>
      <c r="L4531" s="392" t="n"/>
      <c r="M4531" s="392" t="n"/>
    </row>
    <row r="4532">
      <c r="A4532" s="568" t="n">
        <v>45559</v>
      </c>
      <c r="B4532" s="392" t="n">
        <v>11349</v>
      </c>
      <c r="C4532" s="392" t="n">
        <v>90</v>
      </c>
      <c r="D4532" s="392" t="n"/>
      <c r="E4532" s="392" t="n"/>
      <c r="F4532" s="392" t="n"/>
      <c r="G4532" s="392" t="n">
        <v>70</v>
      </c>
      <c r="H4532" s="446">
        <f>H4531-G4532</f>
        <v/>
      </c>
      <c r="I4532" s="392" t="n"/>
      <c r="J4532" s="392" t="n"/>
      <c r="K4532" s="392" t="n"/>
      <c r="L4532" s="392" t="n"/>
      <c r="M4532" s="392" t="n"/>
    </row>
    <row r="4533">
      <c r="A4533" s="568" t="n">
        <v>45559</v>
      </c>
      <c r="B4533" s="392" t="n">
        <v>11350</v>
      </c>
      <c r="C4533" s="392" t="n">
        <v>86.8</v>
      </c>
      <c r="D4533" s="392" t="n"/>
      <c r="E4533" s="392" t="n"/>
      <c r="F4533" s="392" t="n"/>
      <c r="G4533" s="392" t="n">
        <v>25</v>
      </c>
      <c r="H4533" s="446">
        <f>H4532-G4533</f>
        <v/>
      </c>
      <c r="I4533" s="392" t="n"/>
      <c r="J4533" s="392" t="n"/>
      <c r="K4533" s="392" t="n"/>
      <c r="L4533" s="392" t="n"/>
      <c r="M4533" s="392" t="n"/>
    </row>
    <row r="4534">
      <c r="A4534" s="568" t="n">
        <v>45559</v>
      </c>
      <c r="B4534" s="392" t="n">
        <v>11352</v>
      </c>
      <c r="C4534" s="392" t="n">
        <v>84</v>
      </c>
      <c r="D4534" s="392" t="n"/>
      <c r="E4534" s="392" t="n"/>
      <c r="F4534" s="392" t="n"/>
      <c r="G4534" s="392" t="n">
        <v>30</v>
      </c>
      <c r="H4534" s="446">
        <f>H4533-G4534</f>
        <v/>
      </c>
      <c r="I4534" s="392" t="n"/>
      <c r="J4534" s="392" t="n"/>
      <c r="K4534" s="392" t="n"/>
      <c r="L4534" s="392" t="n"/>
      <c r="M4534" s="392" t="n"/>
    </row>
    <row r="4535">
      <c r="A4535" s="568" t="n">
        <v>45559</v>
      </c>
      <c r="B4535" s="392" t="n">
        <v>11353</v>
      </c>
      <c r="C4535" s="392" t="n">
        <v>86</v>
      </c>
      <c r="D4535" s="392" t="n"/>
      <c r="E4535" s="392" t="n"/>
      <c r="F4535" s="392" t="n"/>
      <c r="G4535" s="392" t="n">
        <v>50</v>
      </c>
      <c r="H4535" s="446">
        <f>H4534-G4535</f>
        <v/>
      </c>
      <c r="I4535" s="392" t="n"/>
      <c r="J4535" s="392" t="n"/>
      <c r="K4535" s="392" t="n"/>
      <c r="L4535" s="392" t="n"/>
      <c r="M4535" s="392" t="n"/>
    </row>
    <row r="4536">
      <c r="A4536" s="568" t="n">
        <v>45559</v>
      </c>
      <c r="B4536" s="392" t="n">
        <v>11355</v>
      </c>
      <c r="C4536" s="392" t="n">
        <v>87</v>
      </c>
      <c r="D4536" s="392" t="n"/>
      <c r="E4536" s="392" t="n"/>
      <c r="F4536" s="392" t="n"/>
      <c r="G4536" s="392" t="n">
        <v>15</v>
      </c>
      <c r="H4536" s="446">
        <f>H4535-G4536</f>
        <v/>
      </c>
      <c r="I4536" s="392" t="n"/>
      <c r="J4536" s="392" t="n"/>
      <c r="K4536" s="392" t="n"/>
      <c r="L4536" s="392" t="n"/>
      <c r="M4536" s="392" t="n"/>
    </row>
    <row r="4537">
      <c r="A4537" s="568" t="n">
        <v>45559</v>
      </c>
      <c r="B4537" s="392" t="n">
        <v>11356</v>
      </c>
      <c r="C4537" s="392" t="n">
        <v>92</v>
      </c>
      <c r="D4537" s="392" t="n"/>
      <c r="E4537" s="392" t="n"/>
      <c r="F4537" s="392" t="n"/>
      <c r="G4537" s="392" t="n">
        <v>20</v>
      </c>
      <c r="H4537" s="446">
        <f>H4536-G4537</f>
        <v/>
      </c>
      <c r="I4537" s="392" t="n"/>
      <c r="J4537" s="392" t="n"/>
      <c r="K4537" s="392" t="n"/>
      <c r="L4537" s="392" t="n"/>
      <c r="M4537" s="392" t="n"/>
    </row>
    <row r="4538">
      <c r="A4538" s="568" t="n">
        <v>45559</v>
      </c>
      <c r="B4538" s="392" t="n">
        <v>11357</v>
      </c>
      <c r="C4538" s="392" t="n">
        <v>92</v>
      </c>
      <c r="D4538" s="392" t="n"/>
      <c r="E4538" s="392" t="n"/>
      <c r="F4538" s="392" t="n"/>
      <c r="G4538" s="392" t="n">
        <v>25</v>
      </c>
      <c r="H4538" s="446">
        <f>H4537-G4538</f>
        <v/>
      </c>
      <c r="I4538" s="392" t="n"/>
      <c r="J4538" s="392" t="n"/>
      <c r="K4538" s="392" t="n"/>
      <c r="L4538" s="392" t="n"/>
      <c r="M4538" s="392" t="n"/>
    </row>
    <row r="4539">
      <c r="A4539" s="568" t="n">
        <v>45559</v>
      </c>
      <c r="B4539" s="392" t="n">
        <v>11356</v>
      </c>
      <c r="C4539" s="392" t="n">
        <v>100</v>
      </c>
      <c r="D4539" s="392" t="n"/>
      <c r="E4539" s="392" t="n"/>
      <c r="F4539" s="392" t="n"/>
      <c r="G4539" s="392" t="n">
        <v>83</v>
      </c>
      <c r="H4539" s="446">
        <f>H4538-G4539</f>
        <v/>
      </c>
      <c r="I4539" s="392" t="n"/>
      <c r="J4539" s="392" t="n"/>
      <c r="K4539" s="392" t="n"/>
      <c r="L4539" s="392" t="n"/>
      <c r="M4539" s="392" t="n"/>
    </row>
    <row r="4540">
      <c r="A4540" s="568" t="n">
        <v>45559</v>
      </c>
      <c r="B4540" s="392" t="n">
        <v>11359</v>
      </c>
      <c r="C4540" s="392" t="n">
        <v>86</v>
      </c>
      <c r="D4540" s="392" t="n"/>
      <c r="E4540" s="392" t="n"/>
      <c r="F4540" s="392" t="n"/>
      <c r="G4540" s="392" t="n">
        <v>20</v>
      </c>
      <c r="H4540" s="446">
        <f>H4539-G4540</f>
        <v/>
      </c>
      <c r="I4540" s="392" t="n"/>
      <c r="J4540" s="392" t="n"/>
      <c r="K4540" s="392" t="n"/>
      <c r="L4540" s="392" t="n"/>
      <c r="M4540" s="392" t="n"/>
    </row>
    <row r="4541">
      <c r="A4541" s="568" t="n">
        <v>45559</v>
      </c>
      <c r="B4541" s="392" t="n">
        <v>11362</v>
      </c>
      <c r="C4541" s="392" t="n">
        <v>86</v>
      </c>
      <c r="D4541" s="392" t="n"/>
      <c r="E4541" s="392" t="n"/>
      <c r="F4541" s="392" t="n"/>
      <c r="G4541" s="392" t="n">
        <v>50</v>
      </c>
      <c r="H4541" s="446">
        <f>H4540-G4541</f>
        <v/>
      </c>
      <c r="I4541" s="392" t="n"/>
      <c r="J4541" s="392" t="n"/>
      <c r="K4541" s="392" t="n"/>
      <c r="L4541" s="392" t="n"/>
      <c r="M4541" s="392" t="n"/>
    </row>
    <row r="4542">
      <c r="A4542" s="568" t="n">
        <v>45565</v>
      </c>
      <c r="B4542" s="392" t="n">
        <v>11365</v>
      </c>
      <c r="C4542" s="392" t="n">
        <v>78</v>
      </c>
      <c r="D4542" s="392" t="n"/>
      <c r="E4542" s="392" t="n"/>
      <c r="F4542" s="392" t="n"/>
      <c r="G4542" s="392" t="n">
        <v>400</v>
      </c>
      <c r="H4542" s="446">
        <f>H4541-G4542</f>
        <v/>
      </c>
      <c r="I4542" s="392" t="n"/>
      <c r="J4542" s="392" t="n"/>
      <c r="K4542" s="392" t="n"/>
      <c r="L4542" s="392" t="n"/>
      <c r="M4542" s="392" t="n"/>
    </row>
    <row r="4543" ht="15.75" customHeight="1" s="436" thickBot="1">
      <c r="A4543" s="414" t="n"/>
      <c r="H4543" s="390" t="n"/>
    </row>
    <row r="4544" ht="32.25" customHeight="1" s="436" thickBot="1">
      <c r="A4544" s="735" t="inlineStr">
        <is>
          <t>Outubro</t>
        </is>
      </c>
      <c r="B4544" s="697" t="n"/>
      <c r="C4544" s="697" t="n"/>
      <c r="D4544" s="697" t="n"/>
      <c r="E4544" s="697" t="n"/>
      <c r="F4544" s="697" t="n"/>
      <c r="G4544" s="697" t="n"/>
      <c r="H4544" s="697" t="n"/>
      <c r="I4544" s="697" t="n"/>
      <c r="J4544" s="697" t="n"/>
      <c r="K4544" s="697" t="n"/>
      <c r="L4544" s="697" t="n"/>
      <c r="M4544" s="698" t="n"/>
    </row>
    <row r="4545" ht="27" customHeight="1" s="436" thickBot="1">
      <c r="A4545" s="720" t="inlineStr">
        <is>
          <t xml:space="preserve"> FARINHA DE TRIGO TIPO: 1 - 25 KG</t>
        </is>
      </c>
      <c r="B4545" s="697" t="n"/>
      <c r="C4545" s="697" t="n"/>
      <c r="D4545" s="697" t="n"/>
      <c r="E4545" s="697" t="n"/>
      <c r="F4545" s="697" t="n"/>
      <c r="G4545" s="697" t="n"/>
      <c r="H4545" s="697" t="n"/>
      <c r="I4545" s="697" t="n"/>
      <c r="J4545" s="697" t="n"/>
      <c r="K4545" s="697" t="n"/>
      <c r="L4545" s="697" t="n"/>
      <c r="M4545" s="698" t="n"/>
    </row>
    <row r="4546">
      <c r="A4546" s="3" t="inlineStr">
        <is>
          <t>DATA</t>
        </is>
      </c>
      <c r="B4546" s="3" t="inlineStr">
        <is>
          <t>N.F.</t>
        </is>
      </c>
      <c r="C4546" s="3" t="inlineStr">
        <is>
          <t>TIPO</t>
        </is>
      </c>
      <c r="D4546" s="708" t="inlineStr">
        <is>
          <t>PREÇO UNITÁRIO</t>
        </is>
      </c>
      <c r="E4546" s="736" t="n"/>
      <c r="F4546" s="3" t="inlineStr">
        <is>
          <t>QUANTIDADE / KG</t>
        </is>
      </c>
      <c r="G4546" s="737" t="n"/>
      <c r="H4546" s="736" t="n"/>
      <c r="I4546" s="631" t="inlineStr">
        <is>
          <t>PREÇO</t>
        </is>
      </c>
      <c r="J4546" s="631" t="inlineStr">
        <is>
          <t>VALORES</t>
        </is>
      </c>
      <c r="K4546" s="737" t="n"/>
      <c r="L4546" s="736" t="n"/>
      <c r="M4546" s="738" t="n"/>
    </row>
    <row r="4547" ht="15.75" customHeight="1" s="436" thickBot="1">
      <c r="A4547" s="704" t="n"/>
      <c r="B4547" s="704" t="n"/>
      <c r="C4547" s="704" t="n"/>
      <c r="D4547" s="703" t="n"/>
      <c r="E4547" s="701" t="n"/>
      <c r="F4547" s="705" t="n"/>
      <c r="G4547" s="706" t="n"/>
      <c r="H4547" s="707" t="n"/>
      <c r="I4547" s="704" t="n"/>
      <c r="J4547" s="703" t="n"/>
      <c r="L4547" s="701" t="n"/>
      <c r="M4547" s="704" t="n"/>
    </row>
    <row r="4548" ht="15.75" customHeight="1" s="436" thickBot="1">
      <c r="A4548" s="704" t="n"/>
      <c r="B4548" s="704" t="n"/>
      <c r="C4548" s="704" t="n"/>
      <c r="D4548" s="705" t="n"/>
      <c r="E4548" s="707" t="n"/>
      <c r="F4548" s="3" t="inlineStr">
        <is>
          <t>ENTRADA</t>
        </is>
      </c>
      <c r="G4548" s="3" t="inlineStr">
        <is>
          <t>SAÍDA</t>
        </is>
      </c>
      <c r="H4548" s="640" t="n"/>
      <c r="I4548" s="633" t="inlineStr">
        <is>
          <t>MÉDIO</t>
        </is>
      </c>
      <c r="J4548" s="739" t="inlineStr">
        <is>
          <t>SALDO EM 30/11/2017</t>
        </is>
      </c>
      <c r="K4548" s="707" t="n"/>
      <c r="L4548" s="17" t="n"/>
      <c r="M4548" s="740" t="n"/>
    </row>
    <row r="4549" ht="18" customHeight="1" s="436" thickBot="1">
      <c r="A4549" s="695" t="n"/>
      <c r="B4549" s="695" t="n"/>
      <c r="C4549" s="695" t="n"/>
      <c r="D4549" s="3" t="inlineStr">
        <is>
          <t>C/ICMS</t>
        </is>
      </c>
      <c r="E4549" s="3" t="inlineStr">
        <is>
          <t>S/ICMS</t>
        </is>
      </c>
      <c r="F4549" s="695" t="n"/>
      <c r="G4549" s="695" t="n"/>
      <c r="H4549" s="84" t="inlineStr">
        <is>
          <t>Saldo em 30/09/2024</t>
        </is>
      </c>
      <c r="I4549" s="695" t="n"/>
      <c r="J4549" s="645" t="inlineStr">
        <is>
          <t>ENTRADA</t>
        </is>
      </c>
      <c r="K4549" s="633" t="inlineStr">
        <is>
          <t>SAÍDA / CMV</t>
        </is>
      </c>
      <c r="L4549" s="643" t="inlineStr">
        <is>
          <t>SALDO</t>
        </is>
      </c>
      <c r="M4549" s="392" t="n"/>
    </row>
    <row r="4550">
      <c r="A4550" s="392" t="n"/>
      <c r="B4550" s="392" t="n"/>
      <c r="C4550" s="392" t="n"/>
      <c r="D4550" s="392" t="n"/>
      <c r="E4550" s="392" t="n"/>
      <c r="F4550" s="392" t="n"/>
      <c r="G4550" s="392" t="n"/>
      <c r="H4550" s="446" t="n">
        <v>2558</v>
      </c>
      <c r="I4550" s="392" t="n"/>
      <c r="J4550" s="392" t="n"/>
      <c r="K4550" s="392" t="n"/>
      <c r="L4550" s="392" t="n"/>
      <c r="M4550" s="392" t="n"/>
    </row>
    <row r="4551">
      <c r="A4551" s="568" t="n">
        <v>45566</v>
      </c>
      <c r="B4551" s="392" t="n">
        <v>11366</v>
      </c>
      <c r="C4551" s="392" t="n">
        <v>90</v>
      </c>
      <c r="D4551" s="392" t="n"/>
      <c r="E4551" s="392" t="n"/>
      <c r="F4551" s="392" t="n"/>
      <c r="G4551" s="392" t="n">
        <v>30</v>
      </c>
      <c r="H4551" s="446">
        <f>H4550-G4551</f>
        <v/>
      </c>
      <c r="I4551" s="392" t="n"/>
      <c r="J4551" s="392" t="n"/>
      <c r="K4551" s="392" t="n"/>
      <c r="L4551" s="392" t="n"/>
      <c r="M4551" s="392" t="n"/>
    </row>
    <row r="4552">
      <c r="A4552" s="568" t="n">
        <v>45566</v>
      </c>
      <c r="B4552" s="392" t="n">
        <v>11368</v>
      </c>
      <c r="C4552" s="392" t="n">
        <v>86</v>
      </c>
      <c r="D4552" s="392" t="n"/>
      <c r="E4552" s="392" t="n"/>
      <c r="F4552" s="392" t="n"/>
      <c r="G4552" s="392" t="n">
        <v>20</v>
      </c>
      <c r="H4552" s="446">
        <f>H4551-G4552</f>
        <v/>
      </c>
      <c r="I4552" s="392" t="n"/>
      <c r="J4552" s="392" t="n"/>
      <c r="K4552" s="392" t="n"/>
      <c r="L4552" s="392" t="n"/>
      <c r="M4552" s="392" t="n"/>
    </row>
    <row r="4553">
      <c r="A4553" s="568" t="n">
        <v>45566</v>
      </c>
      <c r="B4553" s="392" t="n">
        <v>11369</v>
      </c>
      <c r="C4553" s="392" t="n">
        <v>92</v>
      </c>
      <c r="D4553" s="392" t="n"/>
      <c r="E4553" s="392" t="n"/>
      <c r="F4553" s="392" t="n"/>
      <c r="G4553" s="392" t="n">
        <v>25</v>
      </c>
      <c r="H4553" s="446">
        <f>H4552-G4553</f>
        <v/>
      </c>
      <c r="I4553" s="392" t="n"/>
      <c r="J4553" s="392" t="n"/>
      <c r="K4553" s="392" t="n"/>
      <c r="L4553" s="392" t="n"/>
      <c r="M4553" s="392" t="n"/>
    </row>
    <row r="4554">
      <c r="A4554" s="568" t="n">
        <v>45566</v>
      </c>
      <c r="B4554" s="392" t="n">
        <v>11375</v>
      </c>
      <c r="C4554" s="392" t="n">
        <v>89</v>
      </c>
      <c r="D4554" s="392" t="n"/>
      <c r="E4554" s="392" t="n"/>
      <c r="F4554" s="392" t="n"/>
      <c r="G4554" s="392" t="n">
        <v>30</v>
      </c>
      <c r="H4554" s="446">
        <f>H4553-G4554</f>
        <v/>
      </c>
      <c r="I4554" s="392" t="n"/>
      <c r="J4554" s="392" t="n"/>
      <c r="K4554" s="392" t="n"/>
      <c r="L4554" s="392" t="n"/>
      <c r="M4554" s="392" t="n"/>
    </row>
    <row r="4555">
      <c r="A4555" s="568" t="n">
        <v>45567</v>
      </c>
      <c r="B4555" s="392" t="n">
        <v>11378</v>
      </c>
      <c r="C4555" s="392" t="n">
        <v>87</v>
      </c>
      <c r="D4555" s="392" t="n"/>
      <c r="E4555" s="392" t="n"/>
      <c r="F4555" s="392" t="n"/>
      <c r="G4555" s="392" t="n">
        <v>30</v>
      </c>
      <c r="H4555" s="446">
        <f>H4554-G4555</f>
        <v/>
      </c>
      <c r="I4555" s="392" t="n"/>
      <c r="J4555" s="392" t="n"/>
      <c r="K4555" s="392" t="n"/>
      <c r="L4555" s="392" t="n"/>
      <c r="M4555" s="392" t="n"/>
    </row>
    <row r="4556">
      <c r="A4556" s="568" t="n">
        <v>45567</v>
      </c>
      <c r="B4556" s="392" t="n">
        <v>11379</v>
      </c>
      <c r="C4556" s="392" t="n">
        <v>86</v>
      </c>
      <c r="D4556" s="392" t="n"/>
      <c r="E4556" s="392" t="n"/>
      <c r="F4556" s="392" t="n"/>
      <c r="G4556" s="392" t="n">
        <v>50</v>
      </c>
      <c r="H4556" s="446">
        <f>H4555-G4556</f>
        <v/>
      </c>
      <c r="I4556" s="392" t="n"/>
      <c r="J4556" s="392" t="n"/>
      <c r="K4556" s="392" t="n"/>
      <c r="L4556" s="392" t="n"/>
      <c r="M4556" s="392" t="n"/>
    </row>
    <row r="4557">
      <c r="A4557" s="568" t="n">
        <v>45573</v>
      </c>
      <c r="B4557" s="392" t="n">
        <v>11383</v>
      </c>
      <c r="C4557" s="392" t="n">
        <v>86</v>
      </c>
      <c r="D4557" s="392" t="n"/>
      <c r="E4557" s="392" t="n"/>
      <c r="F4557" s="392" t="n"/>
      <c r="G4557" s="392" t="n">
        <v>15</v>
      </c>
      <c r="H4557" s="446">
        <f>H4556-G4557</f>
        <v/>
      </c>
      <c r="I4557" s="392" t="n"/>
      <c r="J4557" s="392" t="n"/>
      <c r="K4557" s="392" t="n"/>
      <c r="L4557" s="392" t="n"/>
      <c r="M4557" s="392" t="n"/>
    </row>
    <row r="4558">
      <c r="A4558" s="568" t="n">
        <v>45573</v>
      </c>
      <c r="B4558" s="392" t="n">
        <v>11385</v>
      </c>
      <c r="C4558" s="392" t="n">
        <v>92</v>
      </c>
      <c r="D4558" s="392" t="n"/>
      <c r="E4558" s="392" t="n"/>
      <c r="F4558" s="392" t="n"/>
      <c r="G4558" s="392" t="n">
        <v>30</v>
      </c>
      <c r="H4558" s="446">
        <f>H4557-G4558</f>
        <v/>
      </c>
      <c r="I4558" s="392" t="n"/>
      <c r="J4558" s="392" t="n"/>
      <c r="K4558" s="392" t="n"/>
      <c r="L4558" s="392" t="n"/>
      <c r="M4558" s="392" t="n"/>
    </row>
    <row r="4559">
      <c r="A4559" s="568" t="n">
        <v>45573</v>
      </c>
      <c r="B4559" s="392" t="n">
        <v>11387</v>
      </c>
      <c r="C4559" s="392" t="n">
        <v>84</v>
      </c>
      <c r="D4559" s="392" t="n"/>
      <c r="E4559" s="392" t="n"/>
      <c r="F4559" s="392" t="n"/>
      <c r="G4559" s="392" t="n">
        <v>50</v>
      </c>
      <c r="H4559" s="446">
        <f>H4558-G4559</f>
        <v/>
      </c>
      <c r="I4559" s="392" t="n"/>
      <c r="J4559" s="392" t="n"/>
      <c r="K4559" s="392" t="n"/>
      <c r="L4559" s="392" t="n"/>
      <c r="M4559" s="392" t="n"/>
    </row>
    <row r="4560">
      <c r="A4560" s="568" t="n">
        <v>45573</v>
      </c>
      <c r="B4560" s="392" t="n">
        <v>11389</v>
      </c>
      <c r="C4560" s="392" t="n">
        <v>84</v>
      </c>
      <c r="D4560" s="392" t="n"/>
      <c r="E4560" s="392" t="n"/>
      <c r="F4560" s="392" t="n"/>
      <c r="G4560" s="392" t="n">
        <v>15</v>
      </c>
      <c r="H4560" s="446">
        <f>H4559-G4560</f>
        <v/>
      </c>
      <c r="I4560" s="392" t="n"/>
      <c r="J4560" s="392" t="n"/>
      <c r="K4560" s="392" t="n"/>
      <c r="L4560" s="392" t="n"/>
      <c r="M4560" s="392" t="n"/>
    </row>
    <row r="4561">
      <c r="A4561" s="568" t="n">
        <v>45573</v>
      </c>
      <c r="B4561" s="392" t="n">
        <v>11390</v>
      </c>
      <c r="C4561" s="392" t="n">
        <v>92</v>
      </c>
      <c r="D4561" s="392" t="n"/>
      <c r="E4561" s="392" t="n"/>
      <c r="F4561" s="392" t="n"/>
      <c r="G4561" s="392" t="n">
        <v>20</v>
      </c>
      <c r="H4561" s="446">
        <f>H4560-G4561</f>
        <v/>
      </c>
      <c r="I4561" s="392" t="n"/>
      <c r="J4561" s="392" t="n"/>
      <c r="K4561" s="392" t="n"/>
      <c r="L4561" s="392" t="n"/>
      <c r="M4561" s="392" t="n"/>
    </row>
    <row r="4562">
      <c r="A4562" s="304" t="n">
        <v>45573</v>
      </c>
      <c r="B4562" s="401" t="n">
        <v>2825</v>
      </c>
      <c r="C4562" s="401" t="n">
        <v>72</v>
      </c>
      <c r="D4562" s="401" t="n"/>
      <c r="E4562" s="401" t="n"/>
      <c r="F4562" s="401" t="n">
        <v>1120</v>
      </c>
      <c r="G4562" s="401" t="n"/>
      <c r="H4562" s="322" t="n">
        <v>3363</v>
      </c>
      <c r="I4562" s="392" t="n"/>
      <c r="J4562" s="392" t="n"/>
      <c r="K4562" s="392" t="n"/>
      <c r="L4562" s="392" t="n"/>
      <c r="M4562" s="392" t="n"/>
    </row>
    <row r="4563">
      <c r="A4563" s="568" t="n">
        <v>45574</v>
      </c>
      <c r="B4563" s="392" t="n">
        <v>11391</v>
      </c>
      <c r="C4563" s="392" t="n">
        <v>83</v>
      </c>
      <c r="D4563" s="392" t="n"/>
      <c r="E4563" s="392" t="n"/>
      <c r="F4563" s="392" t="n"/>
      <c r="G4563" s="392" t="n">
        <v>100</v>
      </c>
      <c r="H4563" s="446">
        <f>H4562-G4563</f>
        <v/>
      </c>
      <c r="I4563" s="392" t="n"/>
      <c r="J4563" s="392" t="n"/>
      <c r="K4563" s="392" t="n"/>
      <c r="L4563" s="392" t="n"/>
      <c r="M4563" s="392" t="n"/>
    </row>
    <row r="4564">
      <c r="A4564" s="568" t="n">
        <v>45574</v>
      </c>
      <c r="B4564" s="392" t="n">
        <v>11392</v>
      </c>
      <c r="C4564" s="392" t="n">
        <v>86</v>
      </c>
      <c r="D4564" s="392" t="n"/>
      <c r="E4564" s="392" t="n"/>
      <c r="F4564" s="392" t="n"/>
      <c r="G4564" s="392" t="n">
        <v>15</v>
      </c>
      <c r="H4564" s="446">
        <f>H4563-G4564</f>
        <v/>
      </c>
      <c r="I4564" s="392" t="n"/>
      <c r="J4564" s="392" t="n"/>
      <c r="K4564" s="392" t="n"/>
      <c r="L4564" s="392" t="n"/>
      <c r="M4564" s="392" t="n"/>
    </row>
    <row r="4565">
      <c r="A4565" s="568" t="n">
        <v>45574</v>
      </c>
      <c r="B4565" s="392" t="n">
        <v>11393</v>
      </c>
      <c r="C4565" s="392" t="n">
        <v>87</v>
      </c>
      <c r="D4565" s="392" t="n"/>
      <c r="E4565" s="392" t="n"/>
      <c r="F4565" s="392" t="n"/>
      <c r="G4565" s="392" t="n">
        <v>20</v>
      </c>
      <c r="H4565" s="446">
        <f>H4564-G4565</f>
        <v/>
      </c>
      <c r="I4565" s="392" t="n"/>
      <c r="J4565" s="392" t="n"/>
      <c r="K4565" s="392" t="n"/>
      <c r="L4565" s="392" t="n"/>
      <c r="M4565" s="392" t="n"/>
    </row>
    <row r="4566">
      <c r="A4566" s="568" t="n">
        <v>45574</v>
      </c>
      <c r="B4566" s="392" t="n">
        <v>11394</v>
      </c>
      <c r="C4566" s="392" t="n">
        <v>86.40000000000001</v>
      </c>
      <c r="D4566" s="392" t="n"/>
      <c r="E4566" s="392" t="n"/>
      <c r="F4566" s="392" t="n"/>
      <c r="G4566" s="392" t="n">
        <v>20</v>
      </c>
      <c r="H4566" s="446">
        <f>H4565-G4566</f>
        <v/>
      </c>
      <c r="I4566" s="392" t="n"/>
      <c r="J4566" s="392" t="n"/>
      <c r="K4566" s="392" t="n"/>
      <c r="L4566" s="392" t="n"/>
      <c r="M4566" s="392" t="n"/>
    </row>
    <row r="4567">
      <c r="A4567" s="568" t="n">
        <v>45579</v>
      </c>
      <c r="B4567" s="392" t="n">
        <v>11397</v>
      </c>
      <c r="C4567" s="392" t="n">
        <v>80</v>
      </c>
      <c r="D4567" s="392" t="n"/>
      <c r="E4567" s="392" t="n"/>
      <c r="F4567" s="392" t="n"/>
      <c r="G4567" s="392" t="n">
        <v>100</v>
      </c>
      <c r="H4567" s="446">
        <f>H4566-G4567</f>
        <v/>
      </c>
      <c r="I4567" s="392" t="n"/>
      <c r="J4567" s="392" t="n"/>
      <c r="K4567" s="392" t="n"/>
      <c r="L4567" s="392" t="n"/>
      <c r="M4567" s="392" t="n"/>
    </row>
    <row r="4568">
      <c r="A4568" s="568" t="n">
        <v>45579</v>
      </c>
      <c r="B4568" s="392" t="n">
        <v>11398</v>
      </c>
      <c r="C4568" s="392" t="n">
        <v>84</v>
      </c>
      <c r="D4568" s="392" t="n"/>
      <c r="E4568" s="392" t="n"/>
      <c r="F4568" s="392" t="n"/>
      <c r="G4568" s="392" t="n">
        <v>20</v>
      </c>
      <c r="H4568" s="446">
        <f>H4567-G4568</f>
        <v/>
      </c>
      <c r="I4568" s="392" t="n"/>
      <c r="J4568" s="392" t="n"/>
      <c r="K4568" s="392" t="n"/>
      <c r="L4568" s="392" t="n"/>
      <c r="M4568" s="392" t="n"/>
    </row>
    <row r="4569">
      <c r="A4569" s="568" t="n">
        <v>45579</v>
      </c>
      <c r="B4569" s="392" t="n">
        <v>11400</v>
      </c>
      <c r="C4569" s="392" t="n">
        <v>82</v>
      </c>
      <c r="D4569" s="392" t="n"/>
      <c r="E4569" s="392" t="n"/>
      <c r="F4569" s="392" t="n"/>
      <c r="G4569" s="392" t="n">
        <v>15</v>
      </c>
      <c r="H4569" s="446">
        <f>H4568-G4569</f>
        <v/>
      </c>
      <c r="I4569" s="392" t="n"/>
      <c r="J4569" s="392" t="n"/>
      <c r="K4569" s="392" t="n"/>
      <c r="L4569" s="392" t="n"/>
      <c r="M4569" s="392" t="n"/>
    </row>
    <row r="4570">
      <c r="A4570" s="568" t="n">
        <v>45579</v>
      </c>
      <c r="B4570" s="392" t="n">
        <v>11401</v>
      </c>
      <c r="C4570" s="392" t="n">
        <v>85</v>
      </c>
      <c r="D4570" s="392" t="n"/>
      <c r="E4570" s="392" t="n"/>
      <c r="F4570" s="392" t="n"/>
      <c r="G4570" s="392" t="n">
        <v>50</v>
      </c>
      <c r="H4570" s="446">
        <f>H4569-G4570</f>
        <v/>
      </c>
      <c r="I4570" s="392" t="n"/>
      <c r="J4570" s="392" t="n"/>
      <c r="K4570" s="392" t="n"/>
      <c r="L4570" s="392" t="n"/>
      <c r="M4570" s="392" t="n"/>
    </row>
    <row r="4571">
      <c r="A4571" s="568" t="n">
        <v>45580</v>
      </c>
      <c r="B4571" s="392" t="n">
        <v>11402</v>
      </c>
      <c r="C4571" s="392" t="n">
        <v>88</v>
      </c>
      <c r="D4571" s="392" t="n"/>
      <c r="E4571" s="392" t="n"/>
      <c r="F4571" s="392" t="n"/>
      <c r="G4571" s="392" t="n">
        <v>40</v>
      </c>
      <c r="H4571" s="446">
        <f>H4570-G4571</f>
        <v/>
      </c>
      <c r="I4571" s="392" t="n"/>
      <c r="J4571" s="392" t="n"/>
      <c r="K4571" s="392" t="n"/>
      <c r="L4571" s="392" t="n"/>
      <c r="M4571" s="392" t="n"/>
    </row>
    <row r="4572">
      <c r="A4572" s="568" t="n">
        <v>45580</v>
      </c>
      <c r="B4572" s="392" t="n">
        <v>11403</v>
      </c>
      <c r="C4572" s="392" t="n">
        <v>92</v>
      </c>
      <c r="D4572" s="392" t="n"/>
      <c r="E4572" s="392" t="n"/>
      <c r="F4572" s="392" t="n"/>
      <c r="G4572" s="392" t="n">
        <v>30</v>
      </c>
      <c r="H4572" s="446">
        <f>H4571-G4572</f>
        <v/>
      </c>
      <c r="I4572" s="392" t="n"/>
      <c r="J4572" s="392" t="n"/>
      <c r="K4572" s="392" t="n"/>
      <c r="L4572" s="392" t="n"/>
      <c r="M4572" s="392" t="n"/>
    </row>
    <row r="4573">
      <c r="A4573" s="568" t="n">
        <v>45580</v>
      </c>
      <c r="B4573" s="392" t="n">
        <v>11404</v>
      </c>
      <c r="C4573" s="392" t="n">
        <v>89</v>
      </c>
      <c r="D4573" s="392" t="n"/>
      <c r="E4573" s="392" t="n"/>
      <c r="F4573" s="392" t="n"/>
      <c r="G4573" s="392" t="n">
        <v>20</v>
      </c>
      <c r="H4573" s="446">
        <f>H4572-G4573</f>
        <v/>
      </c>
      <c r="I4573" s="392" t="n"/>
      <c r="J4573" s="392" t="n"/>
      <c r="K4573" s="392" t="n"/>
      <c r="L4573" s="392" t="n"/>
      <c r="M4573" s="392" t="n"/>
    </row>
    <row r="4574">
      <c r="A4574" s="568" t="n">
        <v>45581</v>
      </c>
      <c r="B4574" s="392" t="n">
        <v>11408</v>
      </c>
      <c r="C4574" s="392" t="n">
        <v>79</v>
      </c>
      <c r="D4574" s="392" t="n"/>
      <c r="E4574" s="392" t="n"/>
      <c r="F4574" s="392" t="n"/>
      <c r="G4574" s="392" t="n">
        <v>200</v>
      </c>
      <c r="H4574" s="446">
        <f>H4573-G4574</f>
        <v/>
      </c>
      <c r="I4574" s="392" t="n"/>
      <c r="J4574" s="392" t="n"/>
      <c r="K4574" s="392" t="n"/>
      <c r="L4574" s="392" t="n"/>
      <c r="M4574" s="392" t="n"/>
    </row>
    <row r="4575">
      <c r="A4575" s="568" t="n">
        <v>45581</v>
      </c>
      <c r="B4575" s="392" t="n">
        <v>11409</v>
      </c>
      <c r="C4575" s="392" t="n">
        <v>88</v>
      </c>
      <c r="D4575" s="392" t="n"/>
      <c r="E4575" s="392" t="n"/>
      <c r="F4575" s="392" t="n"/>
      <c r="G4575" s="392" t="n">
        <v>30</v>
      </c>
      <c r="H4575" s="446">
        <f>H4574-G4575</f>
        <v/>
      </c>
      <c r="I4575" s="392" t="n"/>
      <c r="J4575" s="392" t="n"/>
      <c r="K4575" s="392" t="n"/>
      <c r="L4575" s="392" t="n"/>
      <c r="M4575" s="392" t="n"/>
    </row>
    <row r="4576">
      <c r="A4576" s="568" t="n">
        <v>45581</v>
      </c>
      <c r="B4576" s="392" t="n">
        <v>11410</v>
      </c>
      <c r="C4576" s="392" t="n">
        <v>82</v>
      </c>
      <c r="D4576" s="392" t="n"/>
      <c r="E4576" s="392" t="n"/>
      <c r="F4576" s="392" t="n"/>
      <c r="G4576" s="392" t="n">
        <v>50</v>
      </c>
      <c r="H4576" s="446">
        <f>H4575-G4576</f>
        <v/>
      </c>
      <c r="I4576" s="392" t="n"/>
      <c r="J4576" s="392" t="n"/>
      <c r="K4576" s="392" t="n"/>
      <c r="L4576" s="392" t="n"/>
      <c r="M4576" s="392" t="n"/>
    </row>
    <row r="4577">
      <c r="A4577" s="568" t="n">
        <v>45581</v>
      </c>
      <c r="B4577" s="392" t="n">
        <v>11411</v>
      </c>
      <c r="C4577" s="392" t="n">
        <v>92</v>
      </c>
      <c r="D4577" s="392" t="n"/>
      <c r="E4577" s="392" t="n"/>
      <c r="F4577" s="392" t="n"/>
      <c r="G4577" s="392" t="n">
        <v>25</v>
      </c>
      <c r="H4577" s="446">
        <f>H4576-G4577</f>
        <v/>
      </c>
      <c r="I4577" s="392" t="n"/>
      <c r="J4577" s="392" t="n"/>
      <c r="K4577" s="392" t="n"/>
      <c r="L4577" s="392" t="n"/>
      <c r="M4577" s="392" t="n"/>
    </row>
    <row r="4578">
      <c r="A4578" s="568" t="n">
        <v>45586</v>
      </c>
      <c r="B4578" s="392" t="n">
        <v>11415</v>
      </c>
      <c r="C4578" s="392" t="n">
        <v>84</v>
      </c>
      <c r="D4578" s="392" t="n"/>
      <c r="E4578" s="392" t="n"/>
      <c r="F4578" s="392" t="n"/>
      <c r="G4578" s="392" t="n">
        <v>50</v>
      </c>
      <c r="H4578" s="446">
        <f>H4577-G4578</f>
        <v/>
      </c>
      <c r="I4578" s="392" t="n"/>
      <c r="J4578" s="392" t="n"/>
      <c r="K4578" s="392" t="n"/>
      <c r="L4578" s="392" t="n"/>
      <c r="M4578" s="392" t="n"/>
    </row>
    <row r="4579">
      <c r="A4579" s="568" t="n">
        <v>45586</v>
      </c>
      <c r="B4579" s="392" t="n">
        <v>11416</v>
      </c>
      <c r="C4579" s="392" t="n">
        <v>81</v>
      </c>
      <c r="D4579" s="392" t="n"/>
      <c r="E4579" s="392" t="n"/>
      <c r="F4579" s="392" t="n"/>
      <c r="G4579" s="392" t="n">
        <v>50</v>
      </c>
      <c r="H4579" s="446">
        <f>H4578-G4579</f>
        <v/>
      </c>
      <c r="I4579" s="392" t="n"/>
      <c r="J4579" s="392" t="n"/>
      <c r="K4579" s="392" t="n"/>
      <c r="L4579" s="392" t="n"/>
      <c r="M4579" s="392" t="n"/>
    </row>
    <row r="4580">
      <c r="A4580" s="568" t="n">
        <v>45586</v>
      </c>
      <c r="B4580" s="392" t="n">
        <v>11417</v>
      </c>
      <c r="C4580" s="392" t="n">
        <v>84</v>
      </c>
      <c r="D4580" s="392" t="n"/>
      <c r="E4580" s="392" t="n"/>
      <c r="F4580" s="392" t="n"/>
      <c r="G4580" s="392" t="n">
        <v>20</v>
      </c>
      <c r="H4580" s="446">
        <f>H4579-G4580</f>
        <v/>
      </c>
      <c r="I4580" s="392" t="n"/>
      <c r="J4580" s="392" t="n"/>
      <c r="K4580" s="392" t="n"/>
      <c r="L4580" s="392" t="n"/>
      <c r="M4580" s="392" t="n"/>
    </row>
    <row r="4581">
      <c r="A4581" s="568" t="n">
        <v>45586</v>
      </c>
      <c r="B4581" s="392" t="n">
        <v>11418</v>
      </c>
      <c r="C4581" s="392" t="n">
        <v>84</v>
      </c>
      <c r="D4581" s="392" t="n"/>
      <c r="E4581" s="392" t="n"/>
      <c r="F4581" s="392" t="n"/>
      <c r="G4581" s="392" t="n">
        <v>20</v>
      </c>
      <c r="H4581" s="446">
        <f>H4580-G4581</f>
        <v/>
      </c>
      <c r="I4581" s="392" t="n"/>
      <c r="J4581" s="392" t="n"/>
      <c r="K4581" s="392" t="n"/>
      <c r="L4581" s="392" t="n"/>
      <c r="M4581" s="392" t="n"/>
    </row>
    <row r="4582">
      <c r="A4582" s="568" t="n">
        <v>45586</v>
      </c>
      <c r="B4582" s="392" t="n">
        <v>11419</v>
      </c>
      <c r="C4582" s="392" t="n">
        <v>92</v>
      </c>
      <c r="D4582" s="392" t="n"/>
      <c r="E4582" s="392" t="n"/>
      <c r="F4582" s="392" t="n"/>
      <c r="G4582" s="392" t="n">
        <v>20</v>
      </c>
      <c r="H4582" s="446">
        <f>H4581-G4582</f>
        <v/>
      </c>
      <c r="I4582" s="392" t="n"/>
      <c r="J4582" s="392" t="n"/>
      <c r="K4582" s="392" t="n"/>
      <c r="L4582" s="392" t="n"/>
      <c r="M4582" s="392" t="n"/>
    </row>
    <row r="4583">
      <c r="A4583" s="568" t="n">
        <v>45587</v>
      </c>
      <c r="B4583" s="392" t="n">
        <v>11420</v>
      </c>
      <c r="C4583" s="392" t="n">
        <v>87</v>
      </c>
      <c r="D4583" s="392" t="n"/>
      <c r="E4583" s="392" t="n"/>
      <c r="F4583" s="392" t="n"/>
      <c r="G4583" s="392" t="n">
        <v>30</v>
      </c>
      <c r="H4583" s="446">
        <f>H4582-G4583</f>
        <v/>
      </c>
      <c r="I4583" s="392" t="n"/>
      <c r="J4583" s="392" t="n"/>
      <c r="K4583" s="392" t="n"/>
      <c r="L4583" s="392" t="n"/>
      <c r="M4583" s="392" t="n"/>
    </row>
    <row r="4584">
      <c r="A4584" s="568" t="n">
        <v>45588</v>
      </c>
      <c r="B4584" s="392" t="n">
        <v>11421</v>
      </c>
      <c r="C4584" s="392" t="n">
        <v>90</v>
      </c>
      <c r="D4584" s="392" t="n"/>
      <c r="E4584" s="392" t="n"/>
      <c r="F4584" s="392" t="n"/>
      <c r="G4584" s="392" t="n">
        <v>10</v>
      </c>
      <c r="H4584" s="446">
        <f>H4583-G4584</f>
        <v/>
      </c>
      <c r="I4584" s="392" t="n"/>
      <c r="J4584" s="392" t="n"/>
      <c r="K4584" s="392" t="n"/>
      <c r="L4584" s="392" t="n"/>
      <c r="M4584" s="392" t="n"/>
    </row>
    <row r="4585">
      <c r="A4585" s="568" t="n">
        <v>45588</v>
      </c>
      <c r="B4585" s="392" t="n">
        <v>11422</v>
      </c>
      <c r="C4585" s="392" t="n">
        <v>92</v>
      </c>
      <c r="D4585" s="392" t="n"/>
      <c r="E4585" s="392" t="n"/>
      <c r="F4585" s="392" t="n"/>
      <c r="G4585" s="392" t="n">
        <v>30</v>
      </c>
      <c r="H4585" s="446">
        <f>H4584-G4585</f>
        <v/>
      </c>
      <c r="I4585" s="392" t="n"/>
      <c r="J4585" s="392" t="n"/>
      <c r="K4585" s="392" t="n"/>
      <c r="L4585" s="392" t="n"/>
      <c r="M4585" s="392" t="n"/>
    </row>
    <row r="4586">
      <c r="A4586" s="568" t="n">
        <v>45588</v>
      </c>
      <c r="B4586" s="392" t="n">
        <v>11423</v>
      </c>
      <c r="C4586" s="392" t="n">
        <v>82</v>
      </c>
      <c r="D4586" s="392" t="n"/>
      <c r="E4586" s="392" t="n"/>
      <c r="F4586" s="392" t="n"/>
      <c r="G4586" s="392" t="n">
        <v>10</v>
      </c>
      <c r="H4586" s="446">
        <f>H4585-G4586</f>
        <v/>
      </c>
      <c r="I4586" s="392" t="n"/>
      <c r="J4586" s="392" t="n"/>
      <c r="K4586" s="392" t="n"/>
      <c r="L4586" s="392" t="n"/>
      <c r="M4586" s="392" t="n"/>
    </row>
    <row r="4587">
      <c r="A4587" s="568" t="n">
        <v>45593</v>
      </c>
      <c r="B4587" s="392" t="n">
        <v>11429</v>
      </c>
      <c r="C4587" s="392" t="n">
        <v>81</v>
      </c>
      <c r="D4587" s="392" t="n"/>
      <c r="E4587" s="392" t="n"/>
      <c r="F4587" s="392" t="n"/>
      <c r="G4587" s="392" t="n">
        <v>200</v>
      </c>
      <c r="H4587" s="446">
        <f>H4586-G4587</f>
        <v/>
      </c>
      <c r="I4587" s="392" t="n"/>
      <c r="J4587" s="392" t="n"/>
      <c r="K4587" s="392" t="n"/>
      <c r="L4587" s="392" t="n"/>
      <c r="M4587" s="392" t="n"/>
    </row>
    <row r="4588">
      <c r="A4588" s="568" t="n">
        <v>45593</v>
      </c>
      <c r="B4588" s="392" t="n">
        <v>11430</v>
      </c>
      <c r="C4588" s="392" t="n">
        <v>84</v>
      </c>
      <c r="D4588" s="392" t="n"/>
      <c r="E4588" s="392" t="n"/>
      <c r="F4588" s="392" t="n"/>
      <c r="G4588" s="392" t="n">
        <v>50</v>
      </c>
      <c r="H4588" s="446">
        <f>H4587-G4588</f>
        <v/>
      </c>
      <c r="I4588" s="392" t="n"/>
      <c r="J4588" s="392" t="n"/>
      <c r="K4588" s="392" t="n"/>
      <c r="L4588" s="392" t="n"/>
      <c r="M4588" s="392" t="n"/>
    </row>
    <row r="4589">
      <c r="A4589" s="568" t="n">
        <v>45594</v>
      </c>
      <c r="B4589" s="392" t="n">
        <v>11434</v>
      </c>
      <c r="C4589" s="392" t="n">
        <v>92</v>
      </c>
      <c r="D4589" s="392" t="n"/>
      <c r="E4589" s="392" t="n"/>
      <c r="F4589" s="392" t="n"/>
      <c r="G4589" s="392" t="n">
        <v>20</v>
      </c>
      <c r="H4589" s="446">
        <f>H4588-G4589</f>
        <v/>
      </c>
      <c r="I4589" s="392" t="n"/>
      <c r="J4589" s="392" t="n"/>
      <c r="K4589" s="392" t="n"/>
      <c r="L4589" s="392" t="n"/>
      <c r="M4589" s="392" t="n"/>
    </row>
    <row r="4590">
      <c r="A4590" s="568" t="n">
        <v>45594</v>
      </c>
      <c r="B4590" s="392" t="n">
        <v>11437</v>
      </c>
      <c r="C4590" s="392" t="n">
        <v>80</v>
      </c>
      <c r="D4590" s="392" t="n"/>
      <c r="E4590" s="392" t="n"/>
      <c r="F4590" s="392" t="n"/>
      <c r="G4590" s="392" t="n">
        <v>10</v>
      </c>
      <c r="H4590" s="446">
        <f>H4589-G4590</f>
        <v/>
      </c>
      <c r="I4590" s="392" t="n"/>
      <c r="J4590" s="392" t="n"/>
      <c r="K4590" s="392" t="n"/>
      <c r="L4590" s="392" t="n"/>
      <c r="M4590" s="392" t="n"/>
    </row>
    <row r="4591">
      <c r="A4591" s="568" t="n">
        <v>45594</v>
      </c>
      <c r="B4591" s="392" t="n">
        <v>11439</v>
      </c>
      <c r="C4591" s="392" t="n">
        <v>86</v>
      </c>
      <c r="D4591" s="392" t="n"/>
      <c r="E4591" s="392" t="n"/>
      <c r="F4591" s="392" t="n"/>
      <c r="G4591" s="392" t="n">
        <v>15</v>
      </c>
      <c r="H4591" s="446">
        <f>H4590-G4591</f>
        <v/>
      </c>
      <c r="I4591" s="392" t="n"/>
      <c r="J4591" s="392" t="n"/>
      <c r="K4591" s="392" t="n"/>
      <c r="L4591" s="392" t="n"/>
      <c r="M4591" s="392" t="n"/>
    </row>
    <row r="4592">
      <c r="A4592" s="568" t="n">
        <v>45594</v>
      </c>
      <c r="B4592" s="392" t="n">
        <v>11440</v>
      </c>
      <c r="C4592" s="392" t="n">
        <v>92</v>
      </c>
      <c r="D4592" s="392" t="n"/>
      <c r="E4592" s="392" t="n"/>
      <c r="F4592" s="392" t="n"/>
      <c r="G4592" s="392" t="n">
        <v>30</v>
      </c>
      <c r="H4592" s="446">
        <f>H4591-G4592</f>
        <v/>
      </c>
      <c r="I4592" s="392" t="n"/>
      <c r="J4592" s="392" t="n"/>
      <c r="K4592" s="392" t="n"/>
      <c r="L4592" s="392" t="n"/>
      <c r="M4592" s="392" t="n"/>
    </row>
    <row r="4593">
      <c r="A4593" s="568" t="n">
        <v>45594</v>
      </c>
      <c r="B4593" s="392" t="n">
        <v>11441</v>
      </c>
      <c r="C4593" s="392" t="n">
        <v>89</v>
      </c>
      <c r="D4593" s="392" t="n"/>
      <c r="E4593" s="392" t="n"/>
      <c r="F4593" s="392" t="n"/>
      <c r="G4593" s="392" t="n">
        <v>10</v>
      </c>
      <c r="H4593" s="446">
        <f>H4592-G4593</f>
        <v/>
      </c>
      <c r="I4593" s="392" t="n"/>
      <c r="J4593" s="392" t="n"/>
      <c r="K4593" s="392" t="n"/>
      <c r="L4593" s="392" t="n"/>
      <c r="M4593" s="392" t="n"/>
    </row>
    <row r="4594">
      <c r="A4594" s="568" t="n">
        <v>45594</v>
      </c>
      <c r="B4594" s="392" t="n">
        <v>11443</v>
      </c>
      <c r="C4594" s="392" t="n">
        <v>84.55</v>
      </c>
      <c r="D4594" s="392" t="n"/>
      <c r="E4594" s="392" t="n"/>
      <c r="F4594" s="392" t="n"/>
      <c r="G4594" s="392" t="n">
        <v>22</v>
      </c>
      <c r="H4594" s="446">
        <f>H4593-G4594</f>
        <v/>
      </c>
      <c r="I4594" s="392" t="n"/>
      <c r="J4594" s="392" t="n"/>
      <c r="K4594" s="392" t="n"/>
      <c r="L4594" s="392" t="n"/>
      <c r="M4594" s="392" t="n"/>
    </row>
    <row r="4595">
      <c r="A4595" s="304" t="n">
        <v>45595</v>
      </c>
      <c r="B4595" s="401" t="n">
        <v>3000</v>
      </c>
      <c r="C4595" s="401" t="n">
        <v>77</v>
      </c>
      <c r="D4595" s="401" t="n"/>
      <c r="E4595" s="401" t="n"/>
      <c r="F4595" s="401" t="n">
        <v>1120</v>
      </c>
      <c r="G4595" s="401" t="n"/>
      <c r="H4595" s="322" t="n">
        <v>3151</v>
      </c>
      <c r="I4595" s="392" t="n"/>
      <c r="J4595" s="392" t="n"/>
      <c r="K4595" s="392" t="n"/>
      <c r="L4595" s="392" t="n"/>
      <c r="M4595" s="392" t="n"/>
    </row>
    <row r="4596">
      <c r="A4596" s="568" t="n">
        <v>45595</v>
      </c>
      <c r="B4596" s="392" t="n">
        <v>11448</v>
      </c>
      <c r="C4596" s="392" t="n">
        <v>81</v>
      </c>
      <c r="D4596" s="392" t="n"/>
      <c r="E4596" s="392" t="n"/>
      <c r="F4596" s="392" t="n"/>
      <c r="G4596" s="392" t="n">
        <v>400</v>
      </c>
      <c r="H4596" s="446">
        <f>H4595-G4596</f>
        <v/>
      </c>
      <c r="I4596" s="392" t="n"/>
      <c r="J4596" s="392" t="n"/>
      <c r="K4596" s="392" t="n"/>
      <c r="L4596" s="392" t="n"/>
      <c r="M4596" s="392" t="n"/>
    </row>
    <row r="4597">
      <c r="A4597" s="568" t="n">
        <v>45567</v>
      </c>
      <c r="B4597" s="392" t="n">
        <v>11380</v>
      </c>
      <c r="C4597" s="392" t="n">
        <v>79</v>
      </c>
      <c r="D4597" s="392" t="n"/>
      <c r="E4597" s="392" t="n"/>
      <c r="F4597" s="392" t="n"/>
      <c r="G4597" s="392" t="n">
        <v>200</v>
      </c>
      <c r="H4597" s="446">
        <f>H4596-G4597</f>
        <v/>
      </c>
      <c r="I4597" s="392" t="n"/>
      <c r="J4597" s="392" t="n"/>
      <c r="K4597" s="392" t="n"/>
      <c r="L4597" s="392" t="n"/>
      <c r="M4597" s="392" t="n"/>
    </row>
    <row r="4598" ht="15.75" customHeight="1" s="436" thickBot="1">
      <c r="A4598" s="414" t="n"/>
      <c r="H4598" s="390" t="n"/>
    </row>
    <row r="4599" ht="32.25" customHeight="1" s="436" thickBot="1">
      <c r="A4599" s="735" t="inlineStr">
        <is>
          <t>Novembro</t>
        </is>
      </c>
      <c r="B4599" s="697" t="n"/>
      <c r="C4599" s="697" t="n"/>
      <c r="D4599" s="697" t="n"/>
      <c r="E4599" s="697" t="n"/>
      <c r="F4599" s="697" t="n"/>
      <c r="G4599" s="697" t="n"/>
      <c r="H4599" s="697" t="n"/>
      <c r="I4599" s="697" t="n"/>
      <c r="J4599" s="697" t="n"/>
      <c r="K4599" s="697" t="n"/>
      <c r="L4599" s="697" t="n"/>
      <c r="M4599" s="698" t="n"/>
    </row>
    <row r="4600" ht="27" customHeight="1" s="436" thickBot="1">
      <c r="A4600" s="720" t="inlineStr">
        <is>
          <t xml:space="preserve"> FARINHA DE TRIGO TIPO: 1 - 25 KG</t>
        </is>
      </c>
      <c r="B4600" s="697" t="n"/>
      <c r="C4600" s="697" t="n"/>
      <c r="D4600" s="697" t="n"/>
      <c r="E4600" s="697" t="n"/>
      <c r="F4600" s="697" t="n"/>
      <c r="G4600" s="697" t="n"/>
      <c r="H4600" s="697" t="n"/>
      <c r="I4600" s="697" t="n"/>
      <c r="J4600" s="697" t="n"/>
      <c r="K4600" s="697" t="n"/>
      <c r="L4600" s="697" t="n"/>
      <c r="M4600" s="698" t="n"/>
    </row>
    <row r="4601">
      <c r="A4601" s="3" t="inlineStr">
        <is>
          <t>DATA</t>
        </is>
      </c>
      <c r="B4601" s="3" t="inlineStr">
        <is>
          <t>N.F.</t>
        </is>
      </c>
      <c r="C4601" s="3" t="inlineStr">
        <is>
          <t>TIPO</t>
        </is>
      </c>
      <c r="D4601" s="708" t="inlineStr">
        <is>
          <t>PREÇO UNITÁRIO</t>
        </is>
      </c>
      <c r="E4601" s="736" t="n"/>
      <c r="F4601" s="3" t="inlineStr">
        <is>
          <t>QUANTIDADE / KG</t>
        </is>
      </c>
      <c r="G4601" s="737" t="n"/>
      <c r="H4601" s="736" t="n"/>
      <c r="I4601" s="631" t="inlineStr">
        <is>
          <t>PREÇO</t>
        </is>
      </c>
      <c r="J4601" s="631" t="inlineStr">
        <is>
          <t>VALORES</t>
        </is>
      </c>
      <c r="K4601" s="737" t="n"/>
      <c r="L4601" s="736" t="n"/>
      <c r="M4601" s="738" t="n"/>
    </row>
    <row r="4602" ht="15.75" customHeight="1" s="436" thickBot="1">
      <c r="A4602" s="704" t="n"/>
      <c r="B4602" s="704" t="n"/>
      <c r="C4602" s="704" t="n"/>
      <c r="D4602" s="703" t="n"/>
      <c r="E4602" s="701" t="n"/>
      <c r="F4602" s="705" t="n"/>
      <c r="G4602" s="706" t="n"/>
      <c r="H4602" s="707" t="n"/>
      <c r="I4602" s="704" t="n"/>
      <c r="J4602" s="703" t="n"/>
      <c r="L4602" s="701" t="n"/>
      <c r="M4602" s="704" t="n"/>
    </row>
    <row r="4603" ht="15.75" customHeight="1" s="436" thickBot="1">
      <c r="A4603" s="704" t="n"/>
      <c r="B4603" s="704" t="n"/>
      <c r="C4603" s="704" t="n"/>
      <c r="D4603" s="705" t="n"/>
      <c r="E4603" s="707" t="n"/>
      <c r="F4603" s="3" t="inlineStr">
        <is>
          <t>ENTRADA</t>
        </is>
      </c>
      <c r="G4603" s="3" t="inlineStr">
        <is>
          <t>SAÍDA</t>
        </is>
      </c>
      <c r="H4603" s="640" t="n"/>
      <c r="I4603" s="633" t="inlineStr">
        <is>
          <t>MÉDIO</t>
        </is>
      </c>
      <c r="J4603" s="739" t="inlineStr">
        <is>
          <t>SALDO EM 30/11/2017</t>
        </is>
      </c>
      <c r="K4603" s="707" t="n"/>
      <c r="L4603" s="17" t="n"/>
      <c r="M4603" s="740" t="n"/>
    </row>
    <row r="4604" ht="18" customHeight="1" s="436" thickBot="1">
      <c r="A4604" s="695" t="n"/>
      <c r="B4604" s="695" t="n"/>
      <c r="C4604" s="695" t="n"/>
      <c r="D4604" s="3" t="inlineStr">
        <is>
          <t>C/ICMS</t>
        </is>
      </c>
      <c r="E4604" s="3" t="inlineStr">
        <is>
          <t>S/ICMS</t>
        </is>
      </c>
      <c r="F4604" s="695" t="n"/>
      <c r="G4604" s="695" t="n"/>
      <c r="H4604" s="84" t="inlineStr">
        <is>
          <t>Saldo em 31/10/2024</t>
        </is>
      </c>
      <c r="I4604" s="695" t="n"/>
      <c r="J4604" s="645" t="inlineStr">
        <is>
          <t>ENTRADA</t>
        </is>
      </c>
      <c r="K4604" s="633" t="inlineStr">
        <is>
          <t>SAÍDA / CMV</t>
        </is>
      </c>
      <c r="L4604" s="643" t="inlineStr">
        <is>
          <t>SALDO</t>
        </is>
      </c>
      <c r="M4604" s="392" t="n"/>
    </row>
    <row r="4605">
      <c r="A4605" s="392" t="n"/>
      <c r="B4605" s="392" t="n"/>
      <c r="C4605" s="392" t="n"/>
      <c r="D4605" s="392" t="n"/>
      <c r="E4605" s="392" t="n"/>
      <c r="F4605" s="392" t="n"/>
      <c r="G4605" s="392" t="n"/>
      <c r="H4605" s="446" t="n">
        <v>2551</v>
      </c>
      <c r="I4605" s="392" t="n"/>
      <c r="J4605" s="392" t="n"/>
      <c r="K4605" s="392" t="n"/>
      <c r="L4605" s="392" t="n"/>
      <c r="M4605" s="392" t="n"/>
    </row>
    <row r="4606">
      <c r="A4606" s="568" t="n">
        <v>45600</v>
      </c>
      <c r="B4606" s="392" t="n">
        <v>11449</v>
      </c>
      <c r="C4606" s="392" t="n">
        <v>87</v>
      </c>
      <c r="D4606" s="392" t="n"/>
      <c r="E4606" s="392" t="n"/>
      <c r="F4606" s="392" t="n"/>
      <c r="G4606" s="392" t="n">
        <v>30</v>
      </c>
      <c r="H4606" s="446">
        <f>H4605-G4606</f>
        <v/>
      </c>
      <c r="I4606" s="392" t="n"/>
      <c r="J4606" s="392" t="n"/>
      <c r="K4606" s="392" t="n"/>
      <c r="L4606" s="392" t="n"/>
      <c r="M4606" s="392" t="n"/>
    </row>
    <row r="4607">
      <c r="A4607" s="568" t="n">
        <v>45600</v>
      </c>
      <c r="B4607" s="392" t="n">
        <v>11450</v>
      </c>
      <c r="C4607" s="392" t="n">
        <v>82</v>
      </c>
      <c r="D4607" s="392" t="n"/>
      <c r="E4607" s="392" t="n"/>
      <c r="F4607" s="392" t="n"/>
      <c r="G4607" s="392" t="n">
        <v>30</v>
      </c>
      <c r="H4607" s="446">
        <f>H4606-G4607</f>
        <v/>
      </c>
      <c r="I4607" s="392" t="n"/>
      <c r="J4607" s="392" t="n"/>
      <c r="K4607" s="392" t="n"/>
      <c r="L4607" s="392" t="n"/>
      <c r="M4607" s="392" t="n"/>
    </row>
    <row r="4608">
      <c r="A4608" s="568" t="n">
        <v>45600</v>
      </c>
      <c r="B4608" s="392" t="n">
        <v>11451</v>
      </c>
      <c r="C4608" s="392" t="n">
        <v>84</v>
      </c>
      <c r="D4608" s="392" t="n"/>
      <c r="E4608" s="392" t="n"/>
      <c r="F4608" s="392" t="n"/>
      <c r="G4608" s="392" t="n">
        <v>20</v>
      </c>
      <c r="H4608" s="446">
        <f>H4607-G4608</f>
        <v/>
      </c>
      <c r="I4608" s="392" t="n"/>
      <c r="J4608" s="392" t="n"/>
      <c r="K4608" s="392" t="n"/>
      <c r="L4608" s="392" t="n"/>
      <c r="M4608" s="392" t="n"/>
    </row>
    <row r="4609">
      <c r="A4609" s="568" t="n">
        <v>45600</v>
      </c>
      <c r="B4609" s="392" t="n">
        <v>11452</v>
      </c>
      <c r="C4609" s="392" t="n">
        <v>87</v>
      </c>
      <c r="D4609" s="392" t="n"/>
      <c r="E4609" s="392" t="n"/>
      <c r="F4609" s="392" t="n"/>
      <c r="G4609" s="392" t="n">
        <v>20</v>
      </c>
      <c r="H4609" s="446">
        <f>H4608-G4609</f>
        <v/>
      </c>
      <c r="I4609" s="392" t="n"/>
      <c r="J4609" s="392" t="n"/>
      <c r="K4609" s="392" t="n"/>
      <c r="L4609" s="392" t="n"/>
      <c r="M4609" s="392" t="n"/>
    </row>
    <row r="4610">
      <c r="A4610" s="568" t="n">
        <v>45600</v>
      </c>
      <c r="B4610" s="392" t="n">
        <v>11453</v>
      </c>
      <c r="C4610" s="392" t="n">
        <v>84</v>
      </c>
      <c r="D4610" s="392" t="n"/>
      <c r="E4610" s="392" t="n"/>
      <c r="F4610" s="392" t="n"/>
      <c r="G4610" s="392" t="n">
        <v>15</v>
      </c>
      <c r="H4610" s="446">
        <f>H4609-G4610</f>
        <v/>
      </c>
      <c r="I4610" s="392" t="n"/>
      <c r="J4610" s="392" t="n"/>
      <c r="K4610" s="392" t="n"/>
      <c r="L4610" s="392" t="n"/>
      <c r="M4610" s="392" t="n"/>
    </row>
    <row r="4611">
      <c r="A4611" s="568" t="n">
        <v>45601</v>
      </c>
      <c r="B4611" s="392" t="n">
        <v>11455</v>
      </c>
      <c r="C4611" s="392" t="n">
        <v>92</v>
      </c>
      <c r="D4611" s="392" t="n"/>
      <c r="E4611" s="392" t="n"/>
      <c r="F4611" s="392" t="n"/>
      <c r="G4611" s="392" t="n">
        <v>20</v>
      </c>
      <c r="H4611" s="446">
        <f>H4610-G4611</f>
        <v/>
      </c>
      <c r="I4611" s="392" t="n"/>
      <c r="J4611" s="392" t="n"/>
      <c r="K4611" s="392" t="n"/>
      <c r="L4611" s="392" t="n"/>
      <c r="M4611" s="392" t="n"/>
    </row>
    <row r="4612">
      <c r="A4612" s="568" t="n">
        <v>45602</v>
      </c>
      <c r="B4612" s="392" t="n">
        <v>11461</v>
      </c>
      <c r="C4612" s="392" t="n">
        <v>89</v>
      </c>
      <c r="D4612" s="392" t="n"/>
      <c r="E4612" s="392" t="n"/>
      <c r="F4612" s="392" t="n"/>
      <c r="G4612" s="392" t="n">
        <v>30</v>
      </c>
      <c r="H4612" s="446">
        <f>H4611-G4612</f>
        <v/>
      </c>
      <c r="I4612" s="392" t="n"/>
      <c r="J4612" s="392" t="n"/>
      <c r="K4612" s="392" t="n"/>
      <c r="L4612" s="392" t="n"/>
      <c r="M4612" s="392" t="n"/>
    </row>
    <row r="4613">
      <c r="A4613" s="304" t="n">
        <v>45604</v>
      </c>
      <c r="B4613" s="401" t="n">
        <v>3144</v>
      </c>
      <c r="C4613" s="401" t="n">
        <v>70.79000000000001</v>
      </c>
      <c r="D4613" s="401" t="n"/>
      <c r="E4613" s="401" t="n"/>
      <c r="F4613" s="401" t="n">
        <v>1120</v>
      </c>
      <c r="G4613" s="401" t="n"/>
      <c r="H4613" s="322" t="n">
        <v>3506</v>
      </c>
      <c r="I4613" s="392" t="n"/>
      <c r="J4613" s="392" t="n"/>
      <c r="K4613" s="392" t="n"/>
      <c r="L4613" s="392" t="n"/>
      <c r="M4613" s="392" t="n"/>
    </row>
    <row r="4614">
      <c r="A4614" s="568" t="n">
        <v>45608</v>
      </c>
      <c r="B4614" s="392" t="n">
        <v>11462</v>
      </c>
      <c r="C4614" s="392" t="n">
        <v>86</v>
      </c>
      <c r="D4614" s="392" t="n"/>
      <c r="E4614" s="392" t="n"/>
      <c r="F4614" s="392" t="n"/>
      <c r="G4614" s="392" t="n">
        <v>15</v>
      </c>
      <c r="H4614" s="446">
        <f>H4613-G4614</f>
        <v/>
      </c>
      <c r="I4614" s="392" t="n"/>
      <c r="J4614" s="392" t="n"/>
      <c r="K4614" s="392" t="n"/>
      <c r="L4614" s="392" t="n"/>
      <c r="M4614" s="392" t="n"/>
    </row>
    <row r="4615">
      <c r="A4615" s="568" t="n">
        <v>45608</v>
      </c>
      <c r="B4615" s="392" t="n">
        <v>11464</v>
      </c>
      <c r="C4615" s="392" t="n">
        <v>92</v>
      </c>
      <c r="D4615" s="392" t="n"/>
      <c r="E4615" s="392" t="n"/>
      <c r="F4615" s="392" t="n"/>
      <c r="G4615" s="392" t="n">
        <v>25</v>
      </c>
      <c r="H4615" s="446">
        <f>H4614-G4615</f>
        <v/>
      </c>
      <c r="I4615" s="392" t="n"/>
      <c r="J4615" s="392" t="n"/>
      <c r="K4615" s="392" t="n"/>
      <c r="L4615" s="392" t="n"/>
      <c r="M4615" s="392" t="n"/>
    </row>
    <row r="4616">
      <c r="A4616" s="568" t="n">
        <v>45608</v>
      </c>
      <c r="B4616" s="392" t="n">
        <v>11466</v>
      </c>
      <c r="C4616" s="392" t="n">
        <v>85.2</v>
      </c>
      <c r="D4616" s="392" t="n"/>
      <c r="E4616" s="392" t="n"/>
      <c r="F4616" s="392" t="n"/>
      <c r="G4616" s="392" t="n">
        <v>25</v>
      </c>
      <c r="H4616" s="446">
        <f>H4615-G4616</f>
        <v/>
      </c>
      <c r="I4616" s="392" t="n"/>
      <c r="J4616" s="392" t="n"/>
      <c r="K4616" s="392" t="n"/>
      <c r="L4616" s="392" t="n"/>
      <c r="M4616" s="392" t="n"/>
    </row>
    <row r="4617">
      <c r="A4617" s="568" t="n">
        <v>45608</v>
      </c>
      <c r="B4617" s="392" t="n">
        <v>11471</v>
      </c>
      <c r="C4617" s="392" t="n">
        <v>92</v>
      </c>
      <c r="D4617" s="392" t="n"/>
      <c r="E4617" s="392" t="n"/>
      <c r="F4617" s="392" t="n"/>
      <c r="G4617" s="392" t="n">
        <v>20</v>
      </c>
      <c r="H4617" s="446">
        <f>H4616-G4617</f>
        <v/>
      </c>
      <c r="I4617" s="392" t="n"/>
      <c r="J4617" s="392" t="n"/>
      <c r="K4617" s="392" t="n"/>
      <c r="L4617" s="392" t="n"/>
      <c r="M4617" s="392" t="n"/>
    </row>
    <row r="4618">
      <c r="A4618" s="568" t="n">
        <v>45608</v>
      </c>
      <c r="B4618" s="392" t="n">
        <v>11472</v>
      </c>
      <c r="C4618" s="392" t="n">
        <v>84</v>
      </c>
      <c r="D4618" s="392" t="n"/>
      <c r="E4618" s="392" t="n"/>
      <c r="F4618" s="392" t="n"/>
      <c r="G4618" s="392" t="n">
        <v>50</v>
      </c>
      <c r="H4618" s="446">
        <f>H4617-G4618</f>
        <v/>
      </c>
      <c r="I4618" s="392" t="n"/>
      <c r="J4618" s="392" t="n"/>
      <c r="K4618" s="392" t="n"/>
      <c r="L4618" s="392" t="n"/>
      <c r="M4618" s="392" t="n"/>
    </row>
    <row r="4619">
      <c r="A4619" s="568" t="n">
        <v>45608</v>
      </c>
      <c r="B4619" s="392" t="n">
        <v>11473</v>
      </c>
      <c r="C4619" s="392" t="n">
        <v>92</v>
      </c>
      <c r="D4619" s="392" t="n"/>
      <c r="E4619" s="392" t="n"/>
      <c r="F4619" s="392" t="n"/>
      <c r="G4619" s="392" t="n">
        <v>20</v>
      </c>
      <c r="H4619" s="446">
        <f>H4618-G4619</f>
        <v/>
      </c>
      <c r="I4619" s="392" t="n"/>
      <c r="J4619" s="392" t="n"/>
      <c r="K4619" s="392" t="n"/>
      <c r="L4619" s="392" t="n"/>
      <c r="M4619" s="392" t="n"/>
    </row>
    <row r="4620">
      <c r="A4620" s="568" t="n">
        <v>45608</v>
      </c>
      <c r="B4620" s="392" t="n">
        <v>11474</v>
      </c>
      <c r="C4620" s="392" t="n">
        <v>84.90000000000001</v>
      </c>
      <c r="D4620" s="392" t="n"/>
      <c r="E4620" s="392" t="n"/>
      <c r="F4620" s="392" t="n"/>
      <c r="G4620" s="392" t="n">
        <v>20</v>
      </c>
      <c r="H4620" s="446">
        <f>H4619-G4620</f>
        <v/>
      </c>
      <c r="I4620" s="392" t="n"/>
      <c r="J4620" s="392" t="n"/>
      <c r="K4620" s="392" t="n"/>
      <c r="L4620" s="392" t="n"/>
      <c r="M4620" s="392" t="n"/>
    </row>
    <row r="4621">
      <c r="A4621" s="568" t="n">
        <v>45610</v>
      </c>
      <c r="B4621" s="392" t="n">
        <v>11478</v>
      </c>
      <c r="C4621" s="392" t="n">
        <v>84</v>
      </c>
      <c r="D4621" s="392" t="n"/>
      <c r="E4621" s="392" t="n"/>
      <c r="F4621" s="392" t="n"/>
      <c r="G4621" s="392" t="n">
        <v>30</v>
      </c>
      <c r="H4621" s="446">
        <f>H4620-G4621</f>
        <v/>
      </c>
      <c r="I4621" s="392" t="n"/>
      <c r="J4621" s="392" t="n"/>
      <c r="K4621" s="392" t="n"/>
      <c r="L4621" s="392" t="n"/>
      <c r="M4621" s="392" t="n"/>
    </row>
    <row r="4622">
      <c r="A4622" s="568" t="n">
        <v>45615</v>
      </c>
      <c r="B4622" s="392" t="n">
        <v>11479</v>
      </c>
      <c r="C4622" s="392" t="n">
        <v>90</v>
      </c>
      <c r="D4622" s="392" t="n"/>
      <c r="E4622" s="392" t="n"/>
      <c r="F4622" s="392" t="n"/>
      <c r="G4622" s="392" t="n">
        <v>100</v>
      </c>
      <c r="H4622" s="446">
        <f>H4621-G4622</f>
        <v/>
      </c>
      <c r="I4622" s="392" t="n"/>
      <c r="J4622" s="392" t="n"/>
      <c r="K4622" s="392" t="n"/>
      <c r="L4622" s="392" t="n"/>
      <c r="M4622" s="392" t="n"/>
    </row>
    <row r="4623">
      <c r="A4623" s="568" t="n">
        <v>45615</v>
      </c>
      <c r="B4623" s="392" t="n">
        <v>11480</v>
      </c>
      <c r="C4623" s="392" t="n">
        <v>87</v>
      </c>
      <c r="D4623" s="392" t="n"/>
      <c r="E4623" s="392" t="n"/>
      <c r="F4623" s="392" t="n"/>
      <c r="G4623" s="392" t="n">
        <v>30</v>
      </c>
      <c r="H4623" s="446">
        <f>H4622-G4623</f>
        <v/>
      </c>
      <c r="I4623" s="392" t="n"/>
      <c r="J4623" s="392" t="n"/>
      <c r="K4623" s="392" t="n"/>
      <c r="L4623" s="392" t="n"/>
      <c r="M4623" s="392" t="n"/>
    </row>
    <row r="4624">
      <c r="A4624" s="568" t="n">
        <v>45615</v>
      </c>
      <c r="B4624" s="392" t="n">
        <v>11481</v>
      </c>
      <c r="C4624" s="392" t="n">
        <v>84</v>
      </c>
      <c r="D4624" s="392" t="n"/>
      <c r="E4624" s="392" t="n"/>
      <c r="F4624" s="392" t="n"/>
      <c r="G4624" s="392" t="n">
        <v>50</v>
      </c>
      <c r="H4624" s="446">
        <f>H4623-G4624</f>
        <v/>
      </c>
      <c r="I4624" s="392" t="n"/>
      <c r="J4624" s="392" t="n"/>
      <c r="K4624" s="392" t="n"/>
      <c r="L4624" s="392" t="n"/>
      <c r="M4624" s="392" t="n"/>
    </row>
    <row r="4625">
      <c r="A4625" s="568" t="n">
        <v>45616</v>
      </c>
      <c r="B4625" s="392" t="n">
        <v>11482</v>
      </c>
      <c r="C4625" s="392" t="n">
        <v>84</v>
      </c>
      <c r="D4625" s="392" t="n"/>
      <c r="E4625" s="392" t="n"/>
      <c r="F4625" s="392" t="n"/>
      <c r="G4625" s="392" t="n">
        <v>30</v>
      </c>
      <c r="H4625" s="446">
        <f>H4624-G4625</f>
        <v/>
      </c>
      <c r="I4625" s="392" t="n"/>
      <c r="J4625" s="392" t="n"/>
      <c r="K4625" s="392" t="n"/>
      <c r="L4625" s="392" t="n"/>
      <c r="M4625" s="392" t="n"/>
    </row>
    <row r="4626">
      <c r="A4626" s="568" t="n">
        <v>45616</v>
      </c>
      <c r="B4626" s="392" t="n">
        <v>11484</v>
      </c>
      <c r="C4626" s="392" t="n">
        <v>84</v>
      </c>
      <c r="D4626" s="392" t="n"/>
      <c r="E4626" s="392" t="n"/>
      <c r="F4626" s="392" t="n"/>
      <c r="G4626" s="392" t="n">
        <v>30</v>
      </c>
      <c r="H4626" s="446">
        <f>H4625-G4626</f>
        <v/>
      </c>
      <c r="I4626" s="392" t="n"/>
      <c r="J4626" s="392" t="n"/>
      <c r="K4626" s="392" t="n"/>
      <c r="L4626" s="392" t="n"/>
      <c r="M4626" s="392" t="n"/>
    </row>
    <row r="4627">
      <c r="A4627" s="568" t="n">
        <v>45616</v>
      </c>
      <c r="B4627" s="392" t="n">
        <v>11485</v>
      </c>
      <c r="C4627" s="392" t="n">
        <v>92</v>
      </c>
      <c r="D4627" s="392" t="n"/>
      <c r="E4627" s="392" t="n"/>
      <c r="F4627" s="392" t="n"/>
      <c r="G4627" s="392" t="n">
        <v>30</v>
      </c>
      <c r="H4627" s="446">
        <f>H4626-G4627</f>
        <v/>
      </c>
      <c r="I4627" s="392" t="n"/>
      <c r="J4627" s="392" t="n"/>
      <c r="K4627" s="392" t="n"/>
      <c r="L4627" s="392" t="n"/>
      <c r="M4627" s="392" t="n"/>
    </row>
    <row r="4628">
      <c r="A4628" s="568" t="n">
        <v>45616</v>
      </c>
      <c r="B4628" s="392" t="n">
        <v>11486</v>
      </c>
      <c r="C4628" s="392" t="n">
        <v>86</v>
      </c>
      <c r="D4628" s="392" t="n"/>
      <c r="E4628" s="392" t="n"/>
      <c r="F4628" s="392" t="n"/>
      <c r="G4628" s="392" t="n">
        <v>15</v>
      </c>
      <c r="H4628" s="446">
        <f>H4627-G4628</f>
        <v/>
      </c>
      <c r="I4628" s="392" t="n"/>
      <c r="J4628" s="392" t="n"/>
      <c r="K4628" s="392" t="n"/>
      <c r="L4628" s="392" t="n"/>
      <c r="M4628" s="392" t="n"/>
    </row>
    <row r="4629">
      <c r="A4629" s="568" t="n">
        <v>45621</v>
      </c>
      <c r="B4629" s="392" t="n">
        <v>11490</v>
      </c>
      <c r="C4629" s="392" t="n">
        <v>84</v>
      </c>
      <c r="D4629" s="392" t="n"/>
      <c r="E4629" s="392" t="n"/>
      <c r="F4629" s="392" t="n"/>
      <c r="G4629" s="392" t="n">
        <v>15</v>
      </c>
      <c r="H4629" s="446">
        <f>H4628-G4629</f>
        <v/>
      </c>
      <c r="I4629" s="392" t="n"/>
      <c r="J4629" s="392" t="n"/>
      <c r="K4629" s="392" t="n"/>
      <c r="L4629" s="392" t="n"/>
      <c r="M4629" s="392" t="n"/>
    </row>
    <row r="4630">
      <c r="A4630" s="568" t="n">
        <v>45622</v>
      </c>
      <c r="B4630" s="392" t="n">
        <v>11497</v>
      </c>
      <c r="C4630" s="392" t="n">
        <v>82</v>
      </c>
      <c r="D4630" s="392" t="n"/>
      <c r="E4630" s="392" t="n"/>
      <c r="F4630" s="392" t="n"/>
      <c r="G4630" s="392" t="n">
        <v>25</v>
      </c>
      <c r="H4630" s="446">
        <f>H4629-G4630</f>
        <v/>
      </c>
      <c r="I4630" s="392" t="n"/>
      <c r="J4630" s="392" t="n"/>
      <c r="K4630" s="392" t="n"/>
      <c r="L4630" s="392" t="n"/>
      <c r="M4630" s="392" t="n"/>
    </row>
    <row r="4631">
      <c r="A4631" s="568" t="n">
        <v>45622</v>
      </c>
      <c r="B4631" s="392" t="n">
        <v>11498</v>
      </c>
      <c r="C4631" s="392" t="n">
        <v>84</v>
      </c>
      <c r="D4631" s="392" t="n"/>
      <c r="E4631" s="392" t="n"/>
      <c r="F4631" s="392" t="n"/>
      <c r="G4631" s="392" t="n">
        <v>20</v>
      </c>
      <c r="H4631" s="446">
        <f>H4630-G4631</f>
        <v/>
      </c>
      <c r="I4631" s="392" t="n"/>
      <c r="J4631" s="392" t="n"/>
      <c r="K4631" s="392" t="n"/>
      <c r="L4631" s="392" t="n"/>
      <c r="M4631" s="392" t="n"/>
    </row>
    <row r="4632">
      <c r="A4632" s="568" t="n">
        <v>45622</v>
      </c>
      <c r="B4632" s="392" t="n">
        <v>11499</v>
      </c>
      <c r="C4632" s="392" t="n">
        <v>92</v>
      </c>
      <c r="D4632" s="392" t="n"/>
      <c r="E4632" s="392" t="n"/>
      <c r="F4632" s="392" t="n"/>
      <c r="G4632" s="392" t="n">
        <v>20</v>
      </c>
      <c r="H4632" s="446">
        <f>H4631-G4632</f>
        <v/>
      </c>
      <c r="I4632" s="392" t="n"/>
      <c r="J4632" s="392" t="n"/>
      <c r="K4632" s="392" t="n"/>
      <c r="L4632" s="392" t="n"/>
      <c r="M4632" s="392" t="n"/>
    </row>
    <row r="4633" ht="15.75" customHeight="1" s="436" thickBot="1">
      <c r="A4633" s="414" t="n"/>
      <c r="H4633" s="390" t="n"/>
    </row>
    <row r="4634" ht="32.25" customHeight="1" s="436" thickBot="1">
      <c r="A4634" s="735" t="inlineStr">
        <is>
          <t>Dezembro</t>
        </is>
      </c>
      <c r="B4634" s="697" t="n"/>
      <c r="C4634" s="697" t="n"/>
      <c r="D4634" s="697" t="n"/>
      <c r="E4634" s="697" t="n"/>
      <c r="F4634" s="697" t="n"/>
      <c r="G4634" s="697" t="n"/>
      <c r="H4634" s="697" t="n"/>
      <c r="I4634" s="697" t="n"/>
      <c r="J4634" s="697" t="n"/>
      <c r="K4634" s="697" t="n"/>
      <c r="L4634" s="697" t="n"/>
      <c r="M4634" s="698" t="n"/>
    </row>
    <row r="4635" ht="27" customHeight="1" s="436" thickBot="1">
      <c r="A4635" s="720" t="inlineStr">
        <is>
          <t xml:space="preserve"> FARINHA DE TRIGO TIPO: 1 - 25 KG</t>
        </is>
      </c>
      <c r="B4635" s="697" t="n"/>
      <c r="C4635" s="697" t="n"/>
      <c r="D4635" s="697" t="n"/>
      <c r="E4635" s="697" t="n"/>
      <c r="F4635" s="697" t="n"/>
      <c r="G4635" s="697" t="n"/>
      <c r="H4635" s="697" t="n"/>
      <c r="I4635" s="697" t="n"/>
      <c r="J4635" s="697" t="n"/>
      <c r="K4635" s="697" t="n"/>
      <c r="L4635" s="697" t="n"/>
      <c r="M4635" s="698" t="n"/>
    </row>
    <row r="4636">
      <c r="A4636" s="3" t="inlineStr">
        <is>
          <t>DATA</t>
        </is>
      </c>
      <c r="B4636" s="3" t="inlineStr">
        <is>
          <t>N.F.</t>
        </is>
      </c>
      <c r="C4636" s="3" t="inlineStr">
        <is>
          <t>TIPO</t>
        </is>
      </c>
      <c r="D4636" s="708" t="inlineStr">
        <is>
          <t>PREÇO UNITÁRIO</t>
        </is>
      </c>
      <c r="E4636" s="736" t="n"/>
      <c r="F4636" s="3" t="inlineStr">
        <is>
          <t>QUANTIDADE / KG</t>
        </is>
      </c>
      <c r="G4636" s="737" t="n"/>
      <c r="H4636" s="736" t="n"/>
      <c r="I4636" s="631" t="inlineStr">
        <is>
          <t>PREÇO</t>
        </is>
      </c>
      <c r="J4636" s="631" t="inlineStr">
        <is>
          <t>VALORES</t>
        </is>
      </c>
      <c r="K4636" s="737" t="n"/>
      <c r="L4636" s="736" t="n"/>
      <c r="M4636" s="738" t="n"/>
    </row>
    <row r="4637" ht="15.75" customHeight="1" s="436" thickBot="1">
      <c r="A4637" s="704" t="n"/>
      <c r="B4637" s="704" t="n"/>
      <c r="C4637" s="704" t="n"/>
      <c r="D4637" s="703" t="n"/>
      <c r="E4637" s="701" t="n"/>
      <c r="F4637" s="705" t="n"/>
      <c r="G4637" s="706" t="n"/>
      <c r="H4637" s="707" t="n"/>
      <c r="I4637" s="704" t="n"/>
      <c r="J4637" s="703" t="n"/>
      <c r="L4637" s="701" t="n"/>
      <c r="M4637" s="704" t="n"/>
    </row>
    <row r="4638" ht="15.75" customHeight="1" s="436" thickBot="1">
      <c r="A4638" s="704" t="n"/>
      <c r="B4638" s="704" t="n"/>
      <c r="C4638" s="704" t="n"/>
      <c r="D4638" s="705" t="n"/>
      <c r="E4638" s="707" t="n"/>
      <c r="F4638" s="3" t="inlineStr">
        <is>
          <t>ENTRADA</t>
        </is>
      </c>
      <c r="G4638" s="3" t="inlineStr">
        <is>
          <t>SAÍDA</t>
        </is>
      </c>
      <c r="H4638" s="640" t="n"/>
      <c r="I4638" s="633" t="inlineStr">
        <is>
          <t>MÉDIO</t>
        </is>
      </c>
      <c r="J4638" s="739" t="inlineStr">
        <is>
          <t>SALDO EM 30/11/2017</t>
        </is>
      </c>
      <c r="K4638" s="707" t="n"/>
      <c r="L4638" s="17" t="n"/>
      <c r="M4638" s="740" t="n"/>
    </row>
    <row r="4639" ht="18" customHeight="1" s="436" thickBot="1">
      <c r="A4639" s="695" t="n"/>
      <c r="B4639" s="695" t="n"/>
      <c r="C4639" s="695" t="n"/>
      <c r="D4639" s="3" t="inlineStr">
        <is>
          <t>C/ICMS</t>
        </is>
      </c>
      <c r="E4639" s="3" t="inlineStr">
        <is>
          <t>S/ICMS</t>
        </is>
      </c>
      <c r="F4639" s="695" t="n"/>
      <c r="G4639" s="695" t="n"/>
      <c r="H4639" s="84" t="inlineStr">
        <is>
          <t>Saldo em 30/11/2024</t>
        </is>
      </c>
      <c r="I4639" s="695" t="n"/>
      <c r="J4639" s="645" t="inlineStr">
        <is>
          <t>ENTRADA</t>
        </is>
      </c>
      <c r="K4639" s="633" t="inlineStr">
        <is>
          <t>SAÍDA / CMV</t>
        </is>
      </c>
      <c r="L4639" s="643" t="inlineStr">
        <is>
          <t>SALDO</t>
        </is>
      </c>
      <c r="M4639" s="392" t="n"/>
    </row>
    <row r="4640">
      <c r="A4640" s="392" t="n"/>
      <c r="B4640" s="392" t="n"/>
      <c r="C4640" s="392" t="n"/>
      <c r="D4640" s="392" t="n"/>
      <c r="E4640" s="392" t="n"/>
      <c r="F4640" s="392" t="n"/>
      <c r="G4640" s="392" t="n"/>
      <c r="H4640" s="446" t="n">
        <v>2936</v>
      </c>
      <c r="I4640" s="392" t="n"/>
      <c r="J4640" s="392" t="n"/>
      <c r="K4640" s="392" t="n"/>
      <c r="L4640" s="392" t="n"/>
      <c r="M4640" s="392" t="n"/>
    </row>
    <row r="4641">
      <c r="A4641" s="568" t="n">
        <v>45627</v>
      </c>
      <c r="B4641" s="392" t="n">
        <v>11503</v>
      </c>
      <c r="C4641" s="392" t="n">
        <v>88</v>
      </c>
      <c r="D4641" s="392" t="n"/>
      <c r="E4641" s="392" t="n"/>
      <c r="F4641" s="392" t="n"/>
      <c r="G4641" s="392" t="n">
        <v>50</v>
      </c>
      <c r="H4641" s="446">
        <f>H4640-G4641</f>
        <v/>
      </c>
      <c r="I4641" s="392" t="n"/>
      <c r="J4641" s="392" t="n"/>
      <c r="K4641" s="392" t="n"/>
      <c r="L4641" s="392" t="n"/>
      <c r="M4641" s="392" t="n"/>
    </row>
    <row r="4642">
      <c r="A4642" s="568" t="n">
        <v>45628</v>
      </c>
      <c r="B4642" s="392" t="n">
        <v>11504</v>
      </c>
      <c r="C4642" s="392" t="n">
        <v>90</v>
      </c>
      <c r="D4642" s="392" t="n"/>
      <c r="E4642" s="392" t="n"/>
      <c r="F4642" s="392" t="n"/>
      <c r="G4642" s="392" t="n">
        <v>30</v>
      </c>
      <c r="H4642" s="446">
        <f>H4641-G4642</f>
        <v/>
      </c>
      <c r="I4642" s="392" t="n"/>
      <c r="J4642" s="392" t="n"/>
      <c r="K4642" s="392" t="n"/>
      <c r="L4642" s="392" t="n"/>
      <c r="M4642" s="392" t="n"/>
    </row>
    <row r="4643">
      <c r="A4643" s="568" t="n">
        <v>45628</v>
      </c>
      <c r="B4643" s="392" t="n">
        <v>11505</v>
      </c>
      <c r="C4643" s="392" t="n">
        <v>87</v>
      </c>
      <c r="D4643" s="392" t="n"/>
      <c r="E4643" s="392" t="n"/>
      <c r="F4643" s="392" t="n"/>
      <c r="G4643" s="392" t="n">
        <v>100</v>
      </c>
      <c r="H4643" s="446">
        <f>H4642-G4643</f>
        <v/>
      </c>
      <c r="I4643" s="392" t="n"/>
      <c r="J4643" s="392" t="n"/>
      <c r="K4643" s="392" t="n"/>
      <c r="L4643" s="392" t="n"/>
      <c r="M4643" s="392" t="n"/>
    </row>
    <row r="4644">
      <c r="A4644" s="543" t="n">
        <v>45628</v>
      </c>
      <c r="B4644" s="392" t="n">
        <v>11507</v>
      </c>
      <c r="C4644" s="392" t="n">
        <v>89</v>
      </c>
      <c r="D4644" s="392" t="n"/>
      <c r="E4644" s="392" t="n"/>
      <c r="F4644" s="392" t="n"/>
      <c r="G4644" s="392" t="n">
        <v>10</v>
      </c>
      <c r="H4644" s="446">
        <f>H4643-G4644</f>
        <v/>
      </c>
      <c r="I4644" s="392" t="n"/>
      <c r="J4644" s="392" t="n"/>
      <c r="K4644" s="392" t="n"/>
      <c r="L4644" s="392" t="n"/>
      <c r="M4644" s="392" t="n"/>
    </row>
    <row r="4645">
      <c r="A4645" s="568" t="n">
        <v>45628</v>
      </c>
      <c r="B4645" s="392" t="n">
        <v>11508</v>
      </c>
      <c r="C4645" s="392" t="n">
        <v>84</v>
      </c>
      <c r="D4645" s="392" t="n"/>
      <c r="E4645" s="392" t="n"/>
      <c r="F4645" s="392" t="n"/>
      <c r="G4645" s="392" t="n">
        <v>50</v>
      </c>
      <c r="H4645" s="446">
        <f>H4644-G4645</f>
        <v/>
      </c>
      <c r="I4645" s="392" t="n"/>
      <c r="J4645" s="392" t="n"/>
      <c r="K4645" s="392" t="n"/>
      <c r="L4645" s="392" t="n"/>
      <c r="M4645" s="392" t="n"/>
    </row>
    <row r="4646">
      <c r="A4646" s="568" t="n">
        <v>45629</v>
      </c>
      <c r="B4646" s="392" t="n">
        <v>11511</v>
      </c>
      <c r="C4646" s="392" t="n">
        <v>89</v>
      </c>
      <c r="D4646" s="392" t="n"/>
      <c r="E4646" s="392" t="n"/>
      <c r="F4646" s="392" t="n"/>
      <c r="G4646" s="392" t="n">
        <v>30</v>
      </c>
      <c r="H4646" s="446">
        <f>H4645-G4646</f>
        <v/>
      </c>
      <c r="I4646" s="392" t="n"/>
      <c r="J4646" s="392" t="n"/>
      <c r="K4646" s="392" t="n"/>
      <c r="L4646" s="392" t="n"/>
      <c r="M4646" s="392" t="n"/>
    </row>
    <row r="4647">
      <c r="A4647" s="568" t="n">
        <v>45629</v>
      </c>
      <c r="B4647" s="392" t="n">
        <v>11512</v>
      </c>
      <c r="C4647" s="392" t="n">
        <v>84</v>
      </c>
      <c r="D4647" s="392" t="n"/>
      <c r="E4647" s="392" t="n"/>
      <c r="F4647" s="392" t="n"/>
      <c r="G4647" s="392" t="n">
        <v>20</v>
      </c>
      <c r="H4647" s="446">
        <f>H4646-G4647</f>
        <v/>
      </c>
      <c r="I4647" s="392" t="n"/>
      <c r="J4647" s="392" t="n"/>
      <c r="K4647" s="392" t="n"/>
      <c r="L4647" s="392" t="n"/>
      <c r="M4647" s="392" t="n"/>
    </row>
    <row r="4648">
      <c r="A4648" s="568" t="n">
        <v>45629</v>
      </c>
      <c r="B4648" s="392" t="n">
        <v>11513</v>
      </c>
      <c r="C4648" s="392" t="n">
        <v>84</v>
      </c>
      <c r="D4648" s="392" t="n"/>
      <c r="E4648" s="392" t="n"/>
      <c r="F4648" s="392" t="n"/>
      <c r="G4648" s="392" t="n">
        <v>50</v>
      </c>
      <c r="H4648" s="446">
        <f>H4647-G4648</f>
        <v/>
      </c>
      <c r="I4648" s="392" t="n"/>
      <c r="J4648" s="392" t="n"/>
      <c r="K4648" s="392" t="n"/>
      <c r="L4648" s="392" t="n"/>
      <c r="M4648" s="392" t="n"/>
    </row>
    <row r="4649">
      <c r="A4649" s="568" t="n">
        <v>45629</v>
      </c>
      <c r="B4649" s="392" t="n">
        <v>11514</v>
      </c>
      <c r="C4649" s="392" t="n">
        <v>84.78</v>
      </c>
      <c r="D4649" s="392" t="n"/>
      <c r="E4649" s="392" t="n"/>
      <c r="F4649" s="392" t="n"/>
      <c r="G4649" s="392" t="n">
        <v>23</v>
      </c>
      <c r="H4649" s="446">
        <f>H4648-G4649</f>
        <v/>
      </c>
      <c r="I4649" s="392" t="n"/>
      <c r="J4649" s="392" t="n"/>
      <c r="K4649" s="392" t="n"/>
      <c r="L4649" s="392" t="n"/>
      <c r="M4649" s="392" t="n"/>
    </row>
    <row r="4650">
      <c r="A4650" s="568" t="n">
        <v>45629</v>
      </c>
      <c r="B4650" s="392" t="n">
        <v>11516</v>
      </c>
      <c r="C4650" s="392" t="n">
        <v>92</v>
      </c>
      <c r="D4650" s="392" t="n"/>
      <c r="E4650" s="392" t="n"/>
      <c r="F4650" s="392" t="n"/>
      <c r="G4650" s="392" t="n">
        <v>50</v>
      </c>
      <c r="H4650" s="446">
        <f>H4649-G4650</f>
        <v/>
      </c>
      <c r="I4650" s="392" t="n"/>
      <c r="J4650" s="392" t="n"/>
      <c r="K4650" s="392" t="n"/>
      <c r="L4650" s="392" t="n"/>
      <c r="M4650" s="392" t="n"/>
    </row>
    <row r="4651">
      <c r="A4651" s="568" t="n">
        <v>45629</v>
      </c>
      <c r="B4651" s="392" t="n">
        <v>11517</v>
      </c>
      <c r="C4651" s="392" t="n">
        <v>80</v>
      </c>
      <c r="D4651" s="392" t="n"/>
      <c r="E4651" s="392" t="n"/>
      <c r="F4651" s="392" t="n"/>
      <c r="G4651" s="392" t="n">
        <v>10</v>
      </c>
      <c r="H4651" s="446">
        <f>H4650-G4651</f>
        <v/>
      </c>
      <c r="I4651" s="392" t="n"/>
      <c r="J4651" s="392" t="n"/>
      <c r="K4651" s="392" t="n"/>
      <c r="L4651" s="392" t="n"/>
      <c r="M4651" s="392" t="n"/>
    </row>
    <row r="4652">
      <c r="A4652" s="568" t="n">
        <v>45635</v>
      </c>
      <c r="B4652" s="392" t="n">
        <v>11522</v>
      </c>
      <c r="C4652" s="392" t="n">
        <v>81</v>
      </c>
      <c r="D4652" s="392" t="n"/>
      <c r="E4652" s="392" t="n"/>
      <c r="F4652" s="392" t="n"/>
      <c r="G4652" s="392" t="n">
        <v>200</v>
      </c>
      <c r="H4652" s="446">
        <f>H4651-G4652</f>
        <v/>
      </c>
      <c r="I4652" s="392" t="n"/>
      <c r="J4652" s="392" t="n"/>
      <c r="K4652" s="392" t="n"/>
      <c r="L4652" s="392" t="n"/>
      <c r="M4652" s="392" t="n"/>
    </row>
    <row r="4653">
      <c r="A4653" s="568" t="n">
        <v>45636</v>
      </c>
      <c r="B4653" s="392" t="n">
        <v>11523</v>
      </c>
      <c r="C4653" s="392" t="n">
        <v>88</v>
      </c>
      <c r="D4653" s="392" t="n"/>
      <c r="E4653" s="392" t="n"/>
      <c r="F4653" s="392" t="n"/>
      <c r="G4653" s="392" t="n">
        <v>50</v>
      </c>
      <c r="H4653" s="446">
        <f>H4652-G4653</f>
        <v/>
      </c>
      <c r="I4653" s="392" t="n"/>
      <c r="J4653" s="392" t="n"/>
      <c r="K4653" s="392" t="n"/>
      <c r="L4653" s="392" t="n"/>
      <c r="M4653" s="392" t="n"/>
    </row>
    <row r="4654">
      <c r="A4654" s="568" t="n">
        <v>45636</v>
      </c>
      <c r="B4654" s="392" t="n">
        <v>11524</v>
      </c>
      <c r="C4654" s="392" t="n">
        <v>82</v>
      </c>
      <c r="D4654" s="392" t="n"/>
      <c r="E4654" s="392" t="n"/>
      <c r="F4654" s="392" t="n"/>
      <c r="G4654" s="392" t="n">
        <v>80</v>
      </c>
      <c r="H4654" s="446">
        <f>H4653-G4654</f>
        <v/>
      </c>
      <c r="I4654" s="392" t="n"/>
      <c r="J4654" s="392" t="n"/>
      <c r="K4654" s="392" t="n"/>
      <c r="L4654" s="392" t="n"/>
      <c r="M4654" s="392" t="n"/>
    </row>
    <row r="4655">
      <c r="A4655" s="568" t="n">
        <v>45637</v>
      </c>
      <c r="B4655" s="392" t="n">
        <v>11525</v>
      </c>
      <c r="C4655" s="392" t="n">
        <v>90</v>
      </c>
      <c r="D4655" s="392" t="n"/>
      <c r="E4655" s="392" t="n"/>
      <c r="F4655" s="392" t="n"/>
      <c r="G4655" s="392" t="n">
        <v>50</v>
      </c>
      <c r="H4655" s="446">
        <f>H4654-G4655</f>
        <v/>
      </c>
      <c r="I4655" s="392" t="n"/>
      <c r="J4655" s="392" t="n"/>
      <c r="K4655" s="392" t="n"/>
      <c r="L4655" s="392" t="n"/>
      <c r="M4655" s="392" t="n"/>
    </row>
    <row r="4656">
      <c r="A4656" s="568" t="n">
        <v>45638</v>
      </c>
      <c r="B4656" s="392" t="n">
        <v>11527</v>
      </c>
      <c r="C4656" s="392" t="n">
        <v>84</v>
      </c>
      <c r="D4656" s="392" t="n"/>
      <c r="E4656" s="392" t="n"/>
      <c r="F4656" s="392" t="n"/>
      <c r="G4656" s="392" t="n">
        <v>30</v>
      </c>
      <c r="H4656" s="446">
        <f>H4655-G4656</f>
        <v/>
      </c>
      <c r="I4656" s="392" t="n"/>
      <c r="J4656" s="392" t="n"/>
      <c r="K4656" s="392" t="n"/>
      <c r="L4656" s="392" t="n"/>
      <c r="M4656" s="392" t="n"/>
    </row>
    <row r="4657">
      <c r="A4657" s="568" t="n">
        <v>45638</v>
      </c>
      <c r="B4657" s="392" t="n">
        <v>11530</v>
      </c>
      <c r="C4657" s="392" t="n">
        <v>84.67</v>
      </c>
      <c r="D4657" s="392" t="n"/>
      <c r="E4657" s="392" t="n"/>
      <c r="F4657" s="392" t="n"/>
      <c r="G4657" s="392" t="n">
        <v>45</v>
      </c>
      <c r="H4657" s="446">
        <f>H4656-G4657</f>
        <v/>
      </c>
      <c r="I4657" s="392" t="n"/>
      <c r="J4657" s="392" t="n"/>
      <c r="K4657" s="392" t="n"/>
      <c r="L4657" s="392" t="n"/>
      <c r="M4657" s="392" t="n"/>
    </row>
    <row r="4658">
      <c r="A4658" s="568" t="n">
        <v>45638</v>
      </c>
      <c r="B4658" s="392" t="n">
        <v>11531</v>
      </c>
      <c r="C4658" s="392" t="n">
        <v>88</v>
      </c>
      <c r="D4658" s="392" t="n"/>
      <c r="E4658" s="392" t="n"/>
      <c r="F4658" s="392" t="n"/>
      <c r="G4658" s="392" t="n">
        <v>50</v>
      </c>
      <c r="H4658" s="446">
        <f>H4657-G4658</f>
        <v/>
      </c>
      <c r="I4658" s="392" t="n"/>
      <c r="J4658" s="392" t="n"/>
      <c r="K4658" s="392" t="n"/>
      <c r="L4658" s="392" t="n"/>
      <c r="M4658" s="392" t="n"/>
    </row>
    <row r="4659">
      <c r="A4659" s="568" t="n">
        <v>45638</v>
      </c>
      <c r="B4659" s="392" t="n">
        <v>11532</v>
      </c>
      <c r="C4659" s="392" t="n">
        <v>90</v>
      </c>
      <c r="D4659" s="392" t="n"/>
      <c r="E4659" s="392" t="n"/>
      <c r="F4659" s="392" t="n"/>
      <c r="G4659" s="392" t="n">
        <v>30</v>
      </c>
      <c r="H4659" s="446">
        <f>H4658-G4659</f>
        <v/>
      </c>
      <c r="I4659" s="392" t="n"/>
      <c r="J4659" s="392" t="n"/>
      <c r="K4659" s="392" t="n"/>
      <c r="L4659" s="392" t="n"/>
      <c r="M4659" s="392" t="n"/>
    </row>
    <row r="4660">
      <c r="A4660" s="568" t="n">
        <v>45638</v>
      </c>
      <c r="B4660" s="392" t="n">
        <v>11534</v>
      </c>
      <c r="C4660" s="392" t="n">
        <v>84</v>
      </c>
      <c r="D4660" s="392" t="n"/>
      <c r="E4660" s="392" t="n"/>
      <c r="F4660" s="392" t="n"/>
      <c r="G4660" s="392" t="n">
        <v>15</v>
      </c>
      <c r="H4660" s="446">
        <f>H4659-G4660</f>
        <v/>
      </c>
      <c r="I4660" s="392" t="n"/>
      <c r="J4660" s="392" t="n"/>
      <c r="K4660" s="392" t="n"/>
      <c r="L4660" s="392" t="n"/>
      <c r="M4660" s="392" t="n"/>
    </row>
    <row r="4661">
      <c r="A4661" s="568" t="n">
        <v>45638</v>
      </c>
      <c r="B4661" s="392" t="n">
        <v>11536</v>
      </c>
      <c r="C4661" s="392" t="n">
        <v>81</v>
      </c>
      <c r="D4661" s="392" t="n"/>
      <c r="E4661" s="392" t="n"/>
      <c r="F4661" s="392" t="n"/>
      <c r="G4661" s="392" t="n">
        <v>50</v>
      </c>
      <c r="H4661" s="446">
        <f>H4660-G4661</f>
        <v/>
      </c>
      <c r="I4661" s="392" t="n"/>
      <c r="J4661" s="392" t="n"/>
      <c r="K4661" s="392" t="n"/>
      <c r="L4661" s="392" t="n"/>
      <c r="M4661" s="392" t="n"/>
    </row>
    <row r="4662">
      <c r="A4662" s="568" t="n">
        <v>45638</v>
      </c>
      <c r="B4662" s="392" t="n">
        <v>11537</v>
      </c>
      <c r="C4662" s="392" t="n">
        <v>84</v>
      </c>
      <c r="D4662" s="392" t="n"/>
      <c r="E4662" s="392" t="n"/>
      <c r="F4662" s="392" t="n"/>
      <c r="G4662" s="392" t="n">
        <v>100</v>
      </c>
      <c r="H4662" s="446">
        <f>H4661-G4662</f>
        <v/>
      </c>
      <c r="I4662" s="392" t="n"/>
      <c r="J4662" s="392" t="n"/>
      <c r="K4662" s="392" t="n"/>
      <c r="L4662" s="392" t="n"/>
      <c r="M4662" s="392" t="n"/>
    </row>
    <row r="4663">
      <c r="A4663" s="568" t="n">
        <v>45638</v>
      </c>
      <c r="B4663" s="392" t="n">
        <v>11538</v>
      </c>
      <c r="C4663" s="392" t="n">
        <v>90</v>
      </c>
      <c r="D4663" s="392" t="n"/>
      <c r="E4663" s="392" t="n"/>
      <c r="F4663" s="392" t="n"/>
      <c r="G4663" s="392" t="n">
        <v>50</v>
      </c>
      <c r="H4663" s="446">
        <f>H4662-G4663</f>
        <v/>
      </c>
      <c r="I4663" s="392" t="n"/>
      <c r="J4663" s="392" t="n"/>
      <c r="K4663" s="392" t="n"/>
      <c r="L4663" s="392" t="n"/>
      <c r="M4663" s="392" t="n"/>
    </row>
    <row r="4664">
      <c r="A4664" s="568" t="n">
        <v>45638</v>
      </c>
      <c r="B4664" s="392" t="n">
        <v>11542</v>
      </c>
      <c r="C4664" s="392" t="n">
        <v>84</v>
      </c>
      <c r="D4664" s="392" t="n"/>
      <c r="E4664" s="392" t="n"/>
      <c r="F4664" s="392" t="n"/>
      <c r="G4664" s="392" t="n">
        <v>80</v>
      </c>
      <c r="H4664" s="446">
        <f>H4663-G4664</f>
        <v/>
      </c>
      <c r="I4664" s="392" t="n"/>
      <c r="J4664" s="392" t="n"/>
      <c r="K4664" s="392" t="n"/>
      <c r="L4664" s="392" t="n"/>
      <c r="M4664" s="392" t="n"/>
    </row>
    <row r="4665">
      <c r="A4665" s="568" t="n">
        <v>45638</v>
      </c>
      <c r="B4665" s="392" t="n">
        <v>11547</v>
      </c>
      <c r="C4665" s="392" t="n">
        <v>84.75</v>
      </c>
      <c r="D4665" s="392" t="n"/>
      <c r="E4665" s="392" t="n"/>
      <c r="F4665" s="392" t="n"/>
      <c r="G4665" s="392" t="n">
        <v>20</v>
      </c>
      <c r="H4665" s="446">
        <f>H4664-G4665</f>
        <v/>
      </c>
      <c r="I4665" s="392" t="n"/>
      <c r="J4665" s="392" t="n"/>
      <c r="K4665" s="392" t="n"/>
      <c r="L4665" s="392" t="n"/>
      <c r="M4665" s="392" t="n"/>
    </row>
    <row r="4666">
      <c r="A4666" s="568" t="n">
        <v>45638</v>
      </c>
      <c r="B4666" s="392" t="n">
        <v>11548</v>
      </c>
      <c r="C4666" s="392" t="n">
        <v>84</v>
      </c>
      <c r="D4666" s="392" t="n"/>
      <c r="E4666" s="392" t="n"/>
      <c r="F4666" s="392" t="n"/>
      <c r="G4666" s="392" t="n">
        <v>15</v>
      </c>
      <c r="H4666" s="446">
        <f>H4665-G4666</f>
        <v/>
      </c>
      <c r="I4666" s="392" t="n"/>
      <c r="J4666" s="392" t="n"/>
      <c r="K4666" s="392" t="n"/>
      <c r="L4666" s="392" t="n"/>
      <c r="M4666" s="392" t="n"/>
    </row>
    <row r="4667">
      <c r="A4667" s="304" t="n">
        <v>46015</v>
      </c>
      <c r="B4667" s="401" t="n">
        <v>3434</v>
      </c>
      <c r="C4667" s="401" t="n">
        <v>7</v>
      </c>
      <c r="D4667" s="401" t="n"/>
      <c r="E4667" s="401" t="n"/>
      <c r="F4667" s="401" t="n">
        <v>1120</v>
      </c>
      <c r="G4667" s="401" t="n"/>
      <c r="H4667" s="322" t="n">
        <v>2768</v>
      </c>
      <c r="I4667" s="392" t="n"/>
      <c r="J4667" s="392" t="n"/>
      <c r="K4667" s="392" t="n"/>
      <c r="L4667" s="392" t="n"/>
      <c r="M4667" s="392" t="n"/>
    </row>
    <row r="4668">
      <c r="A4668" s="568" t="n">
        <v>45640</v>
      </c>
      <c r="B4668" s="392" t="n">
        <v>11548</v>
      </c>
      <c r="C4668" s="392" t="n">
        <v>84</v>
      </c>
      <c r="D4668" s="392" t="n"/>
      <c r="E4668" s="392" t="n"/>
      <c r="F4668" s="392" t="n"/>
      <c r="G4668" s="392" t="n"/>
      <c r="H4668" s="446" t="n">
        <v>2768</v>
      </c>
      <c r="I4668" s="392" t="n"/>
      <c r="J4668" s="392" t="n"/>
      <c r="K4668" s="392" t="n"/>
      <c r="L4668" s="392" t="n"/>
      <c r="M4668" s="392" t="n"/>
    </row>
    <row r="4669">
      <c r="A4669" s="568" t="n">
        <v>45641</v>
      </c>
      <c r="B4669" s="392" t="n">
        <v>11548</v>
      </c>
      <c r="C4669" s="392" t="n">
        <v>84</v>
      </c>
      <c r="D4669" s="392" t="n"/>
      <c r="E4669" s="392" t="n"/>
      <c r="F4669" s="392" t="n"/>
      <c r="G4669" s="392" t="n"/>
      <c r="H4669" s="446" t="n">
        <v>2768</v>
      </c>
      <c r="I4669" s="392" t="n"/>
      <c r="J4669" s="392" t="n"/>
      <c r="K4669" s="392" t="n"/>
      <c r="L4669" s="392" t="n"/>
      <c r="M4669" s="392" t="n"/>
    </row>
    <row r="4670">
      <c r="A4670" s="414" t="n"/>
      <c r="H4670" s="390" t="n"/>
    </row>
    <row r="4671">
      <c r="A4671" s="414" t="n"/>
      <c r="H4671" s="390" t="n"/>
    </row>
    <row r="4672">
      <c r="A4672" s="414" t="n"/>
      <c r="H4672" s="390" t="n"/>
    </row>
    <row r="4673">
      <c r="A4673" s="414" t="n"/>
      <c r="H4673" s="390" t="n"/>
    </row>
    <row r="4674" ht="15.75" customHeight="1" s="436" thickBot="1">
      <c r="A4674" s="414" t="n"/>
      <c r="H4674" s="390" t="n"/>
    </row>
    <row r="4675" ht="32.25" customHeight="1" s="436" thickBot="1">
      <c r="A4675" s="735" t="inlineStr">
        <is>
          <t>Janeiro</t>
        </is>
      </c>
      <c r="B4675" s="697" t="n"/>
      <c r="C4675" s="697" t="n"/>
      <c r="D4675" s="697" t="n"/>
      <c r="E4675" s="697" t="n"/>
      <c r="F4675" s="697" t="n"/>
      <c r="G4675" s="697" t="n"/>
      <c r="H4675" s="697" t="n"/>
      <c r="I4675" s="697" t="n"/>
      <c r="J4675" s="697" t="n"/>
      <c r="K4675" s="697" t="n"/>
      <c r="L4675" s="697" t="n"/>
      <c r="M4675" s="698" t="n"/>
    </row>
    <row r="4676" ht="27" customHeight="1" s="436" thickBot="1">
      <c r="A4676" s="720" t="inlineStr">
        <is>
          <t xml:space="preserve"> FARINHA DE TRIGO TIPO: 1 - 25 KG</t>
        </is>
      </c>
      <c r="B4676" s="697" t="n"/>
      <c r="C4676" s="697" t="n"/>
      <c r="D4676" s="697" t="n"/>
      <c r="E4676" s="697" t="n"/>
      <c r="F4676" s="697" t="n"/>
      <c r="G4676" s="697" t="n"/>
      <c r="H4676" s="697" t="n"/>
      <c r="I4676" s="697" t="n"/>
      <c r="J4676" s="697" t="n"/>
      <c r="K4676" s="697" t="n"/>
      <c r="L4676" s="697" t="n"/>
      <c r="M4676" s="698" t="n"/>
    </row>
    <row r="4677">
      <c r="A4677" s="3" t="inlineStr">
        <is>
          <t>DATA</t>
        </is>
      </c>
      <c r="B4677" s="3" t="inlineStr">
        <is>
          <t>N.F.</t>
        </is>
      </c>
      <c r="C4677" s="3" t="inlineStr">
        <is>
          <t>TIPO</t>
        </is>
      </c>
      <c r="D4677" s="708" t="inlineStr">
        <is>
          <t>PREÇO UNITÁRIO</t>
        </is>
      </c>
      <c r="E4677" s="736" t="n"/>
      <c r="F4677" s="3" t="inlineStr">
        <is>
          <t>QUANTIDADE / KG</t>
        </is>
      </c>
      <c r="G4677" s="737" t="n"/>
      <c r="H4677" s="736" t="n"/>
      <c r="I4677" s="631" t="inlineStr">
        <is>
          <t>PREÇO</t>
        </is>
      </c>
      <c r="J4677" s="631" t="inlineStr">
        <is>
          <t>VALORES</t>
        </is>
      </c>
      <c r="K4677" s="737" t="n"/>
      <c r="L4677" s="736" t="n"/>
      <c r="M4677" s="738" t="n"/>
    </row>
    <row r="4678" ht="15.75" customHeight="1" s="436" thickBot="1">
      <c r="A4678" s="704" t="n"/>
      <c r="B4678" s="704" t="n"/>
      <c r="C4678" s="704" t="n"/>
      <c r="D4678" s="703" t="n"/>
      <c r="E4678" s="701" t="n"/>
      <c r="F4678" s="705" t="n"/>
      <c r="G4678" s="706" t="n"/>
      <c r="H4678" s="707" t="n"/>
      <c r="I4678" s="704" t="n"/>
      <c r="J4678" s="703" t="n"/>
      <c r="L4678" s="701" t="n"/>
      <c r="M4678" s="704" t="n"/>
    </row>
    <row r="4679" ht="15.75" customHeight="1" s="436" thickBot="1">
      <c r="A4679" s="704" t="n"/>
      <c r="B4679" s="704" t="n"/>
      <c r="C4679" s="704" t="n"/>
      <c r="D4679" s="705" t="n"/>
      <c r="E4679" s="707" t="n"/>
      <c r="F4679" s="3" t="inlineStr">
        <is>
          <t>ENTRADA</t>
        </is>
      </c>
      <c r="G4679" s="3" t="inlineStr">
        <is>
          <t>SAÍDA</t>
        </is>
      </c>
      <c r="H4679" s="640" t="n"/>
      <c r="I4679" s="633" t="inlineStr">
        <is>
          <t>MÉDIO</t>
        </is>
      </c>
      <c r="J4679" s="739" t="inlineStr">
        <is>
          <t>SALDO EM 30/11/2017</t>
        </is>
      </c>
      <c r="K4679" s="707" t="n"/>
      <c r="L4679" s="17" t="n"/>
      <c r="M4679" s="740" t="n"/>
    </row>
    <row r="4680" ht="18" customHeight="1" s="436" thickBot="1">
      <c r="A4680" s="695" t="n"/>
      <c r="B4680" s="695" t="n"/>
      <c r="C4680" s="695" t="n"/>
      <c r="D4680" s="3" t="inlineStr">
        <is>
          <t>C/ICMS</t>
        </is>
      </c>
      <c r="E4680" s="3" t="inlineStr">
        <is>
          <t>S/ICMS</t>
        </is>
      </c>
      <c r="F4680" s="695" t="n"/>
      <c r="G4680" s="695" t="n"/>
      <c r="H4680" s="84" t="inlineStr">
        <is>
          <t>Saldo em 31/12/2024</t>
        </is>
      </c>
      <c r="I4680" s="695" t="n"/>
      <c r="J4680" s="645" t="inlineStr">
        <is>
          <t>ENTRADA</t>
        </is>
      </c>
      <c r="K4680" s="633" t="inlineStr">
        <is>
          <t>SAÍDA / CMV</t>
        </is>
      </c>
      <c r="L4680" s="643" t="inlineStr">
        <is>
          <t>SALDO</t>
        </is>
      </c>
      <c r="M4680" s="392" t="n"/>
    </row>
    <row r="4681">
      <c r="A4681" s="392" t="n"/>
      <c r="B4681" s="392" t="n"/>
      <c r="C4681" s="392" t="n"/>
      <c r="D4681" s="392" t="n"/>
      <c r="E4681" s="392" t="n"/>
      <c r="F4681" s="392" t="n"/>
      <c r="G4681" s="392" t="n"/>
      <c r="H4681" s="446" t="n">
        <v>2768</v>
      </c>
      <c r="I4681" s="392" t="n"/>
      <c r="J4681" s="392" t="n"/>
      <c r="K4681" s="392" t="n"/>
      <c r="L4681" s="392" t="n"/>
      <c r="M4681" s="392" t="n"/>
    </row>
    <row r="4682">
      <c r="A4682" s="568" t="n">
        <v>45659</v>
      </c>
      <c r="B4682" s="392" t="n">
        <v>11550</v>
      </c>
      <c r="C4682" s="392" t="n">
        <v>78</v>
      </c>
      <c r="D4682" s="392" t="n"/>
      <c r="E4682" s="392" t="n"/>
      <c r="F4682" s="392" t="n"/>
      <c r="G4682" s="392" t="n">
        <v>10</v>
      </c>
      <c r="H4682" s="446">
        <f>H4681-G4682</f>
        <v/>
      </c>
      <c r="I4682" s="392" t="n"/>
      <c r="J4682" s="392" t="n"/>
      <c r="K4682" s="392" t="n"/>
      <c r="L4682" s="392" t="n"/>
      <c r="M4682" s="392" t="n"/>
    </row>
    <row r="4683">
      <c r="A4683" s="568" t="n">
        <v>45659</v>
      </c>
      <c r="B4683" s="392" t="n">
        <v>11551</v>
      </c>
      <c r="C4683" s="392" t="n">
        <v>84.3</v>
      </c>
      <c r="D4683" s="392" t="n"/>
      <c r="E4683" s="392" t="n"/>
      <c r="F4683" s="392" t="n"/>
      <c r="G4683" s="392" t="n">
        <v>20</v>
      </c>
      <c r="H4683" s="446">
        <f>H4682-G4683</f>
        <v/>
      </c>
      <c r="I4683" s="392" t="n"/>
      <c r="J4683" s="392" t="n"/>
      <c r="K4683" s="392" t="n"/>
      <c r="L4683" s="392" t="n"/>
      <c r="M4683" s="392" t="n"/>
    </row>
    <row r="4684">
      <c r="A4684" s="568" t="n">
        <v>45660</v>
      </c>
      <c r="B4684" s="392" t="n">
        <v>11555</v>
      </c>
      <c r="C4684" s="392" t="n">
        <v>84</v>
      </c>
      <c r="D4684" s="392" t="n"/>
      <c r="E4684" s="392" t="n"/>
      <c r="F4684" s="392" t="n"/>
      <c r="G4684" s="392" t="n">
        <v>15</v>
      </c>
      <c r="H4684" s="446">
        <f>H4683-G4684</f>
        <v/>
      </c>
      <c r="I4684" s="392" t="n"/>
      <c r="J4684" s="392" t="n"/>
      <c r="K4684" s="392" t="n"/>
      <c r="L4684" s="392" t="n"/>
      <c r="M4684" s="392" t="n"/>
    </row>
    <row r="4685">
      <c r="A4685" s="568" t="n">
        <v>45662</v>
      </c>
      <c r="B4685" s="392" t="n">
        <v>11556</v>
      </c>
      <c r="C4685" s="392" t="n">
        <v>92</v>
      </c>
      <c r="D4685" s="392" t="n"/>
      <c r="E4685" s="392" t="n"/>
      <c r="F4685" s="392" t="n"/>
      <c r="G4685" s="392" t="n">
        <v>50</v>
      </c>
      <c r="H4685" s="446">
        <f>H4684-G4685</f>
        <v/>
      </c>
      <c r="I4685" s="392" t="n"/>
      <c r="J4685" s="392" t="n"/>
      <c r="K4685" s="392" t="n"/>
      <c r="L4685" s="392" t="n"/>
      <c r="M4685" s="392" t="n"/>
    </row>
    <row r="4686">
      <c r="A4686" s="568" t="n">
        <v>45664</v>
      </c>
      <c r="B4686" s="392" t="n">
        <v>11557</v>
      </c>
      <c r="C4686" s="392" t="n">
        <v>100</v>
      </c>
      <c r="D4686" s="392" t="n"/>
      <c r="E4686" s="392" t="n"/>
      <c r="F4686" s="392" t="n"/>
      <c r="G4686" s="392" t="n">
        <v>79</v>
      </c>
      <c r="H4686" s="446">
        <f>H4685-G4686</f>
        <v/>
      </c>
      <c r="I4686" s="392" t="n"/>
      <c r="J4686" s="392" t="n"/>
      <c r="K4686" s="392" t="n"/>
      <c r="L4686" s="392" t="n"/>
      <c r="M4686" s="392" t="n"/>
    </row>
    <row r="4687">
      <c r="A4687" s="568" t="n">
        <v>45664</v>
      </c>
      <c r="B4687" s="392" t="n">
        <v>11558</v>
      </c>
      <c r="C4687" s="392" t="n">
        <v>90</v>
      </c>
      <c r="D4687" s="392" t="n"/>
      <c r="E4687" s="392" t="n"/>
      <c r="F4687" s="392" t="n"/>
      <c r="G4687" s="392" t="n">
        <v>30</v>
      </c>
      <c r="H4687" s="446">
        <f>H4686-G4687</f>
        <v/>
      </c>
      <c r="I4687" s="392" t="n"/>
      <c r="J4687" s="392" t="n"/>
      <c r="K4687" s="392" t="n"/>
      <c r="L4687" s="392" t="n"/>
      <c r="M4687" s="392" t="n"/>
    </row>
    <row r="4688">
      <c r="A4688" s="568" t="n">
        <v>45664</v>
      </c>
      <c r="B4688" s="392" t="n">
        <v>11559</v>
      </c>
      <c r="C4688" s="392" t="n">
        <v>84</v>
      </c>
      <c r="D4688" s="392" t="n"/>
      <c r="E4688" s="392" t="n"/>
      <c r="F4688" s="392" t="n"/>
      <c r="G4688" s="392" t="n">
        <v>20</v>
      </c>
      <c r="H4688" s="446">
        <f>H4687-G4688</f>
        <v/>
      </c>
      <c r="I4688" s="392" t="n"/>
      <c r="J4688" s="392" t="n"/>
      <c r="K4688" s="392" t="n"/>
      <c r="L4688" s="392" t="n"/>
      <c r="M4688" s="392" t="n"/>
    </row>
    <row r="4689">
      <c r="A4689" s="568" t="n">
        <v>45664</v>
      </c>
      <c r="B4689" s="392" t="n">
        <v>11566</v>
      </c>
      <c r="C4689" s="392" t="n">
        <v>78</v>
      </c>
      <c r="D4689" s="392" t="n"/>
      <c r="E4689" s="392" t="n"/>
      <c r="F4689" s="392" t="n"/>
      <c r="G4689" s="392" t="n">
        <v>20</v>
      </c>
      <c r="H4689" s="446">
        <f>H4688-G4689</f>
        <v/>
      </c>
      <c r="I4689" s="392" t="n"/>
      <c r="J4689" s="392" t="n"/>
      <c r="K4689" s="392" t="n"/>
      <c r="L4689" s="392" t="n"/>
      <c r="M4689" s="392" t="n"/>
    </row>
    <row r="4690">
      <c r="A4690" s="568" t="n">
        <v>45664</v>
      </c>
      <c r="B4690" s="392" t="n">
        <v>11567</v>
      </c>
      <c r="C4690" s="392" t="n">
        <v>89</v>
      </c>
      <c r="D4690" s="392" t="n"/>
      <c r="E4690" s="392" t="n"/>
      <c r="F4690" s="392" t="n"/>
      <c r="G4690" s="392" t="n">
        <v>20</v>
      </c>
      <c r="H4690" s="446">
        <f>H4689-G4690</f>
        <v/>
      </c>
      <c r="I4690" s="392" t="n"/>
      <c r="J4690" s="392" t="n"/>
      <c r="K4690" s="392" t="n"/>
      <c r="L4690" s="392" t="n"/>
      <c r="M4690" s="392" t="n"/>
    </row>
    <row r="4691">
      <c r="A4691" s="568" t="n">
        <v>45665</v>
      </c>
      <c r="B4691" s="392" t="n">
        <v>11571</v>
      </c>
      <c r="C4691" s="392" t="n">
        <v>84</v>
      </c>
      <c r="D4691" s="392" t="n"/>
      <c r="E4691" s="392" t="n"/>
      <c r="F4691" s="392" t="n"/>
      <c r="G4691" s="392" t="n">
        <v>50</v>
      </c>
      <c r="H4691" s="446">
        <f>H4690-G4691</f>
        <v/>
      </c>
      <c r="I4691" s="392" t="n"/>
      <c r="J4691" s="392" t="n"/>
      <c r="K4691" s="392" t="n"/>
      <c r="L4691" s="392" t="n"/>
      <c r="M4691" s="392" t="n"/>
    </row>
    <row r="4692">
      <c r="A4692" s="568" t="n">
        <v>45665</v>
      </c>
      <c r="B4692" s="392" t="n">
        <v>11573</v>
      </c>
      <c r="C4692" s="392" t="n">
        <v>89</v>
      </c>
      <c r="D4692" s="392" t="n"/>
      <c r="E4692" s="392" t="n"/>
      <c r="F4692" s="392" t="n"/>
      <c r="G4692" s="392" t="n">
        <v>30</v>
      </c>
      <c r="H4692" s="446">
        <f>H4691-G4692</f>
        <v/>
      </c>
      <c r="I4692" s="392" t="n"/>
      <c r="J4692" s="392" t="n"/>
      <c r="K4692" s="392" t="n"/>
      <c r="L4692" s="392" t="n"/>
      <c r="M4692" s="392" t="n"/>
    </row>
    <row r="4693">
      <c r="A4693" s="568" t="n">
        <v>45671</v>
      </c>
      <c r="B4693" s="392" t="n">
        <v>11578</v>
      </c>
      <c r="C4693" s="392" t="n">
        <v>89</v>
      </c>
      <c r="D4693" s="392" t="n"/>
      <c r="E4693" s="392" t="n"/>
      <c r="F4693" s="392" t="n"/>
      <c r="G4693" s="392" t="n">
        <v>30</v>
      </c>
      <c r="H4693" s="446">
        <f>H4692-G4693</f>
        <v/>
      </c>
      <c r="I4693" s="392" t="n"/>
      <c r="J4693" s="392" t="n"/>
      <c r="K4693" s="392" t="n"/>
      <c r="L4693" s="392" t="n"/>
      <c r="M4693" s="392" t="n"/>
    </row>
    <row r="4694">
      <c r="A4694" s="568" t="n">
        <v>45671</v>
      </c>
      <c r="B4694" s="392" t="n">
        <v>11579</v>
      </c>
      <c r="C4694" s="392" t="n">
        <v>92</v>
      </c>
      <c r="D4694" s="392" t="n"/>
      <c r="E4694" s="392" t="n"/>
      <c r="F4694" s="392" t="n"/>
      <c r="G4694" s="392" t="n">
        <v>20</v>
      </c>
      <c r="H4694" s="446">
        <f>H4693-G4694</f>
        <v/>
      </c>
      <c r="I4694" s="392" t="n"/>
      <c r="J4694" s="392" t="n"/>
      <c r="K4694" s="392" t="n"/>
      <c r="L4694" s="392" t="n"/>
      <c r="M4694" s="392" t="n"/>
    </row>
    <row r="4695">
      <c r="A4695" s="568" t="n">
        <v>45672</v>
      </c>
      <c r="B4695" s="392" t="n">
        <v>11581</v>
      </c>
      <c r="C4695" s="392" t="n">
        <v>92</v>
      </c>
      <c r="D4695" s="392" t="n"/>
      <c r="E4695" s="392" t="n"/>
      <c r="F4695" s="392" t="n"/>
      <c r="G4695" s="392" t="n">
        <v>25</v>
      </c>
      <c r="H4695" s="446">
        <f>H4694-G4695</f>
        <v/>
      </c>
      <c r="I4695" s="392" t="n"/>
      <c r="J4695" s="392" t="n"/>
      <c r="K4695" s="392" t="n"/>
      <c r="L4695" s="392" t="n"/>
      <c r="M4695" s="392" t="n"/>
    </row>
    <row r="4696">
      <c r="A4696" s="568" t="n">
        <v>45672</v>
      </c>
      <c r="B4696" s="392" t="n">
        <v>11584</v>
      </c>
      <c r="C4696" s="392" t="n">
        <v>84</v>
      </c>
      <c r="D4696" s="392" t="n"/>
      <c r="E4696" s="392" t="n"/>
      <c r="F4696" s="392" t="n"/>
      <c r="G4696" s="392" t="n">
        <v>20</v>
      </c>
      <c r="H4696" s="446">
        <f>H4695-G4696</f>
        <v/>
      </c>
      <c r="I4696" s="392" t="n"/>
      <c r="J4696" s="392" t="n"/>
      <c r="K4696" s="392" t="n"/>
      <c r="L4696" s="392" t="n"/>
      <c r="M4696" s="392" t="n"/>
    </row>
    <row r="4697">
      <c r="A4697" s="568" t="n">
        <v>45672</v>
      </c>
      <c r="B4697" s="392" t="n">
        <v>11585</v>
      </c>
      <c r="C4697" s="392" t="n">
        <v>84</v>
      </c>
      <c r="D4697" s="392" t="n"/>
      <c r="E4697" s="392" t="n"/>
      <c r="F4697" s="392" t="n"/>
      <c r="G4697" s="392" t="n">
        <v>30</v>
      </c>
      <c r="H4697" s="446">
        <f>H4696-G4697</f>
        <v/>
      </c>
      <c r="I4697" s="392" t="n"/>
      <c r="J4697" s="392" t="n"/>
      <c r="K4697" s="392" t="n"/>
      <c r="L4697" s="392" t="n"/>
      <c r="M4697" s="392" t="n"/>
    </row>
    <row r="4698">
      <c r="A4698" s="568" t="n">
        <v>45674</v>
      </c>
      <c r="B4698" s="392" t="n">
        <v>11587</v>
      </c>
      <c r="C4698" s="392" t="n">
        <v>89</v>
      </c>
      <c r="D4698" s="392" t="n"/>
      <c r="E4698" s="392" t="n"/>
      <c r="F4698" s="392" t="n"/>
      <c r="G4698" s="392" t="n">
        <v>30</v>
      </c>
      <c r="H4698" s="446">
        <f>H4697-G4698</f>
        <v/>
      </c>
      <c r="I4698" s="392" t="n"/>
      <c r="J4698" s="392" t="n"/>
      <c r="K4698" s="392" t="n"/>
      <c r="L4698" s="392" t="n"/>
      <c r="M4698" s="392" t="n"/>
    </row>
    <row r="4699">
      <c r="A4699" s="568" t="n">
        <v>45677</v>
      </c>
      <c r="B4699" s="392" t="n">
        <v>11589</v>
      </c>
      <c r="C4699" s="392" t="n">
        <v>81</v>
      </c>
      <c r="D4699" s="392" t="n"/>
      <c r="E4699" s="392" t="n"/>
      <c r="F4699" s="392" t="n"/>
      <c r="G4699" s="392" t="n">
        <v>200</v>
      </c>
      <c r="H4699" s="446">
        <f>H4698-G4699</f>
        <v/>
      </c>
      <c r="I4699" s="392" t="n"/>
      <c r="J4699" s="392" t="n"/>
      <c r="K4699" s="392" t="n"/>
      <c r="L4699" s="392" t="n"/>
      <c r="M4699" s="392" t="n"/>
    </row>
    <row r="4700">
      <c r="A4700" s="568" t="n">
        <v>45678</v>
      </c>
      <c r="B4700" s="392" t="n">
        <v>11590</v>
      </c>
      <c r="C4700" s="392" t="n">
        <v>84</v>
      </c>
      <c r="D4700" s="392" t="n"/>
      <c r="E4700" s="392" t="n"/>
      <c r="F4700" s="392" t="n"/>
      <c r="G4700" s="392" t="n">
        <v>20</v>
      </c>
      <c r="H4700" s="446">
        <f>H4699-G4700</f>
        <v/>
      </c>
      <c r="I4700" s="392" t="n"/>
      <c r="J4700" s="392" t="n"/>
      <c r="K4700" s="392" t="n"/>
      <c r="L4700" s="392" t="n"/>
      <c r="M4700" s="392" t="n"/>
    </row>
    <row r="4701">
      <c r="A4701" s="568" t="n">
        <v>45678</v>
      </c>
      <c r="B4701" s="392" t="n">
        <v>11592</v>
      </c>
      <c r="C4701" s="392" t="n">
        <v>84</v>
      </c>
      <c r="D4701" s="392" t="n"/>
      <c r="E4701" s="392" t="n"/>
      <c r="F4701" s="392" t="n"/>
      <c r="G4701" s="392" t="n">
        <v>10</v>
      </c>
      <c r="H4701" s="446">
        <f>H4700-G4701</f>
        <v/>
      </c>
      <c r="I4701" s="392" t="n"/>
      <c r="J4701" s="392" t="n"/>
      <c r="K4701" s="392" t="n"/>
      <c r="L4701" s="392" t="n"/>
      <c r="M4701" s="392" t="n"/>
    </row>
    <row r="4702">
      <c r="A4702" s="568" t="n">
        <v>45678</v>
      </c>
      <c r="B4702" s="392" t="n">
        <v>11597</v>
      </c>
      <c r="C4702" s="392" t="n">
        <v>89</v>
      </c>
      <c r="D4702" s="392" t="n"/>
      <c r="E4702" s="392" t="n"/>
      <c r="F4702" s="392" t="n"/>
      <c r="G4702" s="392" t="n">
        <v>50</v>
      </c>
      <c r="H4702" s="446">
        <f>H4701-G4702</f>
        <v/>
      </c>
      <c r="I4702" s="392" t="n"/>
      <c r="J4702" s="392" t="n"/>
      <c r="K4702" s="392" t="n"/>
      <c r="L4702" s="392" t="n"/>
      <c r="M4702" s="392" t="n"/>
    </row>
    <row r="4703">
      <c r="A4703" s="568" t="n">
        <v>45678</v>
      </c>
      <c r="B4703" s="392" t="n">
        <v>11600</v>
      </c>
      <c r="C4703" s="392" t="n">
        <v>92</v>
      </c>
      <c r="D4703" s="392" t="n"/>
      <c r="E4703" s="392" t="n"/>
      <c r="F4703" s="392" t="n"/>
      <c r="G4703" s="392" t="n">
        <v>25</v>
      </c>
      <c r="H4703" s="446">
        <f>H4702-G4703</f>
        <v/>
      </c>
      <c r="I4703" s="392" t="n"/>
      <c r="J4703" s="392" t="n"/>
      <c r="K4703" s="392" t="n"/>
      <c r="L4703" s="392" t="n"/>
      <c r="M4703" s="392" t="n"/>
    </row>
    <row r="4704">
      <c r="A4704" s="568" t="n">
        <v>45678</v>
      </c>
      <c r="B4704" s="392" t="n">
        <v>11603</v>
      </c>
      <c r="C4704" s="392" t="n">
        <v>87</v>
      </c>
      <c r="D4704" s="392" t="n"/>
      <c r="E4704" s="392" t="n"/>
      <c r="F4704" s="392" t="n"/>
      <c r="G4704" s="392" t="n">
        <v>50</v>
      </c>
      <c r="H4704" s="446">
        <f>H4703-G4704</f>
        <v/>
      </c>
      <c r="I4704" s="392" t="n"/>
      <c r="J4704" s="392" t="n"/>
      <c r="K4704" s="392" t="n"/>
      <c r="L4704" s="392" t="n"/>
      <c r="M4704" s="392" t="n"/>
    </row>
    <row r="4705">
      <c r="A4705" s="568" t="n">
        <v>45678</v>
      </c>
      <c r="B4705" s="392" t="n">
        <v>11604</v>
      </c>
      <c r="C4705" s="392" t="n">
        <v>90</v>
      </c>
      <c r="D4705" s="392" t="n"/>
      <c r="E4705" s="392" t="n"/>
      <c r="F4705" s="392" t="n"/>
      <c r="G4705" s="392" t="n">
        <v>30</v>
      </c>
      <c r="H4705" s="446">
        <f>H4704-G4705</f>
        <v/>
      </c>
      <c r="I4705" s="392" t="n"/>
      <c r="J4705" s="392" t="n"/>
      <c r="K4705" s="392" t="n"/>
      <c r="L4705" s="392" t="n"/>
      <c r="M4705" s="392" t="n"/>
    </row>
    <row r="4706">
      <c r="A4706" s="568" t="n">
        <v>45678</v>
      </c>
      <c r="B4706" s="392" t="n">
        <v>11605</v>
      </c>
      <c r="C4706" s="392" t="n">
        <v>85.25</v>
      </c>
      <c r="D4706" s="392" t="n"/>
      <c r="E4706" s="392" t="n"/>
      <c r="F4706" s="392" t="n"/>
      <c r="G4706" s="392" t="n">
        <v>20</v>
      </c>
      <c r="H4706" s="446">
        <f>H4705-G4706</f>
        <v/>
      </c>
      <c r="I4706" s="392" t="n"/>
      <c r="J4706" s="392" t="n"/>
      <c r="K4706" s="392" t="n"/>
      <c r="L4706" s="392" t="n"/>
      <c r="M4706" s="392" t="n"/>
    </row>
    <row r="4707">
      <c r="A4707" s="568" t="n">
        <v>45680</v>
      </c>
      <c r="B4707" s="392" t="n">
        <v>11607</v>
      </c>
      <c r="C4707" s="392" t="n">
        <v>84</v>
      </c>
      <c r="D4707" s="392" t="n"/>
      <c r="E4707" s="392" t="n"/>
      <c r="F4707" s="392" t="n"/>
      <c r="G4707" s="392" t="n">
        <v>40</v>
      </c>
      <c r="H4707" s="446">
        <f>H4706-G4707</f>
        <v/>
      </c>
      <c r="I4707" s="392" t="n"/>
      <c r="J4707" s="392" t="n"/>
      <c r="K4707" s="392" t="n"/>
      <c r="L4707" s="392" t="n"/>
      <c r="M4707" s="392" t="n"/>
    </row>
    <row r="4708">
      <c r="A4708" s="568" t="n">
        <v>45680</v>
      </c>
      <c r="B4708" s="392" t="n">
        <v>11609</v>
      </c>
      <c r="C4708" s="392" t="n">
        <v>84</v>
      </c>
      <c r="D4708" s="392" t="n"/>
      <c r="E4708" s="392" t="n"/>
      <c r="F4708" s="392" t="n"/>
      <c r="G4708" s="392" t="n">
        <v>50</v>
      </c>
      <c r="H4708" s="446">
        <f>H4707-G4708</f>
        <v/>
      </c>
      <c r="I4708" s="392" t="n"/>
      <c r="J4708" s="392" t="n"/>
      <c r="K4708" s="392" t="n"/>
      <c r="L4708" s="392" t="n"/>
      <c r="M4708" s="392" t="n"/>
    </row>
    <row r="4709">
      <c r="A4709" s="568" t="n">
        <v>45686</v>
      </c>
      <c r="B4709" s="392" t="n">
        <v>11613</v>
      </c>
      <c r="C4709" s="392" t="n">
        <v>84.40000000000001</v>
      </c>
      <c r="D4709" s="392" t="n"/>
      <c r="E4709" s="392" t="n"/>
      <c r="F4709" s="392" t="n"/>
      <c r="G4709" s="392" t="n">
        <v>15</v>
      </c>
      <c r="H4709" s="446">
        <f>H4708-G4709</f>
        <v/>
      </c>
      <c r="I4709" s="392" t="n"/>
      <c r="J4709" s="392" t="n"/>
      <c r="K4709" s="392" t="n"/>
      <c r="L4709" s="392" t="n"/>
      <c r="M4709" s="392" t="n"/>
    </row>
    <row r="4710">
      <c r="A4710" s="568" t="n">
        <v>45686</v>
      </c>
      <c r="B4710" s="392" t="n">
        <v>11615</v>
      </c>
      <c r="C4710" s="392" t="n">
        <v>92</v>
      </c>
      <c r="D4710" s="392" t="n"/>
      <c r="E4710" s="392" t="n"/>
      <c r="F4710" s="392" t="n"/>
      <c r="G4710" s="392" t="n">
        <v>20</v>
      </c>
      <c r="H4710" s="446">
        <f>H4709-G4710</f>
        <v/>
      </c>
      <c r="I4710" s="392" t="n"/>
      <c r="J4710" s="392" t="n"/>
      <c r="K4710" s="392" t="n"/>
      <c r="L4710" s="392" t="n"/>
      <c r="M4710" s="392" t="n"/>
    </row>
    <row r="4711">
      <c r="A4711" s="304" t="n">
        <v>45685</v>
      </c>
      <c r="B4711" s="401" t="n">
        <v>3575</v>
      </c>
      <c r="C4711" s="401" t="n">
        <v>80</v>
      </c>
      <c r="D4711" s="401" t="n"/>
      <c r="E4711" s="401" t="n"/>
      <c r="F4711" s="401" t="n">
        <v>1120</v>
      </c>
      <c r="G4711" s="401" t="n"/>
      <c r="H4711" s="322" t="n">
        <v>2859</v>
      </c>
      <c r="I4711" s="392" t="n"/>
      <c r="J4711" s="392" t="n"/>
      <c r="K4711" s="392" t="n"/>
      <c r="L4711" s="392" t="n"/>
      <c r="M4711" s="392" t="n"/>
    </row>
    <row r="4712">
      <c r="A4712" s="568" t="n">
        <v>45686</v>
      </c>
      <c r="B4712" s="392" t="n">
        <v>11616</v>
      </c>
      <c r="C4712" s="392" t="n">
        <v>92</v>
      </c>
      <c r="D4712" s="392" t="n"/>
      <c r="E4712" s="392" t="n"/>
      <c r="F4712" s="392" t="n"/>
      <c r="G4712" s="392" t="n">
        <v>20</v>
      </c>
      <c r="H4712" s="446">
        <f>H4711-G4712</f>
        <v/>
      </c>
      <c r="I4712" s="392" t="n"/>
      <c r="J4712" s="392" t="n"/>
      <c r="K4712" s="392" t="n"/>
      <c r="L4712" s="392" t="n"/>
      <c r="M4712" s="392" t="n"/>
    </row>
    <row r="4713">
      <c r="A4713" s="568" t="n"/>
      <c r="B4713" s="392" t="n"/>
      <c r="C4713" s="392" t="n"/>
      <c r="D4713" s="392" t="n"/>
      <c r="E4713" s="392" t="n"/>
      <c r="F4713" s="392" t="n"/>
      <c r="G4713" s="392" t="n"/>
      <c r="H4713" s="446" t="n"/>
      <c r="I4713" s="392" t="n"/>
      <c r="J4713" s="392" t="n"/>
      <c r="K4713" s="392" t="n"/>
      <c r="L4713" s="392" t="n"/>
      <c r="M4713" s="392" t="n"/>
    </row>
    <row r="4714">
      <c r="A4714" s="568" t="n"/>
      <c r="B4714" s="392" t="n"/>
      <c r="C4714" s="392" t="n"/>
      <c r="D4714" s="392" t="n"/>
      <c r="E4714" s="392" t="n"/>
      <c r="F4714" s="392" t="n"/>
      <c r="G4714" s="392" t="n"/>
      <c r="H4714" s="446" t="n"/>
      <c r="I4714" s="392" t="n"/>
      <c r="J4714" s="392" t="n"/>
      <c r="K4714" s="392" t="n"/>
      <c r="L4714" s="392" t="n"/>
      <c r="M4714" s="392" t="n"/>
    </row>
    <row r="4715">
      <c r="A4715" s="568" t="n"/>
      <c r="B4715" s="392" t="n"/>
      <c r="C4715" s="392" t="n"/>
      <c r="D4715" s="392" t="n"/>
      <c r="E4715" s="392" t="n"/>
      <c r="F4715" s="392" t="n"/>
      <c r="G4715" s="392" t="n"/>
      <c r="H4715" s="446" t="n"/>
      <c r="I4715" s="392" t="n"/>
      <c r="J4715" s="392" t="n"/>
      <c r="K4715" s="392" t="inlineStr">
        <is>
          <t> </t>
        </is>
      </c>
      <c r="L4715" s="392" t="n"/>
      <c r="M4715" s="392" t="n"/>
    </row>
    <row r="4716">
      <c r="A4716" s="414" t="n"/>
      <c r="H4716" s="390" t="n"/>
    </row>
    <row r="4717">
      <c r="A4717" s="414" t="n"/>
      <c r="H4717" s="390" t="n"/>
    </row>
    <row r="4718">
      <c r="A4718" s="414" t="n"/>
      <c r="H4718" s="390" t="n"/>
    </row>
    <row r="4719" ht="15.75" customHeight="1" s="436" thickBot="1">
      <c r="A4719" s="414" t="n"/>
      <c r="H4719" s="390" t="n"/>
    </row>
    <row r="4720" ht="32.25" customHeight="1" s="436" thickBot="1">
      <c r="A4720" s="735" t="inlineStr">
        <is>
          <t>Fevereiro</t>
        </is>
      </c>
      <c r="B4720" s="697" t="n"/>
      <c r="C4720" s="697" t="n"/>
      <c r="D4720" s="697" t="n"/>
      <c r="E4720" s="697" t="n"/>
      <c r="F4720" s="697" t="n"/>
      <c r="G4720" s="697" t="n"/>
      <c r="H4720" s="697" t="n"/>
      <c r="I4720" s="697" t="n"/>
      <c r="J4720" s="697" t="n"/>
      <c r="K4720" s="697" t="n"/>
      <c r="L4720" s="697" t="n"/>
      <c r="M4720" s="698" t="n"/>
    </row>
    <row r="4721" ht="27" customHeight="1" s="436" thickBot="1">
      <c r="A4721" s="720" t="inlineStr">
        <is>
          <t xml:space="preserve"> FARINHA DE TRIGO TIPO: 1 - 25 KG</t>
        </is>
      </c>
      <c r="B4721" s="697" t="n"/>
      <c r="C4721" s="697" t="n"/>
      <c r="D4721" s="697" t="n"/>
      <c r="E4721" s="697" t="n"/>
      <c r="F4721" s="697" t="n"/>
      <c r="G4721" s="697" t="n"/>
      <c r="H4721" s="697" t="n"/>
      <c r="I4721" s="697" t="n"/>
      <c r="J4721" s="697" t="n"/>
      <c r="K4721" s="697" t="n"/>
      <c r="L4721" s="697" t="n"/>
      <c r="M4721" s="698" t="n"/>
    </row>
    <row r="4722">
      <c r="A4722" s="3" t="inlineStr">
        <is>
          <t>DATA</t>
        </is>
      </c>
      <c r="B4722" s="3" t="inlineStr">
        <is>
          <t>N.F.</t>
        </is>
      </c>
      <c r="C4722" s="3" t="inlineStr">
        <is>
          <t>TIPO</t>
        </is>
      </c>
      <c r="D4722" s="708" t="inlineStr">
        <is>
          <t>PREÇO UNITÁRIO</t>
        </is>
      </c>
      <c r="E4722" s="736" t="n"/>
      <c r="F4722" s="3" t="inlineStr">
        <is>
          <t>QUANTIDADE / KG</t>
        </is>
      </c>
      <c r="G4722" s="737" t="n"/>
      <c r="H4722" s="736" t="n"/>
      <c r="I4722" s="631" t="inlineStr">
        <is>
          <t>PREÇO</t>
        </is>
      </c>
      <c r="J4722" s="631" t="inlineStr">
        <is>
          <t>VALORES</t>
        </is>
      </c>
      <c r="K4722" s="737" t="n"/>
      <c r="L4722" s="736" t="n"/>
      <c r="M4722" s="738" t="n"/>
    </row>
    <row r="4723" ht="15.75" customHeight="1" s="436" thickBot="1">
      <c r="A4723" s="704" t="n"/>
      <c r="B4723" s="704" t="n"/>
      <c r="C4723" s="704" t="n"/>
      <c r="D4723" s="703" t="n"/>
      <c r="E4723" s="701" t="n"/>
      <c r="F4723" s="705" t="n"/>
      <c r="G4723" s="706" t="n"/>
      <c r="H4723" s="707" t="n"/>
      <c r="I4723" s="704" t="n"/>
      <c r="J4723" s="703" t="n"/>
      <c r="L4723" s="701" t="n"/>
      <c r="M4723" s="704" t="n"/>
    </row>
    <row r="4724" ht="15.75" customHeight="1" s="436" thickBot="1">
      <c r="A4724" s="704" t="n"/>
      <c r="B4724" s="704" t="n"/>
      <c r="C4724" s="704" t="n"/>
      <c r="D4724" s="705" t="n"/>
      <c r="E4724" s="707" t="n"/>
      <c r="F4724" s="3" t="inlineStr">
        <is>
          <t>ENTRADA</t>
        </is>
      </c>
      <c r="G4724" s="3" t="inlineStr">
        <is>
          <t>SAÍDA</t>
        </is>
      </c>
      <c r="H4724" s="640" t="n"/>
      <c r="I4724" s="633" t="inlineStr">
        <is>
          <t>MÉDIO</t>
        </is>
      </c>
      <c r="J4724" s="739" t="inlineStr">
        <is>
          <t>SALDO EM 30/11/2017</t>
        </is>
      </c>
      <c r="K4724" s="707" t="n"/>
      <c r="L4724" s="17" t="n"/>
      <c r="M4724" s="740" t="n"/>
    </row>
    <row r="4725" ht="18" customHeight="1" s="436" thickBot="1">
      <c r="A4725" s="695" t="n"/>
      <c r="B4725" s="695" t="n"/>
      <c r="C4725" s="695" t="n"/>
      <c r="D4725" s="3" t="inlineStr">
        <is>
          <t>C/ICMS</t>
        </is>
      </c>
      <c r="E4725" s="3" t="inlineStr">
        <is>
          <t>S/ICMS</t>
        </is>
      </c>
      <c r="F4725" s="695" t="n"/>
      <c r="G4725" s="695" t="n"/>
      <c r="H4725" s="84" t="inlineStr">
        <is>
          <t>Saldo em 31/01/2024</t>
        </is>
      </c>
      <c r="I4725" s="695" t="n"/>
      <c r="J4725" s="645" t="inlineStr">
        <is>
          <t>ENTRADA</t>
        </is>
      </c>
      <c r="K4725" s="633" t="inlineStr">
        <is>
          <t>SAÍDA / CMV</t>
        </is>
      </c>
      <c r="L4725" s="643" t="inlineStr">
        <is>
          <t>SALDO</t>
        </is>
      </c>
      <c r="M4725" s="392" t="n"/>
    </row>
    <row r="4726">
      <c r="A4726" s="392" t="n"/>
      <c r="B4726" s="392" t="n"/>
      <c r="C4726" s="392" t="n"/>
      <c r="D4726" s="392" t="n"/>
      <c r="E4726" s="392" t="n"/>
      <c r="F4726" s="392" t="n"/>
      <c r="G4726" s="392" t="n"/>
      <c r="H4726" s="446" t="n">
        <v>2839</v>
      </c>
      <c r="I4726" s="392" t="n"/>
      <c r="J4726" s="392" t="n"/>
      <c r="K4726" s="392" t="n"/>
      <c r="L4726" s="392" t="n"/>
      <c r="M4726" s="392" t="n"/>
    </row>
    <row r="4727">
      <c r="A4727" s="568" t="n">
        <v>45691</v>
      </c>
      <c r="B4727" s="392" t="n">
        <v>11620</v>
      </c>
      <c r="C4727" s="392" t="n">
        <v>87</v>
      </c>
      <c r="D4727" s="392" t="n"/>
      <c r="E4727" s="392" t="n"/>
      <c r="F4727" s="392" t="n"/>
      <c r="G4727" s="392" t="n">
        <v>30</v>
      </c>
      <c r="H4727" s="446">
        <f>H4726-G4727</f>
        <v/>
      </c>
      <c r="I4727" s="392" t="n"/>
      <c r="J4727" s="392" t="n"/>
      <c r="K4727" s="392" t="n"/>
      <c r="L4727" s="392" t="n"/>
      <c r="M4727" s="392" t="n"/>
    </row>
    <row r="4728">
      <c r="A4728" s="568" t="n">
        <v>45691</v>
      </c>
      <c r="B4728" s="392" t="n">
        <v>11622</v>
      </c>
      <c r="C4728" s="392" t="n">
        <v>92</v>
      </c>
      <c r="D4728" s="392" t="n"/>
      <c r="E4728" s="392" t="n"/>
      <c r="F4728" s="392" t="n"/>
      <c r="G4728" s="392" t="n">
        <v>40</v>
      </c>
      <c r="H4728" s="446">
        <f>H4727-G4728</f>
        <v/>
      </c>
      <c r="I4728" s="392" t="n"/>
      <c r="J4728" s="392" t="n"/>
      <c r="K4728" s="392" t="n"/>
      <c r="L4728" s="392" t="n"/>
      <c r="M4728" s="392" t="n"/>
    </row>
    <row r="4729">
      <c r="A4729" s="568" t="n">
        <v>45692</v>
      </c>
      <c r="B4729" s="392" t="n">
        <v>11626</v>
      </c>
      <c r="C4729" s="392" t="n">
        <v>92</v>
      </c>
      <c r="D4729" s="392" t="n"/>
      <c r="E4729" s="392" t="n"/>
      <c r="F4729" s="392" t="n"/>
      <c r="G4729" s="392" t="n">
        <v>25</v>
      </c>
      <c r="H4729" s="446">
        <f>H4728-G4729</f>
        <v/>
      </c>
      <c r="I4729" s="392" t="n"/>
      <c r="J4729" s="392" t="n"/>
      <c r="K4729" s="392" t="n"/>
      <c r="L4729" s="392" t="n"/>
      <c r="M4729" s="392" t="n"/>
    </row>
    <row r="4730">
      <c r="A4730" s="568" t="n">
        <v>45692</v>
      </c>
      <c r="B4730" s="392" t="n">
        <v>11627</v>
      </c>
      <c r="C4730" s="392" t="n">
        <v>84</v>
      </c>
      <c r="D4730" s="392" t="n"/>
      <c r="E4730" s="392" t="n"/>
      <c r="F4730" s="392" t="n"/>
      <c r="G4730" s="392" t="n">
        <v>10</v>
      </c>
      <c r="H4730" s="446">
        <f>H4729-G4730</f>
        <v/>
      </c>
      <c r="I4730" s="392" t="n"/>
      <c r="J4730" s="392" t="n"/>
      <c r="K4730" s="392" t="n"/>
      <c r="L4730" s="392" t="n"/>
      <c r="M4730" s="392" t="n"/>
    </row>
    <row r="4731">
      <c r="A4731" s="568" t="n">
        <v>45692</v>
      </c>
      <c r="B4731" s="392" t="n">
        <v>11628</v>
      </c>
      <c r="C4731" s="392" t="n">
        <v>20</v>
      </c>
      <c r="D4731" s="392" t="n"/>
      <c r="E4731" s="392" t="n"/>
      <c r="F4731" s="392" t="n"/>
      <c r="G4731" s="392" t="n">
        <v>85.7</v>
      </c>
      <c r="H4731" s="446">
        <f>H4730-G4731</f>
        <v/>
      </c>
      <c r="I4731" s="392" t="n"/>
      <c r="J4731" s="392" t="n"/>
      <c r="K4731" s="392" t="n"/>
      <c r="L4731" s="392" t="n"/>
      <c r="M4731" s="392" t="n"/>
    </row>
    <row r="4732">
      <c r="A4732" s="568" t="n">
        <v>45693</v>
      </c>
      <c r="B4732" s="392" t="n">
        <v>11633</v>
      </c>
      <c r="C4732" s="392" t="n">
        <v>84</v>
      </c>
      <c r="D4732" s="392" t="n"/>
      <c r="E4732" s="392" t="n"/>
      <c r="F4732" s="392" t="n"/>
      <c r="G4732" s="392" t="n">
        <v>50</v>
      </c>
      <c r="H4732" s="446">
        <f>H4731-G4732</f>
        <v/>
      </c>
      <c r="I4732" s="392" t="n"/>
      <c r="J4732" s="392" t="n"/>
      <c r="K4732" s="392" t="n"/>
      <c r="L4732" s="392" t="n"/>
      <c r="M4732" s="392" t="n"/>
    </row>
    <row r="4733">
      <c r="A4733" s="568" t="n">
        <v>45697</v>
      </c>
      <c r="B4733" s="392" t="n">
        <v>11634</v>
      </c>
      <c r="C4733" s="392" t="n">
        <v>86.75</v>
      </c>
      <c r="D4733" s="392" t="n"/>
      <c r="E4733" s="392" t="n"/>
      <c r="F4733" s="392" t="n"/>
      <c r="G4733" s="392" t="n">
        <v>80</v>
      </c>
      <c r="H4733" s="446">
        <f>H4732-G4733</f>
        <v/>
      </c>
      <c r="I4733" s="392" t="n"/>
      <c r="J4733" s="392" t="n"/>
      <c r="K4733" s="392" t="n"/>
      <c r="L4733" s="392" t="n"/>
      <c r="M4733" s="392" t="n"/>
    </row>
    <row r="4734">
      <c r="A4734" s="568" t="n">
        <v>45698</v>
      </c>
      <c r="B4734" s="392" t="n">
        <v>11636</v>
      </c>
      <c r="C4734" s="392" t="n">
        <v>84</v>
      </c>
      <c r="D4734" s="392" t="n"/>
      <c r="E4734" s="392" t="n"/>
      <c r="F4734" s="392" t="n"/>
      <c r="G4734" s="392" t="n">
        <v>10</v>
      </c>
      <c r="H4734" s="446">
        <f>H4733-G4734</f>
        <v/>
      </c>
      <c r="I4734" s="392" t="n"/>
      <c r="J4734" s="392" t="n"/>
      <c r="K4734" s="392" t="n"/>
      <c r="L4734" s="392" t="n"/>
      <c r="M4734" s="392" t="n"/>
    </row>
    <row r="4735">
      <c r="A4735" s="568" t="n">
        <v>45698</v>
      </c>
      <c r="B4735" s="392" t="n">
        <v>11637</v>
      </c>
      <c r="C4735" s="392" t="n">
        <v>79</v>
      </c>
      <c r="D4735" s="392" t="n"/>
      <c r="E4735" s="392" t="n"/>
      <c r="F4735" s="392" t="n"/>
      <c r="G4735" s="392" t="n">
        <v>50</v>
      </c>
      <c r="H4735" s="446">
        <f>H4734-G4735</f>
        <v/>
      </c>
      <c r="I4735" s="392" t="n"/>
      <c r="J4735" s="392" t="n"/>
      <c r="K4735" s="392" t="n"/>
      <c r="L4735" s="392" t="n"/>
      <c r="M4735" s="392" t="n"/>
    </row>
    <row r="4736">
      <c r="A4736" s="568" t="n">
        <v>45698</v>
      </c>
      <c r="B4736" s="392" t="n">
        <v>11639</v>
      </c>
      <c r="C4736" s="392" t="n">
        <v>85</v>
      </c>
      <c r="D4736" s="392" t="n"/>
      <c r="E4736" s="392" t="n"/>
      <c r="F4736" s="392" t="n"/>
      <c r="G4736" s="392" t="n">
        <v>15</v>
      </c>
      <c r="H4736" s="446">
        <f>H4735-G4736</f>
        <v/>
      </c>
      <c r="I4736" s="392" t="n"/>
      <c r="J4736" s="392" t="n"/>
      <c r="K4736" s="392" t="n"/>
      <c r="L4736" s="392" t="n"/>
      <c r="M4736" s="392" t="n"/>
    </row>
    <row r="4737">
      <c r="A4737" s="568" t="n">
        <v>45698</v>
      </c>
      <c r="B4737" s="392" t="n">
        <v>11640</v>
      </c>
      <c r="C4737" s="392" t="n">
        <v>84</v>
      </c>
      <c r="D4737" s="392" t="n"/>
      <c r="E4737" s="392" t="n"/>
      <c r="F4737" s="392" t="n"/>
      <c r="G4737" s="392" t="n">
        <v>20</v>
      </c>
      <c r="H4737" s="446">
        <f>H4736-G4737</f>
        <v/>
      </c>
      <c r="I4737" s="392" t="n"/>
      <c r="J4737" s="392" t="n"/>
      <c r="K4737" s="392" t="n"/>
      <c r="L4737" s="392" t="n"/>
      <c r="M4737" s="392" t="n"/>
    </row>
    <row r="4738">
      <c r="A4738" s="568" t="n">
        <v>45698</v>
      </c>
      <c r="B4738" s="392" t="n">
        <v>11641</v>
      </c>
      <c r="C4738" s="392" t="n">
        <v>84</v>
      </c>
      <c r="D4738" s="392" t="n"/>
      <c r="E4738" s="392" t="n"/>
      <c r="F4738" s="392" t="n"/>
      <c r="G4738" s="392" t="n">
        <v>40</v>
      </c>
      <c r="H4738" s="446">
        <f>H4737-G4738</f>
        <v/>
      </c>
      <c r="I4738" s="392" t="n"/>
      <c r="J4738" s="392" t="n"/>
      <c r="K4738" s="392" t="n"/>
      <c r="L4738" s="392" t="n"/>
      <c r="M4738" s="392" t="n"/>
    </row>
    <row r="4739">
      <c r="A4739" s="568" t="n">
        <v>45698</v>
      </c>
      <c r="B4739" s="392" t="n">
        <v>11642</v>
      </c>
      <c r="C4739" s="392" t="n">
        <v>84</v>
      </c>
      <c r="D4739" s="392" t="n"/>
      <c r="E4739" s="392" t="n"/>
      <c r="F4739" s="392" t="n"/>
      <c r="G4739" s="392" t="n">
        <v>20</v>
      </c>
      <c r="H4739" s="446">
        <f>H4738-G4739</f>
        <v/>
      </c>
      <c r="I4739" s="392" t="n"/>
      <c r="J4739" s="392" t="n"/>
      <c r="K4739" s="392" t="n"/>
      <c r="L4739" s="392" t="n"/>
      <c r="M4739" s="392" t="n"/>
    </row>
    <row r="4740">
      <c r="A4740" s="568" t="n">
        <v>45700</v>
      </c>
      <c r="B4740" s="392" t="n">
        <v>11643</v>
      </c>
      <c r="C4740" s="392" t="n">
        <v>92</v>
      </c>
      <c r="D4740" s="392" t="n"/>
      <c r="E4740" s="392" t="n"/>
      <c r="F4740" s="392" t="n"/>
      <c r="G4740" s="392" t="n">
        <v>20</v>
      </c>
      <c r="H4740" s="446">
        <f>H4739-G4740</f>
        <v/>
      </c>
      <c r="I4740" s="392" t="n"/>
      <c r="J4740" s="392" t="n"/>
      <c r="K4740" s="392" t="n"/>
      <c r="L4740" s="392" t="n"/>
      <c r="M4740" s="392" t="n"/>
    </row>
    <row r="4741">
      <c r="A4741" s="568" t="n">
        <v>45700</v>
      </c>
      <c r="B4741" s="392" t="n">
        <v>11645</v>
      </c>
      <c r="C4741" s="392" t="n">
        <v>80</v>
      </c>
      <c r="D4741" s="392" t="n"/>
      <c r="E4741" s="392" t="n"/>
      <c r="F4741" s="392" t="n"/>
      <c r="G4741" s="392" t="n">
        <v>20</v>
      </c>
      <c r="H4741" s="446">
        <f>H4740-G4741</f>
        <v/>
      </c>
      <c r="I4741" s="392" t="n"/>
      <c r="J4741" s="392" t="n"/>
      <c r="K4741" s="392" t="n"/>
      <c r="L4741" s="392" t="n"/>
      <c r="M4741" s="392" t="n"/>
    </row>
    <row r="4742">
      <c r="A4742" s="568" t="n">
        <v>45700</v>
      </c>
      <c r="B4742" s="392" t="n">
        <v>11649</v>
      </c>
      <c r="C4742" s="392" t="n">
        <v>89</v>
      </c>
      <c r="D4742" s="392" t="n"/>
      <c r="E4742" s="392" t="n"/>
      <c r="F4742" s="392" t="n"/>
      <c r="G4742" s="392" t="n">
        <v>50</v>
      </c>
      <c r="H4742" s="446">
        <f>H4741-G4742</f>
        <v/>
      </c>
      <c r="I4742" s="392" t="n"/>
      <c r="J4742" s="392" t="n"/>
      <c r="K4742" s="392" t="n"/>
      <c r="L4742" s="392" t="n"/>
      <c r="M4742" s="392" t="n"/>
    </row>
    <row r="4743">
      <c r="A4743" s="568" t="n">
        <v>45700</v>
      </c>
      <c r="B4743" s="392" t="n">
        <v>11652</v>
      </c>
      <c r="C4743" s="392" t="n">
        <v>84</v>
      </c>
      <c r="D4743" s="392" t="n"/>
      <c r="E4743" s="392" t="n"/>
      <c r="F4743" s="392" t="n"/>
      <c r="G4743" s="392" t="n">
        <v>50</v>
      </c>
      <c r="H4743" s="446">
        <f>H4742-G4743</f>
        <v/>
      </c>
      <c r="I4743" s="392" t="n"/>
      <c r="J4743" s="392" t="n"/>
      <c r="K4743" s="392" t="n"/>
      <c r="L4743" s="392" t="n"/>
      <c r="M4743" s="392" t="n"/>
    </row>
    <row r="4744">
      <c r="A4744" s="304" t="n">
        <v>45703</v>
      </c>
      <c r="B4744" s="401" t="n">
        <v>3659</v>
      </c>
      <c r="C4744" s="401" t="n">
        <v>72</v>
      </c>
      <c r="D4744" s="401" t="n"/>
      <c r="E4744" s="401" t="n"/>
      <c r="F4744" s="401" t="n">
        <v>1120</v>
      </c>
      <c r="G4744" s="401" t="n"/>
      <c r="H4744" s="322" t="n">
        <v>3343</v>
      </c>
      <c r="I4744" s="392" t="n"/>
      <c r="J4744" s="392" t="n"/>
      <c r="K4744" s="392" t="n"/>
      <c r="L4744" s="392" t="n"/>
      <c r="M4744" s="392" t="n"/>
    </row>
    <row r="4745">
      <c r="A4745" s="568" t="n">
        <v>45705</v>
      </c>
      <c r="B4745" s="392" t="n">
        <v>11650</v>
      </c>
      <c r="C4745" s="392" t="n">
        <v>82</v>
      </c>
      <c r="D4745" s="392" t="n"/>
      <c r="E4745" s="392" t="n"/>
      <c r="F4745" s="392" t="n"/>
      <c r="G4745" s="392" t="n">
        <v>50</v>
      </c>
      <c r="H4745" s="446">
        <f>H4744-G4745</f>
        <v/>
      </c>
      <c r="I4745" s="392" t="n"/>
      <c r="J4745" s="392" t="n"/>
      <c r="K4745" s="392" t="n"/>
      <c r="L4745" s="392" t="n"/>
      <c r="M4745" s="392" t="n"/>
    </row>
    <row r="4746">
      <c r="A4746" s="568" t="n">
        <v>45706</v>
      </c>
      <c r="B4746" s="392" t="n">
        <v>11653</v>
      </c>
      <c r="C4746" s="392" t="n">
        <v>87</v>
      </c>
      <c r="D4746" s="392" t="n"/>
      <c r="E4746" s="392" t="n"/>
      <c r="F4746" s="392" t="n"/>
      <c r="G4746" s="392" t="n">
        <v>30</v>
      </c>
      <c r="H4746" s="446">
        <f>H4745-G4746</f>
        <v/>
      </c>
      <c r="I4746" s="392" t="n"/>
      <c r="J4746" s="392" t="n"/>
      <c r="K4746" s="392" t="n"/>
      <c r="L4746" s="392" t="n"/>
      <c r="M4746" s="392" t="n"/>
    </row>
    <row r="4747">
      <c r="A4747" s="568" t="n">
        <v>45707</v>
      </c>
      <c r="B4747" s="392" t="n">
        <v>11654</v>
      </c>
      <c r="C4747" s="392" t="n">
        <v>92</v>
      </c>
      <c r="D4747" s="392" t="n"/>
      <c r="E4747" s="392" t="n"/>
      <c r="F4747" s="392" t="n"/>
      <c r="G4747" s="392" t="n">
        <v>60</v>
      </c>
      <c r="H4747" s="446">
        <f>H4746-G4747</f>
        <v/>
      </c>
      <c r="I4747" s="392" t="n"/>
      <c r="J4747" s="392" t="n"/>
      <c r="K4747" s="392" t="n"/>
      <c r="L4747" s="392" t="n"/>
      <c r="M4747" s="392" t="n"/>
    </row>
    <row r="4748">
      <c r="A4748" s="568" t="n">
        <v>45707</v>
      </c>
      <c r="B4748" s="392" t="n">
        <v>11656</v>
      </c>
      <c r="C4748" s="392" t="n">
        <v>84.09999999999999</v>
      </c>
      <c r="D4748" s="392" t="n"/>
      <c r="E4748" s="392" t="n"/>
      <c r="F4748" s="392" t="n"/>
      <c r="G4748" s="392" t="n">
        <v>11</v>
      </c>
      <c r="H4748" s="446">
        <f>H4747-G4748</f>
        <v/>
      </c>
      <c r="I4748" s="392" t="n"/>
      <c r="J4748" s="392" t="n"/>
      <c r="K4748" s="392" t="n"/>
      <c r="L4748" s="392" t="n"/>
      <c r="M4748" s="392" t="n"/>
    </row>
    <row r="4749">
      <c r="A4749" s="568" t="n">
        <v>45707</v>
      </c>
      <c r="B4749" s="392" t="n">
        <v>11659</v>
      </c>
      <c r="C4749" s="392" t="n">
        <v>81</v>
      </c>
      <c r="D4749" s="392" t="n"/>
      <c r="E4749" s="392" t="n"/>
      <c r="F4749" s="392" t="n"/>
      <c r="G4749" s="392" t="n">
        <v>100</v>
      </c>
      <c r="H4749" s="446">
        <f>H4748-G4749</f>
        <v/>
      </c>
      <c r="I4749" s="392" t="n"/>
      <c r="J4749" s="392" t="n"/>
      <c r="K4749" s="392" t="n"/>
      <c r="L4749" s="392" t="n"/>
      <c r="M4749" s="392" t="n"/>
    </row>
    <row r="4750">
      <c r="A4750" s="568" t="n">
        <v>45707</v>
      </c>
      <c r="B4750" s="392" t="n">
        <v>11660</v>
      </c>
      <c r="C4750" s="392" t="n">
        <v>92</v>
      </c>
      <c r="D4750" s="392" t="n"/>
      <c r="E4750" s="392" t="n"/>
      <c r="F4750" s="392" t="n"/>
      <c r="G4750" s="392" t="n">
        <v>30</v>
      </c>
      <c r="H4750" s="446">
        <f>H4749-G4750</f>
        <v/>
      </c>
      <c r="I4750" s="392" t="n"/>
      <c r="J4750" s="392" t="n"/>
      <c r="K4750" s="392" t="n"/>
      <c r="L4750" s="392" t="n"/>
      <c r="M4750" s="392" t="n"/>
    </row>
    <row r="4751">
      <c r="A4751" s="568" t="n">
        <v>45712</v>
      </c>
      <c r="B4751" s="392" t="n">
        <v>11663</v>
      </c>
      <c r="C4751" s="392" t="n">
        <v>84</v>
      </c>
      <c r="D4751" s="392" t="n"/>
      <c r="E4751" s="392" t="n"/>
      <c r="F4751" s="392" t="n"/>
      <c r="G4751" s="392" t="n">
        <v>20</v>
      </c>
      <c r="H4751" s="446">
        <f>H4750-G4751</f>
        <v/>
      </c>
      <c r="I4751" s="392" t="n"/>
      <c r="J4751" s="392" t="n"/>
      <c r="K4751" s="392" t="n"/>
      <c r="L4751" s="392" t="n"/>
      <c r="M4751" s="392" t="n"/>
    </row>
    <row r="4752">
      <c r="A4752" s="568" t="n">
        <v>45712</v>
      </c>
      <c r="B4752" s="392" t="n">
        <v>11664</v>
      </c>
      <c r="C4752" s="392" t="n">
        <v>84</v>
      </c>
      <c r="D4752" s="392" t="n"/>
      <c r="E4752" s="392" t="n"/>
      <c r="F4752" s="392" t="n"/>
      <c r="G4752" s="392" t="n">
        <v>30</v>
      </c>
      <c r="H4752" s="446">
        <f>H4751-G4752</f>
        <v/>
      </c>
      <c r="I4752" s="392" t="n"/>
      <c r="J4752" s="392" t="n"/>
      <c r="K4752" s="392" t="n"/>
      <c r="L4752" s="392" t="n"/>
      <c r="M4752" s="392" t="n"/>
    </row>
    <row r="4753">
      <c r="A4753" s="568" t="n">
        <v>45712</v>
      </c>
      <c r="B4753" s="392" t="n">
        <v>11666</v>
      </c>
      <c r="C4753" s="392" t="n">
        <v>91.3</v>
      </c>
      <c r="D4753" s="392" t="n"/>
      <c r="E4753" s="392" t="n"/>
      <c r="F4753" s="392" t="n"/>
      <c r="G4753" s="392" t="n">
        <v>20</v>
      </c>
      <c r="H4753" s="446">
        <f>H4752-G4753</f>
        <v/>
      </c>
      <c r="I4753" s="392" t="n"/>
      <c r="J4753" s="392" t="n"/>
      <c r="K4753" s="392" t="n"/>
      <c r="L4753" s="392" t="n"/>
      <c r="M4753" s="392" t="n"/>
    </row>
    <row r="4754">
      <c r="A4754" s="568" t="n">
        <v>45712</v>
      </c>
      <c r="B4754" s="392" t="n">
        <v>11667</v>
      </c>
      <c r="C4754" s="392" t="n">
        <v>92</v>
      </c>
      <c r="D4754" s="392" t="n"/>
      <c r="E4754" s="392" t="n"/>
      <c r="F4754" s="392" t="n"/>
      <c r="G4754" s="392" t="n">
        <v>50</v>
      </c>
      <c r="H4754" s="446">
        <f>H4753-G4754</f>
        <v/>
      </c>
      <c r="I4754" s="392" t="n"/>
      <c r="J4754" s="392" t="n"/>
      <c r="K4754" s="392" t="n"/>
      <c r="L4754" s="392" t="n"/>
      <c r="M4754" s="392" t="n"/>
    </row>
    <row r="4755">
      <c r="A4755" s="568" t="n">
        <v>45713</v>
      </c>
      <c r="B4755" s="392" t="n">
        <v>11670</v>
      </c>
      <c r="C4755" s="392" t="n">
        <v>92</v>
      </c>
      <c r="D4755" s="392" t="n"/>
      <c r="E4755" s="392" t="n"/>
      <c r="F4755" s="392" t="n"/>
      <c r="G4755" s="392" t="n">
        <v>15</v>
      </c>
      <c r="H4755" s="446">
        <f>H4754-G4755</f>
        <v/>
      </c>
      <c r="I4755" s="392" t="n"/>
      <c r="J4755" s="392" t="n"/>
      <c r="K4755" s="392" t="n"/>
      <c r="L4755" s="392" t="n"/>
      <c r="M4755" s="392" t="n"/>
    </row>
    <row r="4756">
      <c r="A4756" s="568" t="n">
        <v>45713</v>
      </c>
      <c r="B4756" s="392" t="n">
        <v>11671</v>
      </c>
      <c r="C4756" s="392" t="n">
        <v>85.92</v>
      </c>
      <c r="D4756" s="392" t="n"/>
      <c r="E4756" s="392" t="n"/>
      <c r="F4756" s="392" t="n"/>
      <c r="G4756" s="392" t="n">
        <v>23</v>
      </c>
      <c r="H4756" s="446">
        <f>H4755-G4756</f>
        <v/>
      </c>
      <c r="I4756" s="392" t="n"/>
      <c r="J4756" s="392" t="n"/>
      <c r="K4756" s="392" t="n"/>
      <c r="L4756" s="392" t="n"/>
      <c r="M4756" s="392" t="n"/>
    </row>
    <row r="4757">
      <c r="A4757" s="568" t="n">
        <v>45713</v>
      </c>
      <c r="B4757" s="392" t="n">
        <v>11675</v>
      </c>
      <c r="C4757" s="392" t="n">
        <v>84</v>
      </c>
      <c r="D4757" s="392" t="n"/>
      <c r="E4757" s="392" t="n"/>
      <c r="F4757" s="392" t="n"/>
      <c r="G4757" s="392" t="n">
        <v>40</v>
      </c>
      <c r="H4757" s="446">
        <f>H4756-G4757</f>
        <v/>
      </c>
      <c r="I4757" s="392" t="n"/>
      <c r="J4757" s="392" t="n"/>
      <c r="K4757" s="392" t="n"/>
      <c r="L4757" s="392" t="n"/>
      <c r="M4757" s="392" t="n"/>
    </row>
    <row r="4758">
      <c r="A4758" s="568" t="n">
        <v>45713</v>
      </c>
      <c r="B4758" s="392" t="n">
        <v>11676</v>
      </c>
      <c r="C4758" s="392" t="n">
        <v>82.5</v>
      </c>
      <c r="D4758" s="392" t="n"/>
      <c r="E4758" s="392" t="n"/>
      <c r="F4758" s="392" t="n"/>
      <c r="G4758" s="392" t="n">
        <v>30</v>
      </c>
      <c r="H4758" s="446">
        <f>H4757-G4758</f>
        <v/>
      </c>
      <c r="I4758" s="392" t="n"/>
      <c r="J4758" s="392" t="n"/>
      <c r="K4758" s="392" t="n"/>
      <c r="L4758" s="392" t="n"/>
      <c r="M4758" s="392" t="n"/>
    </row>
    <row r="4759" ht="15.75" customHeight="1" s="436" thickBot="1">
      <c r="A4759" s="414" t="n"/>
      <c r="H4759" s="390" t="n"/>
    </row>
    <row r="4760" ht="32.25" customHeight="1" s="436" thickBot="1">
      <c r="A4760" s="735" t="inlineStr">
        <is>
          <t>Março</t>
        </is>
      </c>
      <c r="B4760" s="697" t="n"/>
      <c r="C4760" s="697" t="n"/>
      <c r="D4760" s="697" t="n"/>
      <c r="E4760" s="697" t="n"/>
      <c r="F4760" s="697" t="n"/>
      <c r="G4760" s="697" t="n"/>
      <c r="H4760" s="697" t="n"/>
      <c r="I4760" s="697" t="n"/>
      <c r="J4760" s="697" t="n"/>
      <c r="K4760" s="697" t="n"/>
      <c r="L4760" s="697" t="n"/>
      <c r="M4760" s="698" t="n"/>
    </row>
    <row r="4761" ht="27" customHeight="1" s="436" thickBot="1">
      <c r="A4761" s="720" t="inlineStr">
        <is>
          <t xml:space="preserve"> FARINHA DE TRIGO TIPO: 1 - 25 KG</t>
        </is>
      </c>
      <c r="B4761" s="697" t="n"/>
      <c r="C4761" s="697" t="n"/>
      <c r="D4761" s="697" t="n"/>
      <c r="E4761" s="697" t="n"/>
      <c r="F4761" s="697" t="n"/>
      <c r="G4761" s="697" t="n"/>
      <c r="H4761" s="697" t="n"/>
      <c r="I4761" s="697" t="n"/>
      <c r="J4761" s="697" t="n"/>
      <c r="K4761" s="697" t="n"/>
      <c r="L4761" s="697" t="n"/>
      <c r="M4761" s="698" t="n"/>
    </row>
    <row r="4762">
      <c r="A4762" s="3" t="inlineStr">
        <is>
          <t>DATA</t>
        </is>
      </c>
      <c r="B4762" s="3" t="inlineStr">
        <is>
          <t>N.F.</t>
        </is>
      </c>
      <c r="C4762" s="3" t="inlineStr">
        <is>
          <t>TIPO</t>
        </is>
      </c>
      <c r="D4762" s="708" t="inlineStr">
        <is>
          <t>PREÇO UNITÁRIO</t>
        </is>
      </c>
      <c r="E4762" s="736" t="n"/>
      <c r="F4762" s="3" t="inlineStr">
        <is>
          <t>QUANTIDADE / KG</t>
        </is>
      </c>
      <c r="G4762" s="737" t="n"/>
      <c r="H4762" s="736" t="n"/>
      <c r="I4762" s="631" t="inlineStr">
        <is>
          <t>PREÇO</t>
        </is>
      </c>
      <c r="J4762" s="631" t="inlineStr">
        <is>
          <t>VALORES</t>
        </is>
      </c>
      <c r="K4762" s="737" t="n"/>
      <c r="L4762" s="736" t="n"/>
      <c r="M4762" s="738" t="n"/>
    </row>
    <row r="4763" ht="15.75" customHeight="1" s="436" thickBot="1">
      <c r="A4763" s="704" t="n"/>
      <c r="B4763" s="704" t="n"/>
      <c r="C4763" s="704" t="n"/>
      <c r="D4763" s="703" t="n"/>
      <c r="E4763" s="701" t="n"/>
      <c r="F4763" s="705" t="n"/>
      <c r="G4763" s="706" t="n"/>
      <c r="H4763" s="707" t="n"/>
      <c r="I4763" s="704" t="n"/>
      <c r="J4763" s="703" t="n"/>
      <c r="L4763" s="701" t="n"/>
      <c r="M4763" s="704" t="n"/>
    </row>
    <row r="4764" ht="15.75" customHeight="1" s="436" thickBot="1">
      <c r="A4764" s="704" t="n"/>
      <c r="B4764" s="704" t="n"/>
      <c r="C4764" s="704" t="n"/>
      <c r="D4764" s="705" t="n"/>
      <c r="E4764" s="707" t="n"/>
      <c r="F4764" s="3" t="inlineStr">
        <is>
          <t>ENTRADA</t>
        </is>
      </c>
      <c r="G4764" s="3" t="inlineStr">
        <is>
          <t>SAÍDA</t>
        </is>
      </c>
      <c r="H4764" s="640" t="n"/>
      <c r="I4764" s="633" t="inlineStr">
        <is>
          <t>MÉDIO</t>
        </is>
      </c>
      <c r="J4764" s="739" t="inlineStr">
        <is>
          <t>SALDO EM 30/11/2017</t>
        </is>
      </c>
      <c r="K4764" s="707" t="n"/>
      <c r="L4764" s="17" t="n"/>
      <c r="M4764" s="740" t="n"/>
    </row>
    <row r="4765" ht="18" customHeight="1" s="436" thickBot="1">
      <c r="A4765" s="695" t="n"/>
      <c r="B4765" s="695" t="n"/>
      <c r="C4765" s="695" t="n"/>
      <c r="D4765" s="3" t="inlineStr">
        <is>
          <t>C/ICMS</t>
        </is>
      </c>
      <c r="E4765" s="3" t="inlineStr">
        <is>
          <t>S/ICMS</t>
        </is>
      </c>
      <c r="F4765" s="695" t="n"/>
      <c r="G4765" s="695" t="n"/>
      <c r="H4765" s="84" t="inlineStr">
        <is>
          <t>Saldo em 28/02/2024</t>
        </is>
      </c>
      <c r="I4765" s="695" t="n"/>
      <c r="J4765" s="645" t="inlineStr">
        <is>
          <t>ENTRADA</t>
        </is>
      </c>
      <c r="K4765" s="633" t="inlineStr">
        <is>
          <t>SAÍDA / CMV</t>
        </is>
      </c>
      <c r="L4765" s="643" t="inlineStr">
        <is>
          <t>SALDO</t>
        </is>
      </c>
      <c r="M4765" s="392" t="n"/>
    </row>
    <row r="4766">
      <c r="A4766" s="392" t="n"/>
      <c r="B4766" s="392" t="n"/>
      <c r="C4766" s="392" t="n"/>
      <c r="D4766" s="392" t="n"/>
      <c r="E4766" s="392" t="n"/>
      <c r="F4766" s="392" t="n"/>
      <c r="G4766" s="392" t="n"/>
      <c r="H4766" s="446" t="n">
        <v>2834</v>
      </c>
      <c r="I4766" s="392" t="n"/>
      <c r="J4766" s="392" t="n"/>
      <c r="K4766" s="392" t="n"/>
      <c r="L4766" s="392" t="n"/>
      <c r="M4766" s="392" t="n"/>
    </row>
    <row r="4767">
      <c r="A4767" s="568" t="n">
        <v>45721</v>
      </c>
      <c r="B4767" s="392" t="n">
        <v>11678</v>
      </c>
      <c r="C4767" s="392" t="n">
        <v>87</v>
      </c>
      <c r="D4767" s="392" t="n"/>
      <c r="E4767" s="392" t="n"/>
      <c r="F4767" s="392" t="n"/>
      <c r="G4767" s="392" t="n">
        <v>30</v>
      </c>
      <c r="H4767" s="446">
        <f>H4766-G4767</f>
        <v/>
      </c>
      <c r="I4767" s="392" t="n"/>
      <c r="J4767" s="392" t="n"/>
      <c r="K4767" s="392" t="n"/>
      <c r="L4767" s="392" t="n"/>
      <c r="M4767" s="392" t="n"/>
    </row>
    <row r="4768">
      <c r="A4768" s="568" t="n">
        <v>45721</v>
      </c>
      <c r="B4768" s="392" t="n">
        <v>11680</v>
      </c>
      <c r="C4768" s="392" t="n">
        <v>89</v>
      </c>
      <c r="D4768" s="392" t="n"/>
      <c r="E4768" s="392" t="n"/>
      <c r="F4768" s="392" t="n"/>
      <c r="G4768" s="392" t="n">
        <v>20</v>
      </c>
      <c r="H4768" s="446">
        <f>H4767-G4768</f>
        <v/>
      </c>
      <c r="I4768" s="392" t="n"/>
      <c r="J4768" s="392" t="n"/>
      <c r="K4768" s="392" t="n"/>
      <c r="L4768" s="392" t="n"/>
      <c r="M4768" s="392" t="n"/>
    </row>
    <row r="4769">
      <c r="A4769" s="568" t="n">
        <v>45721</v>
      </c>
      <c r="B4769" s="392" t="n">
        <v>11682</v>
      </c>
      <c r="C4769" s="392" t="n">
        <v>84</v>
      </c>
      <c r="D4769" s="392" t="n"/>
      <c r="E4769" s="392" t="n"/>
      <c r="F4769" s="392" t="n"/>
      <c r="G4769" s="392" t="n">
        <v>50</v>
      </c>
      <c r="H4769" s="446">
        <f>H4768-G4769</f>
        <v/>
      </c>
      <c r="I4769" s="392" t="n"/>
      <c r="J4769" s="392" t="n"/>
      <c r="K4769" s="392" t="n"/>
      <c r="L4769" s="392" t="n"/>
      <c r="M4769" s="392" t="n"/>
    </row>
    <row r="4770">
      <c r="A4770" s="568" t="n">
        <v>45721</v>
      </c>
      <c r="B4770" s="392" t="n">
        <v>11683</v>
      </c>
      <c r="C4770" s="392" t="n">
        <v>84</v>
      </c>
      <c r="D4770" s="392" t="n"/>
      <c r="E4770" s="392" t="n"/>
      <c r="F4770" s="392" t="n"/>
      <c r="G4770" s="392" t="n">
        <v>20</v>
      </c>
      <c r="H4770" s="446">
        <f>H4769-G4770</f>
        <v/>
      </c>
      <c r="I4770" s="392" t="n"/>
      <c r="J4770" s="392" t="n"/>
      <c r="K4770" s="392" t="n"/>
      <c r="L4770" s="392" t="n"/>
      <c r="M4770" s="392" t="n"/>
    </row>
    <row r="4771">
      <c r="A4771" s="568" t="n">
        <v>45721</v>
      </c>
      <c r="B4771" s="392" t="n">
        <v>11684</v>
      </c>
      <c r="C4771" s="392" t="n">
        <v>90</v>
      </c>
      <c r="D4771" s="392" t="n"/>
      <c r="E4771" s="392" t="n"/>
      <c r="F4771" s="392" t="n"/>
      <c r="G4771" s="392" t="n">
        <v>40</v>
      </c>
      <c r="H4771" s="446">
        <f>H4770-G4771</f>
        <v/>
      </c>
      <c r="I4771" s="392" t="n"/>
      <c r="J4771" s="392" t="n"/>
      <c r="K4771" s="392" t="n"/>
      <c r="L4771" s="392" t="n"/>
      <c r="M4771" s="392" t="n"/>
    </row>
    <row r="4772">
      <c r="A4772" s="568" t="n">
        <v>45721</v>
      </c>
      <c r="B4772" s="392" t="n">
        <v>11685</v>
      </c>
      <c r="C4772" s="392" t="n">
        <v>84.34</v>
      </c>
      <c r="D4772" s="392" t="n"/>
      <c r="E4772" s="392" t="n"/>
      <c r="F4772" s="392" t="n"/>
      <c r="G4772" s="392" t="n">
        <v>15</v>
      </c>
      <c r="H4772" s="446">
        <f>H4771-G4772</f>
        <v/>
      </c>
      <c r="I4772" s="392" t="n"/>
      <c r="J4772" s="392" t="n"/>
      <c r="K4772" s="392" t="n"/>
      <c r="L4772" s="392" t="n"/>
      <c r="M4772" s="392" t="n"/>
    </row>
    <row r="4773">
      <c r="A4773" s="568" t="n">
        <v>45727</v>
      </c>
      <c r="B4773" s="392" t="n">
        <v>11686</v>
      </c>
      <c r="C4773" s="392" t="n">
        <v>92</v>
      </c>
      <c r="D4773" s="392" t="n"/>
      <c r="E4773" s="392" t="n"/>
      <c r="F4773" s="392" t="n"/>
      <c r="G4773" s="392" t="n">
        <v>20</v>
      </c>
      <c r="H4773" s="446">
        <f>H4772-G4773</f>
        <v/>
      </c>
      <c r="I4773" s="392" t="n"/>
      <c r="J4773" s="392" t="n"/>
      <c r="K4773" s="392" t="n"/>
      <c r="L4773" s="392" t="n"/>
      <c r="M4773" s="392" t="n"/>
    </row>
    <row r="4774">
      <c r="A4774" s="568" t="n">
        <v>45727</v>
      </c>
      <c r="B4774" s="392" t="n">
        <v>11689</v>
      </c>
      <c r="C4774" s="392" t="n">
        <v>92</v>
      </c>
      <c r="D4774" s="392" t="n"/>
      <c r="E4774" s="392" t="n"/>
      <c r="F4774" s="392" t="n"/>
      <c r="G4774" s="392" t="n">
        <v>60</v>
      </c>
      <c r="H4774" s="446">
        <f>H4773-G4774</f>
        <v/>
      </c>
      <c r="I4774" s="392" t="n"/>
      <c r="J4774" s="392" t="n"/>
      <c r="K4774" s="392" t="n"/>
      <c r="L4774" s="392" t="n"/>
      <c r="M4774" s="392" t="n"/>
    </row>
    <row r="4775">
      <c r="A4775" s="568" t="n">
        <v>45727</v>
      </c>
      <c r="B4775" s="392" t="n">
        <v>11690</v>
      </c>
      <c r="C4775" s="392" t="n">
        <v>83.92</v>
      </c>
      <c r="D4775" s="392" t="n"/>
      <c r="E4775" s="392" t="n"/>
      <c r="F4775" s="392" t="n"/>
      <c r="G4775" s="392" t="n">
        <v>50</v>
      </c>
      <c r="H4775" s="446">
        <f>H4774-G4775</f>
        <v/>
      </c>
      <c r="I4775" s="392" t="n"/>
      <c r="J4775" s="392" t="n"/>
      <c r="K4775" s="392" t="n"/>
      <c r="L4775" s="392" t="n"/>
      <c r="M4775" s="392" t="n"/>
    </row>
    <row r="4776">
      <c r="A4776" s="568" t="n">
        <v>45727</v>
      </c>
      <c r="B4776" s="392" t="n">
        <v>11691</v>
      </c>
      <c r="C4776" s="392" t="n">
        <v>81</v>
      </c>
      <c r="D4776" s="392" t="n"/>
      <c r="E4776" s="392" t="n"/>
      <c r="F4776" s="392" t="n"/>
      <c r="G4776" s="392" t="n">
        <v>100</v>
      </c>
      <c r="H4776" s="446">
        <f>H4775-G4776</f>
        <v/>
      </c>
      <c r="I4776" s="392" t="n"/>
      <c r="J4776" s="392" t="n"/>
      <c r="K4776" s="392" t="n"/>
      <c r="L4776" s="392" t="n"/>
      <c r="M4776" s="392" t="n"/>
    </row>
    <row r="4777">
      <c r="A4777" s="304" t="n">
        <v>45727</v>
      </c>
      <c r="B4777" s="401" t="n">
        <v>3837</v>
      </c>
      <c r="C4777" s="401" t="n"/>
      <c r="D4777" s="401" t="n"/>
      <c r="E4777" s="401" t="n"/>
      <c r="F4777" s="401" t="n">
        <v>1120</v>
      </c>
      <c r="G4777" s="401" t="n"/>
      <c r="H4777" s="322" t="n">
        <v>3549</v>
      </c>
      <c r="I4777" s="392" t="n"/>
      <c r="J4777" s="392" t="n"/>
      <c r="K4777" s="392" t="n"/>
      <c r="L4777" s="392" t="n"/>
      <c r="M4777" s="392" t="n"/>
    </row>
    <row r="4778">
      <c r="A4778" s="568" t="n">
        <v>45728</v>
      </c>
      <c r="B4778" s="392" t="n">
        <v>11692</v>
      </c>
      <c r="C4778" s="392" t="n">
        <v>84</v>
      </c>
      <c r="D4778" s="392" t="n"/>
      <c r="E4778" s="392" t="n"/>
      <c r="F4778" s="392" t="n"/>
      <c r="G4778" s="392" t="n">
        <v>20</v>
      </c>
      <c r="H4778" s="446">
        <f>H4777-G4778</f>
        <v/>
      </c>
      <c r="I4778" s="392" t="n"/>
      <c r="J4778" s="392" t="n"/>
      <c r="K4778" s="392" t="n"/>
      <c r="L4778" s="392" t="n"/>
      <c r="M4778" s="392" t="n"/>
    </row>
    <row r="4779">
      <c r="A4779" s="568" t="n">
        <v>45728</v>
      </c>
      <c r="B4779" s="392" t="n">
        <v>11693</v>
      </c>
      <c r="C4779" s="392" t="n">
        <v>92</v>
      </c>
      <c r="D4779" s="392" t="n"/>
      <c r="E4779" s="392" t="n"/>
      <c r="F4779" s="392" t="n"/>
      <c r="G4779" s="392" t="n">
        <v>20</v>
      </c>
      <c r="H4779" s="446">
        <f>H4778-G4779</f>
        <v/>
      </c>
      <c r="I4779" s="392" t="n"/>
      <c r="J4779" s="392" t="n"/>
      <c r="K4779" s="392" t="n"/>
      <c r="L4779" s="392" t="n"/>
      <c r="M4779" s="392" t="n"/>
    </row>
    <row r="4780">
      <c r="A4780" s="568" t="n">
        <v>45728</v>
      </c>
      <c r="B4780" s="392" t="n">
        <v>11694</v>
      </c>
      <c r="C4780" s="392" t="n">
        <v>85</v>
      </c>
      <c r="D4780" s="392" t="n"/>
      <c r="E4780" s="392" t="n"/>
      <c r="F4780" s="392" t="n"/>
      <c r="G4780" s="392" t="n">
        <v>15</v>
      </c>
      <c r="H4780" s="446">
        <f>H4779-G4780</f>
        <v/>
      </c>
      <c r="I4780" s="392" t="n"/>
      <c r="J4780" s="392" t="n"/>
      <c r="K4780" s="392" t="n"/>
      <c r="L4780" s="392" t="n"/>
      <c r="M4780" s="392" t="n"/>
    </row>
    <row r="4781">
      <c r="A4781" s="568" t="n">
        <v>45728</v>
      </c>
      <c r="B4781" s="392" t="n">
        <v>11700</v>
      </c>
      <c r="C4781" s="392" t="n">
        <v>89</v>
      </c>
      <c r="D4781" s="392" t="n"/>
      <c r="E4781" s="392" t="n"/>
      <c r="F4781" s="392" t="n"/>
      <c r="G4781" s="392" t="n">
        <v>30</v>
      </c>
      <c r="H4781" s="446">
        <f>H4780-G4781</f>
        <v/>
      </c>
      <c r="I4781" s="392" t="n"/>
      <c r="J4781" s="392" t="n"/>
      <c r="K4781" s="392" t="n"/>
      <c r="L4781" s="392" t="n"/>
      <c r="M4781" s="392" t="n"/>
    </row>
    <row r="4782">
      <c r="A4782" s="568" t="n">
        <v>45734</v>
      </c>
      <c r="B4782" s="392" t="n">
        <v>11702</v>
      </c>
      <c r="C4782" s="392" t="n">
        <v>84</v>
      </c>
      <c r="D4782" s="392" t="n"/>
      <c r="E4782" s="392" t="n"/>
      <c r="F4782" s="392" t="n"/>
      <c r="G4782" s="392" t="n">
        <v>20</v>
      </c>
      <c r="H4782" s="446">
        <f>H4781-G4782</f>
        <v/>
      </c>
      <c r="I4782" s="392" t="n"/>
      <c r="J4782" s="392" t="n"/>
      <c r="K4782" s="392" t="n"/>
      <c r="L4782" s="392" t="n"/>
      <c r="M4782" s="392" t="n"/>
    </row>
    <row r="4783">
      <c r="A4783" s="568" t="n">
        <v>45734</v>
      </c>
      <c r="B4783" s="392" t="n">
        <v>11705</v>
      </c>
      <c r="C4783" s="392" t="n">
        <v>92</v>
      </c>
      <c r="D4783" s="392" t="n"/>
      <c r="E4783" s="392" t="n"/>
      <c r="F4783" s="392" t="n"/>
      <c r="G4783" s="392" t="n">
        <v>20</v>
      </c>
      <c r="H4783" s="446">
        <f>H4782-G4783</f>
        <v/>
      </c>
      <c r="I4783" s="392" t="n"/>
      <c r="J4783" s="392" t="n"/>
      <c r="K4783" s="392" t="n"/>
      <c r="L4783" s="392" t="n"/>
      <c r="M4783" s="392" t="n"/>
    </row>
    <row r="4784">
      <c r="A4784" s="568" t="n">
        <v>45734</v>
      </c>
      <c r="B4784" s="392" t="n">
        <v>11706</v>
      </c>
      <c r="C4784" s="392" t="n">
        <v>84</v>
      </c>
      <c r="D4784" s="392" t="n"/>
      <c r="E4784" s="392" t="n"/>
      <c r="F4784" s="392" t="n"/>
      <c r="G4784" s="392" t="n">
        <v>20</v>
      </c>
      <c r="H4784" s="446">
        <f>H4783-G4784</f>
        <v/>
      </c>
      <c r="I4784" s="392" t="n"/>
      <c r="J4784" s="392" t="n"/>
      <c r="K4784" s="392" t="n"/>
      <c r="L4784" s="392" t="n"/>
      <c r="M4784" s="392" t="n"/>
    </row>
    <row r="4785">
      <c r="A4785" s="568" t="n">
        <v>45734</v>
      </c>
      <c r="B4785" s="392" t="n">
        <v>11707</v>
      </c>
      <c r="C4785" s="392" t="n">
        <v>82</v>
      </c>
      <c r="D4785" s="392" t="n"/>
      <c r="E4785" s="392" t="n"/>
      <c r="F4785" s="392" t="n"/>
      <c r="G4785" s="392" t="n">
        <v>25</v>
      </c>
      <c r="H4785" s="446">
        <f>H4784-G4785</f>
        <v/>
      </c>
      <c r="I4785" s="392" t="n"/>
      <c r="J4785" s="392" t="n"/>
      <c r="K4785" s="392" t="n"/>
      <c r="L4785" s="392" t="n"/>
      <c r="M4785" s="392" t="n"/>
    </row>
    <row r="4786">
      <c r="A4786" s="568" t="n">
        <v>45734</v>
      </c>
      <c r="B4786" s="392" t="n">
        <v>11709</v>
      </c>
      <c r="C4786" s="392" t="n">
        <v>92</v>
      </c>
      <c r="D4786" s="392" t="n"/>
      <c r="E4786" s="392" t="n"/>
      <c r="F4786" s="392" t="n"/>
      <c r="G4786" s="392" t="n">
        <v>20</v>
      </c>
      <c r="H4786" s="446">
        <f>H4785-G4786</f>
        <v/>
      </c>
      <c r="I4786" s="392" t="n"/>
      <c r="J4786" s="392" t="n"/>
      <c r="K4786" s="392" t="n"/>
      <c r="L4786" s="392" t="n"/>
      <c r="M4786" s="392" t="n"/>
    </row>
    <row r="4787">
      <c r="A4787" s="568" t="n">
        <v>45735</v>
      </c>
      <c r="B4787" s="392" t="n">
        <v>11713</v>
      </c>
      <c r="C4787" s="392" t="n">
        <v>84</v>
      </c>
      <c r="D4787" s="392" t="n"/>
      <c r="E4787" s="392" t="n"/>
      <c r="F4787" s="392" t="n"/>
      <c r="G4787" s="392" t="n">
        <v>50</v>
      </c>
      <c r="H4787" s="446">
        <f>H4786-G4787</f>
        <v/>
      </c>
      <c r="I4787" s="392" t="n"/>
      <c r="J4787" s="392" t="n"/>
      <c r="K4787" s="392" t="n"/>
      <c r="L4787" s="392" t="n"/>
      <c r="M4787" s="392" t="n"/>
    </row>
    <row r="4788">
      <c r="A4788" s="568" t="n">
        <v>45735</v>
      </c>
      <c r="B4788" s="392" t="n">
        <v>11714</v>
      </c>
      <c r="C4788" s="392" t="n">
        <v>84</v>
      </c>
      <c r="D4788" s="392" t="n"/>
      <c r="E4788" s="392" t="n"/>
      <c r="F4788" s="392" t="n"/>
      <c r="G4788" s="392" t="n">
        <v>50</v>
      </c>
      <c r="H4788" s="446">
        <f>H4787-G4788</f>
        <v/>
      </c>
      <c r="I4788" s="392" t="n"/>
      <c r="J4788" s="392" t="n"/>
      <c r="K4788" s="392" t="n"/>
      <c r="L4788" s="392" t="n"/>
      <c r="M4788" s="392" t="n"/>
    </row>
    <row r="4789">
      <c r="A4789" s="568" t="n">
        <v>45735</v>
      </c>
      <c r="B4789" s="392" t="n">
        <v>11715</v>
      </c>
      <c r="C4789" s="392" t="n">
        <v>92</v>
      </c>
      <c r="D4789" s="392" t="n"/>
      <c r="E4789" s="392" t="n"/>
      <c r="F4789" s="392" t="n"/>
      <c r="G4789" s="392" t="n">
        <v>20</v>
      </c>
      <c r="H4789" s="446">
        <f>H4788-G4789</f>
        <v/>
      </c>
      <c r="I4789" s="392" t="n"/>
      <c r="J4789" s="392" t="n"/>
      <c r="K4789" s="392" t="n"/>
      <c r="L4789" s="392" t="n"/>
      <c r="M4789" s="392" t="n"/>
    </row>
    <row r="4790">
      <c r="A4790" s="568" t="n">
        <v>45735</v>
      </c>
      <c r="B4790" s="392" t="n">
        <v>11716</v>
      </c>
      <c r="C4790" s="392" t="n">
        <v>87</v>
      </c>
      <c r="D4790" s="392" t="n"/>
      <c r="E4790" s="392" t="n"/>
      <c r="F4790" s="392" t="n"/>
      <c r="G4790" s="392" t="n">
        <v>30</v>
      </c>
      <c r="H4790" s="446">
        <f>H4789-G4790</f>
        <v/>
      </c>
      <c r="I4790" s="392" t="n"/>
      <c r="J4790" s="392" t="n"/>
      <c r="K4790" s="392" t="n"/>
      <c r="L4790" s="392" t="n"/>
      <c r="M4790" s="392" t="n"/>
    </row>
    <row r="4791">
      <c r="A4791" s="568" t="n">
        <v>45735</v>
      </c>
      <c r="B4791" s="392" t="n">
        <v>11719</v>
      </c>
      <c r="C4791" s="392" t="n">
        <v>85.81999999999999</v>
      </c>
      <c r="D4791" s="392" t="n"/>
      <c r="E4791" s="392" t="n"/>
      <c r="F4791" s="392" t="n"/>
      <c r="G4791" s="392" t="n">
        <v>22</v>
      </c>
      <c r="H4791" s="446">
        <f>H4790-G4791</f>
        <v/>
      </c>
      <c r="I4791" s="392" t="n"/>
      <c r="J4791" s="392" t="n"/>
      <c r="K4791" s="392" t="n"/>
      <c r="L4791" s="392" t="n"/>
      <c r="M4791" s="392" t="n"/>
    </row>
    <row r="4792">
      <c r="A4792" s="568" t="n">
        <v>45735</v>
      </c>
      <c r="B4792" s="392" t="n">
        <v>11720</v>
      </c>
      <c r="C4792" s="392" t="n">
        <v>85.94</v>
      </c>
      <c r="D4792" s="392" t="n"/>
      <c r="E4792" s="392" t="n"/>
      <c r="F4792" s="392" t="n"/>
      <c r="G4792" s="392" t="n">
        <v>15</v>
      </c>
      <c r="H4792" s="446">
        <f>H4791-G4792</f>
        <v/>
      </c>
      <c r="I4792" s="392" t="n"/>
      <c r="J4792" s="392" t="n"/>
      <c r="K4792" s="392" t="n"/>
      <c r="L4792" s="392" t="n"/>
      <c r="M4792" s="392" t="n"/>
    </row>
    <row r="4793">
      <c r="A4793" s="568" t="n">
        <v>45737</v>
      </c>
      <c r="B4793" s="392" t="n">
        <v>11722</v>
      </c>
      <c r="C4793" s="392" t="n">
        <v>79</v>
      </c>
      <c r="D4793" s="392" t="n"/>
      <c r="E4793" s="392" t="n"/>
      <c r="F4793" s="392" t="n"/>
      <c r="G4793" s="392" t="n">
        <v>400</v>
      </c>
      <c r="H4793" s="446">
        <f>H4792-G4793</f>
        <v/>
      </c>
      <c r="I4793" s="392" t="n"/>
      <c r="J4793" s="392" t="n"/>
      <c r="K4793" s="392" t="n"/>
      <c r="L4793" s="392" t="n"/>
      <c r="M4793" s="392" t="n"/>
    </row>
    <row r="4794">
      <c r="A4794" s="568" t="n">
        <v>45740</v>
      </c>
      <c r="B4794" s="392" t="n">
        <v>11723</v>
      </c>
      <c r="C4794" s="392" t="n">
        <v>92</v>
      </c>
      <c r="D4794" s="392" t="n"/>
      <c r="E4794" s="392" t="n"/>
      <c r="F4794" s="392" t="n"/>
      <c r="G4794" s="392" t="n">
        <v>50</v>
      </c>
      <c r="H4794" s="446">
        <f>H4793-G4794</f>
        <v/>
      </c>
      <c r="I4794" s="392" t="n"/>
      <c r="J4794" s="392" t="n"/>
      <c r="K4794" s="392" t="n"/>
      <c r="L4794" s="392" t="n"/>
      <c r="M4794" s="392" t="n"/>
    </row>
    <row r="4795">
      <c r="A4795" s="568" t="n">
        <v>45740</v>
      </c>
      <c r="B4795" s="392" t="n">
        <v>11726</v>
      </c>
      <c r="C4795" s="392" t="n">
        <v>84</v>
      </c>
      <c r="D4795" s="392" t="n"/>
      <c r="E4795" s="392" t="n"/>
      <c r="F4795" s="392" t="n"/>
      <c r="G4795" s="392" t="n">
        <v>20</v>
      </c>
      <c r="H4795" s="446">
        <f>H4794-G4795</f>
        <v/>
      </c>
      <c r="I4795" s="392" t="n"/>
      <c r="J4795" s="392" t="n"/>
      <c r="K4795" s="392" t="n"/>
      <c r="L4795" s="392" t="n"/>
      <c r="M4795" s="392" t="n"/>
    </row>
    <row r="4796">
      <c r="A4796" s="568" t="n">
        <v>45740</v>
      </c>
      <c r="B4796" s="392" t="n">
        <v>11727</v>
      </c>
      <c r="C4796" s="392" t="n">
        <v>92</v>
      </c>
      <c r="D4796" s="392" t="n"/>
      <c r="E4796" s="392" t="n"/>
      <c r="F4796" s="392" t="n"/>
      <c r="G4796" s="392" t="n">
        <v>20</v>
      </c>
      <c r="H4796" s="446">
        <f>H4795-G4796</f>
        <v/>
      </c>
      <c r="I4796" s="392" t="n"/>
      <c r="J4796" s="392" t="n"/>
      <c r="K4796" s="392" t="n"/>
      <c r="L4796" s="392" t="n"/>
      <c r="M4796" s="392" t="n"/>
    </row>
    <row r="4797">
      <c r="A4797" s="568" t="n">
        <v>45740</v>
      </c>
      <c r="B4797" s="392" t="n">
        <v>11728</v>
      </c>
      <c r="C4797" s="392" t="n">
        <v>85</v>
      </c>
      <c r="D4797" s="392" t="n"/>
      <c r="E4797" s="392" t="n"/>
      <c r="F4797" s="392" t="n"/>
      <c r="G4797" s="392" t="n">
        <v>15</v>
      </c>
      <c r="H4797" s="446">
        <f>H4796-G4797</f>
        <v/>
      </c>
      <c r="I4797" s="392" t="n"/>
      <c r="J4797" s="392" t="n"/>
      <c r="K4797" s="392" t="n"/>
      <c r="L4797" s="392" t="n"/>
      <c r="M4797" s="392" t="n"/>
    </row>
    <row r="4798">
      <c r="A4798" s="568" t="n">
        <v>45742</v>
      </c>
      <c r="B4798" s="392" t="n">
        <v>11731</v>
      </c>
      <c r="C4798" s="392" t="n">
        <v>92</v>
      </c>
      <c r="D4798" s="392" t="n"/>
      <c r="E4798" s="392" t="n"/>
      <c r="F4798" s="392" t="n"/>
      <c r="G4798" s="392" t="n">
        <v>15</v>
      </c>
      <c r="H4798" s="446">
        <f>H4797-G4798</f>
        <v/>
      </c>
      <c r="I4798" s="392" t="n"/>
      <c r="J4798" s="392" t="n"/>
      <c r="K4798" s="392" t="n"/>
      <c r="L4798" s="392" t="n"/>
      <c r="M4798" s="392" t="n"/>
    </row>
    <row r="4799">
      <c r="A4799" s="568" t="n">
        <v>45743</v>
      </c>
      <c r="B4799" s="392" t="n">
        <v>11736</v>
      </c>
      <c r="C4799" s="392" t="n">
        <v>79</v>
      </c>
      <c r="D4799" s="392" t="n"/>
      <c r="E4799" s="392" t="n"/>
      <c r="F4799" s="392" t="n"/>
      <c r="G4799" s="392" t="n">
        <v>400</v>
      </c>
      <c r="H4799" s="446">
        <f>H4798-G4799</f>
        <v/>
      </c>
      <c r="I4799" s="392" t="n"/>
      <c r="J4799" s="392" t="n"/>
      <c r="K4799" s="392" t="n"/>
      <c r="L4799" s="392" t="n"/>
      <c r="M4799" s="392" t="n"/>
    </row>
    <row r="4800">
      <c r="A4800" s="568" t="n">
        <v>45743</v>
      </c>
      <c r="B4800" s="392" t="n">
        <v>11739</v>
      </c>
      <c r="C4800" s="392" t="n">
        <v>81</v>
      </c>
      <c r="D4800" s="392" t="n"/>
      <c r="E4800" s="392" t="n"/>
      <c r="F4800" s="392" t="n"/>
      <c r="G4800" s="392" t="n">
        <v>200</v>
      </c>
      <c r="H4800" s="446">
        <f>H4799-G4800</f>
        <v/>
      </c>
      <c r="I4800" s="392" t="n"/>
      <c r="J4800" s="392" t="n"/>
      <c r="K4800" s="392" t="n"/>
      <c r="L4800" s="392" t="n"/>
      <c r="M4800" s="392" t="n"/>
    </row>
    <row r="4801">
      <c r="A4801" s="568" t="n">
        <v>45743</v>
      </c>
      <c r="B4801" s="392" t="n">
        <v>11740</v>
      </c>
      <c r="C4801" s="392" t="n">
        <v>84</v>
      </c>
      <c r="D4801" s="392" t="n"/>
      <c r="E4801" s="392" t="n"/>
      <c r="F4801" s="392" t="n"/>
      <c r="G4801" s="392" t="n">
        <v>20</v>
      </c>
      <c r="H4801" s="446">
        <f>H4800-G4801</f>
        <v/>
      </c>
      <c r="I4801" s="392" t="n"/>
      <c r="J4801" s="392" t="n"/>
      <c r="K4801" s="392" t="n"/>
      <c r="L4801" s="392" t="n"/>
      <c r="M4801" s="392" t="n"/>
    </row>
    <row r="4802">
      <c r="A4802" s="568" t="n">
        <v>45747</v>
      </c>
      <c r="B4802" s="392" t="n">
        <v>11742</v>
      </c>
      <c r="C4802" s="392" t="n">
        <v>85</v>
      </c>
      <c r="D4802" s="392" t="n"/>
      <c r="E4802" s="392" t="n"/>
      <c r="F4802" s="392" t="n"/>
      <c r="G4802" s="392" t="n">
        <v>15</v>
      </c>
      <c r="H4802" s="446">
        <f>H4801-G4802</f>
        <v/>
      </c>
      <c r="I4802" s="392" t="n"/>
      <c r="J4802" s="392" t="n"/>
      <c r="K4802" s="392" t="n"/>
      <c r="L4802" s="392" t="n"/>
      <c r="M4802" s="392" t="n"/>
    </row>
    <row r="4803">
      <c r="A4803" s="568" t="n">
        <v>45747</v>
      </c>
      <c r="B4803" s="392" t="n">
        <v>11743</v>
      </c>
      <c r="C4803" s="392" t="n">
        <v>82</v>
      </c>
      <c r="D4803" s="392" t="n"/>
      <c r="E4803" s="392" t="n"/>
      <c r="F4803" s="392" t="n"/>
      <c r="G4803" s="392" t="n">
        <v>20</v>
      </c>
      <c r="H4803" s="446">
        <f>H4802-G4803</f>
        <v/>
      </c>
      <c r="I4803" s="392" t="n"/>
      <c r="J4803" s="392" t="n"/>
      <c r="K4803" s="392" t="n"/>
      <c r="L4803" s="392" t="n"/>
      <c r="M4803" s="392" t="n"/>
    </row>
    <row r="4804">
      <c r="A4804" s="568" t="n">
        <v>45747</v>
      </c>
      <c r="B4804" s="392" t="n">
        <v>11744</v>
      </c>
      <c r="C4804" s="392" t="n">
        <v>87</v>
      </c>
      <c r="D4804" s="392" t="n"/>
      <c r="E4804" s="392" t="n"/>
      <c r="F4804" s="392" t="n"/>
      <c r="G4804" s="392" t="n">
        <v>55</v>
      </c>
      <c r="H4804" s="446">
        <f>H4803-G4804</f>
        <v/>
      </c>
      <c r="I4804" s="392" t="n"/>
      <c r="J4804" s="392" t="n"/>
      <c r="K4804" s="392" t="n"/>
      <c r="L4804" s="392" t="n"/>
      <c r="M4804" s="392" t="n"/>
    </row>
    <row r="4805">
      <c r="A4805" s="568" t="n">
        <v>45747</v>
      </c>
      <c r="B4805" s="392" t="n">
        <v>11745</v>
      </c>
      <c r="C4805" s="392" t="n">
        <v>92</v>
      </c>
      <c r="D4805" s="392" t="n"/>
      <c r="E4805" s="392" t="n"/>
      <c r="F4805" s="392" t="n"/>
      <c r="G4805" s="392" t="n">
        <v>25</v>
      </c>
      <c r="H4805" s="446">
        <f>H4804-G4805</f>
        <v/>
      </c>
      <c r="I4805" s="392" t="n"/>
      <c r="J4805" s="392" t="n"/>
      <c r="K4805" s="392" t="n"/>
      <c r="L4805" s="392" t="n"/>
      <c r="M4805" s="392" t="n"/>
    </row>
    <row r="4806">
      <c r="A4806" s="568" t="n">
        <v>45747</v>
      </c>
      <c r="B4806" s="392" t="n">
        <v>11746</v>
      </c>
      <c r="C4806" s="392" t="n">
        <v>84</v>
      </c>
      <c r="D4806" s="392" t="n"/>
      <c r="E4806" s="392" t="n"/>
      <c r="F4806" s="392" t="n"/>
      <c r="G4806" s="392" t="n">
        <v>20</v>
      </c>
      <c r="H4806" s="446">
        <f>H4805-G4806</f>
        <v/>
      </c>
      <c r="I4806" s="392" t="n"/>
      <c r="J4806" s="392" t="n"/>
      <c r="K4806" s="392" t="n"/>
      <c r="L4806" s="392" t="n"/>
      <c r="M4806" s="392" t="n"/>
    </row>
    <row r="4807" ht="15.75" customHeight="1" s="436" thickBot="1">
      <c r="A4807" s="414" t="n"/>
      <c r="H4807" s="390" t="n"/>
    </row>
    <row r="4808" ht="32.25" customHeight="1" s="436" thickBot="1">
      <c r="A4808" s="735" t="inlineStr">
        <is>
          <t>Abril</t>
        </is>
      </c>
      <c r="B4808" s="697" t="n"/>
      <c r="C4808" s="697" t="n"/>
      <c r="D4808" s="697" t="n"/>
      <c r="E4808" s="697" t="n"/>
      <c r="F4808" s="697" t="n"/>
      <c r="G4808" s="697" t="n"/>
      <c r="H4808" s="697" t="n"/>
      <c r="I4808" s="697" t="n"/>
      <c r="J4808" s="697" t="n"/>
      <c r="K4808" s="697" t="n"/>
      <c r="L4808" s="697" t="n"/>
      <c r="M4808" s="698" t="n"/>
    </row>
    <row r="4809" ht="27" customHeight="1" s="436" thickBot="1">
      <c r="A4809" s="720" t="inlineStr">
        <is>
          <t xml:space="preserve"> FARINHA DE TRIGO TIPO: 1 - 25 KG</t>
        </is>
      </c>
      <c r="B4809" s="697" t="n"/>
      <c r="C4809" s="697" t="n"/>
      <c r="D4809" s="697" t="n"/>
      <c r="E4809" s="697" t="n"/>
      <c r="F4809" s="697" t="n"/>
      <c r="G4809" s="697" t="n"/>
      <c r="H4809" s="697" t="n"/>
      <c r="I4809" s="697" t="n"/>
      <c r="J4809" s="697" t="n"/>
      <c r="K4809" s="697" t="n"/>
      <c r="L4809" s="697" t="n"/>
      <c r="M4809" s="698" t="n"/>
    </row>
    <row r="4810">
      <c r="A4810" s="3" t="inlineStr">
        <is>
          <t>DATA</t>
        </is>
      </c>
      <c r="B4810" s="3" t="inlineStr">
        <is>
          <t>N.F.</t>
        </is>
      </c>
      <c r="C4810" s="3" t="inlineStr">
        <is>
          <t>TIPO</t>
        </is>
      </c>
      <c r="D4810" s="708" t="inlineStr">
        <is>
          <t>PREÇO UNITÁRIO</t>
        </is>
      </c>
      <c r="E4810" s="736" t="n"/>
      <c r="F4810" s="3" t="inlineStr">
        <is>
          <t>QUANTIDADE / KG</t>
        </is>
      </c>
      <c r="G4810" s="737" t="n"/>
      <c r="H4810" s="736" t="n"/>
      <c r="I4810" s="631" t="inlineStr">
        <is>
          <t>PREÇO</t>
        </is>
      </c>
      <c r="J4810" s="631" t="inlineStr">
        <is>
          <t>VALORES</t>
        </is>
      </c>
      <c r="K4810" s="737" t="n"/>
      <c r="L4810" s="736" t="n"/>
      <c r="M4810" s="738" t="n"/>
    </row>
    <row r="4811" ht="15.75" customHeight="1" s="436" thickBot="1">
      <c r="A4811" s="704" t="n"/>
      <c r="B4811" s="704" t="n"/>
      <c r="C4811" s="704" t="n"/>
      <c r="D4811" s="703" t="n"/>
      <c r="E4811" s="701" t="n"/>
      <c r="F4811" s="705" t="n"/>
      <c r="G4811" s="706" t="n"/>
      <c r="H4811" s="707" t="n"/>
      <c r="I4811" s="704" t="n"/>
      <c r="J4811" s="703" t="n"/>
      <c r="L4811" s="701" t="n"/>
      <c r="M4811" s="704" t="n"/>
    </row>
    <row r="4812" ht="15.75" customHeight="1" s="436" thickBot="1">
      <c r="A4812" s="704" t="n"/>
      <c r="B4812" s="704" t="n"/>
      <c r="C4812" s="704" t="n"/>
      <c r="D4812" s="705" t="n"/>
      <c r="E4812" s="707" t="n"/>
      <c r="F4812" s="3" t="inlineStr">
        <is>
          <t>ENTRADA</t>
        </is>
      </c>
      <c r="G4812" s="3" t="inlineStr">
        <is>
          <t>SAÍDA</t>
        </is>
      </c>
      <c r="H4812" s="640" t="n"/>
      <c r="I4812" s="633" t="inlineStr">
        <is>
          <t>MÉDIO</t>
        </is>
      </c>
      <c r="J4812" s="739" t="inlineStr">
        <is>
          <t>SALDO EM 30/11/2017</t>
        </is>
      </c>
      <c r="K4812" s="707" t="n"/>
      <c r="L4812" s="17" t="n"/>
      <c r="M4812" s="740" t="n"/>
    </row>
    <row r="4813" ht="18" customHeight="1" s="436" thickBot="1">
      <c r="A4813" s="695" t="n"/>
      <c r="B4813" s="695" t="n"/>
      <c r="C4813" s="695" t="n"/>
      <c r="D4813" s="3" t="inlineStr">
        <is>
          <t>C/ICMS</t>
        </is>
      </c>
      <c r="E4813" s="3" t="inlineStr">
        <is>
          <t>S/ICMS</t>
        </is>
      </c>
      <c r="F4813" s="695" t="n"/>
      <c r="G4813" s="695" t="n"/>
      <c r="H4813" s="84" t="inlineStr">
        <is>
          <t>Saldo em 31/03/2024</t>
        </is>
      </c>
      <c r="I4813" s="695" t="n"/>
      <c r="J4813" s="645" t="inlineStr">
        <is>
          <t>ENTRADA</t>
        </is>
      </c>
      <c r="K4813" s="633" t="inlineStr">
        <is>
          <t>SAÍDA / CMV</t>
        </is>
      </c>
      <c r="L4813" s="643" t="inlineStr">
        <is>
          <t>SALDO</t>
        </is>
      </c>
      <c r="M4813" s="392" t="n"/>
    </row>
    <row r="4814">
      <c r="A4814" s="392" t="n"/>
      <c r="B4814" s="392" t="n"/>
      <c r="C4814" s="392" t="n"/>
      <c r="D4814" s="392" t="n"/>
      <c r="E4814" s="392" t="n"/>
      <c r="F4814" s="392" t="n"/>
      <c r="G4814" s="392" t="n"/>
      <c r="H4814" s="446" t="n">
        <v>1897</v>
      </c>
      <c r="I4814" s="392" t="n"/>
      <c r="J4814" s="392" t="n"/>
      <c r="K4814" s="392" t="n"/>
      <c r="L4814" s="392" t="n"/>
      <c r="M4814" s="392" t="n"/>
    </row>
    <row r="4815">
      <c r="A4815" s="568" t="n">
        <v>45748</v>
      </c>
      <c r="B4815" s="392" t="n">
        <v>11749</v>
      </c>
      <c r="C4815" s="392" t="n">
        <v>90</v>
      </c>
      <c r="D4815" s="392" t="n"/>
      <c r="E4815" s="392" t="n"/>
      <c r="F4815" s="392" t="n"/>
      <c r="G4815" s="392" t="n">
        <v>30</v>
      </c>
      <c r="H4815" s="446">
        <f>H4814-G4815</f>
        <v/>
      </c>
      <c r="I4815" s="392" t="n"/>
      <c r="J4815" s="392" t="n"/>
      <c r="K4815" s="392" t="n"/>
      <c r="L4815" s="392" t="n"/>
      <c r="M4815" s="392" t="n"/>
    </row>
    <row r="4816">
      <c r="A4816" s="568" t="n">
        <v>45748</v>
      </c>
      <c r="B4816" s="392" t="n">
        <v>11751</v>
      </c>
      <c r="C4816" s="392" t="n">
        <v>84</v>
      </c>
      <c r="D4816" s="392" t="n"/>
      <c r="E4816" s="392" t="n"/>
      <c r="F4816" s="392" t="n"/>
      <c r="G4816" s="392" t="n">
        <v>50</v>
      </c>
      <c r="H4816" s="446">
        <f>H4815-G4816</f>
        <v/>
      </c>
      <c r="I4816" s="392" t="n"/>
      <c r="J4816" s="392" t="n"/>
      <c r="K4816" s="392" t="n"/>
      <c r="L4816" s="392" t="n"/>
      <c r="M4816" s="392" t="n"/>
    </row>
    <row r="4817">
      <c r="A4817" s="568" t="n">
        <v>45749</v>
      </c>
      <c r="B4817" s="392" t="n">
        <v>11756</v>
      </c>
      <c r="C4817" s="392" t="n">
        <v>85.94</v>
      </c>
      <c r="D4817" s="392" t="n"/>
      <c r="E4817" s="392" t="n"/>
      <c r="F4817" s="392" t="n"/>
      <c r="G4817" s="392" t="n">
        <v>15</v>
      </c>
      <c r="H4817" s="446">
        <f>H4816-G4817</f>
        <v/>
      </c>
      <c r="I4817" s="392" t="n"/>
      <c r="J4817" s="392" t="n"/>
      <c r="K4817" s="392" t="n"/>
      <c r="L4817" s="392" t="n"/>
      <c r="M4817" s="392" t="n"/>
    </row>
    <row r="4818">
      <c r="A4818" s="568" t="n">
        <v>45755</v>
      </c>
      <c r="B4818" s="392" t="n">
        <v>11757</v>
      </c>
      <c r="C4818" s="392" t="n">
        <v>84</v>
      </c>
      <c r="D4818" s="392" t="n"/>
      <c r="E4818" s="392" t="n"/>
      <c r="F4818" s="392" t="n"/>
      <c r="G4818" s="392" t="n">
        <v>30</v>
      </c>
      <c r="H4818" s="446">
        <f>H4817-G4818</f>
        <v/>
      </c>
      <c r="I4818" s="392" t="n"/>
      <c r="J4818" s="392" t="n"/>
      <c r="K4818" s="392" t="n"/>
      <c r="L4818" s="392" t="n"/>
      <c r="M4818" s="392" t="n"/>
    </row>
    <row r="4819">
      <c r="A4819" s="568" t="n">
        <v>45755</v>
      </c>
      <c r="B4819" s="392" t="n">
        <v>11758</v>
      </c>
      <c r="C4819" s="392" t="n">
        <v>92</v>
      </c>
      <c r="D4819" s="392" t="n"/>
      <c r="E4819" s="392" t="n"/>
      <c r="F4819" s="392" t="n"/>
      <c r="G4819" s="392" t="n">
        <v>40</v>
      </c>
      <c r="H4819" s="446">
        <f>H4818-G4819</f>
        <v/>
      </c>
      <c r="I4819" s="392" t="n"/>
      <c r="J4819" s="392" t="n"/>
      <c r="K4819" s="392" t="n"/>
      <c r="L4819" s="392" t="n"/>
      <c r="M4819" s="392" t="n"/>
    </row>
    <row r="4820">
      <c r="A4820" s="568" t="n">
        <v>45755</v>
      </c>
      <c r="B4820" s="392" t="n">
        <v>11759</v>
      </c>
      <c r="C4820" s="392" t="n">
        <v>92</v>
      </c>
      <c r="D4820" s="392" t="n"/>
      <c r="E4820" s="392" t="n"/>
      <c r="F4820" s="392" t="n"/>
      <c r="G4820" s="392" t="n">
        <v>30</v>
      </c>
      <c r="H4820" s="446">
        <f>H4819-G4820</f>
        <v/>
      </c>
      <c r="I4820" s="392" t="n"/>
      <c r="J4820" s="392" t="n"/>
      <c r="K4820" s="392" t="n"/>
      <c r="L4820" s="392" t="n"/>
      <c r="M4820" s="392" t="n"/>
    </row>
    <row r="4821">
      <c r="A4821" s="568" t="n">
        <v>45755</v>
      </c>
      <c r="B4821" s="392" t="n">
        <v>11760</v>
      </c>
      <c r="C4821" s="392" t="n">
        <v>90</v>
      </c>
      <c r="D4821" s="392" t="n"/>
      <c r="E4821" s="392" t="n"/>
      <c r="F4821" s="392" t="n"/>
      <c r="G4821" s="392" t="n">
        <v>30</v>
      </c>
      <c r="H4821" s="446">
        <f>H4820-G4821</f>
        <v/>
      </c>
      <c r="I4821" s="392" t="n"/>
      <c r="J4821" s="392" t="n"/>
      <c r="K4821" s="392" t="n"/>
      <c r="L4821" s="392" t="n"/>
      <c r="M4821" s="392" t="n"/>
    </row>
    <row r="4822">
      <c r="A4822" s="568" t="n">
        <v>45756</v>
      </c>
      <c r="B4822" s="392" t="n">
        <v>11761</v>
      </c>
      <c r="C4822" s="392" t="n">
        <v>84</v>
      </c>
      <c r="D4822" s="392" t="n"/>
      <c r="E4822" s="392" t="n"/>
      <c r="F4822" s="392" t="n"/>
      <c r="G4822" s="392" t="n">
        <v>20</v>
      </c>
      <c r="H4822" s="446">
        <f>H4821-G4822</f>
        <v/>
      </c>
      <c r="I4822" s="392" t="n"/>
      <c r="J4822" s="392" t="n"/>
      <c r="K4822" s="392" t="n"/>
      <c r="L4822" s="392" t="n"/>
      <c r="M4822" s="392" t="n"/>
    </row>
    <row r="4823">
      <c r="A4823" s="568" t="n">
        <v>45756</v>
      </c>
      <c r="B4823" s="392" t="n">
        <v>11762</v>
      </c>
      <c r="C4823" s="392" t="n">
        <v>84</v>
      </c>
      <c r="D4823" s="392" t="n"/>
      <c r="E4823" s="392" t="n"/>
      <c r="F4823" s="392" t="n"/>
      <c r="G4823" s="392" t="n">
        <v>20</v>
      </c>
      <c r="H4823" s="446">
        <f>H4822-G4823</f>
        <v/>
      </c>
      <c r="I4823" s="392" t="n"/>
      <c r="J4823" s="392" t="n"/>
      <c r="K4823" s="392" t="n"/>
      <c r="L4823" s="392" t="n"/>
      <c r="M4823" s="392" t="n"/>
    </row>
    <row r="4824">
      <c r="A4824" s="568" t="n">
        <v>45762</v>
      </c>
      <c r="B4824" s="392" t="n">
        <v>11773</v>
      </c>
      <c r="C4824" s="392" t="n">
        <v>82</v>
      </c>
      <c r="D4824" s="392" t="n"/>
      <c r="E4824" s="392" t="n"/>
      <c r="F4824" s="392" t="n"/>
      <c r="G4824" s="392" t="n">
        <v>50</v>
      </c>
      <c r="H4824" s="446">
        <f>H4823-G4824</f>
        <v/>
      </c>
      <c r="I4824" s="392" t="n"/>
      <c r="J4824" s="392" t="n"/>
      <c r="K4824" s="392" t="n"/>
      <c r="L4824" s="392" t="n"/>
      <c r="M4824" s="392" t="n"/>
    </row>
    <row r="4825">
      <c r="A4825" s="568" t="n">
        <v>45762</v>
      </c>
      <c r="B4825" s="392" t="n">
        <v>11774</v>
      </c>
      <c r="C4825" s="392" t="n">
        <v>84</v>
      </c>
      <c r="D4825" s="392" t="n"/>
      <c r="E4825" s="392" t="n"/>
      <c r="F4825" s="392" t="n"/>
      <c r="G4825" s="392" t="n">
        <v>50</v>
      </c>
      <c r="H4825" s="446">
        <f>H4824-G4825</f>
        <v/>
      </c>
      <c r="I4825" s="392" t="n"/>
      <c r="J4825" s="392" t="n"/>
      <c r="K4825" s="392" t="n"/>
      <c r="L4825" s="392" t="n"/>
      <c r="M4825" s="392" t="n"/>
    </row>
    <row r="4826">
      <c r="A4826" s="568" t="n">
        <v>45762</v>
      </c>
      <c r="B4826" s="392" t="n">
        <v>11776</v>
      </c>
      <c r="C4826" s="392" t="n">
        <v>84</v>
      </c>
      <c r="D4826" s="392" t="n"/>
      <c r="E4826" s="392" t="n"/>
      <c r="F4826" s="392" t="n"/>
      <c r="G4826" s="392" t="n">
        <v>20</v>
      </c>
      <c r="H4826" s="446">
        <f>H4825-G4826</f>
        <v/>
      </c>
      <c r="I4826" s="392" t="n"/>
      <c r="J4826" s="392" t="n"/>
      <c r="K4826" s="392" t="n"/>
      <c r="L4826" s="392" t="n"/>
      <c r="M4826" s="392" t="n"/>
    </row>
    <row r="4827">
      <c r="A4827" s="568" t="n">
        <v>45762</v>
      </c>
      <c r="B4827" s="392" t="n">
        <v>11777</v>
      </c>
      <c r="C4827" s="392" t="n">
        <v>92</v>
      </c>
      <c r="D4827" s="392" t="n"/>
      <c r="E4827" s="392" t="n"/>
      <c r="F4827" s="392" t="n"/>
      <c r="G4827" s="392" t="n">
        <v>30</v>
      </c>
      <c r="H4827" s="446">
        <f>H4826-G4827</f>
        <v/>
      </c>
      <c r="I4827" s="392" t="n"/>
      <c r="J4827" s="392" t="n"/>
      <c r="K4827" s="392" t="n"/>
      <c r="L4827" s="392" t="n"/>
      <c r="M4827" s="392" t="n"/>
    </row>
    <row r="4828">
      <c r="A4828" s="568" t="n">
        <v>45762</v>
      </c>
      <c r="B4828" s="392" t="n">
        <v>11779</v>
      </c>
      <c r="C4828" s="392" t="n">
        <v>85.90000000000001</v>
      </c>
      <c r="D4828" s="392" t="n"/>
      <c r="E4828" s="392" t="n"/>
      <c r="F4828" s="392" t="n"/>
      <c r="G4828" s="392" t="n">
        <v>20</v>
      </c>
      <c r="H4828" s="446">
        <f>H4827-G4828</f>
        <v/>
      </c>
      <c r="I4828" s="392" t="n"/>
      <c r="J4828" s="392" t="n"/>
      <c r="K4828" s="392" t="n"/>
      <c r="L4828" s="392" t="n"/>
      <c r="M4828" s="392" t="n"/>
    </row>
    <row r="4829">
      <c r="A4829" s="568" t="n">
        <v>45762</v>
      </c>
      <c r="B4829" s="392" t="n">
        <v>11780</v>
      </c>
      <c r="C4829" s="392" t="n">
        <v>81</v>
      </c>
      <c r="D4829" s="392" t="n"/>
      <c r="E4829" s="392" t="n"/>
      <c r="F4829" s="392" t="n"/>
      <c r="G4829" s="392" t="n">
        <v>100</v>
      </c>
      <c r="H4829" s="446">
        <f>H4828-G4829</f>
        <v/>
      </c>
      <c r="I4829" s="392" t="n"/>
      <c r="J4829" s="392" t="n"/>
      <c r="K4829" s="392" t="n"/>
      <c r="L4829" s="392" t="n"/>
      <c r="M4829" s="392" t="n"/>
    </row>
    <row r="4830">
      <c r="A4830" s="568" t="n">
        <v>45762</v>
      </c>
      <c r="B4830" s="392" t="n">
        <v>11783</v>
      </c>
      <c r="C4830" s="392" t="n">
        <v>84</v>
      </c>
      <c r="D4830" s="392" t="n"/>
      <c r="E4830" s="392" t="n"/>
      <c r="F4830" s="392" t="n"/>
      <c r="G4830" s="392" t="n">
        <v>30</v>
      </c>
      <c r="H4830" s="446">
        <f>H4829-G4830</f>
        <v/>
      </c>
      <c r="I4830" s="392" t="n"/>
      <c r="J4830" s="392" t="n"/>
      <c r="K4830" s="392" t="n"/>
      <c r="L4830" s="392" t="n"/>
      <c r="M4830" s="392" t="n"/>
    </row>
    <row r="4831">
      <c r="A4831" s="568" t="n">
        <v>45762</v>
      </c>
      <c r="B4831" s="392" t="n">
        <v>11784</v>
      </c>
      <c r="C4831" s="392" t="n">
        <v>92</v>
      </c>
      <c r="D4831" s="392" t="n"/>
      <c r="E4831" s="392" t="n"/>
      <c r="F4831" s="392" t="n"/>
      <c r="G4831" s="392" t="n">
        <v>60</v>
      </c>
      <c r="H4831" s="446">
        <f>H4830-G4831</f>
        <v/>
      </c>
      <c r="I4831" s="392" t="n"/>
      <c r="J4831" s="392" t="n"/>
      <c r="K4831" s="392" t="n"/>
      <c r="L4831" s="392" t="n"/>
      <c r="M4831" s="392" t="n"/>
    </row>
    <row r="4832">
      <c r="A4832" s="568" t="n">
        <v>45762</v>
      </c>
      <c r="B4832" s="392" t="n">
        <v>11785</v>
      </c>
      <c r="C4832" s="392" t="n">
        <v>92</v>
      </c>
      <c r="D4832" s="392" t="n"/>
      <c r="E4832" s="392" t="n"/>
      <c r="F4832" s="392" t="n"/>
      <c r="G4832" s="392" t="n">
        <v>20</v>
      </c>
      <c r="H4832" s="446">
        <f>H4831-G4832</f>
        <v/>
      </c>
      <c r="I4832" s="392" t="n"/>
      <c r="J4832" s="392" t="n"/>
      <c r="K4832" s="392" t="n"/>
      <c r="L4832" s="392" t="n"/>
      <c r="M4832" s="392" t="n"/>
    </row>
    <row r="4833">
      <c r="A4833" s="568" t="n">
        <v>45769</v>
      </c>
      <c r="B4833" s="392" t="n">
        <v>11794</v>
      </c>
      <c r="C4833" s="392" t="n">
        <v>95</v>
      </c>
      <c r="D4833" s="392" t="n"/>
      <c r="E4833" s="392" t="n"/>
      <c r="F4833" s="392" t="n"/>
      <c r="G4833" s="392" t="n">
        <v>50</v>
      </c>
      <c r="H4833" s="446">
        <f>H4832-G4833</f>
        <v/>
      </c>
      <c r="I4833" s="392" t="n"/>
      <c r="J4833" s="392" t="n"/>
      <c r="K4833" s="392" t="n"/>
      <c r="L4833" s="392" t="n"/>
      <c r="M4833" s="392" t="n"/>
    </row>
    <row r="4834">
      <c r="A4834" s="568" t="n">
        <v>45769</v>
      </c>
      <c r="B4834" s="392" t="n">
        <v>11796</v>
      </c>
      <c r="C4834" s="392" t="n">
        <v>82.5</v>
      </c>
      <c r="D4834" s="392" t="n"/>
      <c r="E4834" s="392" t="n"/>
      <c r="F4834" s="392" t="n"/>
      <c r="G4834" s="392" t="n">
        <v>50</v>
      </c>
      <c r="H4834" s="446">
        <f>H4833-G4834</f>
        <v/>
      </c>
      <c r="I4834" s="392" t="n"/>
      <c r="J4834" s="392" t="n"/>
      <c r="K4834" s="392" t="n"/>
      <c r="L4834" s="392" t="n"/>
      <c r="M4834" s="392" t="n"/>
    </row>
    <row r="4835">
      <c r="A4835" s="568" t="n">
        <v>45769</v>
      </c>
      <c r="B4835" s="392" t="n">
        <v>11797</v>
      </c>
      <c r="C4835" s="392" t="n">
        <v>85</v>
      </c>
      <c r="D4835" s="392" t="n"/>
      <c r="E4835" s="392" t="n"/>
      <c r="F4835" s="392" t="n"/>
      <c r="G4835" s="392" t="n">
        <v>5</v>
      </c>
      <c r="H4835" s="446">
        <f>H4834-G4835</f>
        <v/>
      </c>
      <c r="I4835" s="392" t="n"/>
      <c r="J4835" s="392" t="n"/>
      <c r="K4835" s="392" t="n"/>
      <c r="L4835" s="392" t="n"/>
      <c r="M4835" s="392" t="n"/>
    </row>
    <row r="4836">
      <c r="A4836" s="568" t="n">
        <v>45769</v>
      </c>
      <c r="B4836" s="392" t="n">
        <v>11798</v>
      </c>
      <c r="C4836" s="392" t="n">
        <v>95</v>
      </c>
      <c r="D4836" s="392" t="n"/>
      <c r="E4836" s="392" t="n"/>
      <c r="F4836" s="392" t="n"/>
      <c r="G4836" s="392" t="n">
        <v>15</v>
      </c>
      <c r="H4836" s="446">
        <f>H4835-G4836</f>
        <v/>
      </c>
      <c r="I4836" s="392" t="n"/>
      <c r="J4836" s="392" t="n"/>
      <c r="K4836" s="392" t="n"/>
      <c r="L4836" s="392" t="n"/>
      <c r="M4836" s="392" t="n"/>
    </row>
    <row r="4837">
      <c r="A4837" s="304" t="n">
        <v>45770</v>
      </c>
      <c r="B4837" s="401" t="n">
        <v>4091</v>
      </c>
      <c r="C4837" s="401" t="n">
        <v>78.31999999999999</v>
      </c>
      <c r="D4837" s="401" t="n"/>
      <c r="E4837" s="401" t="n"/>
      <c r="F4837" s="401" t="n">
        <v>1120</v>
      </c>
      <c r="G4837" s="401" t="n"/>
      <c r="H4837" s="322" t="n">
        <v>2252</v>
      </c>
      <c r="I4837" s="392" t="n"/>
      <c r="J4837" s="392" t="n"/>
      <c r="K4837" s="392" t="n"/>
      <c r="L4837" s="392" t="n"/>
      <c r="M4837" s="392" t="n"/>
    </row>
    <row r="4838">
      <c r="A4838" s="568" t="n">
        <v>45770</v>
      </c>
      <c r="B4838" s="392" t="n">
        <v>11799</v>
      </c>
      <c r="C4838" s="392" t="n">
        <v>80</v>
      </c>
      <c r="D4838" s="392" t="n"/>
      <c r="E4838" s="392" t="n"/>
      <c r="F4838" s="392" t="n"/>
      <c r="G4838" s="392" t="n">
        <v>100</v>
      </c>
      <c r="H4838" s="446">
        <f>H4837-G4838</f>
        <v/>
      </c>
      <c r="I4838" s="392" t="n"/>
      <c r="J4838" s="392" t="n"/>
      <c r="K4838" s="392" t="n"/>
      <c r="L4838" s="392" t="n"/>
      <c r="M4838" s="392" t="n"/>
    </row>
    <row r="4839">
      <c r="A4839" s="568" t="n">
        <v>45770</v>
      </c>
      <c r="B4839" s="392" t="n">
        <v>11800</v>
      </c>
      <c r="C4839" s="392" t="n">
        <v>90</v>
      </c>
      <c r="D4839" s="392" t="n"/>
      <c r="E4839" s="392" t="n"/>
      <c r="F4839" s="392" t="n"/>
      <c r="G4839" s="392" t="n">
        <v>30</v>
      </c>
      <c r="H4839" s="446">
        <f>H4838-G4839</f>
        <v/>
      </c>
      <c r="I4839" s="392" t="n"/>
      <c r="J4839" s="392" t="n"/>
      <c r="K4839" s="392" t="n"/>
      <c r="L4839" s="392" t="n"/>
      <c r="M4839" s="392" t="n"/>
    </row>
    <row r="4840">
      <c r="A4840" s="568" t="n">
        <v>45774</v>
      </c>
      <c r="B4840" s="392" t="n">
        <v>11804</v>
      </c>
      <c r="C4840" s="392" t="n">
        <v>89</v>
      </c>
      <c r="D4840" s="392" t="n"/>
      <c r="E4840" s="392" t="n"/>
      <c r="F4840" s="392" t="n"/>
      <c r="G4840" s="392" t="n">
        <v>30</v>
      </c>
      <c r="H4840" s="446">
        <f>H4839-G4840</f>
        <v/>
      </c>
      <c r="I4840" s="392" t="n"/>
      <c r="J4840" s="392" t="n"/>
      <c r="K4840" s="392" t="n"/>
      <c r="L4840" s="392" t="n"/>
      <c r="M4840" s="392" t="n"/>
    </row>
    <row r="4841">
      <c r="A4841" s="568" t="n">
        <v>45775</v>
      </c>
      <c r="B4841" s="392" t="n">
        <v>11806</v>
      </c>
      <c r="C4841" s="392" t="n">
        <v>79</v>
      </c>
      <c r="D4841" s="392" t="n"/>
      <c r="E4841" s="392" t="n"/>
      <c r="F4841" s="392" t="n"/>
      <c r="G4841" s="392" t="n">
        <v>100</v>
      </c>
      <c r="H4841" s="446">
        <f>H4840-G4841</f>
        <v/>
      </c>
      <c r="I4841" s="392" t="n"/>
      <c r="J4841" s="392" t="n"/>
      <c r="K4841" s="392" t="n"/>
      <c r="L4841" s="392" t="n"/>
      <c r="M4841" s="392" t="n"/>
    </row>
    <row r="4842">
      <c r="A4842" s="568" t="n">
        <v>45775</v>
      </c>
      <c r="B4842" s="392" t="n">
        <v>11807</v>
      </c>
      <c r="C4842" s="392" t="n">
        <v>90</v>
      </c>
      <c r="D4842" s="392" t="n"/>
      <c r="E4842" s="392" t="n"/>
      <c r="F4842" s="392" t="n"/>
      <c r="G4842" s="392" t="n">
        <v>30</v>
      </c>
      <c r="H4842" s="446">
        <f>H4841-G4842</f>
        <v/>
      </c>
      <c r="I4842" s="392" t="n"/>
      <c r="J4842" s="392" t="n"/>
      <c r="K4842" s="392" t="n"/>
      <c r="L4842" s="392" t="n"/>
      <c r="M4842" s="392" t="n"/>
    </row>
    <row r="4843">
      <c r="A4843" s="568" t="n">
        <v>45775</v>
      </c>
      <c r="B4843" s="392" t="n">
        <v>11810</v>
      </c>
      <c r="C4843" s="392" t="n">
        <v>87</v>
      </c>
      <c r="D4843" s="392" t="n"/>
      <c r="E4843" s="392" t="n"/>
      <c r="F4843" s="392" t="n"/>
      <c r="G4843" s="392" t="n">
        <v>50</v>
      </c>
      <c r="H4843" s="446">
        <f>H4842-G4843</f>
        <v/>
      </c>
      <c r="I4843" s="392" t="n"/>
      <c r="J4843" s="392" t="n"/>
      <c r="K4843" s="392" t="n"/>
      <c r="L4843" s="392" t="n"/>
      <c r="M4843" s="392" t="n"/>
    </row>
    <row r="4844">
      <c r="A4844" s="568" t="n">
        <v>45775</v>
      </c>
      <c r="B4844" s="392" t="n">
        <v>11811</v>
      </c>
      <c r="C4844" s="392" t="n">
        <v>87</v>
      </c>
      <c r="D4844" s="392" t="n"/>
      <c r="E4844" s="392" t="n"/>
      <c r="F4844" s="392" t="n"/>
      <c r="G4844" s="392" t="n">
        <v>20</v>
      </c>
      <c r="H4844" s="446">
        <f>H4843-G4844</f>
        <v/>
      </c>
      <c r="I4844" s="392" t="n"/>
      <c r="J4844" s="392" t="n"/>
      <c r="K4844" s="392" t="n"/>
      <c r="L4844" s="392" t="n"/>
      <c r="M4844" s="392" t="n"/>
    </row>
    <row r="4845">
      <c r="A4845" s="568" t="n">
        <v>45776</v>
      </c>
      <c r="B4845" s="392" t="n">
        <v>11814</v>
      </c>
      <c r="C4845" s="392" t="n">
        <v>83</v>
      </c>
      <c r="D4845" s="392" t="n"/>
      <c r="E4845" s="392" t="n"/>
      <c r="F4845" s="392" t="n"/>
      <c r="G4845" s="392" t="n">
        <v>100</v>
      </c>
      <c r="H4845" s="446">
        <f>H4844-G4845</f>
        <v/>
      </c>
      <c r="I4845" s="392" t="n"/>
      <c r="J4845" s="392" t="n"/>
      <c r="K4845" s="392" t="n"/>
      <c r="L4845" s="392" t="n"/>
      <c r="M4845" s="392" t="n"/>
    </row>
    <row r="4846">
      <c r="A4846" s="568" t="n">
        <v>45776</v>
      </c>
      <c r="B4846" s="392" t="n">
        <v>11817</v>
      </c>
      <c r="C4846" s="392" t="n">
        <v>87</v>
      </c>
      <c r="D4846" s="392" t="n"/>
      <c r="E4846" s="392" t="n"/>
      <c r="F4846" s="392" t="n"/>
      <c r="G4846" s="392" t="n">
        <v>15</v>
      </c>
      <c r="H4846" s="446">
        <f>H4845-G4846</f>
        <v/>
      </c>
      <c r="I4846" s="392" t="n"/>
      <c r="J4846" s="392" t="n"/>
      <c r="K4846" s="392" t="n"/>
      <c r="L4846" s="392" t="n"/>
      <c r="M4846" s="392" t="n"/>
    </row>
    <row r="4847">
      <c r="A4847" s="568" t="n">
        <v>45776</v>
      </c>
      <c r="B4847" s="392" t="n">
        <v>11818</v>
      </c>
      <c r="C4847" s="392" t="n">
        <v>87</v>
      </c>
      <c r="D4847" s="392" t="n"/>
      <c r="E4847" s="392" t="n"/>
      <c r="F4847" s="392" t="n"/>
      <c r="G4847" s="392" t="n">
        <v>20</v>
      </c>
      <c r="H4847" s="446">
        <f>H4846-G4847</f>
        <v/>
      </c>
      <c r="I4847" s="392" t="n"/>
      <c r="J4847" s="392" t="n"/>
      <c r="K4847" s="392" t="n"/>
      <c r="L4847" s="392" t="n"/>
      <c r="M4847" s="392" t="n"/>
    </row>
    <row r="4848" ht="17.25" customHeight="1" s="436">
      <c r="A4848" s="568" t="n">
        <v>45776</v>
      </c>
      <c r="B4848" s="392" t="n">
        <v>11823</v>
      </c>
      <c r="C4848" s="392" t="n">
        <v>87.7</v>
      </c>
      <c r="D4848" s="392" t="n"/>
      <c r="E4848" s="392" t="n"/>
      <c r="F4848" s="392" t="n"/>
      <c r="G4848" s="392" t="n">
        <v>20</v>
      </c>
      <c r="H4848" s="556">
        <f>H4847-G4848</f>
        <v/>
      </c>
      <c r="I4848" s="392" t="n"/>
      <c r="J4848" s="392" t="n"/>
      <c r="K4848" s="392" t="n"/>
      <c r="L4848" s="392" t="n"/>
      <c r="M4848" s="392" t="n"/>
    </row>
    <row r="4849">
      <c r="A4849" s="392" t="n"/>
      <c r="B4849" s="392" t="n"/>
      <c r="C4849" s="392" t="n"/>
      <c r="D4849" s="392" t="n"/>
      <c r="E4849" s="392" t="n"/>
      <c r="F4849" s="392" t="n"/>
      <c r="G4849" s="392" t="n"/>
      <c r="H4849" s="446">
        <f>H4848-G4849</f>
        <v/>
      </c>
      <c r="I4849" s="392" t="n"/>
      <c r="J4849" s="392" t="n"/>
      <c r="K4849" s="392" t="n"/>
      <c r="L4849" s="392" t="n"/>
      <c r="M4849" s="392" t="n"/>
    </row>
    <row r="4850" ht="15.75" customHeight="1" s="436" thickBot="1">
      <c r="A4850" s="414" t="n"/>
      <c r="H4850" s="390" t="n"/>
    </row>
    <row r="4851" ht="32.25" customHeight="1" s="436" thickBot="1">
      <c r="A4851" s="735" t="inlineStr">
        <is>
          <t>Maio</t>
        </is>
      </c>
      <c r="B4851" s="697" t="n"/>
      <c r="C4851" s="697" t="n"/>
      <c r="D4851" s="697" t="n"/>
      <c r="E4851" s="697" t="n"/>
      <c r="F4851" s="697" t="n"/>
      <c r="G4851" s="697" t="n"/>
      <c r="H4851" s="697" t="n"/>
      <c r="I4851" s="697" t="n"/>
      <c r="J4851" s="697" t="n"/>
      <c r="K4851" s="697" t="n"/>
      <c r="L4851" s="697" t="n"/>
      <c r="M4851" s="698" t="n"/>
    </row>
    <row r="4852" ht="27" customHeight="1" s="436" thickBot="1">
      <c r="A4852" s="720" t="inlineStr">
        <is>
          <t xml:space="preserve"> FARINHA DE TRIGO TIPO: 1 - 25 KG</t>
        </is>
      </c>
      <c r="B4852" s="697" t="n"/>
      <c r="C4852" s="697" t="n"/>
      <c r="D4852" s="697" t="n"/>
      <c r="E4852" s="697" t="n"/>
      <c r="F4852" s="697" t="n"/>
      <c r="G4852" s="697" t="n"/>
      <c r="H4852" s="697" t="n"/>
      <c r="I4852" s="697" t="n"/>
      <c r="J4852" s="697" t="n"/>
      <c r="K4852" s="697" t="n"/>
      <c r="L4852" s="697" t="n"/>
      <c r="M4852" s="698" t="n"/>
    </row>
    <row r="4853">
      <c r="A4853" s="3" t="inlineStr">
        <is>
          <t>DATA</t>
        </is>
      </c>
      <c r="B4853" s="3" t="inlineStr">
        <is>
          <t>N.F.</t>
        </is>
      </c>
      <c r="C4853" s="3" t="inlineStr">
        <is>
          <t>TIPO</t>
        </is>
      </c>
      <c r="D4853" s="708" t="inlineStr">
        <is>
          <t>PREÇO UNITÁRIO</t>
        </is>
      </c>
      <c r="E4853" s="736" t="n"/>
      <c r="F4853" s="3" t="inlineStr">
        <is>
          <t>QUANTIDADE / KG</t>
        </is>
      </c>
      <c r="G4853" s="737" t="n"/>
      <c r="H4853" s="736" t="n"/>
      <c r="I4853" s="631" t="inlineStr">
        <is>
          <t>PREÇO</t>
        </is>
      </c>
      <c r="J4853" s="631" t="inlineStr">
        <is>
          <t>VALORES</t>
        </is>
      </c>
      <c r="K4853" s="737" t="n"/>
      <c r="L4853" s="736" t="n"/>
      <c r="M4853" s="738" t="n"/>
    </row>
    <row r="4854" ht="15.75" customHeight="1" s="436" thickBot="1">
      <c r="A4854" s="704" t="n"/>
      <c r="B4854" s="704" t="n"/>
      <c r="C4854" s="704" t="n"/>
      <c r="D4854" s="703" t="n"/>
      <c r="E4854" s="701" t="n"/>
      <c r="F4854" s="705" t="n"/>
      <c r="G4854" s="706" t="n"/>
      <c r="H4854" s="707" t="n"/>
      <c r="I4854" s="704" t="n"/>
      <c r="J4854" s="703" t="n"/>
      <c r="L4854" s="701" t="n"/>
      <c r="M4854" s="704" t="n"/>
    </row>
    <row r="4855" ht="15.75" customHeight="1" s="436" thickBot="1">
      <c r="A4855" s="704" t="n"/>
      <c r="B4855" s="704" t="n"/>
      <c r="C4855" s="704" t="n"/>
      <c r="D4855" s="705" t="n"/>
      <c r="E4855" s="707" t="n"/>
      <c r="F4855" s="3" t="inlineStr">
        <is>
          <t>ENTRADA</t>
        </is>
      </c>
      <c r="G4855" s="3" t="inlineStr">
        <is>
          <t>SAÍDA</t>
        </is>
      </c>
      <c r="H4855" s="640" t="n"/>
      <c r="I4855" s="633" t="inlineStr">
        <is>
          <t>MÉDIO</t>
        </is>
      </c>
      <c r="J4855" s="739" t="inlineStr">
        <is>
          <t>SALDO EM 30/11/2017</t>
        </is>
      </c>
      <c r="K4855" s="707" t="n"/>
      <c r="L4855" s="17" t="n"/>
      <c r="M4855" s="740" t="n"/>
    </row>
    <row r="4856" ht="18" customHeight="1" s="436" thickBot="1">
      <c r="A4856" s="695" t="n"/>
      <c r="B4856" s="695" t="n"/>
      <c r="C4856" s="695" t="n"/>
      <c r="D4856" s="3" t="inlineStr">
        <is>
          <t>C/ICMS</t>
        </is>
      </c>
      <c r="E4856" s="3" t="inlineStr">
        <is>
          <t>S/ICMS</t>
        </is>
      </c>
      <c r="F4856" s="695" t="n"/>
      <c r="G4856" s="695" t="n"/>
      <c r="H4856" s="84" t="inlineStr">
        <is>
          <t>Saldo em 30/04/2024</t>
        </is>
      </c>
      <c r="I4856" s="695" t="n"/>
      <c r="J4856" s="645" t="inlineStr">
        <is>
          <t>ENTRADA</t>
        </is>
      </c>
      <c r="K4856" s="633" t="inlineStr">
        <is>
          <t>SAÍDA / CMV</t>
        </is>
      </c>
      <c r="L4856" s="643" t="inlineStr">
        <is>
          <t>SALDO</t>
        </is>
      </c>
      <c r="M4856" s="392" t="n"/>
    </row>
    <row r="4857">
      <c r="A4857" s="392" t="n"/>
      <c r="B4857" s="392" t="n"/>
      <c r="C4857" s="392" t="n"/>
      <c r="D4857" s="392" t="n"/>
      <c r="E4857" s="392" t="n"/>
      <c r="F4857" s="392" t="n"/>
      <c r="G4857" s="392" t="n"/>
      <c r="H4857" s="446" t="n">
        <v>1737</v>
      </c>
      <c r="I4857" s="392" t="n"/>
      <c r="J4857" s="392" t="n"/>
      <c r="K4857" s="392" t="n"/>
      <c r="L4857" s="392" t="n"/>
      <c r="M4857" s="392" t="n"/>
    </row>
    <row r="4858">
      <c r="A4858" s="568" t="n">
        <v>45782</v>
      </c>
      <c r="B4858" s="392" t="n">
        <v>11824</v>
      </c>
      <c r="C4858" s="392" t="n">
        <v>95</v>
      </c>
      <c r="D4858" s="392" t="n"/>
      <c r="E4858" s="392" t="n"/>
      <c r="F4858" s="392" t="n"/>
      <c r="G4858" s="392" t="n">
        <v>30</v>
      </c>
      <c r="H4858" s="446">
        <f>H4857-G4858</f>
        <v/>
      </c>
      <c r="I4858" s="392" t="n"/>
      <c r="J4858" s="392" t="n"/>
      <c r="K4858" s="392" t="n"/>
      <c r="L4858" s="392" t="n"/>
      <c r="M4858" s="392" t="n"/>
    </row>
    <row r="4859">
      <c r="A4859" s="568" t="n">
        <v>45782</v>
      </c>
      <c r="B4859" s="392" t="n">
        <v>11825</v>
      </c>
      <c r="C4859" s="392" t="n">
        <v>82</v>
      </c>
      <c r="D4859" s="392" t="n"/>
      <c r="E4859" s="392" t="n"/>
      <c r="F4859" s="392" t="n"/>
      <c r="G4859" s="392" t="n">
        <v>20</v>
      </c>
      <c r="H4859" s="446">
        <f>H4858-G4859</f>
        <v/>
      </c>
      <c r="I4859" s="392" t="n"/>
      <c r="J4859" s="392" t="n"/>
      <c r="K4859" s="392" t="n"/>
      <c r="L4859" s="392" t="n"/>
      <c r="M4859" s="392" t="n"/>
    </row>
    <row r="4860">
      <c r="A4860" s="568" t="n">
        <v>45782</v>
      </c>
      <c r="B4860" s="392" t="n">
        <v>11827</v>
      </c>
      <c r="C4860" s="392" t="n">
        <v>94</v>
      </c>
      <c r="D4860" s="392" t="n"/>
      <c r="E4860" s="392" t="n"/>
      <c r="F4860" s="392" t="n"/>
      <c r="G4860" s="392" t="n">
        <v>30</v>
      </c>
      <c r="H4860" s="446">
        <f>H4859-G4860</f>
        <v/>
      </c>
      <c r="I4860" s="392" t="n"/>
      <c r="J4860" s="392" t="n"/>
      <c r="K4860" s="392" t="n"/>
      <c r="L4860" s="392" t="n"/>
      <c r="M4860" s="392" t="n"/>
    </row>
    <row r="4861">
      <c r="A4861" s="568" t="n">
        <v>45784</v>
      </c>
      <c r="B4861" s="392" t="n">
        <v>11831</v>
      </c>
      <c r="C4861" s="392" t="n">
        <v>87</v>
      </c>
      <c r="D4861" s="392" t="n"/>
      <c r="E4861" s="392" t="n"/>
      <c r="F4861" s="392" t="n"/>
      <c r="G4861" s="392" t="n">
        <v>15</v>
      </c>
      <c r="H4861" s="446">
        <f>H4860-G4861</f>
        <v/>
      </c>
      <c r="I4861" s="392" t="n"/>
      <c r="J4861" s="392" t="n"/>
      <c r="K4861" s="392" t="n"/>
      <c r="L4861" s="392" t="n"/>
      <c r="M4861" s="392" t="n"/>
    </row>
    <row r="4862">
      <c r="A4862" s="568" t="n">
        <v>45784</v>
      </c>
      <c r="B4862" s="392" t="n">
        <v>11832</v>
      </c>
      <c r="C4862" s="392" t="n">
        <v>84</v>
      </c>
      <c r="D4862" s="392" t="n"/>
      <c r="E4862" s="392" t="n"/>
      <c r="F4862" s="392" t="n"/>
      <c r="G4862" s="392" t="n">
        <v>30</v>
      </c>
      <c r="H4862" s="446">
        <f>H4861-G4862</f>
        <v/>
      </c>
      <c r="I4862" s="392" t="n"/>
      <c r="J4862" s="392" t="n"/>
      <c r="K4862" s="392" t="n"/>
      <c r="L4862" s="392" t="n"/>
      <c r="M4862" s="392" t="n"/>
    </row>
    <row r="4863">
      <c r="A4863" s="568" t="n">
        <v>45784</v>
      </c>
      <c r="B4863" s="392" t="n">
        <v>11835</v>
      </c>
      <c r="C4863" s="392" t="n">
        <v>95</v>
      </c>
      <c r="D4863" s="392" t="n"/>
      <c r="E4863" s="392" t="n"/>
      <c r="F4863" s="392" t="n"/>
      <c r="G4863" s="392" t="n">
        <v>50</v>
      </c>
      <c r="H4863" s="446">
        <f>H4862-G4863</f>
        <v/>
      </c>
      <c r="I4863" s="392" t="n"/>
      <c r="J4863" s="392" t="n"/>
      <c r="K4863" s="392" t="n"/>
      <c r="L4863" s="392" t="n"/>
      <c r="M4863" s="392" t="n"/>
    </row>
    <row r="4864">
      <c r="A4864" s="568" t="n">
        <v>45784</v>
      </c>
      <c r="B4864" s="392" t="n">
        <v>11840</v>
      </c>
      <c r="C4864" s="392" t="n">
        <v>84</v>
      </c>
      <c r="D4864" s="392" t="n"/>
      <c r="E4864" s="392" t="n"/>
      <c r="F4864" s="392" t="n"/>
      <c r="G4864" s="392" t="n">
        <v>30</v>
      </c>
      <c r="H4864" s="446">
        <f>H4863-G4864</f>
        <v/>
      </c>
      <c r="I4864" s="392" t="n"/>
      <c r="J4864" s="392" t="n"/>
      <c r="K4864" s="392" t="n"/>
      <c r="L4864" s="392" t="n"/>
      <c r="M4864" s="392" t="n"/>
    </row>
    <row r="4865">
      <c r="A4865" s="568" t="n">
        <v>45785</v>
      </c>
      <c r="B4865" s="392" t="n">
        <v>11841</v>
      </c>
      <c r="C4865" s="392" t="n">
        <v>95</v>
      </c>
      <c r="D4865" s="392" t="n"/>
      <c r="E4865" s="392" t="n"/>
      <c r="F4865" s="392" t="n"/>
      <c r="G4865" s="392" t="n">
        <v>60</v>
      </c>
      <c r="H4865" s="446">
        <f>H4864-G4865</f>
        <v/>
      </c>
      <c r="I4865" s="392" t="n"/>
      <c r="J4865" s="392" t="n"/>
      <c r="K4865" s="392" t="n"/>
      <c r="L4865" s="392" t="n"/>
      <c r="M4865" s="392" t="n"/>
    </row>
    <row r="4866">
      <c r="A4866" s="568" t="n">
        <v>45789</v>
      </c>
      <c r="B4866" s="392" t="n">
        <v>11841</v>
      </c>
      <c r="C4866" s="392" t="n">
        <v>87</v>
      </c>
      <c r="D4866" s="392" t="n"/>
      <c r="E4866" s="392" t="n"/>
      <c r="F4866" s="392" t="n"/>
      <c r="G4866" s="392" t="n">
        <v>50</v>
      </c>
      <c r="H4866" s="446">
        <f>H4865-G4866</f>
        <v/>
      </c>
      <c r="I4866" s="392" t="n"/>
      <c r="J4866" s="392" t="n"/>
      <c r="K4866" s="392" t="n"/>
      <c r="L4866" s="392" t="n"/>
      <c r="M4866" s="392" t="n"/>
    </row>
    <row r="4867">
      <c r="A4867" s="568" t="n">
        <v>45789</v>
      </c>
      <c r="B4867" s="392" t="n">
        <v>11845</v>
      </c>
      <c r="C4867" s="392" t="n">
        <v>95</v>
      </c>
      <c r="D4867" s="392" t="n"/>
      <c r="E4867" s="392" t="n"/>
      <c r="F4867" s="392" t="n"/>
      <c r="G4867" s="392" t="n">
        <v>20</v>
      </c>
      <c r="H4867" s="446">
        <f>H4866-G4867</f>
        <v/>
      </c>
      <c r="I4867" s="392" t="n"/>
      <c r="J4867" s="392" t="n"/>
      <c r="K4867" s="392" t="n"/>
      <c r="L4867" s="392" t="n"/>
      <c r="M4867" s="392" t="n"/>
    </row>
    <row r="4868">
      <c r="A4868" s="568" t="n">
        <v>45789</v>
      </c>
      <c r="B4868" s="392" t="n">
        <v>11847</v>
      </c>
      <c r="C4868" s="392" t="n">
        <v>87</v>
      </c>
      <c r="D4868" s="392" t="n"/>
      <c r="E4868" s="392" t="n"/>
      <c r="F4868" s="392" t="n"/>
      <c r="G4868" s="392" t="n">
        <v>15</v>
      </c>
      <c r="H4868" s="446">
        <f>H4867-G4868</f>
        <v/>
      </c>
      <c r="I4868" s="392" t="n"/>
      <c r="J4868" s="392" t="n"/>
      <c r="K4868" s="392" t="n"/>
      <c r="L4868" s="392" t="n"/>
      <c r="M4868" s="392" t="n"/>
    </row>
    <row r="4869">
      <c r="A4869" s="568" t="n">
        <v>45789</v>
      </c>
      <c r="B4869" s="392" t="n">
        <v>11849</v>
      </c>
      <c r="C4869" s="392" t="n">
        <v>87</v>
      </c>
      <c r="D4869" s="392" t="n"/>
      <c r="E4869" s="392" t="n"/>
      <c r="F4869" s="392" t="n"/>
      <c r="G4869" s="392" t="n">
        <v>20</v>
      </c>
      <c r="H4869" s="446">
        <f>H4868-G4869</f>
        <v/>
      </c>
      <c r="I4869" s="392" t="n"/>
      <c r="J4869" s="392" t="n"/>
      <c r="K4869" s="392" t="n"/>
      <c r="L4869" s="392" t="n"/>
      <c r="M4869" s="392" t="n"/>
    </row>
    <row r="4870">
      <c r="A4870" s="568" t="n">
        <v>45789</v>
      </c>
      <c r="B4870" s="392" t="n">
        <v>11850</v>
      </c>
      <c r="C4870" s="392" t="n">
        <v>87</v>
      </c>
      <c r="D4870" s="392" t="n"/>
      <c r="E4870" s="392" t="n"/>
      <c r="F4870" s="392" t="n"/>
      <c r="G4870" s="392" t="n">
        <v>30</v>
      </c>
      <c r="H4870" s="446">
        <f>H4869-G4870</f>
        <v/>
      </c>
      <c r="I4870" s="392" t="n"/>
      <c r="J4870" s="392" t="n"/>
      <c r="K4870" s="392" t="n"/>
      <c r="L4870" s="392" t="n"/>
      <c r="M4870" s="392" t="n"/>
    </row>
    <row r="4871">
      <c r="A4871" s="568" t="n">
        <v>45789</v>
      </c>
      <c r="B4871" s="392" t="n">
        <v>11851</v>
      </c>
      <c r="C4871" s="392" t="n">
        <v>90</v>
      </c>
      <c r="D4871" s="392" t="n"/>
      <c r="E4871" s="392" t="n"/>
      <c r="F4871" s="392" t="n"/>
      <c r="G4871" s="392" t="n">
        <v>30</v>
      </c>
      <c r="H4871" s="446">
        <f>H4870-G4871</f>
        <v/>
      </c>
      <c r="I4871" s="392" t="n"/>
      <c r="J4871" s="392" t="n"/>
      <c r="K4871" s="392" t="n"/>
      <c r="L4871" s="392" t="n"/>
      <c r="M4871" s="392" t="n"/>
    </row>
    <row r="4872">
      <c r="A4872" s="568" t="n">
        <v>45791</v>
      </c>
      <c r="B4872" s="392" t="n">
        <v>11857</v>
      </c>
      <c r="C4872" s="392" t="n">
        <v>83</v>
      </c>
      <c r="D4872" s="392" t="n"/>
      <c r="E4872" s="392" t="n"/>
      <c r="F4872" s="392" t="n"/>
      <c r="G4872" s="392" t="n">
        <v>100</v>
      </c>
      <c r="H4872" s="446">
        <f>H4871-G4872</f>
        <v/>
      </c>
      <c r="I4872" s="392" t="n"/>
      <c r="J4872" s="392" t="n"/>
      <c r="K4872" s="392" t="n"/>
      <c r="L4872" s="392" t="n"/>
      <c r="M4872" s="392" t="n"/>
    </row>
    <row r="4873">
      <c r="A4873" s="568" t="n">
        <v>45796</v>
      </c>
      <c r="B4873" s="392" t="n">
        <v>11859</v>
      </c>
      <c r="C4873" s="392" t="n">
        <v>87.92</v>
      </c>
      <c r="D4873" s="392" t="n"/>
      <c r="E4873" s="392" t="n"/>
      <c r="F4873" s="392" t="n"/>
      <c r="G4873" s="392" t="n">
        <v>23</v>
      </c>
      <c r="H4873" s="446">
        <f>H4872-G4873</f>
        <v/>
      </c>
      <c r="I4873" s="392" t="n"/>
      <c r="J4873" s="392" t="n"/>
      <c r="K4873" s="392" t="n"/>
      <c r="L4873" s="392" t="n"/>
      <c r="M4873" s="392" t="n"/>
    </row>
    <row r="4874">
      <c r="A4874" s="568" t="n">
        <v>45796</v>
      </c>
      <c r="B4874" s="392" t="n">
        <v>11860</v>
      </c>
      <c r="C4874" s="392" t="n">
        <v>95</v>
      </c>
      <c r="D4874" s="392" t="n"/>
      <c r="E4874" s="392" t="n"/>
      <c r="F4874" s="392" t="n"/>
      <c r="G4874" s="392" t="n">
        <v>20</v>
      </c>
      <c r="H4874" s="446">
        <f>H4873-G4874</f>
        <v/>
      </c>
      <c r="I4874" s="392" t="n"/>
      <c r="J4874" s="392" t="n"/>
      <c r="K4874" s="392" t="n"/>
      <c r="L4874" s="392" t="n"/>
      <c r="M4874" s="392" t="n"/>
    </row>
    <row r="4875">
      <c r="A4875" s="568" t="n">
        <v>45796</v>
      </c>
      <c r="B4875" s="392" t="n">
        <v>11861</v>
      </c>
      <c r="C4875" s="392" t="n">
        <v>95</v>
      </c>
      <c r="D4875" s="392" t="n"/>
      <c r="E4875" s="392" t="n"/>
      <c r="F4875" s="392" t="n"/>
      <c r="G4875" s="392" t="n">
        <v>40</v>
      </c>
      <c r="H4875" s="446">
        <f>H4874-G4875</f>
        <v/>
      </c>
      <c r="I4875" s="392" t="n"/>
      <c r="J4875" s="392" t="n"/>
      <c r="K4875" s="392" t="n"/>
      <c r="L4875" s="392" t="n"/>
      <c r="M4875" s="392" t="n"/>
    </row>
    <row r="4876">
      <c r="A4876" s="568" t="n">
        <v>45796</v>
      </c>
      <c r="B4876" s="392" t="n">
        <v>11863</v>
      </c>
      <c r="C4876" s="392" t="n">
        <v>87</v>
      </c>
      <c r="D4876" s="392" t="n"/>
      <c r="E4876" s="392" t="n"/>
      <c r="F4876" s="392" t="n"/>
      <c r="G4876" s="392" t="n">
        <v>20</v>
      </c>
      <c r="H4876" s="446">
        <f>H4875-G4876</f>
        <v/>
      </c>
      <c r="I4876" s="392" t="n"/>
      <c r="J4876" s="392" t="n"/>
      <c r="K4876" s="392" t="n"/>
      <c r="L4876" s="392" t="n"/>
      <c r="M4876" s="392" t="n"/>
    </row>
    <row r="4877">
      <c r="A4877" s="568" t="n">
        <v>45798</v>
      </c>
      <c r="B4877" s="392" t="n">
        <v>11869</v>
      </c>
      <c r="C4877" s="392" t="n">
        <v>90</v>
      </c>
      <c r="D4877" s="392" t="n"/>
      <c r="E4877" s="392" t="n"/>
      <c r="F4877" s="392" t="n"/>
      <c r="G4877" s="392" t="n">
        <v>32</v>
      </c>
      <c r="H4877" s="446">
        <f>H4876-G4877</f>
        <v/>
      </c>
      <c r="I4877" s="392" t="n"/>
      <c r="J4877" s="392" t="n"/>
      <c r="K4877" s="392" t="n"/>
      <c r="L4877" s="392" t="n"/>
      <c r="M4877" s="392" t="n"/>
    </row>
    <row r="4878">
      <c r="A4878" s="568" t="n">
        <v>45798</v>
      </c>
      <c r="B4878" s="392" t="n">
        <v>11871</v>
      </c>
      <c r="C4878" s="392" t="n">
        <v>83</v>
      </c>
      <c r="D4878" s="392" t="n"/>
      <c r="E4878" s="392" t="n"/>
      <c r="F4878" s="392" t="n"/>
      <c r="G4878" s="392" t="n">
        <v>70</v>
      </c>
      <c r="H4878" s="446">
        <f>H4877-G4878</f>
        <v/>
      </c>
      <c r="I4878" s="392" t="n"/>
      <c r="J4878" s="392" t="n"/>
      <c r="K4878" s="392" t="n"/>
      <c r="L4878" s="392" t="n"/>
      <c r="M4878" s="392" t="n"/>
    </row>
    <row r="4879">
      <c r="A4879" s="568" t="n">
        <v>45803</v>
      </c>
      <c r="B4879" s="392" t="n">
        <v>11877</v>
      </c>
      <c r="C4879" s="392" t="n">
        <v>90</v>
      </c>
      <c r="D4879" s="392" t="n"/>
      <c r="E4879" s="392" t="n"/>
      <c r="F4879" s="392" t="n"/>
      <c r="G4879" s="392" t="n">
        <v>30</v>
      </c>
      <c r="H4879" s="446">
        <f>H4878-G4879</f>
        <v/>
      </c>
      <c r="I4879" s="392" t="n"/>
      <c r="J4879" s="392" t="n"/>
      <c r="K4879" s="392" t="n"/>
      <c r="L4879" s="392" t="n"/>
      <c r="M4879" s="392" t="n"/>
    </row>
    <row r="4880">
      <c r="A4880" s="568" t="n">
        <v>45803</v>
      </c>
      <c r="B4880" s="392" t="n">
        <v>11878</v>
      </c>
      <c r="C4880" s="392" t="n">
        <v>87</v>
      </c>
      <c r="D4880" s="392" t="n"/>
      <c r="E4880" s="392" t="n"/>
      <c r="F4880" s="392" t="n"/>
      <c r="G4880" s="392" t="n">
        <v>20</v>
      </c>
      <c r="H4880" s="446">
        <f>H4879-G4880</f>
        <v/>
      </c>
      <c r="I4880" s="392" t="n"/>
      <c r="J4880" s="392" t="n"/>
      <c r="K4880" s="392" t="n"/>
      <c r="L4880" s="392" t="n"/>
      <c r="M4880" s="392" t="n"/>
    </row>
    <row r="4881">
      <c r="A4881" s="568" t="n">
        <v>45803</v>
      </c>
      <c r="B4881" s="392" t="n">
        <v>11879</v>
      </c>
      <c r="C4881" s="392" t="n">
        <v>95</v>
      </c>
      <c r="D4881" s="392" t="n"/>
      <c r="E4881" s="392" t="n"/>
      <c r="F4881" s="392" t="n"/>
      <c r="G4881" s="392" t="n">
        <v>20</v>
      </c>
      <c r="H4881" s="446">
        <f>H4880-G4881</f>
        <v/>
      </c>
      <c r="I4881" s="392" t="n"/>
      <c r="J4881" s="392" t="n"/>
      <c r="K4881" s="392" t="n"/>
      <c r="L4881" s="392" t="n"/>
      <c r="M4881" s="392" t="n"/>
    </row>
    <row r="4882">
      <c r="A4882" s="568" t="n">
        <v>45803</v>
      </c>
      <c r="B4882" s="392" t="n">
        <v>11880</v>
      </c>
      <c r="C4882" s="392" t="n">
        <v>82</v>
      </c>
      <c r="D4882" s="392" t="n"/>
      <c r="E4882" s="392" t="n"/>
      <c r="F4882" s="392" t="n"/>
      <c r="G4882" s="392" t="n">
        <v>30</v>
      </c>
      <c r="H4882" s="446">
        <f>H4881-G4882</f>
        <v/>
      </c>
      <c r="I4882" s="392" t="n"/>
      <c r="J4882" s="392" t="n"/>
      <c r="K4882" s="392" t="n"/>
      <c r="L4882" s="392" t="n"/>
      <c r="M4882" s="392" t="n"/>
    </row>
    <row r="4883">
      <c r="A4883" s="568" t="n">
        <v>45803</v>
      </c>
      <c r="B4883" s="392" t="n">
        <v>11882</v>
      </c>
      <c r="C4883" s="392" t="n">
        <v>87</v>
      </c>
      <c r="D4883" s="392" t="n"/>
      <c r="E4883" s="392" t="n"/>
      <c r="F4883" s="392" t="n"/>
      <c r="G4883" s="392" t="n">
        <v>30</v>
      </c>
      <c r="H4883" s="446">
        <f>H4882-G4883</f>
        <v/>
      </c>
      <c r="I4883" s="392" t="n"/>
      <c r="J4883" s="392" t="n"/>
      <c r="K4883" s="392" t="n"/>
      <c r="L4883" s="392" t="n"/>
      <c r="M4883" s="392" t="n"/>
    </row>
    <row r="4884">
      <c r="A4884" s="568" t="n">
        <v>45805</v>
      </c>
      <c r="B4884" s="392" t="n">
        <v>11885</v>
      </c>
      <c r="C4884" s="392" t="n">
        <v>83</v>
      </c>
      <c r="D4884" s="392" t="n"/>
      <c r="E4884" s="392" t="n"/>
      <c r="F4884" s="392" t="n"/>
      <c r="G4884" s="392" t="n">
        <v>60</v>
      </c>
      <c r="H4884" s="446">
        <f>H4883-G4884</f>
        <v/>
      </c>
      <c r="I4884" s="392" t="n"/>
      <c r="J4884" s="392" t="n"/>
      <c r="K4884" s="392" t="n"/>
      <c r="L4884" s="392" t="n"/>
      <c r="M4884" s="392" t="n"/>
    </row>
    <row r="4885">
      <c r="A4885" s="568" t="n">
        <v>45805</v>
      </c>
      <c r="B4885" s="392" t="n">
        <v>11886</v>
      </c>
      <c r="C4885" s="392" t="n">
        <v>83.64</v>
      </c>
      <c r="D4885" s="392" t="n"/>
      <c r="E4885" s="392" t="n"/>
      <c r="F4885" s="392" t="n"/>
      <c r="G4885" s="392" t="n">
        <v>11</v>
      </c>
      <c r="H4885" s="446">
        <f>H4884-G4885</f>
        <v/>
      </c>
      <c r="I4885" s="392" t="n"/>
      <c r="J4885" s="392" t="n"/>
      <c r="K4885" s="392" t="n"/>
      <c r="L4885" s="392" t="n"/>
      <c r="M4885" s="392" t="n"/>
    </row>
    <row r="4886">
      <c r="A4886" s="568" t="n">
        <v>45805</v>
      </c>
      <c r="B4886" s="392" t="n">
        <v>11889</v>
      </c>
      <c r="C4886" s="392" t="n">
        <v>85</v>
      </c>
      <c r="D4886" s="392" t="n"/>
      <c r="E4886" s="392" t="n"/>
      <c r="F4886" s="392" t="n"/>
      <c r="G4886" s="392" t="n">
        <v>50</v>
      </c>
      <c r="H4886" s="446">
        <f>H4885-G4886</f>
        <v/>
      </c>
      <c r="I4886" s="392" t="n"/>
      <c r="J4886" s="392" t="n"/>
      <c r="K4886" s="392" t="n"/>
      <c r="L4886" s="392" t="n"/>
      <c r="M4886" s="392" t="n"/>
    </row>
    <row r="4887">
      <c r="A4887" s="568" t="n">
        <v>45805</v>
      </c>
      <c r="B4887" s="392" t="n">
        <v>11890</v>
      </c>
      <c r="C4887" s="392" t="n">
        <v>80</v>
      </c>
      <c r="D4887" s="392" t="n"/>
      <c r="E4887" s="392" t="n"/>
      <c r="F4887" s="392" t="n"/>
      <c r="G4887" s="392" t="n">
        <v>100</v>
      </c>
      <c r="H4887" s="446">
        <f>H4886-G4887</f>
        <v/>
      </c>
      <c r="I4887" s="392" t="n"/>
      <c r="J4887" s="392" t="n"/>
      <c r="K4887" s="392" t="n"/>
      <c r="L4887" s="392" t="n"/>
      <c r="M4887" s="392" t="n"/>
    </row>
    <row r="4888">
      <c r="A4888" s="568" t="n">
        <v>45805</v>
      </c>
      <c r="B4888" s="392" t="n">
        <v>11891</v>
      </c>
      <c r="C4888" s="392" t="n">
        <v>95</v>
      </c>
      <c r="D4888" s="392" t="n"/>
      <c r="E4888" s="392" t="n"/>
      <c r="F4888" s="392" t="n"/>
      <c r="G4888" s="392" t="n">
        <v>60</v>
      </c>
      <c r="H4888" s="446">
        <f>H4887-G4888</f>
        <v/>
      </c>
      <c r="I4888" s="392" t="n"/>
      <c r="J4888" s="392" t="n"/>
      <c r="K4888" s="392" t="n"/>
      <c r="L4888" s="392" t="n"/>
      <c r="M4888" s="392" t="n"/>
    </row>
    <row r="4889">
      <c r="A4889" s="392" t="n"/>
      <c r="B4889" s="392" t="n"/>
      <c r="C4889" s="392" t="n"/>
      <c r="D4889" s="392" t="n"/>
      <c r="E4889" s="392" t="n"/>
      <c r="F4889" s="392" t="n"/>
      <c r="G4889" s="392" t="n"/>
      <c r="H4889" s="446">
        <f>H4888-G4889</f>
        <v/>
      </c>
      <c r="I4889" s="392" t="n"/>
      <c r="J4889" s="392" t="n"/>
      <c r="K4889" s="392" t="n"/>
      <c r="L4889" s="392" t="n"/>
      <c r="M4889" s="392" t="n"/>
    </row>
    <row r="4890" ht="15.75" customHeight="1" s="436" thickBot="1">
      <c r="A4890" s="414" t="n"/>
      <c r="H4890" s="390" t="n"/>
    </row>
    <row r="4891" ht="32.25" customHeight="1" s="436" thickBot="1">
      <c r="A4891" s="735" t="inlineStr">
        <is>
          <t>Junho</t>
        </is>
      </c>
      <c r="B4891" s="697" t="n"/>
      <c r="C4891" s="697" t="n"/>
      <c r="D4891" s="697" t="n"/>
      <c r="E4891" s="697" t="n"/>
      <c r="F4891" s="697" t="n"/>
      <c r="G4891" s="697" t="n"/>
      <c r="H4891" s="697" t="n"/>
      <c r="I4891" s="697" t="n"/>
      <c r="J4891" s="697" t="n"/>
      <c r="K4891" s="697" t="n"/>
      <c r="L4891" s="697" t="n"/>
      <c r="M4891" s="698" t="n"/>
    </row>
    <row r="4892" ht="27" customHeight="1" s="436" thickBot="1">
      <c r="A4892" s="720" t="inlineStr">
        <is>
          <t xml:space="preserve"> FARINHA DE TRIGO TIPO: 1 - 25 KG</t>
        </is>
      </c>
      <c r="B4892" s="697" t="n"/>
      <c r="C4892" s="697" t="n"/>
      <c r="D4892" s="697" t="n"/>
      <c r="E4892" s="697" t="n"/>
      <c r="F4892" s="697" t="n"/>
      <c r="G4892" s="697" t="n"/>
      <c r="H4892" s="697" t="n"/>
      <c r="I4892" s="697" t="n"/>
      <c r="J4892" s="697" t="n"/>
      <c r="K4892" s="697" t="n"/>
      <c r="L4892" s="697" t="n"/>
      <c r="M4892" s="698" t="n"/>
    </row>
    <row r="4893">
      <c r="A4893" s="3" t="inlineStr">
        <is>
          <t>DATA</t>
        </is>
      </c>
      <c r="B4893" s="3" t="inlineStr">
        <is>
          <t>N.F.</t>
        </is>
      </c>
      <c r="C4893" s="3" t="inlineStr">
        <is>
          <t>TIPO</t>
        </is>
      </c>
      <c r="D4893" s="708" t="inlineStr">
        <is>
          <t>PREÇO UNITÁRIO</t>
        </is>
      </c>
      <c r="E4893" s="736" t="n"/>
      <c r="F4893" s="3" t="inlineStr">
        <is>
          <t>QUANTIDADE / KG</t>
        </is>
      </c>
      <c r="G4893" s="737" t="n"/>
      <c r="H4893" s="736" t="n"/>
      <c r="I4893" s="631" t="inlineStr">
        <is>
          <t>PREÇO</t>
        </is>
      </c>
      <c r="J4893" s="631" t="inlineStr">
        <is>
          <t>VALORES</t>
        </is>
      </c>
      <c r="K4893" s="737" t="n"/>
      <c r="L4893" s="736" t="n"/>
      <c r="M4893" s="738" t="n"/>
    </row>
    <row r="4894" ht="15.75" customHeight="1" s="436" thickBot="1">
      <c r="A4894" s="704" t="n"/>
      <c r="B4894" s="704" t="n"/>
      <c r="C4894" s="704" t="n"/>
      <c r="D4894" s="703" t="n"/>
      <c r="E4894" s="701" t="n"/>
      <c r="F4894" s="705" t="n"/>
      <c r="G4894" s="706" t="n"/>
      <c r="H4894" s="707" t="n"/>
      <c r="I4894" s="704" t="n"/>
      <c r="J4894" s="703" t="n"/>
      <c r="L4894" s="701" t="n"/>
      <c r="M4894" s="704" t="n"/>
    </row>
    <row r="4895" ht="15.75" customHeight="1" s="436" thickBot="1">
      <c r="A4895" s="704" t="n"/>
      <c r="B4895" s="704" t="n"/>
      <c r="C4895" s="704" t="n"/>
      <c r="D4895" s="705" t="n"/>
      <c r="E4895" s="707" t="n"/>
      <c r="F4895" s="3" t="inlineStr">
        <is>
          <t>ENTRADA</t>
        </is>
      </c>
      <c r="G4895" s="3" t="inlineStr">
        <is>
          <t>SAÍDA</t>
        </is>
      </c>
      <c r="H4895" s="640" t="n"/>
      <c r="I4895" s="633" t="inlineStr">
        <is>
          <t>MÉDIO</t>
        </is>
      </c>
      <c r="J4895" s="739" t="inlineStr">
        <is>
          <t>SALDO EM 30/11/2017</t>
        </is>
      </c>
      <c r="K4895" s="707" t="n"/>
      <c r="L4895" s="17" t="n"/>
      <c r="M4895" s="740" t="n"/>
    </row>
    <row r="4896" ht="18" customHeight="1" s="436" thickBot="1">
      <c r="A4896" s="695" t="n"/>
      <c r="B4896" s="695" t="n"/>
      <c r="C4896" s="695" t="n"/>
      <c r="D4896" s="3" t="inlineStr">
        <is>
          <t>C/ICMS</t>
        </is>
      </c>
      <c r="E4896" s="3" t="inlineStr">
        <is>
          <t>S/ICMS</t>
        </is>
      </c>
      <c r="F4896" s="695" t="n"/>
      <c r="G4896" s="695" t="n"/>
      <c r="H4896" s="84" t="inlineStr">
        <is>
          <t>Saldo em 31/05/2024</t>
        </is>
      </c>
      <c r="I4896" s="695" t="n"/>
      <c r="J4896" s="645" t="inlineStr">
        <is>
          <t>ENTRADA</t>
        </is>
      </c>
      <c r="K4896" s="633" t="inlineStr">
        <is>
          <t>SAÍDA / CMV</t>
        </is>
      </c>
      <c r="L4896" s="643" t="inlineStr">
        <is>
          <t>SALDO</t>
        </is>
      </c>
      <c r="M4896" s="392" t="n"/>
    </row>
    <row r="4897">
      <c r="A4897" s="392" t="n"/>
      <c r="B4897" s="392" t="n"/>
      <c r="C4897" s="392" t="n"/>
      <c r="D4897" s="392" t="n"/>
      <c r="E4897" s="392" t="n"/>
      <c r="F4897" s="392" t="n"/>
      <c r="G4897" s="392" t="n"/>
      <c r="H4897" s="446" t="n">
        <v>591</v>
      </c>
      <c r="I4897" s="392" t="n"/>
      <c r="J4897" s="392" t="n"/>
      <c r="K4897" s="392" t="n"/>
      <c r="L4897" s="392" t="n"/>
      <c r="M4897" s="392" t="n"/>
    </row>
    <row r="4898">
      <c r="A4898" s="568" t="n">
        <v>45810</v>
      </c>
      <c r="B4898" s="392" t="n">
        <v>11894</v>
      </c>
      <c r="C4898" s="392" t="n">
        <v>95</v>
      </c>
      <c r="D4898" s="392" t="n"/>
      <c r="E4898" s="392" t="n"/>
      <c r="F4898" s="392" t="n"/>
      <c r="G4898" s="392" t="n">
        <v>40</v>
      </c>
      <c r="H4898" s="446">
        <f>H4897-G4898</f>
        <v/>
      </c>
      <c r="I4898" s="392" t="n"/>
      <c r="J4898" s="392" t="n"/>
      <c r="K4898" s="392" t="n"/>
      <c r="L4898" s="392" t="n"/>
      <c r="M4898" s="392" t="n"/>
    </row>
    <row r="4899">
      <c r="A4899" s="568" t="n">
        <v>45812</v>
      </c>
      <c r="B4899" s="392" t="n">
        <v>11898</v>
      </c>
      <c r="C4899" s="392" t="n">
        <v>92</v>
      </c>
      <c r="D4899" s="392" t="n"/>
      <c r="E4899" s="392" t="n"/>
      <c r="F4899" s="392" t="n"/>
      <c r="G4899" s="392" t="n">
        <v>15</v>
      </c>
      <c r="H4899" s="446">
        <f>H4898-G4899</f>
        <v/>
      </c>
      <c r="I4899" s="392" t="n"/>
      <c r="J4899" s="392" t="n"/>
      <c r="K4899" s="392" t="n"/>
      <c r="L4899" s="392" t="n"/>
      <c r="M4899" s="392" t="n"/>
    </row>
    <row r="4900">
      <c r="A4900" s="568" t="n">
        <v>45812</v>
      </c>
      <c r="B4900" s="392" t="n">
        <v>11902</v>
      </c>
      <c r="C4900" s="392" t="n">
        <v>95</v>
      </c>
      <c r="D4900" s="392" t="n"/>
      <c r="E4900" s="392" t="n"/>
      <c r="F4900" s="392" t="n"/>
      <c r="G4900" s="392" t="n">
        <v>20</v>
      </c>
      <c r="H4900" s="446">
        <f>H4899-G4900</f>
        <v/>
      </c>
      <c r="I4900" s="392" t="n"/>
      <c r="J4900" s="392" t="n"/>
      <c r="K4900" s="392" t="n"/>
      <c r="L4900" s="392" t="n"/>
      <c r="M4900" s="392" t="n"/>
    </row>
    <row r="4901">
      <c r="A4901" s="568" t="n">
        <v>45817</v>
      </c>
      <c r="B4901" s="392" t="n">
        <v>11907</v>
      </c>
      <c r="C4901" s="392" t="n">
        <v>88.3</v>
      </c>
      <c r="D4901" s="392" t="n"/>
      <c r="E4901" s="392" t="n"/>
      <c r="F4901" s="392" t="n"/>
      <c r="G4901" s="392" t="n">
        <v>35</v>
      </c>
      <c r="H4901" s="446">
        <f>H4900-G4901</f>
        <v/>
      </c>
      <c r="I4901" s="392" t="n"/>
      <c r="J4901" s="392" t="n"/>
      <c r="K4901" s="392" t="n"/>
      <c r="L4901" s="392" t="n"/>
      <c r="M4901" s="392" t="n"/>
    </row>
    <row r="4902">
      <c r="A4902" s="568" t="n">
        <v>45817</v>
      </c>
      <c r="B4902" s="392" t="n">
        <v>11908</v>
      </c>
      <c r="C4902" s="392" t="n">
        <v>87.2</v>
      </c>
      <c r="D4902" s="392" t="n"/>
      <c r="E4902" s="392" t="n"/>
      <c r="F4902" s="392" t="n"/>
      <c r="G4902" s="392" t="n">
        <v>20</v>
      </c>
      <c r="H4902" s="446">
        <f>H4901-G4902</f>
        <v/>
      </c>
      <c r="I4902" s="392" t="n"/>
      <c r="J4902" s="392" t="n"/>
      <c r="K4902" s="392" t="n"/>
      <c r="L4902" s="392" t="n"/>
      <c r="M4902" s="392" t="n"/>
    </row>
    <row r="4903">
      <c r="A4903" s="568" t="n">
        <v>45817</v>
      </c>
      <c r="B4903" s="392" t="n">
        <v>11909</v>
      </c>
      <c r="C4903" s="392" t="n">
        <v>85.8</v>
      </c>
      <c r="D4903" s="392" t="n"/>
      <c r="E4903" s="392" t="n"/>
      <c r="F4903" s="392" t="n"/>
      <c r="G4903" s="392" t="n">
        <v>50</v>
      </c>
      <c r="H4903" s="446">
        <f>H4902-G4903</f>
        <v/>
      </c>
      <c r="I4903" s="392" t="n"/>
      <c r="J4903" s="392" t="n"/>
      <c r="K4903" s="392" t="n"/>
      <c r="L4903" s="392" t="n"/>
      <c r="M4903" s="392" t="n"/>
    </row>
    <row r="4904">
      <c r="A4904" s="568" t="n">
        <v>45817</v>
      </c>
      <c r="B4904" s="392" t="n">
        <v>11910</v>
      </c>
      <c r="C4904" s="392" t="n">
        <v>87</v>
      </c>
      <c r="D4904" s="392" t="n"/>
      <c r="E4904" s="392" t="n"/>
      <c r="F4904" s="392" t="n"/>
      <c r="G4904" s="392" t="n">
        <v>20</v>
      </c>
      <c r="H4904" s="446">
        <f>H4903-G4904</f>
        <v/>
      </c>
      <c r="I4904" s="392" t="n"/>
      <c r="J4904" s="392" t="n"/>
      <c r="K4904" s="392" t="n"/>
      <c r="L4904" s="392" t="n"/>
      <c r="M4904" s="392" t="n"/>
    </row>
    <row r="4905">
      <c r="A4905" s="568" t="n">
        <v>45818</v>
      </c>
      <c r="B4905" s="392" t="n">
        <v>11911</v>
      </c>
      <c r="C4905" s="392" t="n">
        <v>90</v>
      </c>
      <c r="D4905" s="392" t="n"/>
      <c r="E4905" s="392" t="n"/>
      <c r="F4905" s="392" t="n"/>
      <c r="G4905" s="392" t="n">
        <v>30</v>
      </c>
      <c r="H4905" s="446">
        <f>H4904-G4905</f>
        <v/>
      </c>
      <c r="I4905" s="392" t="n"/>
      <c r="J4905" s="392" t="n"/>
      <c r="K4905" s="392" t="n"/>
      <c r="L4905" s="392" t="n"/>
      <c r="M4905" s="392" t="n"/>
    </row>
    <row r="4906">
      <c r="A4906" s="568" t="n">
        <v>45818</v>
      </c>
      <c r="B4906" s="392" t="n">
        <v>11917</v>
      </c>
      <c r="C4906" s="392" t="n">
        <v>85</v>
      </c>
      <c r="D4906" s="392" t="n"/>
      <c r="E4906" s="392" t="n"/>
      <c r="F4906" s="392" t="n"/>
      <c r="G4906" s="392" t="n">
        <v>30</v>
      </c>
      <c r="H4906" s="446">
        <f>H4905-G4906</f>
        <v/>
      </c>
      <c r="I4906" s="392" t="n"/>
      <c r="J4906" s="392" t="n"/>
      <c r="K4906" s="392" t="n"/>
      <c r="L4906" s="392" t="n"/>
      <c r="M4906" s="392" t="n"/>
    </row>
    <row r="4907">
      <c r="A4907" s="304" t="n">
        <v>45822</v>
      </c>
      <c r="B4907" s="401" t="n">
        <v>2591</v>
      </c>
      <c r="C4907" s="401" t="n">
        <v>73.15000000000001</v>
      </c>
      <c r="D4907" s="401" t="n"/>
      <c r="E4907" s="401" t="n"/>
      <c r="F4907" s="401" t="n">
        <v>1120</v>
      </c>
      <c r="G4907" s="401" t="n"/>
      <c r="H4907" s="322" t="n">
        <v>1451</v>
      </c>
      <c r="I4907" s="392" t="n"/>
      <c r="J4907" s="392" t="n"/>
      <c r="K4907" s="392" t="n"/>
      <c r="L4907" s="392" t="n"/>
      <c r="M4907" s="392" t="n"/>
    </row>
    <row r="4908">
      <c r="A4908" s="568" t="n">
        <v>45823</v>
      </c>
      <c r="B4908" s="392" t="n">
        <v>11918</v>
      </c>
      <c r="C4908" s="392" t="n">
        <v>83</v>
      </c>
      <c r="D4908" s="392" t="n"/>
      <c r="E4908" s="392" t="n"/>
      <c r="F4908" s="392" t="n"/>
      <c r="G4908" s="392" t="n">
        <v>200</v>
      </c>
      <c r="H4908" s="446">
        <f>H4907-G4908</f>
        <v/>
      </c>
      <c r="I4908" s="392" t="n"/>
      <c r="J4908" s="392" t="n"/>
      <c r="K4908" s="392" t="n"/>
      <c r="L4908" s="392" t="n"/>
      <c r="M4908" s="392" t="n"/>
    </row>
    <row r="4909">
      <c r="A4909" s="568" t="n">
        <v>45823</v>
      </c>
      <c r="B4909" s="392" t="n">
        <v>11919</v>
      </c>
      <c r="C4909" s="392" t="n">
        <v>87</v>
      </c>
      <c r="D4909" s="392" t="n"/>
      <c r="E4909" s="392" t="n"/>
      <c r="F4909" s="392" t="n"/>
      <c r="G4909" s="392" t="n">
        <v>15</v>
      </c>
      <c r="H4909" s="446">
        <f>H4908-G4909</f>
        <v/>
      </c>
      <c r="I4909" s="392" t="n"/>
      <c r="J4909" s="392" t="n"/>
      <c r="K4909" s="392" t="n"/>
      <c r="L4909" s="392" t="n"/>
      <c r="M4909" s="392" t="n"/>
    </row>
    <row r="4910">
      <c r="A4910" s="568" t="n">
        <v>45824</v>
      </c>
      <c r="B4910" s="392" t="n">
        <v>11921</v>
      </c>
      <c r="C4910" s="392" t="n">
        <v>95</v>
      </c>
      <c r="D4910" s="392" t="n"/>
      <c r="E4910" s="392" t="n"/>
      <c r="F4910" s="392" t="n"/>
      <c r="G4910" s="392" t="n">
        <v>50</v>
      </c>
      <c r="H4910" s="446">
        <f>H4909-G4910</f>
        <v/>
      </c>
      <c r="I4910" s="392" t="n"/>
      <c r="J4910" s="392" t="n"/>
      <c r="K4910" s="392" t="n"/>
      <c r="L4910" s="392" t="n"/>
      <c r="M4910" s="392" t="n"/>
    </row>
    <row r="4911">
      <c r="A4911" s="568" t="n">
        <v>45824</v>
      </c>
      <c r="B4911" s="392" t="n">
        <v>11926</v>
      </c>
      <c r="C4911" s="392" t="n">
        <v>87</v>
      </c>
      <c r="D4911" s="392" t="n"/>
      <c r="E4911" s="392" t="n"/>
      <c r="F4911" s="392" t="n"/>
      <c r="G4911" s="392" t="n">
        <v>10</v>
      </c>
      <c r="H4911" s="446">
        <f>H4910-G4911</f>
        <v/>
      </c>
      <c r="I4911" s="392" t="n"/>
      <c r="J4911" s="392" t="n"/>
      <c r="K4911" s="392" t="n"/>
      <c r="L4911" s="392" t="n"/>
      <c r="M4911" s="392" t="n"/>
    </row>
    <row r="4912">
      <c r="A4912" s="568" t="n">
        <v>45824</v>
      </c>
      <c r="B4912" s="392" t="n">
        <v>11927</v>
      </c>
      <c r="C4912" s="392" t="n">
        <v>80</v>
      </c>
      <c r="D4912" s="392" t="n"/>
      <c r="E4912" s="392" t="n"/>
      <c r="F4912" s="392" t="n"/>
      <c r="G4912" s="392" t="n">
        <v>50</v>
      </c>
      <c r="H4912" s="446">
        <f>H4911-G4912</f>
        <v/>
      </c>
      <c r="I4912" s="392" t="n"/>
      <c r="J4912" s="392" t="n"/>
      <c r="K4912" s="392" t="n"/>
      <c r="L4912" s="392" t="n"/>
      <c r="M4912" s="392" t="n"/>
    </row>
    <row r="4913">
      <c r="A4913" s="568" t="n">
        <v>45825</v>
      </c>
      <c r="B4913" s="392" t="n">
        <v>11928</v>
      </c>
      <c r="C4913" s="392" t="n">
        <v>87</v>
      </c>
      <c r="D4913" s="392" t="n"/>
      <c r="E4913" s="392" t="n"/>
      <c r="F4913" s="392" t="n"/>
      <c r="G4913" s="392" t="n">
        <v>30</v>
      </c>
      <c r="H4913" s="446">
        <f>H4912-G4913</f>
        <v/>
      </c>
      <c r="I4913" s="392" t="n"/>
      <c r="J4913" s="392" t="n"/>
      <c r="K4913" s="392" t="n"/>
      <c r="L4913" s="392" t="n"/>
      <c r="M4913" s="392" t="n"/>
    </row>
    <row r="4914">
      <c r="A4914" s="568" t="n">
        <v>45825</v>
      </c>
      <c r="B4914" s="392" t="n">
        <v>11929</v>
      </c>
      <c r="C4914" s="392" t="n">
        <v>85.40000000000001</v>
      </c>
      <c r="D4914" s="392" t="n"/>
      <c r="E4914" s="392" t="n"/>
      <c r="F4914" s="392" t="n"/>
      <c r="G4914" s="392" t="n">
        <v>25</v>
      </c>
      <c r="H4914" s="446">
        <f>H4913-G4914</f>
        <v/>
      </c>
      <c r="I4914" s="392" t="n"/>
      <c r="J4914" s="392" t="n"/>
      <c r="K4914" s="392" t="n"/>
      <c r="L4914" s="392" t="n"/>
      <c r="M4914" s="392" t="n"/>
    </row>
    <row r="4915">
      <c r="A4915" s="568" t="n">
        <v>45825</v>
      </c>
      <c r="B4915" s="392" t="n">
        <v>11932</v>
      </c>
      <c r="C4915" s="392" t="n">
        <v>87</v>
      </c>
      <c r="D4915" s="392" t="n"/>
      <c r="E4915" s="392" t="n"/>
      <c r="F4915" s="392" t="n"/>
      <c r="G4915" s="392" t="n">
        <v>20</v>
      </c>
      <c r="H4915" s="446">
        <f>H4914-G4915</f>
        <v/>
      </c>
      <c r="I4915" s="392" t="n"/>
      <c r="J4915" s="392" t="n"/>
      <c r="K4915" s="392" t="n"/>
      <c r="L4915" s="392" t="n"/>
      <c r="M4915" s="392" t="n"/>
    </row>
    <row r="4916">
      <c r="A4916" s="568" t="n">
        <v>45825</v>
      </c>
      <c r="B4916" s="392" t="n">
        <v>11936</v>
      </c>
      <c r="C4916" s="392" t="n">
        <v>80</v>
      </c>
      <c r="D4916" s="392" t="n"/>
      <c r="E4916" s="392" t="n"/>
      <c r="F4916" s="392" t="n"/>
      <c r="G4916" s="392" t="n">
        <v>100</v>
      </c>
      <c r="H4916" s="446">
        <f>H4915-G4916</f>
        <v/>
      </c>
      <c r="I4916" s="392" t="n"/>
      <c r="J4916" s="392" t="n"/>
      <c r="K4916" s="392" t="n"/>
      <c r="L4916" s="392" t="n"/>
      <c r="M4916" s="392" t="n"/>
    </row>
    <row r="4917">
      <c r="A4917" s="568" t="n">
        <v>45825</v>
      </c>
      <c r="B4917" s="392" t="n">
        <v>11938</v>
      </c>
      <c r="C4917" s="392" t="n">
        <v>85</v>
      </c>
      <c r="D4917" s="392" t="n"/>
      <c r="E4917" s="392" t="n"/>
      <c r="F4917" s="392" t="n"/>
      <c r="G4917" s="392" t="n">
        <v>50</v>
      </c>
      <c r="H4917" s="446">
        <f>H4916-G4917</f>
        <v/>
      </c>
      <c r="I4917" s="392" t="n"/>
      <c r="J4917" s="392" t="n"/>
      <c r="K4917" s="392" t="n"/>
      <c r="L4917" s="392" t="n"/>
      <c r="M4917" s="392" t="n"/>
    </row>
    <row r="4918">
      <c r="A4918" s="568" t="n">
        <v>45826</v>
      </c>
      <c r="B4918" s="392" t="n">
        <v>11940</v>
      </c>
      <c r="C4918" s="392" t="n">
        <v>94</v>
      </c>
      <c r="D4918" s="392" t="n"/>
      <c r="E4918" s="392" t="n"/>
      <c r="F4918" s="392" t="n"/>
      <c r="G4918" s="392" t="n">
        <v>100</v>
      </c>
      <c r="H4918" s="446">
        <f>H4917-G4918</f>
        <v/>
      </c>
      <c r="I4918" s="392" t="n"/>
      <c r="J4918" s="392" t="n"/>
      <c r="K4918" s="392" t="n"/>
      <c r="L4918" s="392" t="n"/>
      <c r="M4918" s="392" t="n"/>
    </row>
    <row r="4919">
      <c r="A4919" s="568" t="n">
        <v>45830</v>
      </c>
      <c r="B4919" s="392" t="n">
        <v>11941</v>
      </c>
      <c r="C4919" s="392" t="n">
        <v>77</v>
      </c>
      <c r="D4919" s="392" t="n"/>
      <c r="E4919" s="392" t="n"/>
      <c r="F4919" s="392" t="n"/>
      <c r="G4919" s="392" t="n">
        <v>200</v>
      </c>
      <c r="H4919" s="446">
        <f>H4918-G4919</f>
        <v/>
      </c>
      <c r="I4919" s="392" t="n"/>
      <c r="J4919" s="392" t="n"/>
      <c r="K4919" s="392" t="n"/>
      <c r="L4919" s="392" t="n"/>
      <c r="M4919" s="392" t="n"/>
    </row>
    <row r="4920">
      <c r="A4920" s="568" t="n">
        <v>45832</v>
      </c>
      <c r="B4920" s="392" t="n">
        <v>11942</v>
      </c>
      <c r="C4920" s="392" t="n">
        <v>95</v>
      </c>
      <c r="D4920" s="392" t="n"/>
      <c r="E4920" s="392" t="n"/>
      <c r="F4920" s="392" t="n"/>
      <c r="G4920" s="392" t="n">
        <v>20</v>
      </c>
      <c r="H4920" s="446">
        <f>H4919-G4920</f>
        <v/>
      </c>
      <c r="I4920" s="392" t="n"/>
      <c r="J4920" s="392" t="n"/>
      <c r="K4920" s="392" t="n"/>
      <c r="L4920" s="392" t="n"/>
      <c r="M4920" s="392" t="n"/>
    </row>
    <row r="4921">
      <c r="A4921" s="568" t="n">
        <v>45832</v>
      </c>
      <c r="B4921" s="392" t="n">
        <v>11945</v>
      </c>
      <c r="C4921" s="392" t="n">
        <v>90</v>
      </c>
      <c r="D4921" s="392" t="n"/>
      <c r="E4921" s="392" t="n"/>
      <c r="F4921" s="392" t="n"/>
      <c r="G4921" s="392" t="n">
        <v>30</v>
      </c>
      <c r="H4921" s="446">
        <f>H4920-G4921</f>
        <v/>
      </c>
      <c r="I4921" s="392" t="n"/>
      <c r="J4921" s="392" t="n"/>
      <c r="K4921" s="392" t="n"/>
      <c r="L4921" s="392" t="n"/>
      <c r="M4921" s="392" t="n"/>
    </row>
    <row r="4922">
      <c r="A4922" s="568" t="n">
        <v>45833</v>
      </c>
      <c r="B4922" s="392" t="n">
        <v>11952</v>
      </c>
      <c r="C4922" s="392" t="n">
        <v>87</v>
      </c>
      <c r="D4922" s="392" t="n"/>
      <c r="E4922" s="392" t="n"/>
      <c r="F4922" s="392" t="n"/>
      <c r="G4922" s="392" t="n">
        <v>30</v>
      </c>
      <c r="H4922" s="446">
        <f>H4921-G4922</f>
        <v/>
      </c>
      <c r="I4922" s="392" t="n"/>
      <c r="J4922" s="392" t="n"/>
      <c r="K4922" s="392" t="n"/>
      <c r="L4922" s="392" t="n"/>
      <c r="M4922" s="392" t="n"/>
    </row>
    <row r="4923">
      <c r="A4923" s="568" t="n">
        <v>45837</v>
      </c>
      <c r="B4923" s="392" t="n">
        <v>11953</v>
      </c>
      <c r="C4923" s="392" t="n">
        <v>80</v>
      </c>
      <c r="D4923" s="392" t="n"/>
      <c r="E4923" s="392" t="n"/>
      <c r="F4923" s="392" t="n"/>
      <c r="G4923" s="392" t="n">
        <v>100</v>
      </c>
      <c r="H4923" s="446">
        <f>H4922-G4923</f>
        <v/>
      </c>
      <c r="I4923" s="392" t="n"/>
      <c r="J4923" s="392" t="n"/>
      <c r="K4923" s="392" t="n"/>
      <c r="L4923" s="392" t="n"/>
      <c r="M4923" s="392" t="n"/>
    </row>
    <row r="4924">
      <c r="A4924" s="568" t="n">
        <v>45837</v>
      </c>
      <c r="B4924" s="392" t="n">
        <v>11954</v>
      </c>
      <c r="C4924" s="392" t="n">
        <v>84</v>
      </c>
      <c r="D4924" s="392" t="n"/>
      <c r="E4924" s="392" t="n"/>
      <c r="F4924" s="392" t="n"/>
      <c r="G4924" s="392" t="n">
        <v>30</v>
      </c>
      <c r="H4924" s="446">
        <f>H4923-G4924</f>
        <v/>
      </c>
      <c r="I4924" s="392" t="n"/>
      <c r="J4924" s="392" t="n"/>
      <c r="K4924" s="392" t="n"/>
      <c r="L4924" s="392" t="n"/>
      <c r="M4924" s="392" t="n"/>
    </row>
    <row r="4925">
      <c r="A4925" s="568" t="n">
        <v>45838</v>
      </c>
      <c r="B4925" s="392" t="n">
        <v>11957</v>
      </c>
      <c r="C4925" s="392" t="n">
        <v>95</v>
      </c>
      <c r="D4925" s="392" t="n"/>
      <c r="E4925" s="392" t="n"/>
      <c r="F4925" s="370" t="n"/>
      <c r="G4925" s="392" t="n">
        <v>40</v>
      </c>
      <c r="H4925" s="446">
        <f>H4924-G4925</f>
        <v/>
      </c>
      <c r="I4925" s="392" t="n"/>
      <c r="J4925" s="392" t="n"/>
      <c r="K4925" s="392" t="n"/>
      <c r="L4925" s="392" t="n"/>
      <c r="M4925" s="392" t="n"/>
    </row>
    <row r="4926">
      <c r="A4926" s="568" t="n">
        <v>45838</v>
      </c>
      <c r="B4926" s="392" t="n">
        <v>11958</v>
      </c>
      <c r="C4926" s="392" t="n">
        <v>87</v>
      </c>
      <c r="D4926" s="392" t="n"/>
      <c r="E4926" s="392" t="n"/>
      <c r="F4926" s="392" t="n"/>
      <c r="G4926" s="392" t="n">
        <v>15</v>
      </c>
      <c r="H4926" s="446">
        <f>H4925-G4926</f>
        <v/>
      </c>
      <c r="I4926" s="392" t="n"/>
      <c r="J4926" s="392" t="n"/>
      <c r="K4926" s="392" t="n"/>
      <c r="L4926" s="392" t="n"/>
      <c r="M4926" s="392" t="n"/>
    </row>
    <row r="4927">
      <c r="A4927" s="568" t="n">
        <v>45838</v>
      </c>
      <c r="B4927" s="392" t="n">
        <v>11961</v>
      </c>
      <c r="C4927" s="392" t="n">
        <v>95</v>
      </c>
      <c r="D4927" s="392" t="n"/>
      <c r="E4927" s="392" t="n"/>
      <c r="F4927" s="392" t="n"/>
      <c r="G4927" s="392" t="n">
        <v>20</v>
      </c>
      <c r="H4927" s="446">
        <f>H4926-G4927</f>
        <v/>
      </c>
      <c r="I4927" s="392" t="n"/>
      <c r="J4927" s="392" t="n"/>
      <c r="K4927" s="392" t="n"/>
      <c r="L4927" s="392" t="n"/>
      <c r="M4927" s="392" t="n"/>
    </row>
    <row r="4928">
      <c r="A4928" s="568" t="n">
        <v>45838</v>
      </c>
      <c r="B4928" s="392" t="n">
        <v>11965</v>
      </c>
      <c r="C4928" s="392" t="n">
        <v>84.40000000000001</v>
      </c>
      <c r="D4928" s="392" t="n"/>
      <c r="E4928" s="392" t="n"/>
      <c r="F4928" s="392" t="n"/>
      <c r="G4928" s="392" t="n">
        <v>50</v>
      </c>
      <c r="H4928" s="446">
        <f>H4927-G4928</f>
        <v/>
      </c>
      <c r="I4928" s="392" t="n"/>
      <c r="J4928" s="392" t="n"/>
      <c r="K4928" s="392" t="n"/>
      <c r="L4928" s="392" t="n"/>
      <c r="M4928" s="392" t="n"/>
    </row>
    <row r="4929" ht="15.75" customHeight="1" s="436" thickBot="1">
      <c r="A4929" s="414" t="n"/>
      <c r="H4929" s="390" t="n"/>
    </row>
    <row r="4930" ht="32.25" customHeight="1" s="436" thickBot="1">
      <c r="A4930" s="735" t="inlineStr">
        <is>
          <t>Julho</t>
        </is>
      </c>
      <c r="B4930" s="697" t="n"/>
      <c r="C4930" s="697" t="n"/>
      <c r="D4930" s="697" t="n"/>
      <c r="E4930" s="697" t="n"/>
      <c r="F4930" s="697" t="n"/>
      <c r="G4930" s="697" t="n"/>
      <c r="H4930" s="697" t="n"/>
      <c r="I4930" s="697" t="n"/>
      <c r="J4930" s="697" t="n"/>
      <c r="K4930" s="697" t="n"/>
      <c r="L4930" s="697" t="n"/>
      <c r="M4930" s="698" t="n"/>
    </row>
    <row r="4931" ht="27" customHeight="1" s="436" thickBot="1">
      <c r="A4931" s="720" t="inlineStr">
        <is>
          <t xml:space="preserve"> FARINHA DE TRIGO TIPO: 1 - 25 KG</t>
        </is>
      </c>
      <c r="B4931" s="697" t="n"/>
      <c r="C4931" s="697" t="n"/>
      <c r="D4931" s="697" t="n"/>
      <c r="E4931" s="697" t="n"/>
      <c r="F4931" s="697" t="n"/>
      <c r="G4931" s="697" t="n"/>
      <c r="H4931" s="697" t="n"/>
      <c r="I4931" s="697" t="n"/>
      <c r="J4931" s="697" t="n"/>
      <c r="K4931" s="697" t="n"/>
      <c r="L4931" s="697" t="n"/>
      <c r="M4931" s="698" t="n"/>
    </row>
    <row r="4932">
      <c r="A4932" s="3" t="inlineStr">
        <is>
          <t>DATA</t>
        </is>
      </c>
      <c r="B4932" s="3" t="inlineStr">
        <is>
          <t>N.F.</t>
        </is>
      </c>
      <c r="C4932" s="3" t="inlineStr">
        <is>
          <t>TIPO</t>
        </is>
      </c>
      <c r="D4932" s="708" t="inlineStr">
        <is>
          <t>PREÇO UNITÁRIO</t>
        </is>
      </c>
      <c r="E4932" s="736" t="n"/>
      <c r="F4932" s="3" t="inlineStr">
        <is>
          <t>QUANTIDADE / KG</t>
        </is>
      </c>
      <c r="G4932" s="737" t="n"/>
      <c r="H4932" s="736" t="n"/>
      <c r="I4932" s="631" t="inlineStr">
        <is>
          <t>PREÇO</t>
        </is>
      </c>
      <c r="J4932" s="631" t="inlineStr">
        <is>
          <t>VALORES</t>
        </is>
      </c>
      <c r="K4932" s="737" t="n"/>
      <c r="L4932" s="736" t="n"/>
      <c r="M4932" s="738" t="n"/>
    </row>
    <row r="4933" ht="15.75" customHeight="1" s="436" thickBot="1">
      <c r="A4933" s="704" t="n"/>
      <c r="B4933" s="704" t="n"/>
      <c r="C4933" s="704" t="n"/>
      <c r="D4933" s="703" t="n"/>
      <c r="E4933" s="701" t="n"/>
      <c r="F4933" s="705" t="n"/>
      <c r="G4933" s="706" t="n"/>
      <c r="H4933" s="707" t="n"/>
      <c r="I4933" s="704" t="n"/>
      <c r="J4933" s="703" t="n"/>
      <c r="L4933" s="701" t="n"/>
      <c r="M4933" s="704" t="n"/>
    </row>
    <row r="4934" ht="15.75" customHeight="1" s="436" thickBot="1">
      <c r="A4934" s="704" t="n"/>
      <c r="B4934" s="704" t="n"/>
      <c r="C4934" s="704" t="n"/>
      <c r="D4934" s="705" t="n"/>
      <c r="E4934" s="707" t="n"/>
      <c r="F4934" s="3" t="inlineStr">
        <is>
          <t>ENTRADA</t>
        </is>
      </c>
      <c r="G4934" s="3" t="inlineStr">
        <is>
          <t>SAÍDA</t>
        </is>
      </c>
      <c r="H4934" s="640" t="n"/>
      <c r="I4934" s="633" t="inlineStr">
        <is>
          <t>MÉDIO</t>
        </is>
      </c>
      <c r="J4934" s="739" t="inlineStr">
        <is>
          <t>SALDO EM 30/11/2017</t>
        </is>
      </c>
      <c r="K4934" s="707" t="n"/>
      <c r="L4934" s="17" t="n"/>
      <c r="M4934" s="740" t="n"/>
    </row>
    <row r="4935" ht="18" customHeight="1" s="436" thickBot="1">
      <c r="A4935" s="695" t="n"/>
      <c r="B4935" s="695" t="n"/>
      <c r="C4935" s="695" t="n"/>
      <c r="D4935" s="3" t="inlineStr">
        <is>
          <t>C/ICMS</t>
        </is>
      </c>
      <c r="E4935" s="3" t="inlineStr">
        <is>
          <t>S/ICMS</t>
        </is>
      </c>
      <c r="F4935" s="695" t="n"/>
      <c r="G4935" s="695" t="n"/>
      <c r="H4935" s="84" t="inlineStr">
        <is>
          <t>Saldo em 30/06/2024</t>
        </is>
      </c>
      <c r="I4935" s="695" t="n"/>
      <c r="J4935" s="645" t="inlineStr">
        <is>
          <t>ENTRADA</t>
        </is>
      </c>
      <c r="K4935" s="633" t="inlineStr">
        <is>
          <t>SAÍDA / CMV</t>
        </is>
      </c>
      <c r="L4935" s="643" t="inlineStr">
        <is>
          <t>SALDO</t>
        </is>
      </c>
      <c r="M4935" s="392" t="n"/>
    </row>
    <row r="4936">
      <c r="A4936" s="392" t="n"/>
      <c r="B4936" s="392" t="n"/>
      <c r="C4936" s="392" t="n"/>
      <c r="D4936" s="392" t="n"/>
      <c r="E4936" s="392" t="n"/>
      <c r="F4936" s="392" t="n"/>
      <c r="G4936" s="392" t="n"/>
      <c r="H4936" s="446" t="n">
        <v>266</v>
      </c>
      <c r="I4936" s="392" t="n"/>
      <c r="J4936" s="392" t="n"/>
      <c r="K4936" s="392" t="n"/>
      <c r="L4936" s="392" t="n"/>
      <c r="M4936" s="392" t="n"/>
    </row>
    <row r="4937">
      <c r="A4937" s="568" t="n">
        <v>45840</v>
      </c>
      <c r="B4937" s="392" t="n">
        <v>11969</v>
      </c>
      <c r="C4937" s="392" t="n">
        <v>87</v>
      </c>
      <c r="D4937" s="392" t="n"/>
      <c r="E4937" s="392" t="n"/>
      <c r="F4937" s="392" t="n"/>
      <c r="G4937" s="392" t="n">
        <v>20</v>
      </c>
      <c r="H4937" s="446">
        <f>H4936-G4937</f>
        <v/>
      </c>
      <c r="I4937" s="392" t="n"/>
      <c r="J4937" s="392" t="n"/>
      <c r="K4937" s="392" t="n"/>
      <c r="L4937" s="392" t="n"/>
      <c r="M4937" s="392" t="n"/>
    </row>
    <row r="4938">
      <c r="A4938" s="568" t="n">
        <v>45840</v>
      </c>
      <c r="B4938" s="392" t="n">
        <v>11970</v>
      </c>
      <c r="C4938" s="392" t="n">
        <v>83</v>
      </c>
      <c r="D4938" s="392" t="n"/>
      <c r="E4938" s="392" t="n"/>
      <c r="F4938" s="392" t="n"/>
      <c r="G4938" s="392" t="n">
        <v>10</v>
      </c>
      <c r="H4938" s="446">
        <f>H4937-G4938</f>
        <v/>
      </c>
      <c r="I4938" s="392" t="n"/>
      <c r="J4938" s="392" t="n"/>
      <c r="K4938" s="392" t="n"/>
      <c r="L4938" s="392" t="n"/>
      <c r="M4938" s="392" t="n"/>
    </row>
    <row r="4939">
      <c r="A4939" s="568" t="n">
        <v>45840</v>
      </c>
      <c r="B4939" s="392" t="n">
        <v>11971</v>
      </c>
      <c r="C4939" s="392" t="n">
        <v>88.05</v>
      </c>
      <c r="D4939" s="392" t="n"/>
      <c r="E4939" s="392" t="n"/>
      <c r="F4939" s="392" t="n"/>
      <c r="G4939" s="392" t="n">
        <v>20</v>
      </c>
      <c r="H4939" s="446">
        <f>H4938-G4939</f>
        <v/>
      </c>
      <c r="I4939" s="392" t="n"/>
      <c r="J4939" s="392" t="n"/>
      <c r="K4939" s="392" t="n"/>
      <c r="L4939" s="392" t="n"/>
      <c r="M4939" s="392" t="n"/>
    </row>
    <row r="4940">
      <c r="A4940" s="568" t="n">
        <v>45840</v>
      </c>
      <c r="B4940" s="392" t="n">
        <v>11973</v>
      </c>
      <c r="C4940" s="392" t="n">
        <v>95</v>
      </c>
      <c r="D4940" s="392" t="n"/>
      <c r="E4940" s="392" t="n"/>
      <c r="F4940" s="392" t="n"/>
      <c r="G4940" s="392" t="n">
        <v>20</v>
      </c>
      <c r="H4940" s="446">
        <f>H4939-G4940</f>
        <v/>
      </c>
      <c r="I4940" s="392" t="n"/>
      <c r="J4940" s="392" t="n"/>
      <c r="K4940" s="392" t="n"/>
      <c r="L4940" s="392" t="n"/>
      <c r="M4940" s="392" t="n"/>
    </row>
    <row r="4941">
      <c r="A4941" s="304" t="n">
        <v>45842</v>
      </c>
      <c r="B4941" s="401" t="n">
        <v>2740</v>
      </c>
      <c r="C4941" s="401" t="n">
        <v>81</v>
      </c>
      <c r="D4941" s="401" t="n"/>
      <c r="E4941" s="401" t="n"/>
      <c r="F4941" s="401" t="n">
        <v>1120</v>
      </c>
      <c r="G4941" s="401" t="n"/>
      <c r="H4941" s="322" t="n">
        <v>1316</v>
      </c>
      <c r="I4941" s="392" t="n"/>
      <c r="J4941" s="392" t="n"/>
      <c r="K4941" s="392" t="n"/>
      <c r="L4941" s="392" t="n"/>
      <c r="M4941" s="392" t="n"/>
    </row>
    <row r="4942">
      <c r="A4942" s="568" t="n">
        <v>45845</v>
      </c>
      <c r="B4942" s="392" t="n">
        <v>11975</v>
      </c>
      <c r="C4942" s="392" t="n">
        <v>83</v>
      </c>
      <c r="D4942" s="392" t="n"/>
      <c r="E4942" s="392" t="n"/>
      <c r="F4942" s="392" t="n"/>
      <c r="G4942" s="392" t="n">
        <v>30</v>
      </c>
      <c r="H4942" s="446">
        <f>H4941-G4942</f>
        <v/>
      </c>
      <c r="I4942" s="392" t="n"/>
      <c r="J4942" s="392" t="n"/>
      <c r="K4942" s="392" t="n"/>
      <c r="L4942" s="392" t="n"/>
      <c r="M4942" s="392" t="n"/>
    </row>
    <row r="4943">
      <c r="A4943" s="568" t="n">
        <v>45845</v>
      </c>
      <c r="B4943" s="392" t="n">
        <v>11976</v>
      </c>
      <c r="C4943" s="392" t="n">
        <v>90</v>
      </c>
      <c r="D4943" s="392" t="n"/>
      <c r="E4943" s="392" t="n"/>
      <c r="F4943" s="392" t="n"/>
      <c r="G4943" s="392" t="n">
        <v>30</v>
      </c>
      <c r="H4943" s="446">
        <f>H4942-G4943</f>
        <v/>
      </c>
      <c r="I4943" s="392" t="n"/>
      <c r="J4943" s="392" t="n"/>
      <c r="K4943" s="392" t="n"/>
      <c r="L4943" s="392" t="n"/>
      <c r="M4943" s="392" t="n"/>
    </row>
    <row r="4944">
      <c r="A4944" s="568" t="n">
        <v>45845</v>
      </c>
      <c r="B4944" s="392" t="n">
        <v>11977</v>
      </c>
      <c r="C4944" s="392" t="n">
        <v>79</v>
      </c>
      <c r="D4944" s="392" t="n"/>
      <c r="E4944" s="392" t="n"/>
      <c r="F4944" s="392" t="n"/>
      <c r="G4944" s="392" t="n">
        <v>10</v>
      </c>
      <c r="H4944" s="446">
        <f>H4943-G4944</f>
        <v/>
      </c>
      <c r="I4944" s="392" t="n"/>
      <c r="J4944" s="392" t="n"/>
      <c r="K4944" s="392" t="n"/>
      <c r="L4944" s="392" t="n"/>
      <c r="M4944" s="392" t="n"/>
    </row>
    <row r="4945">
      <c r="A4945" s="568" t="n">
        <v>45845</v>
      </c>
      <c r="B4945" s="392" t="n">
        <v>11979</v>
      </c>
      <c r="C4945" s="392" t="n">
        <v>85</v>
      </c>
      <c r="D4945" s="392" t="n"/>
      <c r="E4945" s="392" t="n"/>
      <c r="F4945" s="392" t="n"/>
      <c r="G4945" s="392" t="n">
        <v>20</v>
      </c>
      <c r="H4945" s="446">
        <f>H4944-G4945</f>
        <v/>
      </c>
      <c r="I4945" s="392" t="n"/>
      <c r="J4945" s="392" t="n"/>
      <c r="K4945" s="392" t="n"/>
      <c r="L4945" s="392" t="n"/>
      <c r="M4945" s="392" t="n"/>
    </row>
    <row r="4946">
      <c r="A4946" s="568" t="n">
        <v>45847</v>
      </c>
      <c r="B4946" s="392" t="n">
        <v>11980</v>
      </c>
      <c r="C4946" s="392" t="n">
        <v>94</v>
      </c>
      <c r="D4946" s="392" t="n"/>
      <c r="E4946" s="392" t="n"/>
      <c r="F4946" s="392" t="n"/>
      <c r="G4946" s="392" t="n">
        <v>100</v>
      </c>
      <c r="H4946" s="446">
        <f>H4945-G4946</f>
        <v/>
      </c>
      <c r="I4946" s="392" t="n"/>
      <c r="J4946" s="392" t="n"/>
      <c r="K4946" s="392" t="n"/>
      <c r="L4946" s="392" t="n"/>
      <c r="M4946" s="392" t="n"/>
    </row>
    <row r="4947">
      <c r="A4947" s="568" t="n">
        <v>45847</v>
      </c>
      <c r="B4947" s="392" t="n">
        <v>11982</v>
      </c>
      <c r="C4947" s="392" t="n">
        <v>87</v>
      </c>
      <c r="D4947" s="392" t="n"/>
      <c r="E4947" s="392" t="n"/>
      <c r="F4947" s="392" t="n"/>
      <c r="G4947" s="392" t="n">
        <v>30</v>
      </c>
      <c r="H4947" s="446">
        <f>H4946-G4947</f>
        <v/>
      </c>
      <c r="I4947" s="392" t="n"/>
      <c r="J4947" s="392" t="n"/>
      <c r="K4947" s="392" t="n"/>
      <c r="L4947" s="392" t="n"/>
      <c r="M4947" s="392" t="n"/>
    </row>
    <row r="4948">
      <c r="A4948" s="568" t="n">
        <v>45847</v>
      </c>
      <c r="B4948" s="392" t="n">
        <v>11983</v>
      </c>
      <c r="C4948" s="392" t="n">
        <v>83</v>
      </c>
      <c r="D4948" s="392" t="n"/>
      <c r="E4948" s="392" t="n"/>
      <c r="F4948" s="392" t="n"/>
      <c r="G4948" s="392" t="n">
        <v>20</v>
      </c>
      <c r="H4948" s="446">
        <f>H4947-G4948</f>
        <v/>
      </c>
      <c r="I4948" s="392" t="n"/>
      <c r="J4948" s="392" t="n"/>
      <c r="K4948" s="392" t="n"/>
      <c r="L4948" s="392" t="n"/>
      <c r="M4948" s="392" t="n"/>
    </row>
    <row r="4949">
      <c r="A4949" s="568" t="n">
        <v>45847</v>
      </c>
      <c r="B4949" s="392" t="n">
        <v>11984</v>
      </c>
      <c r="C4949" s="392" t="n">
        <v>83</v>
      </c>
      <c r="D4949" s="392" t="n"/>
      <c r="E4949" s="392" t="n"/>
      <c r="F4949" s="392" t="n"/>
      <c r="G4949" s="392" t="n">
        <v>20</v>
      </c>
      <c r="H4949" s="446">
        <f>H4948-G4949</f>
        <v/>
      </c>
      <c r="I4949" s="392" t="n"/>
      <c r="J4949" s="392" t="n"/>
      <c r="K4949" s="392" t="n"/>
      <c r="L4949" s="392" t="n"/>
      <c r="M4949" s="392" t="n"/>
    </row>
    <row r="4950">
      <c r="A4950" s="568" t="n">
        <v>45847</v>
      </c>
      <c r="B4950" s="392" t="n">
        <v>11985</v>
      </c>
      <c r="C4950" s="392" t="n">
        <v>83</v>
      </c>
      <c r="D4950" s="392" t="n"/>
      <c r="E4950" s="392" t="n"/>
      <c r="F4950" s="392" t="n"/>
      <c r="G4950" s="392" t="n">
        <v>15</v>
      </c>
      <c r="H4950" s="446">
        <f>H4949-G4950</f>
        <v/>
      </c>
      <c r="I4950" s="392" t="n"/>
      <c r="J4950" s="392" t="n"/>
      <c r="K4950" s="392" t="n"/>
      <c r="L4950" s="392" t="n"/>
      <c r="M4950" s="392" t="n"/>
    </row>
    <row r="4951">
      <c r="A4951" s="568" t="n">
        <v>45847</v>
      </c>
      <c r="B4951" s="392" t="n">
        <v>11986</v>
      </c>
      <c r="C4951" s="392" t="n">
        <v>92</v>
      </c>
      <c r="D4951" s="392" t="n"/>
      <c r="E4951" s="392" t="n"/>
      <c r="F4951" s="392" t="n"/>
      <c r="G4951" s="392" t="n">
        <v>30</v>
      </c>
      <c r="H4951" s="446">
        <f>H4950-G4951</f>
        <v/>
      </c>
      <c r="I4951" s="392" t="n"/>
      <c r="J4951" s="392" t="n"/>
      <c r="K4951" s="392" t="n"/>
      <c r="L4951" s="392" t="n"/>
      <c r="M4951" s="392" t="n"/>
    </row>
    <row r="4952">
      <c r="A4952" s="568" t="n">
        <v>45847</v>
      </c>
      <c r="B4952" s="392" t="n">
        <v>11991</v>
      </c>
      <c r="C4952" s="392" t="n">
        <v>85</v>
      </c>
      <c r="D4952" s="392" t="n"/>
      <c r="E4952" s="392" t="n"/>
      <c r="F4952" s="392" t="n"/>
      <c r="G4952" s="392" t="n">
        <v>10</v>
      </c>
      <c r="H4952" s="446">
        <f>H4951-G4952</f>
        <v/>
      </c>
      <c r="I4952" s="392" t="n"/>
      <c r="J4952" s="392" t="n"/>
      <c r="K4952" s="392" t="n"/>
      <c r="L4952" s="392" t="n"/>
      <c r="M4952" s="392" t="n"/>
    </row>
    <row r="4953">
      <c r="A4953" s="568" t="n">
        <v>45852</v>
      </c>
      <c r="B4953" s="392" t="n">
        <v>11994</v>
      </c>
      <c r="C4953" s="392" t="n">
        <v>85</v>
      </c>
      <c r="D4953" s="392" t="n"/>
      <c r="E4953" s="392" t="n"/>
      <c r="F4953" s="392" t="n"/>
      <c r="G4953" s="392" t="n">
        <v>30</v>
      </c>
      <c r="H4953" s="446">
        <f>H4952-G4953</f>
        <v/>
      </c>
      <c r="I4953" s="392" t="n"/>
      <c r="J4953" s="392" t="n"/>
      <c r="K4953" s="392" t="n"/>
      <c r="L4953" s="392" t="n"/>
      <c r="M4953" s="392" t="n"/>
    </row>
    <row r="4954">
      <c r="A4954" s="568" t="n">
        <v>45852</v>
      </c>
      <c r="B4954" s="392" t="n">
        <v>11995</v>
      </c>
      <c r="C4954" s="392" t="n">
        <v>95</v>
      </c>
      <c r="D4954" s="392" t="n"/>
      <c r="E4954" s="392" t="n"/>
      <c r="F4954" s="392" t="n"/>
      <c r="G4954" s="392" t="n">
        <v>50</v>
      </c>
      <c r="H4954" s="446">
        <f>H4953-G4954</f>
        <v/>
      </c>
      <c r="I4954" s="392" t="n"/>
      <c r="J4954" s="392" t="n"/>
      <c r="K4954" s="392" t="n"/>
      <c r="L4954" s="392" t="n"/>
      <c r="M4954" s="392" t="n"/>
    </row>
    <row r="4955">
      <c r="A4955" s="568" t="n">
        <v>45853</v>
      </c>
      <c r="B4955" s="392" t="n">
        <v>11999</v>
      </c>
      <c r="C4955" s="392" t="n">
        <v>92</v>
      </c>
      <c r="D4955" s="392" t="n"/>
      <c r="E4955" s="392" t="n"/>
      <c r="F4955" s="392" t="n"/>
      <c r="G4955" s="392" t="n">
        <v>30</v>
      </c>
      <c r="H4955" s="446">
        <f>H4954-G4955</f>
        <v/>
      </c>
      <c r="I4955" s="392" t="n"/>
      <c r="J4955" s="392" t="n"/>
      <c r="K4955" s="392" t="n"/>
      <c r="L4955" s="392" t="n"/>
      <c r="M4955" s="392" t="n"/>
    </row>
    <row r="4956">
      <c r="A4956" s="568" t="n">
        <v>45853</v>
      </c>
      <c r="B4956" s="392" t="n">
        <v>12000</v>
      </c>
      <c r="C4956" s="392" t="n">
        <v>78</v>
      </c>
      <c r="D4956" s="392" t="n"/>
      <c r="E4956" s="392" t="n"/>
      <c r="F4956" s="392" t="n"/>
      <c r="G4956" s="392" t="n">
        <v>30</v>
      </c>
      <c r="H4956" s="446">
        <f>H4955-G4956</f>
        <v/>
      </c>
      <c r="I4956" s="392" t="n"/>
      <c r="J4956" s="392" t="n"/>
      <c r="K4956" s="392" t="n"/>
      <c r="L4956" s="392" t="n"/>
      <c r="M4956" s="392" t="n"/>
    </row>
    <row r="4957">
      <c r="A4957" s="568" t="n">
        <v>45853</v>
      </c>
      <c r="B4957" s="392" t="n">
        <v>12002</v>
      </c>
      <c r="C4957" s="392" t="n">
        <v>84.75</v>
      </c>
      <c r="D4957" s="392" t="n"/>
      <c r="E4957" s="392" t="n"/>
      <c r="F4957" s="392" t="n"/>
      <c r="G4957" s="392" t="n">
        <v>20</v>
      </c>
      <c r="H4957" s="446">
        <f>H4956-G4957</f>
        <v/>
      </c>
      <c r="I4957" s="392" t="n"/>
      <c r="J4957" s="392" t="n"/>
      <c r="K4957" s="392" t="n"/>
      <c r="L4957" s="392" t="n"/>
      <c r="M4957" s="392" t="n"/>
    </row>
    <row r="4958">
      <c r="A4958" s="568" t="n">
        <v>45854</v>
      </c>
      <c r="B4958" s="392" t="n">
        <v>12006</v>
      </c>
      <c r="C4958" s="392" t="n">
        <v>95</v>
      </c>
      <c r="D4958" s="392" t="n"/>
      <c r="E4958" s="392" t="n"/>
      <c r="F4958" s="392" t="n"/>
      <c r="G4958" s="392" t="n">
        <v>20</v>
      </c>
      <c r="H4958" s="446">
        <f>H4957-G4958</f>
        <v/>
      </c>
      <c r="I4958" s="392" t="n"/>
      <c r="J4958" s="392" t="n"/>
      <c r="K4958" s="392" t="n"/>
      <c r="L4958" s="392" t="n"/>
      <c r="M4958" s="392" t="n"/>
    </row>
    <row r="4959">
      <c r="A4959" s="304" t="n">
        <v>45855</v>
      </c>
      <c r="B4959" s="401" t="n">
        <v>2823</v>
      </c>
      <c r="C4959" s="401" t="n">
        <v>72.2</v>
      </c>
      <c r="D4959" s="401" t="n"/>
      <c r="E4959" s="401" t="n"/>
      <c r="F4959" s="401" t="n">
        <v>1120</v>
      </c>
      <c r="G4959" s="401" t="n"/>
      <c r="H4959" s="322" t="n">
        <v>1941</v>
      </c>
      <c r="I4959" s="392" t="n"/>
      <c r="J4959" s="392" t="n"/>
      <c r="K4959" s="392" t="n"/>
      <c r="L4959" s="392" t="n"/>
      <c r="M4959" s="392" t="n"/>
    </row>
    <row r="4960">
      <c r="A4960" s="568" t="n">
        <v>45855</v>
      </c>
      <c r="B4960" s="392" t="n">
        <v>12007</v>
      </c>
      <c r="C4960" s="392" t="n">
        <v>85</v>
      </c>
      <c r="D4960" s="392" t="n"/>
      <c r="E4960" s="392" t="n"/>
      <c r="F4960" s="392" t="n"/>
      <c r="G4960" s="392" t="n">
        <v>50</v>
      </c>
      <c r="H4960" s="446">
        <f>H4959-G4960</f>
        <v/>
      </c>
      <c r="I4960" s="392" t="n"/>
      <c r="J4960" s="392" t="n"/>
      <c r="K4960" s="392" t="n"/>
      <c r="L4960" s="392" t="n"/>
      <c r="M4960" s="392" t="n"/>
    </row>
    <row r="4961">
      <c r="A4961" s="568" t="n">
        <v>45855</v>
      </c>
      <c r="B4961" s="392" t="n">
        <v>12008</v>
      </c>
      <c r="C4961" s="392" t="n">
        <v>85</v>
      </c>
      <c r="D4961" s="392" t="n"/>
      <c r="E4961" s="392" t="n"/>
      <c r="F4961" s="392" t="n"/>
      <c r="G4961" s="392" t="n">
        <v>20</v>
      </c>
      <c r="H4961" s="446">
        <f>H4960-G4961</f>
        <v/>
      </c>
      <c r="I4961" s="392" t="n"/>
      <c r="J4961" s="392" t="n"/>
      <c r="K4961" s="392" t="n"/>
      <c r="L4961" s="392" t="n"/>
      <c r="M4961" s="392" t="n"/>
    </row>
    <row r="4962">
      <c r="A4962" s="568" t="n">
        <v>45858</v>
      </c>
      <c r="B4962" s="392" t="n">
        <v>12012</v>
      </c>
      <c r="C4962" s="392" t="n">
        <v>80</v>
      </c>
      <c r="D4962" s="392" t="n"/>
      <c r="E4962" s="392" t="n"/>
      <c r="F4962" s="392" t="n"/>
      <c r="G4962" s="392" t="n">
        <v>200</v>
      </c>
      <c r="H4962" s="446">
        <f>H4961-G4962</f>
        <v/>
      </c>
      <c r="I4962" s="392" t="n"/>
      <c r="J4962" s="392" t="n"/>
      <c r="K4962" s="392" t="n"/>
      <c r="L4962" s="392" t="n"/>
      <c r="M4962" s="392" t="n"/>
    </row>
    <row r="4963">
      <c r="A4963" s="568" t="n">
        <v>45859</v>
      </c>
      <c r="B4963" s="392" t="n">
        <v>12013</v>
      </c>
      <c r="C4963" s="392" t="n">
        <v>86</v>
      </c>
      <c r="D4963" s="392" t="n"/>
      <c r="E4963" s="392" t="n"/>
      <c r="F4963" s="392" t="n"/>
      <c r="G4963" s="392" t="n">
        <v>25</v>
      </c>
      <c r="H4963" s="446">
        <f>H4962-G4963</f>
        <v/>
      </c>
      <c r="I4963" s="392" t="n"/>
      <c r="J4963" s="392" t="n"/>
      <c r="K4963" s="392" t="n"/>
      <c r="L4963" s="392" t="n"/>
      <c r="M4963" s="392" t="n"/>
    </row>
    <row r="4964">
      <c r="A4964" s="568" t="n">
        <v>45859</v>
      </c>
      <c r="B4964" s="392" t="n">
        <v>12014</v>
      </c>
      <c r="C4964" s="392" t="n">
        <v>85</v>
      </c>
      <c r="D4964" s="392" t="n"/>
      <c r="E4964" s="392" t="n"/>
      <c r="F4964" s="392" t="n"/>
      <c r="G4964" s="392" t="n">
        <v>30</v>
      </c>
      <c r="H4964" s="446">
        <f>H4963-G4964</f>
        <v/>
      </c>
      <c r="I4964" s="392" t="n"/>
      <c r="J4964" s="392" t="n"/>
      <c r="K4964" s="392" t="n"/>
      <c r="L4964" s="392" t="n"/>
      <c r="M4964" s="392" t="n"/>
    </row>
    <row r="4965">
      <c r="A4965" s="568" t="n">
        <v>45859</v>
      </c>
      <c r="B4965" s="392" t="n">
        <v>12015</v>
      </c>
      <c r="C4965" s="392" t="n">
        <v>92</v>
      </c>
      <c r="D4965" s="392" t="n"/>
      <c r="E4965" s="392" t="n"/>
      <c r="F4965" s="392" t="n"/>
      <c r="G4965" s="392" t="n">
        <v>20</v>
      </c>
      <c r="H4965" s="446">
        <f>H4964-G4965</f>
        <v/>
      </c>
      <c r="I4965" s="392" t="n"/>
      <c r="J4965" s="392" t="n"/>
      <c r="K4965" s="392" t="n"/>
      <c r="L4965" s="392" t="n"/>
      <c r="M4965" s="392" t="n"/>
    </row>
    <row r="4966">
      <c r="A4966" s="568" t="n">
        <v>45859</v>
      </c>
      <c r="B4966" s="392" t="n">
        <v>12016</v>
      </c>
      <c r="C4966" s="392" t="n">
        <v>85.67</v>
      </c>
      <c r="D4966" s="392" t="n"/>
      <c r="E4966" s="392" t="n"/>
      <c r="F4966" s="392" t="n"/>
      <c r="G4966" s="392" t="n">
        <v>30</v>
      </c>
      <c r="H4966" s="446">
        <f>H4965-G4966</f>
        <v/>
      </c>
      <c r="I4966" s="392" t="n"/>
      <c r="J4966" s="392" t="n"/>
      <c r="K4966" s="392" t="n"/>
      <c r="L4966" s="392" t="n"/>
      <c r="M4966" s="392" t="n"/>
    </row>
    <row r="4967">
      <c r="A4967" s="568" t="n">
        <v>45859</v>
      </c>
      <c r="B4967" s="392" t="n">
        <v>12017</v>
      </c>
      <c r="C4967" s="392" t="n">
        <v>90</v>
      </c>
      <c r="D4967" s="392" t="n"/>
      <c r="E4967" s="392" t="n"/>
      <c r="F4967" s="392" t="n"/>
      <c r="G4967" s="392" t="n">
        <v>60</v>
      </c>
      <c r="H4967" s="446">
        <f>H4966-G4967</f>
        <v/>
      </c>
      <c r="I4967" s="392" t="n"/>
      <c r="J4967" s="392" t="n"/>
      <c r="K4967" s="392" t="n"/>
      <c r="L4967" s="392" t="n"/>
      <c r="M4967" s="392" t="n"/>
    </row>
    <row r="4968">
      <c r="A4968" s="568" t="n">
        <v>45859</v>
      </c>
      <c r="B4968" s="392" t="n">
        <v>12018</v>
      </c>
      <c r="C4968" s="392" t="n">
        <v>85</v>
      </c>
      <c r="D4968" s="392" t="n"/>
      <c r="E4968" s="392" t="n"/>
      <c r="F4968" s="392" t="n"/>
      <c r="G4968" s="392" t="n">
        <v>10</v>
      </c>
      <c r="H4968" s="446">
        <f>H4967-G4968</f>
        <v/>
      </c>
      <c r="I4968" s="392" t="n"/>
      <c r="J4968" s="392" t="n"/>
      <c r="K4968" s="392" t="n"/>
      <c r="L4968" s="392" t="n"/>
      <c r="M4968" s="392" t="n"/>
    </row>
    <row r="4969">
      <c r="A4969" s="568" t="n">
        <v>45859</v>
      </c>
      <c r="B4969" s="392" t="n">
        <v>12019</v>
      </c>
      <c r="C4969" s="392" t="n">
        <v>88</v>
      </c>
      <c r="D4969" s="392" t="n"/>
      <c r="E4969" s="392" t="n"/>
      <c r="F4969" s="392" t="n"/>
      <c r="G4969" s="392" t="n">
        <v>26</v>
      </c>
      <c r="H4969" s="446">
        <f>H4968-G4969</f>
        <v/>
      </c>
      <c r="I4969" s="392" t="n"/>
      <c r="J4969" s="392" t="n"/>
      <c r="K4969" s="392" t="n"/>
      <c r="L4969" s="392" t="n"/>
      <c r="M4969" s="392" t="n"/>
    </row>
    <row r="4970">
      <c r="A4970" s="568" t="n">
        <v>45860</v>
      </c>
      <c r="B4970" s="392" t="n">
        <v>12023</v>
      </c>
      <c r="C4970" s="392" t="n">
        <v>89.67</v>
      </c>
      <c r="D4970" s="392" t="n"/>
      <c r="E4970" s="392" t="n"/>
      <c r="F4970" s="392" t="n"/>
      <c r="G4970" s="392" t="n">
        <v>15</v>
      </c>
      <c r="H4970" s="446">
        <f>H4969-G4970</f>
        <v/>
      </c>
      <c r="I4970" s="392" t="n"/>
      <c r="J4970" s="392" t="n"/>
      <c r="K4970" s="392" t="n"/>
      <c r="L4970" s="392" t="n"/>
      <c r="M4970" s="392" t="n"/>
    </row>
    <row r="4971">
      <c r="A4971" s="568" t="n">
        <v>45860</v>
      </c>
      <c r="B4971" s="392" t="n">
        <v>12024</v>
      </c>
      <c r="C4971" s="392" t="n">
        <v>80</v>
      </c>
      <c r="D4971" s="392" t="n"/>
      <c r="E4971" s="392" t="n"/>
      <c r="F4971" s="392" t="n"/>
      <c r="G4971" s="392" t="n">
        <v>20</v>
      </c>
      <c r="H4971" s="446">
        <f>H4970-G4971</f>
        <v/>
      </c>
      <c r="I4971" s="392" t="n"/>
      <c r="J4971" s="392" t="n"/>
      <c r="K4971" s="392" t="n"/>
      <c r="L4971" s="392" t="n"/>
      <c r="M4971" s="392" t="n"/>
    </row>
    <row r="4972">
      <c r="A4972" s="568" t="n">
        <v>45860</v>
      </c>
      <c r="B4972" s="392" t="n">
        <v>12025</v>
      </c>
      <c r="C4972" s="392" t="n">
        <v>83</v>
      </c>
      <c r="D4972" s="392" t="n"/>
      <c r="E4972" s="392" t="n"/>
      <c r="F4972" s="392" t="n"/>
      <c r="G4972" s="392" t="n">
        <v>10</v>
      </c>
      <c r="H4972" s="446">
        <f>H4971-G4972</f>
        <v/>
      </c>
      <c r="I4972" s="392" t="n"/>
      <c r="J4972" s="392" t="n"/>
      <c r="K4972" s="392" t="n"/>
      <c r="L4972" s="392" t="n"/>
      <c r="M4972" s="392" t="n"/>
    </row>
    <row r="4973">
      <c r="A4973" s="568" t="n">
        <v>45862</v>
      </c>
      <c r="B4973" s="392" t="n">
        <v>12026</v>
      </c>
      <c r="C4973" s="392" t="n">
        <v>90</v>
      </c>
      <c r="D4973" s="392" t="n"/>
      <c r="E4973" s="392" t="n"/>
      <c r="F4973" s="392" t="n"/>
      <c r="G4973" s="392" t="n">
        <v>20</v>
      </c>
      <c r="H4973" s="446">
        <f>H4972-G4973</f>
        <v/>
      </c>
      <c r="I4973" s="392" t="n"/>
      <c r="J4973" s="392" t="n"/>
      <c r="K4973" s="392" t="n"/>
      <c r="L4973" s="392" t="n"/>
      <c r="M4973" s="392" t="n"/>
    </row>
    <row r="4974">
      <c r="A4974" s="568" t="n">
        <v>45862</v>
      </c>
      <c r="B4974" s="392" t="n">
        <v>12028</v>
      </c>
      <c r="C4974" s="392" t="n">
        <v>92</v>
      </c>
      <c r="D4974" s="392" t="n"/>
      <c r="E4974" s="392" t="n"/>
      <c r="F4974" s="392" t="n"/>
      <c r="G4974" s="392" t="n">
        <v>20</v>
      </c>
      <c r="H4974" s="446">
        <f>H4973-G4974</f>
        <v/>
      </c>
      <c r="I4974" s="392" t="n"/>
      <c r="J4974" s="392" t="n"/>
      <c r="K4974" s="392" t="n"/>
      <c r="L4974" s="392" t="n"/>
      <c r="M4974" s="392" t="n"/>
    </row>
    <row r="4975">
      <c r="A4975" s="568" t="n">
        <v>45862</v>
      </c>
      <c r="B4975" s="392" t="n">
        <v>12029</v>
      </c>
      <c r="C4975" s="392" t="n">
        <v>85</v>
      </c>
      <c r="D4975" s="392" t="n"/>
      <c r="E4975" s="392" t="n"/>
      <c r="F4975" s="392" t="n"/>
      <c r="G4975" s="392" t="n">
        <v>20</v>
      </c>
      <c r="H4975" s="446">
        <f>H4974-G4975</f>
        <v/>
      </c>
      <c r="I4975" s="392" t="n"/>
      <c r="J4975" s="392" t="n"/>
      <c r="K4975" s="392" t="n"/>
      <c r="L4975" s="392" t="n"/>
      <c r="M4975" s="392" t="n"/>
    </row>
    <row r="4976">
      <c r="A4976" s="568" t="n">
        <v>45862</v>
      </c>
      <c r="B4976" s="392" t="n">
        <v>12030</v>
      </c>
      <c r="C4976" s="392" t="n">
        <v>83</v>
      </c>
      <c r="D4976" s="392" t="n"/>
      <c r="E4976" s="392" t="n"/>
      <c r="F4976" s="392" t="n"/>
      <c r="G4976" s="392" t="n">
        <v>60</v>
      </c>
      <c r="H4976" s="446">
        <f>H4975-G4976</f>
        <v/>
      </c>
      <c r="I4976" s="392" t="n"/>
      <c r="J4976" s="392" t="n"/>
      <c r="K4976" s="392" t="n"/>
      <c r="L4976" s="392" t="n"/>
      <c r="M4976" s="392" t="n"/>
    </row>
    <row r="4977">
      <c r="A4977" s="568" t="n">
        <v>45865</v>
      </c>
      <c r="B4977" s="392" t="n">
        <v>12032</v>
      </c>
      <c r="C4977" s="392" t="n">
        <v>80</v>
      </c>
      <c r="D4977" s="392" t="n"/>
      <c r="E4977" s="392" t="n"/>
      <c r="F4977" s="392" t="n"/>
      <c r="G4977" s="392" t="n">
        <v>100</v>
      </c>
      <c r="H4977" s="446">
        <f>H4976-G4977</f>
        <v/>
      </c>
      <c r="I4977" s="392" t="n"/>
      <c r="J4977" s="392" t="n"/>
      <c r="K4977" s="392" t="n"/>
      <c r="L4977" s="392" t="n"/>
      <c r="M4977" s="392" t="n"/>
    </row>
    <row r="4978">
      <c r="A4978" s="568" t="n">
        <v>45865</v>
      </c>
      <c r="B4978" s="392" t="n">
        <v>12031</v>
      </c>
      <c r="C4978" s="392" t="n">
        <v>83</v>
      </c>
      <c r="D4978" s="392" t="n"/>
      <c r="E4978" s="392" t="n"/>
      <c r="F4978" s="392" t="n"/>
      <c r="G4978" s="392" t="n">
        <v>30</v>
      </c>
      <c r="H4978" s="446">
        <f>H4977-G4978</f>
        <v/>
      </c>
      <c r="I4978" s="392" t="n"/>
      <c r="J4978" s="392" t="n"/>
      <c r="K4978" s="392" t="n"/>
      <c r="L4978" s="392" t="n"/>
      <c r="M4978" s="392" t="n"/>
    </row>
    <row r="4979">
      <c r="A4979" s="568" t="n">
        <v>45866</v>
      </c>
      <c r="B4979" s="392" t="n">
        <v>12035</v>
      </c>
      <c r="C4979" s="392" t="n">
        <v>87</v>
      </c>
      <c r="D4979" s="392" t="n"/>
      <c r="E4979" s="392" t="n"/>
      <c r="F4979" s="392" t="n"/>
      <c r="G4979" s="392" t="n">
        <v>40</v>
      </c>
      <c r="H4979" s="446">
        <f>H4978-G4979</f>
        <v/>
      </c>
      <c r="I4979" s="392" t="n"/>
      <c r="J4979" s="392" t="n"/>
      <c r="K4979" s="392" t="n"/>
      <c r="L4979" s="392" t="n"/>
      <c r="M4979" s="392" t="n"/>
    </row>
    <row r="4980">
      <c r="A4980" s="568" t="n">
        <v>45866</v>
      </c>
      <c r="B4980" s="392" t="n">
        <v>12037</v>
      </c>
      <c r="C4980" s="392" t="n">
        <v>92</v>
      </c>
      <c r="D4980" s="392" t="n"/>
      <c r="E4980" s="392" t="n"/>
      <c r="F4980" s="392" t="n"/>
      <c r="G4980" s="392" t="n">
        <v>40</v>
      </c>
      <c r="H4980" s="446">
        <f>H4979-G4980</f>
        <v/>
      </c>
      <c r="I4980" s="392" t="n"/>
      <c r="J4980" s="392" t="n"/>
      <c r="K4980" s="392" t="n"/>
      <c r="L4980" s="392" t="n"/>
      <c r="M4980" s="392" t="n"/>
    </row>
    <row r="4981">
      <c r="A4981" s="568" t="n">
        <v>45866</v>
      </c>
      <c r="B4981" s="392" t="n">
        <v>12038</v>
      </c>
      <c r="C4981" s="392" t="n">
        <v>95</v>
      </c>
      <c r="D4981" s="392" t="n"/>
      <c r="E4981" s="392" t="n"/>
      <c r="F4981" s="392" t="n"/>
      <c r="G4981" s="392" t="n">
        <v>20</v>
      </c>
      <c r="H4981" s="446">
        <f>H4980-G4981</f>
        <v/>
      </c>
      <c r="I4981" s="392" t="n"/>
      <c r="J4981" s="392" t="n"/>
      <c r="K4981" s="392" t="n"/>
      <c r="L4981" s="392" t="n"/>
      <c r="M4981" s="392" t="n"/>
    </row>
    <row r="4982">
      <c r="A4982" s="304" t="n">
        <v>45868</v>
      </c>
      <c r="B4982" s="401" t="n">
        <v>2899</v>
      </c>
      <c r="C4982" s="401" t="n">
        <v>71.27</v>
      </c>
      <c r="D4982" s="401" t="n"/>
      <c r="E4982" s="401" t="n"/>
      <c r="F4982" s="401" t="n">
        <v>1120</v>
      </c>
      <c r="G4982" s="401" t="n"/>
      <c r="H4982" s="322" t="n">
        <v>2195</v>
      </c>
      <c r="I4982" s="392" t="n"/>
      <c r="J4982" s="392" t="n"/>
      <c r="K4982" s="392" t="n"/>
      <c r="L4982" s="392" t="n"/>
      <c r="M4982" s="392" t="n"/>
    </row>
    <row r="4983">
      <c r="A4983" s="568" t="n">
        <v>45868</v>
      </c>
      <c r="B4983" s="392" t="n">
        <v>12040</v>
      </c>
      <c r="C4983" s="392" t="n">
        <v>83</v>
      </c>
      <c r="D4983" s="392" t="n"/>
      <c r="E4983" s="392" t="n"/>
      <c r="F4983" s="392" t="n"/>
      <c r="G4983" s="392" t="n">
        <v>50</v>
      </c>
      <c r="H4983" s="446">
        <f>H4982-G4983</f>
        <v/>
      </c>
      <c r="I4983" s="392" t="n"/>
      <c r="J4983" s="392" t="n"/>
      <c r="K4983" s="392" t="n"/>
      <c r="L4983" s="392" t="n"/>
      <c r="M4983" s="392" t="n"/>
    </row>
    <row r="4984" ht="15.75" customHeight="1" s="436" thickBot="1">
      <c r="A4984" s="414" t="n"/>
      <c r="H4984" s="390" t="n"/>
    </row>
    <row r="4985" ht="32.25" customHeight="1" s="436" thickBot="1">
      <c r="A4985" s="735" t="inlineStr">
        <is>
          <t>Agosto</t>
        </is>
      </c>
      <c r="B4985" s="697" t="n"/>
      <c r="C4985" s="697" t="n"/>
      <c r="D4985" s="697" t="n"/>
      <c r="E4985" s="697" t="n"/>
      <c r="F4985" s="697" t="n"/>
      <c r="G4985" s="697" t="n"/>
      <c r="H4985" s="697" t="n"/>
      <c r="I4985" s="697" t="n"/>
      <c r="J4985" s="697" t="n"/>
      <c r="K4985" s="697" t="n"/>
      <c r="L4985" s="697" t="n"/>
      <c r="M4985" s="698" t="n"/>
    </row>
    <row r="4986" ht="27" customHeight="1" s="436" thickBot="1">
      <c r="A4986" s="720" t="inlineStr">
        <is>
          <t xml:space="preserve"> FARINHA DE TRIGO TIPO: 1 - 25 KG</t>
        </is>
      </c>
      <c r="B4986" s="697" t="n"/>
      <c r="C4986" s="697" t="n"/>
      <c r="D4986" s="697" t="n"/>
      <c r="E4986" s="697" t="n"/>
      <c r="F4986" s="697" t="n"/>
      <c r="G4986" s="697" t="n"/>
      <c r="H4986" s="697" t="n"/>
      <c r="I4986" s="697" t="n"/>
      <c r="J4986" s="697" t="n"/>
      <c r="K4986" s="697" t="n"/>
      <c r="L4986" s="697" t="n"/>
      <c r="M4986" s="698" t="n"/>
    </row>
    <row r="4987">
      <c r="A4987" s="3" t="inlineStr">
        <is>
          <t>DATA</t>
        </is>
      </c>
      <c r="B4987" s="3" t="inlineStr">
        <is>
          <t>N.F.</t>
        </is>
      </c>
      <c r="C4987" s="3" t="inlineStr">
        <is>
          <t>TIPO</t>
        </is>
      </c>
      <c r="D4987" s="708" t="inlineStr">
        <is>
          <t>PREÇO UNITÁRIO</t>
        </is>
      </c>
      <c r="E4987" s="736" t="n"/>
      <c r="F4987" s="3" t="inlineStr">
        <is>
          <t>QUANTIDADE / KG</t>
        </is>
      </c>
      <c r="G4987" s="737" t="n"/>
      <c r="H4987" s="736" t="n"/>
      <c r="I4987" s="631" t="inlineStr">
        <is>
          <t>PREÇO</t>
        </is>
      </c>
      <c r="J4987" s="631" t="inlineStr">
        <is>
          <t>VALORES</t>
        </is>
      </c>
      <c r="K4987" s="737" t="n"/>
      <c r="L4987" s="736" t="n"/>
      <c r="M4987" s="738" t="n"/>
    </row>
    <row r="4988" ht="15.75" customHeight="1" s="436" thickBot="1">
      <c r="A4988" s="704" t="n"/>
      <c r="B4988" s="704" t="n"/>
      <c r="C4988" s="704" t="n"/>
      <c r="D4988" s="703" t="n"/>
      <c r="E4988" s="701" t="n"/>
      <c r="F4988" s="705" t="n"/>
      <c r="G4988" s="706" t="n"/>
      <c r="H4988" s="707" t="n"/>
      <c r="I4988" s="704" t="n"/>
      <c r="J4988" s="703" t="n"/>
      <c r="L4988" s="701" t="n"/>
      <c r="M4988" s="704" t="n"/>
    </row>
    <row r="4989" ht="15.75" customHeight="1" s="436" thickBot="1">
      <c r="A4989" s="704" t="n"/>
      <c r="B4989" s="704" t="n"/>
      <c r="C4989" s="704" t="n"/>
      <c r="D4989" s="705" t="n"/>
      <c r="E4989" s="707" t="n"/>
      <c r="F4989" s="3" t="inlineStr">
        <is>
          <t>ENTRADA</t>
        </is>
      </c>
      <c r="G4989" s="3" t="inlineStr">
        <is>
          <t>SAÍDA</t>
        </is>
      </c>
      <c r="H4989" s="640" t="n"/>
      <c r="I4989" s="633" t="inlineStr">
        <is>
          <t>MÉDIO</t>
        </is>
      </c>
      <c r="J4989" s="739" t="inlineStr">
        <is>
          <t>SALDO EM 30/11/2017</t>
        </is>
      </c>
      <c r="K4989" s="707" t="n"/>
      <c r="L4989" s="17" t="n"/>
      <c r="M4989" s="740" t="n"/>
    </row>
    <row r="4990" ht="18" customHeight="1" s="436" thickBot="1">
      <c r="A4990" s="695" t="n"/>
      <c r="B4990" s="695" t="n"/>
      <c r="C4990" s="695" t="n"/>
      <c r="D4990" s="3" t="inlineStr">
        <is>
          <t>C/ICMS</t>
        </is>
      </c>
      <c r="E4990" s="3" t="inlineStr">
        <is>
          <t>S/ICMS</t>
        </is>
      </c>
      <c r="F4990" s="695" t="n"/>
      <c r="G4990" s="695" t="n"/>
      <c r="H4990" s="84" t="inlineStr">
        <is>
          <t>Saldo em 31/07/2024</t>
        </is>
      </c>
      <c r="I4990" s="695" t="n"/>
      <c r="J4990" s="645" t="inlineStr">
        <is>
          <t>ENTRADA</t>
        </is>
      </c>
      <c r="K4990" s="633" t="inlineStr">
        <is>
          <t>SAÍDA / CMV</t>
        </is>
      </c>
      <c r="L4990" s="643" t="inlineStr">
        <is>
          <t>SALDO</t>
        </is>
      </c>
      <c r="M4990" s="392" t="n"/>
    </row>
    <row r="4991">
      <c r="A4991" s="392" t="n"/>
      <c r="B4991" s="392" t="n"/>
      <c r="C4991" s="392" t="n"/>
      <c r="D4991" s="392" t="n"/>
      <c r="E4991" s="392" t="n"/>
      <c r="F4991" s="392" t="n"/>
      <c r="G4991" s="392" t="n"/>
      <c r="H4991" s="446" t="n">
        <v>2145</v>
      </c>
      <c r="I4991" s="392" t="n"/>
      <c r="J4991" s="392" t="n"/>
      <c r="K4991" s="392" t="n"/>
      <c r="L4991" s="392" t="n"/>
      <c r="M4991" s="392" t="n"/>
    </row>
    <row r="4992">
      <c r="A4992" s="304" t="n">
        <v>45870</v>
      </c>
      <c r="B4992" s="401" t="n">
        <v>4687</v>
      </c>
      <c r="C4992" s="401" t="n"/>
      <c r="D4992" s="401" t="n"/>
      <c r="E4992" s="401" t="n"/>
      <c r="F4992" s="401" t="n">
        <v>1120</v>
      </c>
      <c r="G4992" s="401" t="n"/>
      <c r="H4992" s="322" t="n">
        <v>3265</v>
      </c>
      <c r="I4992" s="392" t="n"/>
      <c r="J4992" s="392" t="n"/>
      <c r="K4992" s="392" t="n"/>
      <c r="L4992" s="392" t="n"/>
      <c r="M4992" s="392" t="n"/>
    </row>
    <row r="4993">
      <c r="A4993" s="568" t="n">
        <v>45872</v>
      </c>
      <c r="B4993" s="392" t="n">
        <v>12046</v>
      </c>
      <c r="C4993" s="392" t="n">
        <v>83</v>
      </c>
      <c r="D4993" s="392" t="n"/>
      <c r="E4993" s="392" t="n"/>
      <c r="F4993" s="392" t="n"/>
      <c r="G4993" s="392" t="n">
        <v>100</v>
      </c>
      <c r="H4993" s="446">
        <f>H4992-G4993</f>
        <v/>
      </c>
      <c r="I4993" s="392" t="n"/>
      <c r="J4993" s="392" t="n"/>
      <c r="K4993" s="392" t="n"/>
      <c r="L4993" s="392" t="n"/>
      <c r="M4993" s="392" t="n"/>
    </row>
    <row r="4994">
      <c r="A4994" s="568" t="n">
        <v>45872</v>
      </c>
      <c r="B4994" s="392" t="n">
        <v>12047</v>
      </c>
      <c r="C4994" s="392" t="n">
        <v>92</v>
      </c>
      <c r="D4994" s="392" t="n"/>
      <c r="E4994" s="392" t="n"/>
      <c r="F4994" s="392" t="n"/>
      <c r="G4994" s="392" t="n">
        <v>100</v>
      </c>
      <c r="H4994" s="446">
        <f>H4993-G4994</f>
        <v/>
      </c>
      <c r="I4994" s="392" t="n"/>
      <c r="J4994" s="392" t="n"/>
      <c r="K4994" s="392" t="n"/>
      <c r="L4994" s="392" t="n"/>
      <c r="M4994" s="392" t="n"/>
    </row>
    <row r="4995">
      <c r="A4995" s="568" t="n">
        <v>45873</v>
      </c>
      <c r="B4995" s="392" t="n">
        <v>12051</v>
      </c>
      <c r="C4995" s="392" t="n">
        <v>80</v>
      </c>
      <c r="D4995" s="392" t="n"/>
      <c r="E4995" s="392" t="n"/>
      <c r="F4995" s="392" t="n"/>
      <c r="G4995" s="392" t="n">
        <v>200</v>
      </c>
      <c r="H4995" s="446">
        <f>H4994-G4995</f>
        <v/>
      </c>
      <c r="I4995" s="392" t="n"/>
      <c r="J4995" s="392" t="n"/>
      <c r="K4995" s="392" t="n"/>
      <c r="L4995" s="392" t="n"/>
      <c r="M4995" s="392" t="n"/>
    </row>
    <row r="4996">
      <c r="A4996" s="568" t="n">
        <v>45873</v>
      </c>
      <c r="B4996" s="392" t="n">
        <v>12053</v>
      </c>
      <c r="C4996" s="392" t="n">
        <v>92</v>
      </c>
      <c r="D4996" s="392" t="n"/>
      <c r="E4996" s="392" t="n"/>
      <c r="F4996" s="392" t="n"/>
      <c r="G4996" s="392" t="n">
        <v>20</v>
      </c>
      <c r="H4996" s="446">
        <f>H4995-G4996</f>
        <v/>
      </c>
      <c r="I4996" s="392" t="n"/>
      <c r="J4996" s="392" t="n"/>
      <c r="K4996" s="392" t="n"/>
      <c r="L4996" s="392" t="n"/>
      <c r="M4996" s="392" t="n"/>
    </row>
    <row r="4997">
      <c r="A4997" s="568" t="n">
        <v>45873</v>
      </c>
      <c r="B4997" s="392" t="n">
        <v>12054</v>
      </c>
      <c r="C4997" s="392" t="n">
        <v>85</v>
      </c>
      <c r="D4997" s="392" t="n"/>
      <c r="E4997" s="392" t="n"/>
      <c r="F4997" s="392" t="n"/>
      <c r="G4997" s="392" t="n">
        <v>20</v>
      </c>
      <c r="H4997" s="446">
        <f>H4996-G4997</f>
        <v/>
      </c>
      <c r="I4997" s="392" t="n"/>
      <c r="J4997" s="392" t="n"/>
      <c r="K4997" s="392" t="n"/>
      <c r="L4997" s="392" t="n"/>
      <c r="M4997" s="392" t="n"/>
    </row>
    <row r="4998">
      <c r="A4998" s="568" t="n">
        <v>45873</v>
      </c>
      <c r="B4998" s="392" t="n">
        <v>12055</v>
      </c>
      <c r="C4998" s="392" t="n">
        <v>83.84</v>
      </c>
      <c r="D4998" s="392" t="n"/>
      <c r="E4998" s="392" t="n"/>
      <c r="F4998" s="392" t="n"/>
      <c r="G4998" s="392" t="n">
        <v>30</v>
      </c>
      <c r="H4998" s="446">
        <f>H4997-G4998</f>
        <v/>
      </c>
      <c r="I4998" s="392" t="n"/>
      <c r="J4998" s="392" t="n"/>
      <c r="K4998" s="392" t="n"/>
      <c r="L4998" s="392" t="n"/>
      <c r="M4998" s="392" t="n"/>
    </row>
    <row r="4999">
      <c r="A4999" s="568" t="n">
        <v>45873</v>
      </c>
      <c r="B4999" s="392" t="n">
        <v>12056</v>
      </c>
      <c r="C4999" s="392" t="n">
        <v>85</v>
      </c>
      <c r="D4999" s="392" t="n"/>
      <c r="E4999" s="392" t="n"/>
      <c r="F4999" s="392" t="n"/>
      <c r="G4999" s="392" t="n">
        <v>20</v>
      </c>
      <c r="H4999" s="446">
        <f>H4998-G4999</f>
        <v/>
      </c>
      <c r="I4999" s="392" t="n"/>
      <c r="J4999" s="392" t="n"/>
      <c r="K4999" s="392" t="n"/>
      <c r="L4999" s="392" t="n"/>
      <c r="M4999" s="392" t="n"/>
    </row>
    <row r="5000">
      <c r="A5000" s="568" t="n">
        <v>45873</v>
      </c>
      <c r="B5000" s="392" t="n">
        <v>12052</v>
      </c>
      <c r="C5000" s="392" t="n">
        <v>85</v>
      </c>
      <c r="D5000" s="392" t="n"/>
      <c r="E5000" s="392" t="n"/>
      <c r="F5000" s="392" t="n"/>
      <c r="G5000" s="392" t="n">
        <v>50</v>
      </c>
      <c r="H5000" s="446">
        <f>H4999-G5000</f>
        <v/>
      </c>
      <c r="I5000" s="392" t="n"/>
      <c r="J5000" s="392" t="n"/>
      <c r="K5000" s="392" t="n"/>
      <c r="L5000" s="392" t="n"/>
      <c r="M5000" s="392" t="n"/>
    </row>
    <row r="5001">
      <c r="A5001" s="568" t="n">
        <v>45879</v>
      </c>
      <c r="B5001" s="392" t="n">
        <v>12066</v>
      </c>
      <c r="C5001" s="392" t="n">
        <v>82</v>
      </c>
      <c r="D5001" s="392" t="n"/>
      <c r="E5001" s="392" t="n"/>
      <c r="F5001" s="392" t="n"/>
      <c r="G5001" s="392" t="n">
        <v>30</v>
      </c>
      <c r="H5001" s="446">
        <f>H5000-G5001</f>
        <v/>
      </c>
      <c r="I5001" s="392" t="n"/>
      <c r="J5001" s="392" t="n"/>
      <c r="K5001" s="392" t="n"/>
      <c r="L5001" s="392" t="n"/>
      <c r="M5001" s="392" t="n"/>
    </row>
    <row r="5002">
      <c r="A5002" s="568" t="n">
        <v>45879</v>
      </c>
      <c r="B5002" s="392" t="n">
        <v>12067</v>
      </c>
      <c r="C5002" s="392" t="n">
        <v>80</v>
      </c>
      <c r="D5002" s="392" t="n"/>
      <c r="E5002" s="392" t="n"/>
      <c r="F5002" s="392" t="n"/>
      <c r="G5002" s="392" t="n">
        <v>200</v>
      </c>
      <c r="H5002" s="446">
        <f>H5001-G5002</f>
        <v/>
      </c>
      <c r="I5002" s="392" t="n"/>
      <c r="J5002" s="392" t="n"/>
      <c r="K5002" s="392" t="n"/>
      <c r="L5002" s="392" t="n"/>
      <c r="M5002" s="392" t="n"/>
    </row>
    <row r="5003">
      <c r="A5003" s="568" t="n">
        <v>45880</v>
      </c>
      <c r="B5003" s="392" t="n">
        <v>12068</v>
      </c>
      <c r="C5003" s="392" t="n">
        <v>83</v>
      </c>
      <c r="D5003" s="392" t="n"/>
      <c r="E5003" s="392" t="n"/>
      <c r="F5003" s="392" t="n"/>
      <c r="G5003" s="392" t="n">
        <v>100</v>
      </c>
      <c r="H5003" s="446">
        <f>H5002-G5003</f>
        <v/>
      </c>
      <c r="I5003" s="392" t="n"/>
      <c r="J5003" s="392" t="n"/>
      <c r="K5003" s="392" t="n"/>
      <c r="L5003" s="392" t="n"/>
      <c r="M5003" s="392" t="n"/>
    </row>
    <row r="5004">
      <c r="A5004" s="568" t="n">
        <v>45880</v>
      </c>
      <c r="B5004" s="392" t="n">
        <v>12069</v>
      </c>
      <c r="C5004" s="392" t="n">
        <v>90</v>
      </c>
      <c r="D5004" s="392" t="n"/>
      <c r="E5004" s="392" t="n"/>
      <c r="F5004" s="392" t="n"/>
      <c r="G5004" s="392" t="n">
        <v>30</v>
      </c>
      <c r="H5004" s="446">
        <f>H5003-G5004</f>
        <v/>
      </c>
      <c r="I5004" s="392" t="n"/>
      <c r="J5004" s="392" t="n"/>
      <c r="K5004" s="392" t="n"/>
      <c r="L5004" s="392" t="n"/>
      <c r="M5004" s="392" t="n"/>
    </row>
    <row r="5005">
      <c r="A5005" s="568" t="n">
        <v>45880</v>
      </c>
      <c r="B5005" s="392" t="n">
        <v>12070</v>
      </c>
      <c r="C5005" s="392" t="n">
        <v>87</v>
      </c>
      <c r="D5005" s="392" t="n"/>
      <c r="E5005" s="392" t="n"/>
      <c r="F5005" s="392" t="n"/>
      <c r="G5005" s="392" t="n">
        <v>15</v>
      </c>
      <c r="H5005" s="446">
        <f>H5004-G5005</f>
        <v/>
      </c>
      <c r="I5005" s="392" t="n"/>
      <c r="J5005" s="392" t="n"/>
      <c r="K5005" s="392" t="n"/>
      <c r="L5005" s="392" t="n"/>
      <c r="M5005" s="392" t="n"/>
    </row>
    <row r="5006">
      <c r="A5006" s="568" t="n">
        <v>45880</v>
      </c>
      <c r="B5006" s="392" t="n">
        <v>12071</v>
      </c>
      <c r="C5006" s="392" t="n">
        <v>85</v>
      </c>
      <c r="D5006" s="392" t="n"/>
      <c r="E5006" s="392" t="n"/>
      <c r="F5006" s="392" t="n"/>
      <c r="G5006" s="392" t="n">
        <v>20</v>
      </c>
      <c r="H5006" s="446">
        <f>H5005-G5006</f>
        <v/>
      </c>
      <c r="I5006" s="392" t="n"/>
      <c r="J5006" s="392" t="n"/>
      <c r="K5006" s="392" t="n"/>
      <c r="L5006" s="392" t="n"/>
      <c r="M5006" s="392" t="n"/>
    </row>
    <row r="5007">
      <c r="A5007" s="568" t="n">
        <v>45880</v>
      </c>
      <c r="B5007" s="392" t="n">
        <v>12072</v>
      </c>
      <c r="C5007" s="392" t="n">
        <v>78</v>
      </c>
      <c r="D5007" s="392" t="n"/>
      <c r="E5007" s="392" t="n"/>
      <c r="F5007" s="392" t="n"/>
      <c r="G5007" s="392" t="n">
        <v>40</v>
      </c>
      <c r="H5007" s="446">
        <f>H5006-G5007</f>
        <v/>
      </c>
      <c r="I5007" s="392" t="n"/>
      <c r="J5007" s="392" t="n"/>
      <c r="K5007" s="392" t="n"/>
      <c r="L5007" s="392" t="n"/>
      <c r="M5007" s="392" t="n"/>
    </row>
    <row r="5008">
      <c r="A5008" s="568" t="n">
        <v>45880</v>
      </c>
      <c r="B5008" s="392" t="n">
        <v>12074</v>
      </c>
      <c r="C5008" s="392" t="n">
        <v>90</v>
      </c>
      <c r="D5008" s="392" t="n"/>
      <c r="E5008" s="392" t="n"/>
      <c r="F5008" s="392" t="n"/>
      <c r="G5008" s="392" t="n">
        <v>30</v>
      </c>
      <c r="H5008" s="446">
        <f>H5007-G5008</f>
        <v/>
      </c>
      <c r="I5008" s="392" t="n"/>
      <c r="J5008" s="392" t="n"/>
      <c r="K5008" s="392" t="n"/>
      <c r="L5008" s="392" t="n"/>
      <c r="M5008" s="392" t="n"/>
    </row>
    <row r="5009">
      <c r="A5009" s="568" t="n">
        <v>45880</v>
      </c>
      <c r="B5009" s="392" t="n">
        <v>12076</v>
      </c>
      <c r="C5009" s="392" t="n">
        <v>92</v>
      </c>
      <c r="D5009" s="392" t="n"/>
      <c r="E5009" s="392" t="n"/>
      <c r="F5009" s="392" t="n"/>
      <c r="G5009" s="392" t="n">
        <v>50</v>
      </c>
      <c r="H5009" s="446">
        <f>H5008-G5009</f>
        <v/>
      </c>
      <c r="I5009" s="392" t="n"/>
      <c r="J5009" s="392" t="n"/>
      <c r="K5009" s="392" t="n"/>
      <c r="L5009" s="392" t="n"/>
      <c r="M5009" s="392" t="n"/>
    </row>
    <row r="5010">
      <c r="A5010" s="568" t="n">
        <v>45881</v>
      </c>
      <c r="B5010" s="392" t="n">
        <v>12079</v>
      </c>
      <c r="C5010" s="392" t="n">
        <v>83</v>
      </c>
      <c r="D5010" s="392" t="n"/>
      <c r="E5010" s="392" t="n"/>
      <c r="F5010" s="392" t="n"/>
      <c r="G5010" s="392" t="n">
        <v>50</v>
      </c>
      <c r="H5010" s="446">
        <f>H5009-G5010</f>
        <v/>
      </c>
      <c r="I5010" s="392" t="n"/>
      <c r="J5010" s="392" t="n"/>
      <c r="K5010" s="392" t="n"/>
      <c r="L5010" s="392" t="n"/>
      <c r="M5010" s="392" t="n"/>
    </row>
    <row r="5011">
      <c r="A5011" s="304" t="n">
        <v>45882</v>
      </c>
      <c r="B5011" s="401" t="n">
        <v>2978</v>
      </c>
      <c r="C5011" s="401" t="n"/>
      <c r="D5011" s="401" t="n"/>
      <c r="E5011" s="401" t="n"/>
      <c r="F5011" s="401" t="n">
        <v>1120</v>
      </c>
      <c r="G5011" s="401" t="n"/>
      <c r="H5011" s="322" t="n">
        <v>3280</v>
      </c>
      <c r="I5011" s="392" t="n"/>
      <c r="J5011" s="392" t="n"/>
      <c r="K5011" s="392" t="n"/>
      <c r="L5011" s="392" t="n"/>
      <c r="M5011" s="392" t="n"/>
    </row>
    <row r="5012">
      <c r="A5012" s="568" t="n">
        <v>45882</v>
      </c>
      <c r="B5012" s="392" t="n">
        <v>12080</v>
      </c>
      <c r="C5012" s="392" t="n">
        <v>83.72</v>
      </c>
      <c r="D5012" s="392" t="n"/>
      <c r="E5012" s="392" t="n"/>
      <c r="F5012" s="392" t="n"/>
      <c r="G5012" s="392" t="n">
        <v>25</v>
      </c>
      <c r="H5012" s="446">
        <f>H5011-G5012</f>
        <v/>
      </c>
      <c r="I5012" s="392" t="n"/>
      <c r="J5012" s="392" t="n"/>
      <c r="K5012" s="392" t="n"/>
      <c r="L5012" s="392" t="n"/>
      <c r="M5012" s="392" t="n"/>
    </row>
    <row r="5013">
      <c r="A5013" s="568" t="n">
        <v>45887</v>
      </c>
      <c r="B5013" s="392" t="n">
        <v>12082</v>
      </c>
      <c r="C5013" s="392" t="n">
        <v>88</v>
      </c>
      <c r="D5013" s="392" t="n"/>
      <c r="E5013" s="392" t="n"/>
      <c r="F5013" s="392" t="n"/>
      <c r="G5013" s="392" t="n">
        <v>25</v>
      </c>
      <c r="H5013" s="446">
        <f>H5012-G5013</f>
        <v/>
      </c>
      <c r="I5013" s="392" t="n"/>
      <c r="J5013" s="392" t="n"/>
      <c r="K5013" s="392" t="n"/>
      <c r="L5013" s="392" t="n"/>
      <c r="M5013" s="392" t="n"/>
    </row>
    <row r="5014">
      <c r="A5014" s="568" t="n">
        <v>45887</v>
      </c>
      <c r="B5014" s="392" t="n">
        <v>12083</v>
      </c>
      <c r="C5014" s="392" t="n">
        <v>85</v>
      </c>
      <c r="D5014" s="392" t="n"/>
      <c r="E5014" s="392" t="n"/>
      <c r="F5014" s="392" t="n"/>
      <c r="G5014" s="392" t="n">
        <v>50</v>
      </c>
      <c r="H5014" s="446">
        <f>H5013-G5014</f>
        <v/>
      </c>
      <c r="I5014" s="392" t="n"/>
      <c r="J5014" s="392" t="n"/>
      <c r="K5014" s="392" t="n"/>
      <c r="L5014" s="392" t="n"/>
      <c r="M5014" s="392" t="n"/>
    </row>
    <row r="5015">
      <c r="A5015" s="568" t="n">
        <v>45887</v>
      </c>
      <c r="B5015" s="392" t="n">
        <v>12084</v>
      </c>
      <c r="C5015" s="392" t="n">
        <v>92</v>
      </c>
      <c r="D5015" s="392" t="n"/>
      <c r="E5015" s="392" t="n"/>
      <c r="F5015" s="392" t="n"/>
      <c r="G5015" s="392" t="n">
        <v>20</v>
      </c>
      <c r="H5015" s="446">
        <f>H5014-G5015</f>
        <v/>
      </c>
      <c r="I5015" s="392" t="n"/>
      <c r="J5015" s="392" t="n"/>
      <c r="K5015" s="392" t="n"/>
      <c r="L5015" s="392" t="n"/>
      <c r="M5015" s="392" t="n"/>
    </row>
    <row r="5016">
      <c r="A5016" s="568" t="n">
        <v>45887</v>
      </c>
      <c r="B5016" s="392" t="n">
        <v>12085</v>
      </c>
      <c r="C5016" s="392" t="n">
        <v>83</v>
      </c>
      <c r="D5016" s="392" t="n"/>
      <c r="E5016" s="392" t="n"/>
      <c r="F5016" s="392" t="n"/>
      <c r="G5016" s="392" t="n">
        <v>60</v>
      </c>
      <c r="H5016" s="446">
        <f>H5015-G5016</f>
        <v/>
      </c>
      <c r="I5016" s="392" t="n"/>
      <c r="J5016" s="392" t="n"/>
      <c r="K5016" s="392" t="n"/>
      <c r="L5016" s="392" t="n"/>
      <c r="M5016" s="392" t="n"/>
    </row>
    <row r="5017">
      <c r="A5017" s="568" t="n">
        <v>45887</v>
      </c>
      <c r="B5017" s="392" t="n">
        <v>12087</v>
      </c>
      <c r="C5017" s="392" t="n">
        <v>85</v>
      </c>
      <c r="D5017" s="392" t="n"/>
      <c r="E5017" s="392" t="n"/>
      <c r="F5017" s="392" t="n"/>
      <c r="G5017" s="392" t="n">
        <v>20</v>
      </c>
      <c r="H5017" s="446">
        <f>H5016-G5017</f>
        <v/>
      </c>
      <c r="I5017" s="392" t="n"/>
      <c r="J5017" s="392" t="n"/>
      <c r="K5017" s="392" t="n"/>
      <c r="L5017" s="392" t="n"/>
      <c r="M5017" s="392" t="n"/>
    </row>
    <row r="5018">
      <c r="A5018" s="568" t="n">
        <v>45887</v>
      </c>
      <c r="B5018" s="392" t="n">
        <v>12090</v>
      </c>
      <c r="C5018" s="392" t="n">
        <v>90</v>
      </c>
      <c r="D5018" s="392" t="n"/>
      <c r="E5018" s="392" t="n"/>
      <c r="F5018" s="392" t="n"/>
      <c r="G5018" s="392" t="n">
        <v>60</v>
      </c>
      <c r="H5018" s="446">
        <f>H5017-G5018</f>
        <v/>
      </c>
      <c r="I5018" s="392" t="n"/>
      <c r="J5018" s="392" t="n"/>
      <c r="K5018" s="392" t="n"/>
      <c r="L5018" s="392" t="n"/>
      <c r="M5018" s="392" t="n"/>
    </row>
    <row r="5019">
      <c r="A5019" s="568" t="n">
        <v>45887</v>
      </c>
      <c r="B5019" s="392" t="n">
        <v>12092</v>
      </c>
      <c r="C5019" s="392" t="n">
        <v>86</v>
      </c>
      <c r="D5019" s="392" t="n"/>
      <c r="E5019" s="392" t="n"/>
      <c r="F5019" s="392" t="n"/>
      <c r="G5019" s="392" t="n">
        <v>25</v>
      </c>
      <c r="H5019" s="446">
        <f>H5018-G5019</f>
        <v/>
      </c>
      <c r="I5019" s="392" t="n"/>
      <c r="J5019" s="392" t="n"/>
      <c r="K5019" s="392" t="n"/>
      <c r="L5019" s="392" t="n"/>
      <c r="M5019" s="392" t="n"/>
    </row>
    <row r="5020">
      <c r="A5020" s="568" t="n">
        <v>45887</v>
      </c>
      <c r="B5020" s="392" t="n">
        <v>12093</v>
      </c>
      <c r="C5020" s="392" t="n">
        <v>85</v>
      </c>
      <c r="D5020" s="392" t="n"/>
      <c r="E5020" s="392" t="n"/>
      <c r="F5020" s="392" t="n"/>
      <c r="G5020" s="392" t="n">
        <v>10</v>
      </c>
      <c r="H5020" s="446">
        <f>H5019-G5020</f>
        <v/>
      </c>
      <c r="I5020" s="392" t="n"/>
      <c r="J5020" s="392" t="n"/>
      <c r="K5020" s="392" t="n"/>
      <c r="L5020" s="392" t="n"/>
      <c r="M5020" s="392" t="n"/>
    </row>
    <row r="5021">
      <c r="A5021" s="568" t="n">
        <v>45889</v>
      </c>
      <c r="B5021" s="392" t="n">
        <v>12094</v>
      </c>
      <c r="C5021" s="392" t="n">
        <v>81</v>
      </c>
      <c r="D5021" s="392" t="n"/>
      <c r="E5021" s="392" t="n"/>
      <c r="F5021" s="392" t="n"/>
      <c r="G5021" s="392" t="n">
        <v>50</v>
      </c>
      <c r="H5021" s="446">
        <f>H5020-G5021</f>
        <v/>
      </c>
      <c r="I5021" s="392" t="n"/>
      <c r="J5021" s="392" t="n"/>
      <c r="K5021" s="392" t="n"/>
      <c r="L5021" s="392" t="n"/>
      <c r="M5021" s="392" t="n"/>
    </row>
    <row r="5022">
      <c r="A5022" s="568" t="n">
        <v>45891</v>
      </c>
      <c r="B5022" s="392" t="n">
        <v>12099</v>
      </c>
      <c r="C5022" s="392" t="n">
        <v>80</v>
      </c>
      <c r="D5022" s="392" t="n"/>
      <c r="E5022" s="392" t="n"/>
      <c r="F5022" s="392" t="n"/>
      <c r="G5022" s="392" t="n">
        <v>200</v>
      </c>
      <c r="H5022" s="446">
        <f>H5021-G5022</f>
        <v/>
      </c>
      <c r="I5022" s="392" t="n"/>
      <c r="J5022" s="392" t="n"/>
      <c r="K5022" s="392" t="n"/>
      <c r="L5022" s="392" t="n"/>
      <c r="M5022" s="392" t="n"/>
    </row>
    <row r="5023">
      <c r="A5023" s="568" t="n">
        <v>45891</v>
      </c>
      <c r="B5023" s="392" t="n">
        <v>12100</v>
      </c>
      <c r="C5023" s="392" t="n">
        <v>83</v>
      </c>
      <c r="D5023" s="392" t="n"/>
      <c r="E5023" s="392" t="n"/>
      <c r="F5023" s="392" t="n"/>
      <c r="G5023" s="392" t="n">
        <v>50</v>
      </c>
      <c r="H5023" s="446">
        <f>H5022-G5023</f>
        <v/>
      </c>
      <c r="I5023" s="392" t="n"/>
      <c r="J5023" s="392" t="n"/>
      <c r="K5023" s="392" t="n"/>
      <c r="L5023" s="392" t="n"/>
      <c r="M5023" s="392" t="n"/>
    </row>
    <row r="5024">
      <c r="A5024" s="568" t="n">
        <v>45891</v>
      </c>
      <c r="B5024" s="392" t="n">
        <v>12101</v>
      </c>
      <c r="C5024" s="392" t="n">
        <v>89</v>
      </c>
      <c r="D5024" s="392" t="n"/>
      <c r="E5024" s="392" t="n"/>
      <c r="F5024" s="392" t="n"/>
      <c r="G5024" s="392" t="n">
        <v>30</v>
      </c>
      <c r="H5024" s="446">
        <f>H5023-G5024</f>
        <v/>
      </c>
      <c r="I5024" s="392" t="n"/>
      <c r="J5024" s="392" t="n"/>
      <c r="K5024" s="392" t="n"/>
      <c r="L5024" s="392" t="n"/>
      <c r="M5024" s="392" t="n"/>
    </row>
    <row r="5025">
      <c r="A5025" s="568" t="n">
        <v>45894</v>
      </c>
      <c r="B5025" s="392" t="n">
        <v>12104</v>
      </c>
      <c r="C5025" s="392" t="n">
        <v>92</v>
      </c>
      <c r="D5025" s="392" t="n"/>
      <c r="E5025" s="392" t="n"/>
      <c r="F5025" s="392" t="n"/>
      <c r="G5025" s="392" t="n">
        <v>50</v>
      </c>
      <c r="H5025" s="446">
        <f>H5024-G5025</f>
        <v/>
      </c>
      <c r="I5025" s="392" t="n"/>
      <c r="J5025" s="392" t="n"/>
      <c r="K5025" s="392" t="n"/>
      <c r="L5025" s="392" t="n"/>
      <c r="M5025" s="392" t="n"/>
    </row>
    <row r="5026">
      <c r="A5026" s="568" t="n">
        <v>45895</v>
      </c>
      <c r="B5026" s="392" t="n">
        <v>12108</v>
      </c>
      <c r="C5026" s="392" t="n">
        <v>90</v>
      </c>
      <c r="D5026" s="392" t="n"/>
      <c r="E5026" s="392" t="n"/>
      <c r="F5026" s="392" t="n"/>
      <c r="G5026" s="392" t="n">
        <v>30</v>
      </c>
      <c r="H5026" s="446">
        <f>H5025-G5026</f>
        <v/>
      </c>
      <c r="I5026" s="392" t="n"/>
      <c r="J5026" s="392" t="n"/>
      <c r="K5026" s="392" t="n"/>
      <c r="L5026" s="392" t="n"/>
      <c r="M5026" s="392" t="n"/>
    </row>
    <row r="5027">
      <c r="A5027" s="568" t="n">
        <v>45895</v>
      </c>
      <c r="B5027" s="392" t="n">
        <v>12109</v>
      </c>
      <c r="C5027" s="392" t="n">
        <v>85</v>
      </c>
      <c r="D5027" s="392" t="n"/>
      <c r="E5027" s="392" t="n"/>
      <c r="F5027" s="392" t="n"/>
      <c r="G5027" s="392" t="n">
        <v>20</v>
      </c>
      <c r="H5027" s="446">
        <f>H5026-G5027</f>
        <v/>
      </c>
      <c r="I5027" s="392" t="n"/>
      <c r="J5027" s="392" t="n"/>
      <c r="K5027" s="392" t="n"/>
      <c r="L5027" s="392" t="n"/>
      <c r="M5027" s="392" t="n"/>
    </row>
    <row r="5028">
      <c r="A5028" s="568" t="n">
        <v>45895</v>
      </c>
      <c r="B5028" s="392" t="n">
        <v>12110</v>
      </c>
      <c r="C5028" s="392" t="n">
        <v>83</v>
      </c>
      <c r="D5028" s="392" t="n"/>
      <c r="E5028" s="392" t="n"/>
      <c r="F5028" s="392" t="n"/>
      <c r="G5028" s="392" t="n">
        <v>15</v>
      </c>
      <c r="H5028" s="446">
        <f>H5027-G5028</f>
        <v/>
      </c>
      <c r="I5028" s="392" t="n"/>
      <c r="J5028" s="392" t="n"/>
      <c r="K5028" s="392" t="n"/>
      <c r="L5028" s="392" t="n"/>
      <c r="M5028" s="392" t="n"/>
    </row>
    <row r="5029">
      <c r="A5029" s="568" t="n">
        <v>45895</v>
      </c>
      <c r="B5029" s="392" t="n">
        <v>12111</v>
      </c>
      <c r="C5029" s="392" t="n">
        <v>85.45</v>
      </c>
      <c r="D5029" s="392" t="n"/>
      <c r="E5029" s="392" t="n"/>
      <c r="F5029" s="392" t="n"/>
      <c r="G5029" s="392" t="n">
        <v>20</v>
      </c>
      <c r="H5029" s="446">
        <f>H5028-G5029</f>
        <v/>
      </c>
      <c r="I5029" s="392" t="n"/>
      <c r="J5029" s="392" t="n"/>
      <c r="K5029" s="392" t="n"/>
      <c r="L5029" s="392" t="n"/>
      <c r="M5029" s="392" t="n"/>
    </row>
    <row r="5030">
      <c r="A5030" s="392" t="n"/>
      <c r="B5030" s="392" t="n"/>
      <c r="C5030" s="392" t="n"/>
      <c r="D5030" s="392" t="n"/>
      <c r="E5030" s="392" t="n"/>
      <c r="F5030" s="392" t="n"/>
      <c r="G5030" s="392" t="n"/>
      <c r="H5030" s="446">
        <f>H5029-G5030</f>
        <v/>
      </c>
      <c r="I5030" s="392" t="n"/>
      <c r="J5030" s="392" t="n"/>
      <c r="K5030" s="392" t="n"/>
      <c r="L5030" s="392" t="n"/>
      <c r="M5030" s="392" t="n"/>
    </row>
    <row r="5031" ht="15.75" customHeight="1" s="436" thickBot="1">
      <c r="A5031" s="414" t="n"/>
      <c r="H5031" s="390" t="n"/>
    </row>
    <row r="5032" ht="32.25" customHeight="1" s="436" thickBot="1">
      <c r="A5032" s="735" t="inlineStr">
        <is>
          <t>Setembro</t>
        </is>
      </c>
      <c r="B5032" s="697" t="n"/>
      <c r="C5032" s="697" t="n"/>
      <c r="D5032" s="697" t="n"/>
      <c r="E5032" s="697" t="n"/>
      <c r="F5032" s="697" t="n"/>
      <c r="G5032" s="697" t="n"/>
      <c r="H5032" s="697" t="n"/>
      <c r="I5032" s="697" t="n"/>
      <c r="J5032" s="697" t="n"/>
      <c r="K5032" s="697" t="n"/>
      <c r="L5032" s="697" t="n"/>
      <c r="M5032" s="698" t="n"/>
    </row>
    <row r="5033" ht="27" customHeight="1" s="436" thickBot="1">
      <c r="A5033" s="720" t="inlineStr">
        <is>
          <t xml:space="preserve"> FARINHA DE TRIGO TIPO: 1 - 25 KG</t>
        </is>
      </c>
      <c r="B5033" s="697" t="n"/>
      <c r="C5033" s="697" t="n"/>
      <c r="D5033" s="697" t="n"/>
      <c r="E5033" s="697" t="n"/>
      <c r="F5033" s="697" t="n"/>
      <c r="G5033" s="697" t="n"/>
      <c r="H5033" s="697" t="n"/>
      <c r="I5033" s="697" t="n"/>
      <c r="J5033" s="697" t="n"/>
      <c r="K5033" s="697" t="n"/>
      <c r="L5033" s="697" t="n"/>
      <c r="M5033" s="698" t="n"/>
    </row>
    <row r="5034">
      <c r="A5034" s="3" t="inlineStr">
        <is>
          <t>DATA</t>
        </is>
      </c>
      <c r="B5034" s="3" t="inlineStr">
        <is>
          <t>N.F.</t>
        </is>
      </c>
      <c r="C5034" s="3" t="inlineStr">
        <is>
          <t>TIPO</t>
        </is>
      </c>
      <c r="D5034" s="708" t="inlineStr">
        <is>
          <t>PREÇO UNITÁRIO</t>
        </is>
      </c>
      <c r="E5034" s="736" t="n"/>
      <c r="F5034" s="3" t="inlineStr">
        <is>
          <t>QUANTIDADE / KG</t>
        </is>
      </c>
      <c r="G5034" s="737" t="n"/>
      <c r="H5034" s="736" t="n"/>
      <c r="I5034" s="631" t="inlineStr">
        <is>
          <t>PREÇO</t>
        </is>
      </c>
      <c r="J5034" s="631" t="inlineStr">
        <is>
          <t>VALORES</t>
        </is>
      </c>
      <c r="K5034" s="737" t="n"/>
      <c r="L5034" s="736" t="n"/>
      <c r="M5034" s="738" t="n"/>
    </row>
    <row r="5035" ht="15.75" customHeight="1" s="436" thickBot="1">
      <c r="A5035" s="704" t="n"/>
      <c r="B5035" s="704" t="n"/>
      <c r="C5035" s="704" t="n"/>
      <c r="D5035" s="703" t="n"/>
      <c r="E5035" s="701" t="n"/>
      <c r="F5035" s="705" t="n"/>
      <c r="G5035" s="706" t="n"/>
      <c r="H5035" s="707" t="n"/>
      <c r="I5035" s="704" t="n"/>
      <c r="J5035" s="703" t="n"/>
      <c r="L5035" s="701" t="n"/>
      <c r="M5035" s="704" t="n"/>
    </row>
    <row r="5036" ht="15.75" customHeight="1" s="436" thickBot="1">
      <c r="A5036" s="704" t="n"/>
      <c r="B5036" s="704" t="n"/>
      <c r="C5036" s="704" t="n"/>
      <c r="D5036" s="705" t="n"/>
      <c r="E5036" s="707" t="n"/>
      <c r="F5036" s="3" t="inlineStr">
        <is>
          <t>ENTRADA</t>
        </is>
      </c>
      <c r="G5036" s="3" t="inlineStr">
        <is>
          <t>SAÍDA</t>
        </is>
      </c>
      <c r="H5036" s="640" t="n"/>
      <c r="I5036" s="633" t="inlineStr">
        <is>
          <t>MÉDIO</t>
        </is>
      </c>
      <c r="J5036" s="739" t="inlineStr">
        <is>
          <t>SALDO EM 30/11/2017</t>
        </is>
      </c>
      <c r="K5036" s="707" t="n"/>
      <c r="L5036" s="17" t="n"/>
      <c r="M5036" s="740" t="n"/>
    </row>
    <row r="5037" ht="18" customHeight="1" s="436" thickBot="1">
      <c r="A5037" s="695" t="n"/>
      <c r="B5037" s="695" t="n"/>
      <c r="C5037" s="695" t="n"/>
      <c r="D5037" s="3" t="inlineStr">
        <is>
          <t>C/ICMS</t>
        </is>
      </c>
      <c r="E5037" s="3" t="inlineStr">
        <is>
          <t>S/ICMS</t>
        </is>
      </c>
      <c r="F5037" s="695" t="n"/>
      <c r="G5037" s="695" t="n"/>
      <c r="H5037" s="84" t="inlineStr">
        <is>
          <t>Saldo em 31/08/2024</t>
        </is>
      </c>
      <c r="I5037" s="695" t="n"/>
      <c r="J5037" s="645" t="inlineStr">
        <is>
          <t>ENTRADA</t>
        </is>
      </c>
      <c r="K5037" s="633" t="inlineStr">
        <is>
          <t>SAÍDA / CMV</t>
        </is>
      </c>
      <c r="L5037" s="643" t="inlineStr">
        <is>
          <t>SALDO</t>
        </is>
      </c>
      <c r="M5037" s="392" t="n"/>
    </row>
    <row r="5038">
      <c r="A5038" s="392" t="n"/>
      <c r="B5038" s="392" t="n"/>
      <c r="C5038" s="392" t="n"/>
      <c r="D5038" s="392" t="n"/>
      <c r="E5038" s="392" t="n"/>
      <c r="F5038" s="392" t="n"/>
      <c r="G5038" s="392" t="n"/>
      <c r="H5038" s="446" t="n">
        <v>2520</v>
      </c>
      <c r="I5038" s="392" t="n"/>
      <c r="J5038" s="392" t="n"/>
      <c r="K5038" s="392" t="n"/>
      <c r="L5038" s="392" t="n"/>
      <c r="M5038" s="392" t="n"/>
    </row>
    <row r="5039">
      <c r="A5039" s="568" t="n">
        <v>45901</v>
      </c>
      <c r="B5039" s="392" t="n">
        <v>12117</v>
      </c>
      <c r="C5039" s="392" t="n">
        <v>92</v>
      </c>
      <c r="D5039" s="392" t="n"/>
      <c r="E5039" s="392" t="n"/>
      <c r="F5039" s="392" t="n"/>
      <c r="G5039" s="392" t="n">
        <v>100</v>
      </c>
      <c r="H5039" s="446">
        <f>H5038-G5039</f>
        <v/>
      </c>
      <c r="I5039" s="392" t="n"/>
      <c r="J5039" s="392" t="n"/>
      <c r="K5039" s="392" t="n"/>
      <c r="L5039" s="392" t="n"/>
      <c r="M5039" s="392" t="n"/>
    </row>
    <row r="5040">
      <c r="A5040" s="568" t="n">
        <v>45901</v>
      </c>
      <c r="B5040" s="392" t="n">
        <v>12118</v>
      </c>
      <c r="C5040" s="392" t="n">
        <v>85</v>
      </c>
      <c r="D5040" s="392" t="n"/>
      <c r="E5040" s="392" t="n"/>
      <c r="F5040" s="392" t="n"/>
      <c r="G5040" s="392" t="n">
        <v>50</v>
      </c>
      <c r="H5040" s="446">
        <f>H5039-G5040</f>
        <v/>
      </c>
      <c r="I5040" s="392" t="n"/>
      <c r="J5040" s="392" t="n"/>
      <c r="K5040" s="392" t="n"/>
      <c r="L5040" s="392" t="n"/>
      <c r="M5040" s="392" t="n"/>
    </row>
    <row r="5041">
      <c r="A5041" s="568" t="n">
        <v>45901</v>
      </c>
      <c r="B5041" s="392" t="n">
        <v>12119</v>
      </c>
      <c r="C5041" s="392" t="n">
        <v>92</v>
      </c>
      <c r="D5041" s="392" t="n"/>
      <c r="E5041" s="392" t="n"/>
      <c r="F5041" s="392" t="n"/>
      <c r="G5041" s="392" t="n">
        <v>20</v>
      </c>
      <c r="H5041" s="446">
        <f>H5040-G5041</f>
        <v/>
      </c>
      <c r="I5041" s="392" t="n"/>
      <c r="J5041" s="392" t="n"/>
      <c r="K5041" s="392" t="n"/>
      <c r="L5041" s="392" t="n"/>
      <c r="M5041" s="392" t="n"/>
    </row>
    <row r="5042">
      <c r="A5042" s="304" t="n">
        <v>45902</v>
      </c>
      <c r="B5042" s="401" t="n">
        <v>3136</v>
      </c>
      <c r="C5042" s="401" t="n">
        <v>69</v>
      </c>
      <c r="D5042" s="401" t="n"/>
      <c r="E5042" s="401" t="n"/>
      <c r="F5042" s="401" t="n">
        <v>1120</v>
      </c>
      <c r="G5042" s="401" t="n"/>
      <c r="H5042" s="322" t="n">
        <v>3470</v>
      </c>
      <c r="I5042" s="392" t="n"/>
      <c r="J5042" s="392" t="n"/>
      <c r="K5042" s="392" t="n"/>
      <c r="L5042" s="392" t="n"/>
      <c r="M5042" s="392" t="n"/>
    </row>
    <row r="5043">
      <c r="A5043" s="568" t="n">
        <v>45902</v>
      </c>
      <c r="B5043" s="392" t="n">
        <v>12121</v>
      </c>
      <c r="C5043" s="392" t="n">
        <v>85</v>
      </c>
      <c r="D5043" s="392" t="n"/>
      <c r="E5043" s="392" t="n"/>
      <c r="F5043" s="392" t="n"/>
      <c r="G5043" s="392" t="n">
        <v>15</v>
      </c>
      <c r="H5043" s="446">
        <f>H5042-G5043</f>
        <v/>
      </c>
      <c r="I5043" s="392" t="n"/>
      <c r="J5043" s="392" t="n"/>
      <c r="K5043" s="392" t="n"/>
      <c r="L5043" s="392" t="n"/>
      <c r="M5043" s="392" t="n"/>
    </row>
    <row r="5044">
      <c r="A5044" s="568" t="n">
        <v>45902</v>
      </c>
      <c r="B5044" s="392" t="n">
        <v>12122</v>
      </c>
      <c r="C5044" s="392" t="n">
        <v>84</v>
      </c>
      <c r="D5044" s="392" t="n"/>
      <c r="E5044" s="392" t="n"/>
      <c r="F5044" s="392" t="n"/>
      <c r="G5044" s="392" t="n">
        <v>20</v>
      </c>
      <c r="H5044" s="446">
        <f>H5043-G5044</f>
        <v/>
      </c>
      <c r="I5044" s="392" t="n"/>
      <c r="J5044" s="392" t="n"/>
      <c r="K5044" s="392" t="n"/>
      <c r="L5044" s="392" t="n"/>
      <c r="M5044" s="392" t="n"/>
    </row>
    <row r="5045">
      <c r="A5045" s="568" t="n">
        <v>45902</v>
      </c>
      <c r="B5045" s="392" t="n">
        <v>12123</v>
      </c>
      <c r="C5045" s="392" t="n">
        <v>85</v>
      </c>
      <c r="D5045" s="392" t="n"/>
      <c r="E5045" s="392" t="n"/>
      <c r="F5045" s="392" t="n"/>
      <c r="G5045" s="392" t="n">
        <v>20</v>
      </c>
      <c r="H5045" s="446">
        <f>H5044-G5045</f>
        <v/>
      </c>
      <c r="I5045" s="392" t="n"/>
      <c r="J5045" s="392" t="n"/>
      <c r="K5045" s="392" t="n"/>
      <c r="L5045" s="392" t="n"/>
      <c r="M5045" s="392" t="n"/>
    </row>
    <row r="5046">
      <c r="A5046" s="568" t="n">
        <v>45902</v>
      </c>
      <c r="B5046" s="392" t="n">
        <v>12124</v>
      </c>
      <c r="C5046" s="392" t="n">
        <v>92</v>
      </c>
      <c r="D5046" s="392" t="n"/>
      <c r="E5046" s="392" t="n"/>
      <c r="F5046" s="392" t="n"/>
      <c r="G5046" s="392" t="n">
        <v>20</v>
      </c>
      <c r="H5046" s="446">
        <f>H5045-G5046</f>
        <v/>
      </c>
      <c r="I5046" s="392" t="n"/>
      <c r="J5046" s="392" t="n"/>
      <c r="K5046" s="392" t="n"/>
      <c r="L5046" s="392" t="n"/>
      <c r="M5046" s="392" t="n"/>
    </row>
    <row r="5047">
      <c r="A5047" s="568" t="n">
        <v>45902</v>
      </c>
      <c r="B5047" s="392" t="n">
        <v>12132</v>
      </c>
      <c r="C5047" s="392" t="n">
        <v>89.63</v>
      </c>
      <c r="D5047" s="392" t="n"/>
      <c r="E5047" s="392" t="n"/>
      <c r="F5047" s="392" t="n"/>
      <c r="G5047" s="392" t="n">
        <v>32</v>
      </c>
      <c r="H5047" s="446">
        <f>H5046-G5047</f>
        <v/>
      </c>
      <c r="I5047" s="392" t="n"/>
      <c r="J5047" s="392" t="n"/>
      <c r="K5047" s="392" t="n"/>
      <c r="L5047" s="392" t="n"/>
      <c r="M5047" s="392" t="n"/>
    </row>
    <row r="5048">
      <c r="A5048" s="568" t="n">
        <v>45908</v>
      </c>
      <c r="B5048" s="392" t="n">
        <v>12133</v>
      </c>
      <c r="C5048" s="392" t="n">
        <v>80</v>
      </c>
      <c r="D5048" s="392" t="n"/>
      <c r="E5048" s="392" t="n"/>
      <c r="F5048" s="392" t="n"/>
      <c r="G5048" s="392" t="n">
        <v>100</v>
      </c>
      <c r="H5048" s="446">
        <f>H5047-G5048</f>
        <v/>
      </c>
      <c r="I5048" s="392" t="n"/>
      <c r="J5048" s="392" t="n"/>
      <c r="K5048" s="392" t="n"/>
      <c r="L5048" s="392" t="n"/>
      <c r="M5048" s="392" t="n"/>
    </row>
    <row r="5049">
      <c r="A5049" s="568" t="n">
        <v>45908</v>
      </c>
      <c r="B5049" s="392" t="n">
        <v>12137</v>
      </c>
      <c r="C5049" s="392" t="n">
        <v>83</v>
      </c>
      <c r="D5049" s="392" t="n"/>
      <c r="E5049" s="392" t="n"/>
      <c r="F5049" s="392" t="n"/>
      <c r="G5049" s="392" t="n">
        <v>60</v>
      </c>
      <c r="H5049" s="446">
        <f>H5048-G5049</f>
        <v/>
      </c>
      <c r="I5049" s="392" t="n"/>
      <c r="J5049" s="392" t="n"/>
      <c r="K5049" s="392" t="n"/>
      <c r="L5049" s="392" t="n"/>
      <c r="M5049" s="392" t="n"/>
    </row>
    <row r="5050">
      <c r="A5050" s="568" t="n">
        <v>45908</v>
      </c>
      <c r="B5050" s="392" t="n">
        <v>12140</v>
      </c>
      <c r="C5050" s="392" t="n">
        <v>92</v>
      </c>
      <c r="D5050" s="392" t="n"/>
      <c r="E5050" s="392" t="n"/>
      <c r="F5050" s="392" t="n"/>
      <c r="G5050" s="392" t="n">
        <v>50</v>
      </c>
      <c r="H5050" s="446">
        <f>H5049-G5050</f>
        <v/>
      </c>
      <c r="I5050" s="392" t="n"/>
      <c r="J5050" s="392" t="n"/>
      <c r="K5050" s="392" t="n"/>
      <c r="L5050" s="392" t="n"/>
      <c r="M5050" s="392" t="n"/>
    </row>
    <row r="5051">
      <c r="A5051" s="568" t="n">
        <v>45909</v>
      </c>
      <c r="B5051" s="392" t="n">
        <v>12142</v>
      </c>
      <c r="C5051" s="392" t="n">
        <v>80</v>
      </c>
      <c r="D5051" s="392" t="n"/>
      <c r="E5051" s="392" t="n"/>
      <c r="F5051" s="392" t="n"/>
      <c r="G5051" s="392" t="n">
        <v>100</v>
      </c>
      <c r="H5051" s="446">
        <f>H5050-G5051</f>
        <v/>
      </c>
      <c r="I5051" s="392" t="n"/>
      <c r="J5051" s="392" t="n"/>
      <c r="K5051" s="392" t="n"/>
      <c r="L5051" s="392" t="n"/>
      <c r="M5051" s="392" t="n"/>
    </row>
    <row r="5052">
      <c r="A5052" s="568" t="n">
        <v>45909</v>
      </c>
      <c r="B5052" s="392" t="n">
        <v>12144</v>
      </c>
      <c r="C5052" s="392" t="n">
        <v>80</v>
      </c>
      <c r="D5052" s="392" t="n"/>
      <c r="E5052" s="392" t="n"/>
      <c r="F5052" s="392" t="n"/>
      <c r="G5052" s="392" t="n">
        <v>20</v>
      </c>
      <c r="H5052" s="446">
        <f>H5051-G5052</f>
        <v/>
      </c>
      <c r="I5052" s="392" t="n"/>
      <c r="J5052" s="392" t="n"/>
      <c r="K5052" s="392" t="n"/>
      <c r="L5052" s="392" t="n"/>
      <c r="M5052" s="392" t="n"/>
    </row>
    <row r="5053">
      <c r="A5053" s="568" t="n">
        <v>45909</v>
      </c>
      <c r="B5053" s="392" t="n">
        <v>12145</v>
      </c>
      <c r="C5053" s="392" t="n">
        <v>82</v>
      </c>
      <c r="D5053" s="392" t="n"/>
      <c r="E5053" s="392" t="n"/>
      <c r="F5053" s="392" t="n"/>
      <c r="G5053" s="392" t="n">
        <v>20</v>
      </c>
      <c r="H5053" s="446">
        <f>H5052-G5053</f>
        <v/>
      </c>
      <c r="I5053" s="392" t="n"/>
      <c r="J5053" s="392" t="n"/>
      <c r="K5053" s="392" t="n"/>
      <c r="L5053" s="392" t="n"/>
      <c r="M5053" s="392" t="n"/>
    </row>
    <row r="5054">
      <c r="A5054" s="568" t="n">
        <v>45909</v>
      </c>
      <c r="B5054" s="392" t="n">
        <v>12148</v>
      </c>
      <c r="C5054" s="392" t="n">
        <v>84</v>
      </c>
      <c r="D5054" s="392" t="n"/>
      <c r="E5054" s="392" t="n"/>
      <c r="F5054" s="392" t="n"/>
      <c r="G5054" s="392" t="n">
        <v>20</v>
      </c>
      <c r="H5054" s="446">
        <f>H5053-G5054</f>
        <v/>
      </c>
      <c r="I5054" s="392" t="n"/>
      <c r="J5054" s="392" t="n"/>
      <c r="K5054" s="392" t="n"/>
      <c r="L5054" s="392" t="n"/>
      <c r="M5054" s="392" t="n"/>
    </row>
    <row r="5055">
      <c r="A5055" s="304" t="n">
        <v>45912</v>
      </c>
      <c r="B5055" s="401" t="n">
        <v>3206</v>
      </c>
      <c r="C5055" s="401" t="n">
        <v>75</v>
      </c>
      <c r="D5055" s="401" t="n"/>
      <c r="E5055" s="401" t="n"/>
      <c r="F5055" s="401" t="n">
        <v>1120</v>
      </c>
      <c r="G5055" s="401" t="n"/>
      <c r="H5055" s="322" t="n">
        <v>4113</v>
      </c>
      <c r="I5055" s="392" t="n"/>
      <c r="J5055" s="392" t="n"/>
      <c r="K5055" s="392" t="n"/>
      <c r="L5055" s="392" t="n"/>
      <c r="M5055" s="392" t="n"/>
    </row>
    <row r="5056">
      <c r="A5056" s="568" t="n">
        <v>45915</v>
      </c>
      <c r="B5056" s="392" t="n">
        <v>12151</v>
      </c>
      <c r="C5056" s="392" t="n">
        <v>91</v>
      </c>
      <c r="D5056" s="392" t="n"/>
      <c r="E5056" s="392" t="n"/>
      <c r="F5056" s="392" t="n"/>
      <c r="G5056" s="392" t="n">
        <v>46</v>
      </c>
      <c r="H5056" s="446">
        <f>H5055-G5056</f>
        <v/>
      </c>
      <c r="I5056" s="392" t="n"/>
      <c r="J5056" s="392" t="n"/>
      <c r="K5056" s="392" t="n"/>
      <c r="L5056" s="392" t="n"/>
      <c r="M5056" s="392" t="n"/>
    </row>
    <row r="5057">
      <c r="A5057" s="568" t="n">
        <v>45915</v>
      </c>
      <c r="B5057" s="392" t="n">
        <v>12153</v>
      </c>
      <c r="C5057" s="392" t="n">
        <v>83</v>
      </c>
      <c r="D5057" s="392" t="n"/>
      <c r="E5057" s="392" t="n"/>
      <c r="F5057" s="392" t="n"/>
      <c r="G5057" s="392" t="n">
        <v>50</v>
      </c>
      <c r="H5057" s="446">
        <f>H5056-G5057</f>
        <v/>
      </c>
      <c r="I5057" s="392" t="n"/>
      <c r="J5057" s="392" t="n"/>
      <c r="K5057" s="392" t="n"/>
      <c r="L5057" s="392" t="n"/>
      <c r="M5057" s="392" t="n"/>
    </row>
    <row r="5058">
      <c r="A5058" s="568" t="n">
        <v>45915</v>
      </c>
      <c r="B5058" s="392" t="n">
        <v>12154</v>
      </c>
      <c r="C5058" s="392" t="n">
        <v>82</v>
      </c>
      <c r="D5058" s="392" t="n"/>
      <c r="E5058" s="392" t="n"/>
      <c r="F5058" s="392" t="n"/>
      <c r="G5058" s="392" t="n">
        <v>10</v>
      </c>
      <c r="H5058" s="446">
        <f>H5057-G5058</f>
        <v/>
      </c>
      <c r="I5058" s="392" t="n"/>
      <c r="J5058" s="392" t="n"/>
      <c r="K5058" s="392" t="n"/>
      <c r="L5058" s="392" t="n"/>
      <c r="M5058" s="392" t="n"/>
    </row>
    <row r="5059">
      <c r="A5059" s="568" t="n">
        <v>45917</v>
      </c>
      <c r="B5059" s="392" t="n">
        <v>12165</v>
      </c>
      <c r="C5059" s="392" t="n">
        <v>82</v>
      </c>
      <c r="D5059" s="392" t="n"/>
      <c r="E5059" s="392" t="n"/>
      <c r="F5059" s="392" t="n"/>
      <c r="G5059" s="392" t="n">
        <v>20</v>
      </c>
      <c r="H5059" s="446">
        <f>H5058-G5059</f>
        <v/>
      </c>
      <c r="I5059" s="392" t="n"/>
      <c r="J5059" s="392" t="n"/>
      <c r="K5059" s="392" t="n"/>
      <c r="L5059" s="392" t="n"/>
      <c r="M5059" s="392" t="n"/>
    </row>
    <row r="5060">
      <c r="A5060" s="568" t="n">
        <v>45922</v>
      </c>
      <c r="B5060" s="392" t="n">
        <v>12167</v>
      </c>
      <c r="C5060" s="392" t="n">
        <v>80</v>
      </c>
      <c r="D5060" s="392" t="n"/>
      <c r="E5060" s="392" t="n"/>
      <c r="F5060" s="392" t="n"/>
      <c r="G5060" s="392" t="n">
        <v>100</v>
      </c>
      <c r="H5060" s="446">
        <f>H5059-G5060</f>
        <v/>
      </c>
      <c r="I5060" s="392" t="n"/>
      <c r="J5060" s="392" t="n"/>
      <c r="K5060" s="392" t="n"/>
      <c r="L5060" s="392" t="n"/>
      <c r="M5060" s="392" t="n"/>
    </row>
    <row r="5061">
      <c r="A5061" s="568" t="n">
        <v>45922</v>
      </c>
      <c r="B5061" s="392" t="n">
        <v>12168</v>
      </c>
      <c r="C5061" s="392" t="n">
        <v>85</v>
      </c>
      <c r="D5061" s="392" t="n"/>
      <c r="E5061" s="392" t="n"/>
      <c r="F5061" s="392" t="n"/>
      <c r="G5061" s="392" t="n">
        <v>50</v>
      </c>
      <c r="H5061" s="446">
        <f>H5060-G5061</f>
        <v/>
      </c>
      <c r="I5061" s="392" t="n"/>
      <c r="J5061" s="392" t="n"/>
      <c r="K5061" s="392" t="n"/>
      <c r="L5061" s="392" t="n"/>
      <c r="M5061" s="392" t="n"/>
    </row>
    <row r="5062">
      <c r="A5062" s="568" t="n">
        <v>45922</v>
      </c>
      <c r="B5062" s="392" t="n">
        <v>12169</v>
      </c>
      <c r="C5062" s="392" t="n">
        <v>87</v>
      </c>
      <c r="D5062" s="392" t="n"/>
      <c r="E5062" s="392" t="n"/>
      <c r="F5062" s="392" t="n"/>
      <c r="G5062" s="392" t="n">
        <v>30</v>
      </c>
      <c r="H5062" s="446">
        <f>H5061-G5062</f>
        <v/>
      </c>
      <c r="I5062" s="392" t="n"/>
      <c r="J5062" s="392" t="n"/>
      <c r="K5062" s="392" t="n"/>
      <c r="L5062" s="392" t="n"/>
      <c r="M5062" s="392" t="n"/>
    </row>
    <row r="5063">
      <c r="A5063" s="568" t="n">
        <v>45922</v>
      </c>
      <c r="B5063" s="392" t="n">
        <v>12170</v>
      </c>
      <c r="C5063" s="392" t="n">
        <v>92</v>
      </c>
      <c r="D5063" s="392" t="n"/>
      <c r="E5063" s="392" t="n"/>
      <c r="F5063" s="392" t="n"/>
      <c r="G5063" s="392" t="n">
        <v>20</v>
      </c>
      <c r="H5063" s="446">
        <f>H5062-G5063</f>
        <v/>
      </c>
      <c r="I5063" s="392" t="n"/>
      <c r="J5063" s="392" t="n"/>
      <c r="K5063" s="392" t="n"/>
      <c r="L5063" s="392" t="n"/>
      <c r="M5063" s="392" t="n"/>
    </row>
    <row r="5064">
      <c r="A5064" s="568" t="n">
        <v>45922</v>
      </c>
      <c r="B5064" s="392" t="n">
        <v>12171</v>
      </c>
      <c r="C5064" s="392" t="n">
        <v>80</v>
      </c>
      <c r="D5064" s="392" t="n"/>
      <c r="E5064" s="392" t="n"/>
      <c r="F5064" s="392" t="n"/>
      <c r="G5064" s="392" t="n">
        <v>200</v>
      </c>
      <c r="H5064" s="446">
        <f>H5063-G5064</f>
        <v/>
      </c>
      <c r="I5064" s="392" t="n"/>
      <c r="J5064" s="392" t="n"/>
      <c r="K5064" s="392" t="n"/>
      <c r="L5064" s="392" t="n"/>
      <c r="M5064" s="392" t="n"/>
    </row>
    <row r="5065">
      <c r="A5065" s="568" t="n">
        <v>45923</v>
      </c>
      <c r="B5065" s="392" t="n">
        <v>12174</v>
      </c>
      <c r="C5065" s="392" t="n">
        <v>85</v>
      </c>
      <c r="D5065" s="392" t="n"/>
      <c r="E5065" s="392" t="n"/>
      <c r="F5065" s="392" t="n"/>
      <c r="G5065" s="392" t="n">
        <v>15</v>
      </c>
      <c r="H5065" s="446">
        <f>H5064-G5065</f>
        <v/>
      </c>
      <c r="I5065" s="392" t="n"/>
      <c r="J5065" s="392" t="n"/>
      <c r="K5065" s="392" t="n"/>
      <c r="L5065" s="392" t="n"/>
      <c r="M5065" s="392" t="n"/>
    </row>
    <row r="5066">
      <c r="A5066" s="568" t="n">
        <v>45923</v>
      </c>
      <c r="B5066" s="392" t="n">
        <v>12179</v>
      </c>
      <c r="C5066" s="392" t="n">
        <v>85</v>
      </c>
      <c r="D5066" s="392" t="n"/>
      <c r="E5066" s="392" t="n"/>
      <c r="F5066" s="392" t="n"/>
      <c r="G5066" s="392" t="n">
        <v>20</v>
      </c>
      <c r="H5066" s="446">
        <f>H5065-G5066</f>
        <v/>
      </c>
      <c r="I5066" s="392" t="n"/>
      <c r="J5066" s="392" t="n"/>
      <c r="K5066" s="392" t="n"/>
      <c r="L5066" s="392" t="n"/>
      <c r="M5066" s="392" t="n"/>
    </row>
    <row r="5067">
      <c r="A5067" s="568" t="n">
        <v>45929</v>
      </c>
      <c r="B5067" s="392" t="n">
        <v>12182</v>
      </c>
      <c r="C5067" s="392" t="n">
        <v>80</v>
      </c>
      <c r="D5067" s="392" t="n"/>
      <c r="E5067" s="392" t="n"/>
      <c r="F5067" s="392" t="n"/>
      <c r="G5067" s="392" t="n">
        <v>100</v>
      </c>
      <c r="H5067" s="446">
        <f>H5066-G5067</f>
        <v/>
      </c>
      <c r="I5067" s="392" t="n"/>
      <c r="J5067" s="392" t="n"/>
      <c r="K5067" s="392" t="n"/>
      <c r="L5067" s="392" t="n"/>
      <c r="M5067" s="392" t="n"/>
    </row>
    <row r="5068">
      <c r="A5068" s="568" t="n">
        <v>45929</v>
      </c>
      <c r="B5068" s="392" t="n">
        <v>12184</v>
      </c>
      <c r="C5068" s="392" t="n">
        <v>92</v>
      </c>
      <c r="D5068" s="392" t="n"/>
      <c r="E5068" s="392" t="n"/>
      <c r="F5068" s="392" t="n"/>
      <c r="G5068" s="392" t="n">
        <v>50</v>
      </c>
      <c r="H5068" s="446">
        <f>H5067-G5068</f>
        <v/>
      </c>
      <c r="I5068" s="392" t="n"/>
      <c r="J5068" s="392" t="n"/>
      <c r="K5068" s="392" t="n"/>
      <c r="L5068" s="392" t="n"/>
      <c r="M5068" s="392" t="n"/>
    </row>
    <row r="5069">
      <c r="A5069" s="568" t="n">
        <v>45929</v>
      </c>
      <c r="B5069" s="392" t="n">
        <v>12186</v>
      </c>
      <c r="C5069" s="392" t="n">
        <v>89</v>
      </c>
      <c r="D5069" s="392" t="n"/>
      <c r="E5069" s="392" t="n"/>
      <c r="F5069" s="392" t="n"/>
      <c r="G5069" s="392" t="n">
        <v>60</v>
      </c>
      <c r="H5069" s="446">
        <f>H5068-G5069</f>
        <v/>
      </c>
      <c r="I5069" s="392" t="n"/>
      <c r="J5069" s="392" t="n"/>
      <c r="K5069" s="392" t="n"/>
      <c r="L5069" s="392" t="n"/>
      <c r="M5069" s="392" t="n"/>
    </row>
    <row r="5070">
      <c r="A5070" s="568" t="n">
        <v>45929</v>
      </c>
      <c r="B5070" s="392" t="n">
        <v>12187</v>
      </c>
      <c r="C5070" s="392" t="n">
        <v>92</v>
      </c>
      <c r="D5070" s="392" t="n"/>
      <c r="E5070" s="392" t="n"/>
      <c r="F5070" s="392" t="n"/>
      <c r="G5070" s="392" t="n">
        <v>20</v>
      </c>
      <c r="H5070" s="446">
        <f>H5069-G5070</f>
        <v/>
      </c>
      <c r="I5070" s="392" t="n"/>
      <c r="J5070" s="392" t="n"/>
      <c r="K5070" s="392" t="n"/>
      <c r="L5070" s="392" t="n"/>
      <c r="M5070" s="392" t="n"/>
    </row>
    <row r="5071">
      <c r="A5071" s="568" t="n">
        <v>45929</v>
      </c>
      <c r="B5071" s="392" t="n">
        <v>12188</v>
      </c>
      <c r="C5071" s="392" t="n">
        <v>83</v>
      </c>
      <c r="D5071" s="392" t="n"/>
      <c r="E5071" s="392" t="n"/>
      <c r="F5071" s="392" t="n"/>
      <c r="G5071" s="392" t="n">
        <v>60</v>
      </c>
      <c r="H5071" s="446">
        <f>H5070-G5071</f>
        <v/>
      </c>
      <c r="I5071" s="392" t="n"/>
      <c r="J5071" s="392" t="n"/>
      <c r="K5071" s="392" t="n"/>
      <c r="L5071" s="392" t="n"/>
      <c r="M5071" s="392" t="n"/>
    </row>
    <row r="5072" ht="15.75" customHeight="1" s="436" thickBot="1">
      <c r="A5072" s="414" t="n"/>
      <c r="H5072" s="390" t="n"/>
    </row>
    <row r="5073" ht="32.25" customHeight="1" s="436" thickBot="1">
      <c r="A5073" s="735" t="inlineStr">
        <is>
          <t>Outubro</t>
        </is>
      </c>
      <c r="B5073" s="697" t="n"/>
      <c r="C5073" s="697" t="n"/>
      <c r="D5073" s="697" t="n"/>
      <c r="E5073" s="697" t="n"/>
      <c r="F5073" s="697" t="n"/>
      <c r="G5073" s="697" t="n"/>
      <c r="H5073" s="697" t="n"/>
      <c r="I5073" s="697" t="n"/>
      <c r="J5073" s="697" t="n"/>
      <c r="K5073" s="697" t="n"/>
      <c r="L5073" s="697" t="n"/>
      <c r="M5073" s="698" t="n"/>
    </row>
    <row r="5074" ht="27" customHeight="1" s="436" thickBot="1">
      <c r="A5074" s="720" t="inlineStr">
        <is>
          <t xml:space="preserve"> FARINHA DE TRIGO TIPO: 1 - 25 KG</t>
        </is>
      </c>
      <c r="B5074" s="697" t="n"/>
      <c r="C5074" s="697" t="n"/>
      <c r="D5074" s="697" t="n"/>
      <c r="E5074" s="697" t="n"/>
      <c r="F5074" s="697" t="n"/>
      <c r="G5074" s="697" t="n"/>
      <c r="H5074" s="697" t="n"/>
      <c r="I5074" s="697" t="n"/>
      <c r="J5074" s="697" t="n"/>
      <c r="K5074" s="697" t="n"/>
      <c r="L5074" s="697" t="n"/>
      <c r="M5074" s="698" t="n"/>
    </row>
    <row r="5075">
      <c r="A5075" s="3" t="inlineStr">
        <is>
          <t>DATA</t>
        </is>
      </c>
      <c r="B5075" s="3" t="inlineStr">
        <is>
          <t>N.F.</t>
        </is>
      </c>
      <c r="C5075" s="3" t="inlineStr">
        <is>
          <t>TIPO</t>
        </is>
      </c>
      <c r="D5075" s="708" t="inlineStr">
        <is>
          <t>PREÇO UNITÁRIO</t>
        </is>
      </c>
      <c r="E5075" s="736" t="n"/>
      <c r="F5075" s="3" t="inlineStr">
        <is>
          <t>QUANTIDADE / KG</t>
        </is>
      </c>
      <c r="G5075" s="737" t="n"/>
      <c r="H5075" s="736" t="n"/>
      <c r="I5075" s="631" t="inlineStr">
        <is>
          <t>PREÇO</t>
        </is>
      </c>
      <c r="J5075" s="631" t="inlineStr">
        <is>
          <t>VALORES</t>
        </is>
      </c>
      <c r="K5075" s="737" t="n"/>
      <c r="L5075" s="736" t="n"/>
      <c r="M5075" s="738" t="n"/>
    </row>
    <row r="5076" ht="15.75" customHeight="1" s="436" thickBot="1">
      <c r="A5076" s="704" t="n"/>
      <c r="B5076" s="704" t="n"/>
      <c r="C5076" s="704" t="n"/>
      <c r="D5076" s="703" t="n"/>
      <c r="E5076" s="701" t="n"/>
      <c r="F5076" s="705" t="n"/>
      <c r="G5076" s="706" t="n"/>
      <c r="H5076" s="707" t="n"/>
      <c r="I5076" s="704" t="n"/>
      <c r="J5076" s="703" t="n"/>
      <c r="L5076" s="701" t="n"/>
      <c r="M5076" s="704" t="n"/>
    </row>
    <row r="5077" ht="15.75" customHeight="1" s="436" thickBot="1">
      <c r="A5077" s="704" t="n"/>
      <c r="B5077" s="704" t="n"/>
      <c r="C5077" s="704" t="n"/>
      <c r="D5077" s="705" t="n"/>
      <c r="E5077" s="707" t="n"/>
      <c r="F5077" s="3" t="inlineStr">
        <is>
          <t>ENTRADA</t>
        </is>
      </c>
      <c r="G5077" s="3" t="inlineStr">
        <is>
          <t>SAÍDA</t>
        </is>
      </c>
      <c r="H5077" s="640" t="n"/>
      <c r="I5077" s="633" t="inlineStr">
        <is>
          <t>MÉDIO</t>
        </is>
      </c>
      <c r="J5077" s="739" t="inlineStr">
        <is>
          <t>SALDO EM 30/11/2017</t>
        </is>
      </c>
      <c r="K5077" s="707" t="n"/>
      <c r="L5077" s="17" t="n"/>
      <c r="M5077" s="740" t="n"/>
    </row>
    <row r="5078" ht="18" customHeight="1" s="436" thickBot="1">
      <c r="A5078" s="695" t="n"/>
      <c r="B5078" s="695" t="n"/>
      <c r="C5078" s="695" t="n"/>
      <c r="D5078" s="3" t="inlineStr">
        <is>
          <t>C/ICMS</t>
        </is>
      </c>
      <c r="E5078" s="3" t="inlineStr">
        <is>
          <t>S/ICMS</t>
        </is>
      </c>
      <c r="F5078" s="695" t="n"/>
      <c r="G5078" s="695" t="n"/>
      <c r="H5078" s="84" t="inlineStr">
        <is>
          <t>Saldo em 30/09/2024</t>
        </is>
      </c>
      <c r="I5078" s="695" t="n"/>
      <c r="J5078" s="645" t="inlineStr">
        <is>
          <t>ENTRADA</t>
        </is>
      </c>
      <c r="K5078" s="633" t="inlineStr">
        <is>
          <t>SAÍDA / CMV</t>
        </is>
      </c>
      <c r="L5078" s="643" t="inlineStr">
        <is>
          <t>SALDO</t>
        </is>
      </c>
      <c r="M5078" s="392" t="n"/>
    </row>
    <row r="5079">
      <c r="A5079" s="392" t="n"/>
      <c r="B5079" s="392" t="n"/>
      <c r="C5079" s="392" t="n"/>
      <c r="D5079" s="392" t="n"/>
      <c r="E5079" s="392" t="n"/>
      <c r="F5079" s="392" t="n"/>
      <c r="G5079" s="392" t="n"/>
      <c r="H5079" s="446" t="n">
        <v>3262</v>
      </c>
      <c r="I5079" s="392" t="n"/>
      <c r="J5079" s="392" t="n"/>
      <c r="K5079" s="392" t="n"/>
      <c r="L5079" s="392" t="n"/>
      <c r="M5079" s="392" t="n"/>
    </row>
    <row r="5080">
      <c r="A5080" s="568" t="n">
        <v>45931</v>
      </c>
      <c r="B5080" s="392" t="n">
        <v>12191</v>
      </c>
      <c r="C5080" s="392" t="n">
        <v>85</v>
      </c>
      <c r="D5080" s="392" t="n"/>
      <c r="E5080" s="392" t="n"/>
      <c r="F5080" s="392" t="n"/>
      <c r="G5080" s="392" t="n">
        <v>20</v>
      </c>
      <c r="H5080" s="446">
        <f>H5079-G5080</f>
        <v/>
      </c>
      <c r="I5080" s="392" t="n"/>
      <c r="J5080" s="392" t="n"/>
      <c r="K5080" s="392" t="n"/>
      <c r="L5080" s="392" t="n"/>
      <c r="M5080" s="392" t="n"/>
    </row>
    <row r="5081">
      <c r="A5081" s="568" t="n">
        <v>45931</v>
      </c>
      <c r="B5081" s="392" t="n">
        <v>12192</v>
      </c>
      <c r="C5081" s="392" t="n">
        <v>85</v>
      </c>
      <c r="D5081" s="392" t="n"/>
      <c r="E5081" s="392" t="n"/>
      <c r="F5081" s="392" t="n"/>
      <c r="G5081" s="392" t="n">
        <v>20</v>
      </c>
      <c r="H5081" s="446">
        <f>H5080-G5081</f>
        <v/>
      </c>
      <c r="I5081" s="392" t="n"/>
      <c r="J5081" s="392" t="n"/>
      <c r="K5081" s="392" t="n"/>
      <c r="L5081" s="392" t="n"/>
      <c r="M5081" s="392" t="n"/>
    </row>
    <row r="5082">
      <c r="A5082" s="568" t="n">
        <v>45931</v>
      </c>
      <c r="B5082" s="392" t="n">
        <v>12196</v>
      </c>
      <c r="C5082" s="392" t="n">
        <v>86</v>
      </c>
      <c r="D5082" s="392" t="n"/>
      <c r="E5082" s="392" t="n"/>
      <c r="F5082" s="392" t="n"/>
      <c r="G5082" s="392" t="n">
        <v>25</v>
      </c>
      <c r="H5082" s="446">
        <f>H5081-G5082</f>
        <v/>
      </c>
      <c r="I5082" s="392" t="n"/>
      <c r="J5082" s="392" t="n"/>
      <c r="K5082" s="392" t="n"/>
      <c r="L5082" s="392" t="n"/>
      <c r="M5082" s="392" t="n"/>
    </row>
    <row r="5083">
      <c r="A5083" s="568" t="n">
        <v>45931</v>
      </c>
      <c r="B5083" s="392" t="n">
        <v>12199</v>
      </c>
      <c r="C5083" s="392" t="n">
        <v>78</v>
      </c>
      <c r="D5083" s="392" t="n"/>
      <c r="E5083" s="392" t="n"/>
      <c r="F5083" s="392" t="n"/>
      <c r="G5083" s="392" t="n">
        <v>50</v>
      </c>
      <c r="H5083" s="446">
        <f>H5082-G5083</f>
        <v/>
      </c>
      <c r="I5083" s="392" t="n"/>
      <c r="J5083" s="392" t="n"/>
      <c r="K5083" s="392" t="n"/>
      <c r="L5083" s="392" t="n"/>
      <c r="M5083" s="392" t="n"/>
    </row>
    <row r="5084">
      <c r="A5084" s="568" t="n">
        <v>45936</v>
      </c>
      <c r="B5084" s="392" t="n">
        <v>12203</v>
      </c>
      <c r="C5084" s="392" t="n">
        <v>85</v>
      </c>
      <c r="D5084" s="392" t="n"/>
      <c r="E5084" s="392" t="n"/>
      <c r="F5084" s="392" t="n"/>
      <c r="G5084" s="392" t="n">
        <v>20</v>
      </c>
      <c r="H5084" s="446">
        <f>H5083-G5084</f>
        <v/>
      </c>
      <c r="I5084" s="392" t="n"/>
      <c r="J5084" s="392" t="n"/>
      <c r="K5084" s="392" t="n"/>
      <c r="L5084" s="392" t="n"/>
      <c r="M5084" s="392" t="n"/>
    </row>
    <row r="5085">
      <c r="A5085" s="568" t="n">
        <v>45936</v>
      </c>
      <c r="B5085" s="392" t="n">
        <v>12204</v>
      </c>
      <c r="C5085" s="392" t="n">
        <v>85</v>
      </c>
      <c r="D5085" s="392" t="n"/>
      <c r="E5085" s="392" t="n"/>
      <c r="F5085" s="392" t="n"/>
      <c r="G5085" s="392" t="n">
        <v>50</v>
      </c>
      <c r="H5085" s="446">
        <f>H5084-G5085</f>
        <v/>
      </c>
      <c r="I5085" s="392" t="n"/>
      <c r="J5085" s="392" t="n"/>
      <c r="K5085" s="392" t="n"/>
      <c r="L5085" s="392" t="n"/>
      <c r="M5085" s="392" t="n"/>
    </row>
    <row r="5086">
      <c r="A5086" s="568" t="n">
        <v>45936</v>
      </c>
      <c r="B5086" s="392" t="n">
        <v>12205</v>
      </c>
      <c r="C5086" s="392" t="n">
        <v>92</v>
      </c>
      <c r="D5086" s="392" t="n"/>
      <c r="E5086" s="392" t="n"/>
      <c r="F5086" s="392" t="n"/>
      <c r="G5086" s="392" t="n">
        <v>100</v>
      </c>
      <c r="H5086" s="446">
        <f>H5085-G5086</f>
        <v/>
      </c>
      <c r="I5086" s="392" t="n"/>
      <c r="J5086" s="392" t="n"/>
      <c r="K5086" s="392" t="n"/>
      <c r="L5086" s="392" t="n"/>
      <c r="M5086" s="392" t="n"/>
    </row>
    <row r="5087">
      <c r="A5087" s="568" t="n">
        <v>45936</v>
      </c>
      <c r="B5087" s="392" t="n">
        <v>12206</v>
      </c>
      <c r="C5087" s="392" t="n">
        <v>80</v>
      </c>
      <c r="D5087" s="392" t="n"/>
      <c r="E5087" s="392" t="n"/>
      <c r="F5087" s="392" t="n"/>
      <c r="G5087" s="392" t="n">
        <v>20</v>
      </c>
      <c r="H5087" s="446">
        <f>H5086-G5087</f>
        <v/>
      </c>
      <c r="I5087" s="392" t="n"/>
      <c r="J5087" s="392" t="n"/>
      <c r="K5087" s="392" t="n"/>
      <c r="L5087" s="392" t="n"/>
      <c r="M5087" s="392" t="n"/>
    </row>
    <row r="5088">
      <c r="A5088" s="568" t="n">
        <v>45936</v>
      </c>
      <c r="B5088" s="392" t="n">
        <v>12207</v>
      </c>
      <c r="C5088" s="392" t="n">
        <v>86.09999999999999</v>
      </c>
      <c r="D5088" s="392" t="n"/>
      <c r="E5088" s="392" t="n"/>
      <c r="F5088" s="392" t="n"/>
      <c r="G5088" s="392" t="n">
        <v>20</v>
      </c>
      <c r="H5088" s="446">
        <f>H5087-G5088</f>
        <v/>
      </c>
      <c r="I5088" s="392" t="n"/>
      <c r="J5088" s="392" t="n"/>
      <c r="K5088" s="392" t="n"/>
      <c r="L5088" s="392" t="n"/>
      <c r="M5088" s="392" t="n"/>
    </row>
    <row r="5089">
      <c r="A5089" s="568" t="n">
        <v>45936</v>
      </c>
      <c r="B5089" s="392" t="n">
        <v>12208</v>
      </c>
      <c r="C5089" s="392" t="n">
        <v>83</v>
      </c>
      <c r="D5089" s="392" t="n"/>
      <c r="E5089" s="392" t="n"/>
      <c r="F5089" s="392" t="n"/>
      <c r="G5089" s="392" t="n">
        <v>20</v>
      </c>
      <c r="H5089" s="446">
        <f>H5088-G5089</f>
        <v/>
      </c>
      <c r="I5089" s="392" t="n"/>
      <c r="J5089" s="392" t="n"/>
      <c r="K5089" s="392" t="n"/>
      <c r="L5089" s="392" t="n"/>
      <c r="M5089" s="392" t="n"/>
    </row>
    <row r="5090">
      <c r="A5090" s="568" t="n">
        <v>45938</v>
      </c>
      <c r="B5090" s="392" t="n">
        <v>12213</v>
      </c>
      <c r="C5090" s="392" t="n">
        <v>83.40000000000001</v>
      </c>
      <c r="D5090" s="392" t="n"/>
      <c r="E5090" s="392" t="n"/>
      <c r="F5090" s="392" t="n"/>
      <c r="G5090" s="392" t="n">
        <v>50</v>
      </c>
      <c r="H5090" s="446">
        <f>H5089-G5090</f>
        <v/>
      </c>
      <c r="I5090" s="392" t="n"/>
      <c r="J5090" s="392" t="n"/>
      <c r="K5090" s="392" t="n"/>
      <c r="L5090" s="392" t="n"/>
      <c r="M5090" s="392" t="n"/>
    </row>
    <row r="5091">
      <c r="A5091" s="568" t="n">
        <v>45938</v>
      </c>
      <c r="B5091" s="392" t="n">
        <v>12215</v>
      </c>
      <c r="C5091" s="392" t="n">
        <v>85</v>
      </c>
      <c r="D5091" s="392" t="n"/>
      <c r="E5091" s="392" t="n"/>
      <c r="F5091" s="392" t="n"/>
      <c r="G5091" s="392" t="n">
        <v>10</v>
      </c>
      <c r="H5091" s="446">
        <f>H5090-G5091</f>
        <v/>
      </c>
      <c r="I5091" s="392" t="n"/>
      <c r="J5091" s="392" t="n"/>
      <c r="K5091" s="392" t="n"/>
      <c r="L5091" s="392" t="n"/>
      <c r="M5091" s="392" t="n"/>
    </row>
    <row r="5092">
      <c r="A5092" s="568" t="n">
        <v>45943</v>
      </c>
      <c r="B5092" s="392" t="n">
        <v>12216</v>
      </c>
      <c r="C5092" s="392" t="n">
        <v>85</v>
      </c>
      <c r="D5092" s="392" t="n"/>
      <c r="E5092" s="392" t="n"/>
      <c r="F5092" s="392" t="n"/>
      <c r="G5092" s="392" t="n">
        <v>15</v>
      </c>
      <c r="H5092" s="446">
        <f>H5091-G5092</f>
        <v/>
      </c>
      <c r="I5092" s="392" t="n"/>
      <c r="J5092" s="392" t="n"/>
      <c r="K5092" s="392" t="n"/>
      <c r="L5092" s="392" t="n"/>
      <c r="M5092" s="392" t="n"/>
    </row>
    <row r="5093">
      <c r="A5093" s="568" t="n">
        <v>45943</v>
      </c>
      <c r="B5093" s="392" t="n">
        <v>12218</v>
      </c>
      <c r="C5093" s="392" t="n">
        <v>92</v>
      </c>
      <c r="D5093" s="392" t="n"/>
      <c r="E5093" s="392" t="n"/>
      <c r="F5093" s="392" t="n"/>
      <c r="G5093" s="392" t="n">
        <v>50</v>
      </c>
      <c r="H5093" s="446">
        <f>H5092-G5093</f>
        <v/>
      </c>
      <c r="I5093" s="392" t="n"/>
      <c r="J5093" s="392" t="n"/>
      <c r="K5093" s="392" t="n"/>
      <c r="L5093" s="392" t="n"/>
      <c r="M5093" s="392" t="n"/>
    </row>
    <row r="5094">
      <c r="A5094" s="568" t="n">
        <v>45943</v>
      </c>
      <c r="B5094" s="392" t="n">
        <v>12219</v>
      </c>
      <c r="C5094" s="392" t="n">
        <v>92</v>
      </c>
      <c r="D5094" s="392" t="n"/>
      <c r="E5094" s="392" t="n"/>
      <c r="F5094" s="392" t="n"/>
      <c r="G5094" s="392" t="n">
        <v>20</v>
      </c>
      <c r="H5094" s="446">
        <f>H5093-G5094</f>
        <v/>
      </c>
      <c r="I5094" s="392" t="n"/>
      <c r="J5094" s="392" t="n"/>
      <c r="K5094" s="392" t="n"/>
      <c r="L5094" s="392" t="n"/>
      <c r="M5094" s="392" t="n"/>
    </row>
    <row r="5095">
      <c r="A5095" s="568" t="n">
        <v>45943</v>
      </c>
      <c r="B5095" s="392" t="n">
        <v>12221</v>
      </c>
      <c r="C5095" s="392" t="n">
        <v>87</v>
      </c>
      <c r="D5095" s="392" t="n"/>
      <c r="E5095" s="392" t="n"/>
      <c r="F5095" s="392" t="n"/>
      <c r="G5095" s="392" t="n">
        <v>30</v>
      </c>
      <c r="H5095" s="446">
        <f>H5094-G5095</f>
        <v/>
      </c>
      <c r="I5095" s="392" t="n"/>
      <c r="J5095" s="392" t="n"/>
      <c r="K5095" s="392" t="n"/>
      <c r="L5095" s="392" t="n"/>
      <c r="M5095" s="392" t="n"/>
    </row>
    <row r="5096">
      <c r="A5096" s="568" t="n">
        <v>45943</v>
      </c>
      <c r="B5096" s="392" t="n">
        <v>12222</v>
      </c>
      <c r="C5096" s="392" t="n">
        <v>80</v>
      </c>
      <c r="D5096" s="392" t="n"/>
      <c r="E5096" s="392" t="n"/>
      <c r="F5096" s="392" t="n"/>
      <c r="G5096" s="392" t="n">
        <v>10</v>
      </c>
      <c r="H5096" s="446">
        <f>H5095-G5096</f>
        <v/>
      </c>
      <c r="I5096" s="392" t="n"/>
      <c r="J5096" s="392" t="n"/>
      <c r="K5096" s="392" t="n"/>
      <c r="L5096" s="392" t="n"/>
      <c r="M5096" s="392" t="n"/>
    </row>
    <row r="5097">
      <c r="A5097" s="568" t="n">
        <v>45943</v>
      </c>
      <c r="B5097" s="392" t="n">
        <v>12223</v>
      </c>
      <c r="C5097" s="392" t="n">
        <v>83</v>
      </c>
      <c r="D5097" s="392" t="n"/>
      <c r="E5097" s="392" t="n"/>
      <c r="F5097" s="392" t="n"/>
      <c r="G5097" s="392" t="n">
        <v>60</v>
      </c>
      <c r="H5097" s="446">
        <f>H5096-G5097</f>
        <v/>
      </c>
      <c r="I5097" s="392" t="n"/>
      <c r="J5097" s="392" t="n"/>
      <c r="K5097" s="392" t="n"/>
      <c r="L5097" s="392" t="n"/>
      <c r="M5097" s="392" t="n"/>
    </row>
    <row r="5098">
      <c r="A5098" s="304" t="inlineStr">
        <is>
          <t>  </t>
        </is>
      </c>
      <c r="B5098" s="401" t="n">
        <v>3443</v>
      </c>
      <c r="C5098" s="401" t="n">
        <v>65.45999999999999</v>
      </c>
      <c r="D5098" s="401" t="n"/>
      <c r="E5098" s="401" t="n"/>
      <c r="F5098" s="401" t="n">
        <v>1120</v>
      </c>
      <c r="G5098" s="401" t="n"/>
      <c r="H5098" s="322" t="n">
        <v>3792</v>
      </c>
      <c r="I5098" s="392" t="n"/>
      <c r="J5098" s="392" t="n"/>
      <c r="K5098" s="392" t="n"/>
      <c r="L5098" s="392" t="n"/>
      <c r="M5098" s="392" t="n"/>
    </row>
    <row r="5099">
      <c r="A5099" s="568" t="n">
        <v>45950</v>
      </c>
      <c r="B5099" s="392" t="n">
        <v>12232</v>
      </c>
      <c r="C5099" s="392" t="n">
        <v>80</v>
      </c>
      <c r="D5099" s="392" t="n"/>
      <c r="E5099" s="392" t="n"/>
      <c r="F5099" s="392" t="n"/>
      <c r="G5099" s="392" t="n">
        <v>200</v>
      </c>
      <c r="H5099" s="446">
        <f>H5098-G5099</f>
        <v/>
      </c>
      <c r="I5099" s="392" t="n"/>
      <c r="J5099" s="392" t="n"/>
      <c r="K5099" s="392" t="n"/>
      <c r="L5099" s="392" t="n"/>
      <c r="M5099" s="392" t="n"/>
    </row>
    <row r="5100">
      <c r="A5100" s="568" t="n">
        <v>45950</v>
      </c>
      <c r="B5100" s="392" t="n">
        <v>12233</v>
      </c>
      <c r="C5100" s="392" t="n">
        <v>81</v>
      </c>
      <c r="D5100" s="392" t="n"/>
      <c r="E5100" s="392" t="n"/>
      <c r="F5100" s="392" t="n"/>
      <c r="G5100" s="392" t="n">
        <v>50</v>
      </c>
      <c r="H5100" s="446">
        <f>H5099-G5100</f>
        <v/>
      </c>
      <c r="I5100" s="392" t="n"/>
      <c r="J5100" s="392" t="n"/>
      <c r="K5100" s="392" t="n"/>
      <c r="L5100" s="392" t="n"/>
      <c r="M5100" s="392" t="n"/>
    </row>
    <row r="5101">
      <c r="A5101" s="568" t="n">
        <v>45950</v>
      </c>
      <c r="B5101" s="392" t="n">
        <v>12235</v>
      </c>
      <c r="C5101" s="392" t="n">
        <v>89</v>
      </c>
      <c r="D5101" s="392" t="n"/>
      <c r="E5101" s="392" t="n"/>
      <c r="F5101" s="392" t="n"/>
      <c r="G5101" s="392" t="n">
        <v>100</v>
      </c>
      <c r="H5101" s="446">
        <f>H5100-G5101</f>
        <v/>
      </c>
      <c r="I5101" s="392" t="n"/>
      <c r="J5101" s="392" t="n"/>
      <c r="K5101" s="392" t="n"/>
      <c r="L5101" s="392" t="n"/>
      <c r="M5101" s="392" t="n"/>
    </row>
    <row r="5102">
      <c r="A5102" s="568" t="n">
        <v>45950</v>
      </c>
      <c r="B5102" s="392" t="n">
        <v>12236</v>
      </c>
      <c r="C5102" s="392" t="n">
        <v>80</v>
      </c>
      <c r="D5102" s="392" t="n"/>
      <c r="E5102" s="392" t="n"/>
      <c r="F5102" s="392" t="n"/>
      <c r="G5102" s="392" t="n">
        <v>150</v>
      </c>
      <c r="H5102" s="446">
        <f>H5101-G5102</f>
        <v/>
      </c>
      <c r="I5102" s="392" t="n"/>
      <c r="J5102" s="392" t="n"/>
      <c r="K5102" s="392" t="n"/>
      <c r="L5102" s="392" t="n"/>
      <c r="M5102" s="392" t="n"/>
    </row>
    <row r="5103">
      <c r="A5103" s="568" t="n">
        <v>45951</v>
      </c>
      <c r="B5103" s="392" t="n">
        <v>12239</v>
      </c>
      <c r="C5103" s="392" t="n">
        <v>85</v>
      </c>
      <c r="D5103" s="392" t="n"/>
      <c r="E5103" s="392" t="n"/>
      <c r="F5103" s="392" t="n"/>
      <c r="G5103" s="392" t="n">
        <v>50</v>
      </c>
      <c r="H5103" s="446">
        <f>H5102-G5103</f>
        <v/>
      </c>
      <c r="I5103" s="392" t="n"/>
      <c r="J5103" s="392" t="n"/>
      <c r="K5103" s="392" t="n"/>
      <c r="L5103" s="392" t="n"/>
      <c r="M5103" s="392" t="n"/>
    </row>
    <row r="5104">
      <c r="A5104" s="568" t="n">
        <v>45951</v>
      </c>
      <c r="B5104" s="392" t="n">
        <v>12240</v>
      </c>
      <c r="C5104" s="392" t="n">
        <v>80</v>
      </c>
      <c r="D5104" s="392" t="n"/>
      <c r="E5104" s="392" t="n"/>
      <c r="F5104" s="392" t="n"/>
      <c r="G5104" s="392" t="n">
        <v>20</v>
      </c>
      <c r="H5104" s="446">
        <f>H5103-G5104</f>
        <v/>
      </c>
      <c r="I5104" s="392" t="n"/>
      <c r="J5104" s="392" t="n"/>
      <c r="K5104" s="392" t="n"/>
      <c r="L5104" s="392" t="n"/>
      <c r="M5104" s="392" t="n"/>
    </row>
    <row r="5105">
      <c r="A5105" s="568" t="n">
        <v>45951</v>
      </c>
      <c r="B5105" s="392" t="n">
        <v>12242</v>
      </c>
      <c r="C5105" s="392" t="n">
        <v>80</v>
      </c>
      <c r="D5105" s="392" t="n"/>
      <c r="E5105" s="392" t="n"/>
      <c r="F5105" s="392" t="n"/>
      <c r="G5105" s="392" t="n">
        <v>100</v>
      </c>
      <c r="H5105" s="446">
        <f>H5104-G5105</f>
        <v/>
      </c>
      <c r="I5105" s="392" t="n"/>
      <c r="J5105" s="392" t="n"/>
      <c r="K5105" s="392" t="n"/>
      <c r="L5105" s="392" t="n"/>
      <c r="M5105" s="392" t="n"/>
    </row>
    <row r="5106">
      <c r="A5106" s="568" t="n">
        <v>45951</v>
      </c>
      <c r="B5106" s="392" t="n">
        <v>12243</v>
      </c>
      <c r="C5106" s="392" t="n">
        <v>82.67</v>
      </c>
      <c r="D5106" s="392" t="n"/>
      <c r="E5106" s="392" t="n"/>
      <c r="F5106" s="392" t="n"/>
      <c r="G5106" s="392" t="n">
        <v>15</v>
      </c>
      <c r="H5106" s="446">
        <f>H5105-G5106</f>
        <v/>
      </c>
      <c r="I5106" s="392" t="n"/>
      <c r="J5106" s="392" t="n"/>
      <c r="K5106" s="392" t="n"/>
      <c r="L5106" s="392" t="n"/>
      <c r="M5106" s="392" t="n"/>
    </row>
    <row r="5107">
      <c r="A5107" s="568" t="n">
        <v>45952</v>
      </c>
      <c r="B5107" s="392" t="n">
        <v>12247</v>
      </c>
      <c r="C5107" s="392" t="n">
        <v>90</v>
      </c>
      <c r="D5107" s="392" t="n"/>
      <c r="E5107" s="392" t="n"/>
      <c r="F5107" s="392" t="n"/>
      <c r="G5107" s="392" t="n">
        <v>10</v>
      </c>
      <c r="H5107" s="446">
        <f>H5106-G5107</f>
        <v/>
      </c>
      <c r="I5107" s="392" t="n"/>
      <c r="J5107" s="392" t="n"/>
      <c r="K5107" s="392" t="n"/>
      <c r="L5107" s="392" t="n"/>
      <c r="M5107" s="392" t="n"/>
    </row>
    <row r="5108">
      <c r="A5108" s="568" t="n">
        <v>45957</v>
      </c>
      <c r="B5108" s="392" t="n">
        <v>12248</v>
      </c>
      <c r="C5108" s="392" t="n">
        <v>80</v>
      </c>
      <c r="D5108" s="392" t="n"/>
      <c r="E5108" s="392" t="n"/>
      <c r="F5108" s="392" t="n"/>
      <c r="G5108" s="392" t="n">
        <v>150</v>
      </c>
      <c r="H5108" s="446">
        <f>H5107-G5108</f>
        <v/>
      </c>
      <c r="I5108" s="392" t="n"/>
      <c r="J5108" s="392" t="n"/>
      <c r="K5108" s="392" t="n"/>
      <c r="L5108" s="392" t="n"/>
      <c r="M5108" s="392" t="n"/>
    </row>
    <row r="5109">
      <c r="A5109" s="568" t="n">
        <v>45957</v>
      </c>
      <c r="B5109" s="392" t="n">
        <v>12250</v>
      </c>
      <c r="C5109" s="392" t="n">
        <v>83</v>
      </c>
      <c r="D5109" s="392" t="n"/>
      <c r="E5109" s="392" t="n"/>
      <c r="F5109" s="392" t="n"/>
      <c r="G5109" s="392" t="n">
        <v>20</v>
      </c>
      <c r="H5109" s="446">
        <f>H5108-G5109</f>
        <v/>
      </c>
      <c r="I5109" s="392" t="n"/>
      <c r="J5109" s="392" t="n"/>
      <c r="K5109" s="392" t="n"/>
      <c r="L5109" s="392" t="n"/>
      <c r="M5109" s="392" t="n"/>
    </row>
    <row r="5110">
      <c r="A5110" s="568" t="n">
        <v>45957</v>
      </c>
      <c r="B5110" s="392" t="n">
        <v>12251</v>
      </c>
      <c r="C5110" s="392" t="n">
        <v>90</v>
      </c>
      <c r="D5110" s="392" t="n"/>
      <c r="E5110" s="392" t="n"/>
      <c r="F5110" s="392" t="n"/>
      <c r="G5110" s="392" t="n">
        <v>20</v>
      </c>
      <c r="H5110" s="446">
        <f>H5109-G5110</f>
        <v/>
      </c>
      <c r="I5110" s="392" t="n"/>
      <c r="J5110" s="392" t="n"/>
      <c r="K5110" s="392" t="n"/>
      <c r="L5110" s="392" t="n"/>
      <c r="M5110" s="392" t="n"/>
    </row>
    <row r="5111">
      <c r="A5111" s="568" t="n">
        <v>45957</v>
      </c>
      <c r="B5111" s="392" t="n">
        <v>12252</v>
      </c>
      <c r="C5111" s="392" t="n">
        <v>86.39</v>
      </c>
      <c r="D5111" s="392" t="n"/>
      <c r="E5111" s="392" t="n"/>
      <c r="F5111" s="392" t="n"/>
      <c r="G5111" s="392" t="n">
        <v>26</v>
      </c>
      <c r="H5111" s="446">
        <f>H5110-G5111</f>
        <v/>
      </c>
      <c r="I5111" s="392" t="n"/>
      <c r="J5111" s="392" t="n"/>
      <c r="K5111" s="392" t="n"/>
      <c r="L5111" s="392" t="n"/>
      <c r="M5111" s="392" t="n"/>
    </row>
    <row r="5112">
      <c r="A5112" s="568" t="n">
        <v>45957</v>
      </c>
      <c r="B5112" s="392" t="n">
        <v>12255</v>
      </c>
      <c r="C5112" s="392" t="n">
        <v>90</v>
      </c>
      <c r="D5112" s="392" t="n"/>
      <c r="E5112" s="392" t="n"/>
      <c r="F5112" s="392" t="n"/>
      <c r="G5112" s="392" t="n">
        <v>40</v>
      </c>
      <c r="H5112" s="446">
        <f>H5111-G5112</f>
        <v/>
      </c>
      <c r="I5112" s="392" t="n"/>
      <c r="J5112" s="392" t="n"/>
      <c r="K5112" s="392" t="n"/>
      <c r="L5112" s="392" t="n"/>
      <c r="M5112" s="392" t="n"/>
    </row>
    <row r="5113">
      <c r="A5113" s="568" t="n">
        <v>45957</v>
      </c>
      <c r="B5113" s="392" t="n">
        <v>12257</v>
      </c>
      <c r="C5113" s="392" t="n">
        <v>83</v>
      </c>
      <c r="D5113" s="392" t="n"/>
      <c r="E5113" s="392" t="n"/>
      <c r="F5113" s="392" t="n"/>
      <c r="G5113" s="392" t="n">
        <v>60</v>
      </c>
      <c r="H5113" s="446">
        <f>H5112-G5113</f>
        <v/>
      </c>
      <c r="I5113" s="392" t="n"/>
      <c r="J5113" s="392" t="n"/>
      <c r="K5113" s="392" t="n"/>
      <c r="L5113" s="392" t="n"/>
      <c r="M5113" s="392" t="n"/>
    </row>
    <row r="5114">
      <c r="A5114" s="568" t="n">
        <v>45959</v>
      </c>
      <c r="B5114" s="392" t="n">
        <v>12260</v>
      </c>
      <c r="C5114" s="392" t="n">
        <v>84.8</v>
      </c>
      <c r="D5114" s="392" t="n"/>
      <c r="E5114" s="392" t="n"/>
      <c r="F5114" s="392" t="n"/>
      <c r="G5114" s="392" t="n">
        <v>25</v>
      </c>
      <c r="H5114" s="446">
        <f>H5113-G5114</f>
        <v/>
      </c>
      <c r="I5114" s="392" t="n"/>
      <c r="J5114" s="392" t="n"/>
      <c r="K5114" s="392" t="n"/>
      <c r="L5114" s="392" t="n"/>
      <c r="M5114" s="392" t="n"/>
    </row>
    <row r="5115">
      <c r="A5115" s="568" t="n">
        <v>45959</v>
      </c>
      <c r="B5115" s="392" t="n">
        <v>12265</v>
      </c>
      <c r="C5115" s="392" t="n">
        <v>76</v>
      </c>
      <c r="D5115" s="392" t="n"/>
      <c r="E5115" s="392" t="n"/>
      <c r="F5115" s="392" t="n"/>
      <c r="G5115" s="392" t="n">
        <v>50</v>
      </c>
      <c r="H5115" s="446">
        <f>H5114-G5115</f>
        <v/>
      </c>
      <c r="I5115" s="392" t="n"/>
      <c r="J5115" s="392" t="n"/>
      <c r="K5115" s="392" t="n"/>
      <c r="L5115" s="392" t="n"/>
      <c r="M5115" s="392" t="n"/>
    </row>
    <row r="5116" ht="15.75" customHeight="1" s="436" thickBot="1">
      <c r="A5116" s="414" t="n"/>
      <c r="H5116" s="390" t="n"/>
    </row>
    <row r="5117" ht="32.25" customHeight="1" s="436" thickBot="1">
      <c r="A5117" s="735" t="inlineStr">
        <is>
          <t>Novembro</t>
        </is>
      </c>
      <c r="B5117" s="697" t="n"/>
      <c r="C5117" s="697" t="n"/>
      <c r="D5117" s="697" t="n"/>
      <c r="E5117" s="697" t="n"/>
      <c r="F5117" s="697" t="n"/>
      <c r="G5117" s="697" t="n"/>
      <c r="H5117" s="697" t="n"/>
      <c r="I5117" s="697" t="n"/>
      <c r="J5117" s="697" t="n"/>
      <c r="K5117" s="697" t="n"/>
      <c r="L5117" s="697" t="n"/>
      <c r="M5117" s="698" t="n"/>
    </row>
    <row r="5118" ht="27" customHeight="1" s="436" thickBot="1">
      <c r="A5118" s="720" t="inlineStr">
        <is>
          <t xml:space="preserve"> FARINHA DE TRIGO TIPO: 1 - 25 KG</t>
        </is>
      </c>
      <c r="B5118" s="697" t="n"/>
      <c r="C5118" s="697" t="n"/>
      <c r="D5118" s="697" t="n"/>
      <c r="E5118" s="697" t="n"/>
      <c r="F5118" s="697" t="n"/>
      <c r="G5118" s="697" t="n"/>
      <c r="H5118" s="697" t="n"/>
      <c r="I5118" s="697" t="n"/>
      <c r="J5118" s="697" t="n"/>
      <c r="K5118" s="697" t="n"/>
      <c r="L5118" s="697" t="n"/>
      <c r="M5118" s="698" t="n"/>
    </row>
    <row r="5119">
      <c r="A5119" s="3" t="inlineStr">
        <is>
          <t>DATA</t>
        </is>
      </c>
      <c r="B5119" s="3" t="inlineStr">
        <is>
          <t>N.F.</t>
        </is>
      </c>
      <c r="C5119" s="3" t="inlineStr">
        <is>
          <t>TIPO</t>
        </is>
      </c>
      <c r="D5119" s="708" t="inlineStr">
        <is>
          <t>PREÇO UNITÁRIO</t>
        </is>
      </c>
      <c r="E5119" s="736" t="n"/>
      <c r="F5119" s="3" t="inlineStr">
        <is>
          <t>QUANTIDADE / KG</t>
        </is>
      </c>
      <c r="G5119" s="737" t="n"/>
      <c r="H5119" s="736" t="n"/>
      <c r="I5119" s="631" t="inlineStr">
        <is>
          <t>PREÇO</t>
        </is>
      </c>
      <c r="J5119" s="631" t="inlineStr">
        <is>
          <t>VALORES</t>
        </is>
      </c>
      <c r="K5119" s="737" t="n"/>
      <c r="L5119" s="736" t="n"/>
      <c r="M5119" s="738" t="n"/>
    </row>
    <row r="5120" ht="15.75" customHeight="1" s="436" thickBot="1">
      <c r="A5120" s="704" t="n"/>
      <c r="B5120" s="704" t="n"/>
      <c r="C5120" s="704" t="n"/>
      <c r="D5120" s="703" t="n"/>
      <c r="E5120" s="701" t="n"/>
      <c r="F5120" s="705" t="n"/>
      <c r="G5120" s="706" t="n"/>
      <c r="H5120" s="707" t="n"/>
      <c r="I5120" s="704" t="n"/>
      <c r="J5120" s="703" t="n"/>
      <c r="L5120" s="701" t="n"/>
      <c r="M5120" s="704" t="n"/>
    </row>
    <row r="5121" ht="15.75" customHeight="1" s="436" thickBot="1">
      <c r="A5121" s="704" t="n"/>
      <c r="B5121" s="704" t="n"/>
      <c r="C5121" s="704" t="n"/>
      <c r="D5121" s="705" t="n"/>
      <c r="E5121" s="707" t="n"/>
      <c r="F5121" s="3" t="inlineStr">
        <is>
          <t>ENTRADA</t>
        </is>
      </c>
      <c r="G5121" s="3" t="inlineStr">
        <is>
          <t>SAÍDA</t>
        </is>
      </c>
      <c r="H5121" s="640" t="n"/>
      <c r="I5121" s="633" t="inlineStr">
        <is>
          <t>MÉDIO</t>
        </is>
      </c>
      <c r="J5121" s="739" t="inlineStr">
        <is>
          <t>SALDO EM 30/11/2017</t>
        </is>
      </c>
      <c r="K5121" s="707" t="n"/>
      <c r="L5121" s="17" t="n"/>
      <c r="M5121" s="740" t="n"/>
    </row>
    <row r="5122" ht="18" customHeight="1" s="436" thickBot="1">
      <c r="A5122" s="695" t="n"/>
      <c r="B5122" s="695" t="n"/>
      <c r="C5122" s="695" t="n"/>
      <c r="D5122" s="3" t="inlineStr">
        <is>
          <t>C/ICMS</t>
        </is>
      </c>
      <c r="E5122" s="3" t="inlineStr">
        <is>
          <t>S/ICMS</t>
        </is>
      </c>
      <c r="F5122" s="695" t="n"/>
      <c r="G5122" s="695" t="n"/>
      <c r="H5122" s="84" t="inlineStr">
        <is>
          <t>Saldo em 31/10/2024</t>
        </is>
      </c>
      <c r="I5122" s="695" t="n"/>
      <c r="J5122" s="645" t="inlineStr">
        <is>
          <t>ENTRADA</t>
        </is>
      </c>
      <c r="K5122" s="633" t="inlineStr">
        <is>
          <t>SAÍDA / CMV</t>
        </is>
      </c>
      <c r="L5122" s="643" t="inlineStr">
        <is>
          <t>SALDO</t>
        </is>
      </c>
      <c r="M5122" s="392" t="n"/>
    </row>
    <row r="5123">
      <c r="A5123" s="392" t="n"/>
      <c r="B5123" s="392" t="n"/>
      <c r="C5123" s="392" t="n"/>
      <c r="D5123" s="392" t="n"/>
      <c r="E5123" s="392" t="n"/>
      <c r="F5123" s="392" t="n"/>
      <c r="G5123" s="392" t="n"/>
      <c r="H5123" s="446" t="n">
        <v>2706</v>
      </c>
      <c r="I5123" s="392" t="n"/>
      <c r="J5123" s="392" t="n"/>
      <c r="K5123" s="392" t="n"/>
      <c r="L5123" s="392" t="n"/>
      <c r="M5123" s="392" t="n"/>
    </row>
    <row r="5124">
      <c r="A5124" s="568" t="n">
        <v>45963</v>
      </c>
      <c r="B5124" s="392" t="n">
        <v>12266</v>
      </c>
      <c r="C5124" s="392" t="n">
        <v>90</v>
      </c>
      <c r="D5124" s="392" t="n"/>
      <c r="E5124" s="392" t="n"/>
      <c r="F5124" s="392" t="n"/>
      <c r="G5124" s="392" t="n">
        <v>20</v>
      </c>
      <c r="H5124" s="446">
        <f>H5123-G5124</f>
        <v/>
      </c>
      <c r="I5124" s="392" t="n"/>
      <c r="J5124" s="392" t="n"/>
      <c r="K5124" s="392" t="n"/>
      <c r="L5124" s="392" t="n"/>
      <c r="M5124" s="392" t="n"/>
    </row>
    <row r="5125">
      <c r="A5125" s="568" t="n">
        <v>45963</v>
      </c>
      <c r="B5125" s="392" t="n">
        <v>12267</v>
      </c>
      <c r="C5125" s="392" t="n">
        <v>87</v>
      </c>
      <c r="D5125" s="392" t="n"/>
      <c r="E5125" s="392" t="n"/>
      <c r="F5125" s="392" t="n"/>
      <c r="G5125" s="392" t="n">
        <v>30</v>
      </c>
      <c r="H5125" s="446">
        <f>H5124-G5125</f>
        <v/>
      </c>
      <c r="I5125" s="392" t="n"/>
      <c r="J5125" s="392" t="n"/>
      <c r="K5125" s="392" t="n"/>
      <c r="L5125" s="392" t="n"/>
      <c r="M5125" s="392" t="n"/>
    </row>
    <row r="5126">
      <c r="A5126" s="568" t="n">
        <v>45964</v>
      </c>
      <c r="B5126" s="392" t="n">
        <v>12269</v>
      </c>
      <c r="C5126" s="392" t="n">
        <v>85</v>
      </c>
      <c r="D5126" s="392" t="n"/>
      <c r="E5126" s="392" t="n"/>
      <c r="F5126" s="392" t="n"/>
      <c r="G5126" s="392" t="n">
        <v>15</v>
      </c>
      <c r="H5126" s="446">
        <f>H5125-G5126</f>
        <v/>
      </c>
      <c r="I5126" s="392" t="n"/>
      <c r="J5126" s="392" t="n"/>
      <c r="K5126" s="392" t="n"/>
      <c r="L5126" s="392" t="n"/>
      <c r="M5126" s="392" t="n"/>
    </row>
    <row r="5127">
      <c r="A5127" s="568" t="n">
        <v>45964</v>
      </c>
      <c r="B5127" s="392" t="n">
        <v>12271</v>
      </c>
      <c r="C5127" s="392" t="n">
        <v>83</v>
      </c>
      <c r="D5127" s="392" t="n"/>
      <c r="E5127" s="392" t="n"/>
      <c r="F5127" s="392" t="n"/>
      <c r="G5127" s="392" t="n">
        <v>50</v>
      </c>
      <c r="H5127" s="446">
        <f>H5126-G5127</f>
        <v/>
      </c>
      <c r="I5127" s="392" t="n"/>
      <c r="J5127" s="392" t="n"/>
      <c r="K5127" s="392" t="n"/>
      <c r="L5127" s="392" t="n"/>
      <c r="M5127" s="392" t="n"/>
    </row>
    <row r="5128">
      <c r="A5128" s="568" t="n">
        <v>45964</v>
      </c>
      <c r="B5128" s="392" t="n">
        <v>12272</v>
      </c>
      <c r="C5128" s="392" t="n">
        <v>83</v>
      </c>
      <c r="D5128" s="392" t="n"/>
      <c r="E5128" s="392" t="n"/>
      <c r="F5128" s="392" t="n"/>
      <c r="G5128" s="392" t="n">
        <v>20</v>
      </c>
      <c r="H5128" s="446">
        <f>H5127-G5128</f>
        <v/>
      </c>
      <c r="I5128" s="392" t="n"/>
      <c r="J5128" s="392" t="n"/>
      <c r="K5128" s="392" t="n"/>
      <c r="L5128" s="392" t="n"/>
      <c r="M5128" s="392" t="n"/>
    </row>
    <row r="5129">
      <c r="A5129" s="568" t="n">
        <v>45964</v>
      </c>
      <c r="B5129" s="392" t="n">
        <v>12273</v>
      </c>
      <c r="C5129" s="392" t="n">
        <v>90</v>
      </c>
      <c r="D5129" s="392" t="n"/>
      <c r="E5129" s="392" t="n"/>
      <c r="F5129" s="392" t="n"/>
      <c r="G5129" s="392" t="n">
        <v>100</v>
      </c>
      <c r="H5129" s="446">
        <f>H5128-G5129</f>
        <v/>
      </c>
      <c r="I5129" s="392" t="n"/>
      <c r="J5129" s="392" t="n"/>
      <c r="K5129" s="392" t="n"/>
      <c r="L5129" s="392" t="n"/>
      <c r="M5129" s="392" t="n"/>
    </row>
    <row r="5130">
      <c r="A5130" s="568" t="n">
        <v>45964</v>
      </c>
      <c r="B5130" s="392" t="n">
        <v>12274</v>
      </c>
      <c r="C5130" s="392" t="n">
        <v>83</v>
      </c>
      <c r="D5130" s="392" t="n"/>
      <c r="E5130" s="392" t="n"/>
      <c r="F5130" s="392" t="n"/>
      <c r="G5130" s="392" t="n">
        <v>20</v>
      </c>
      <c r="H5130" s="446">
        <f>H5129-G5130</f>
        <v/>
      </c>
      <c r="I5130" s="392" t="n"/>
      <c r="J5130" s="392" t="n"/>
      <c r="K5130" s="392" t="n"/>
      <c r="L5130" s="392" t="n"/>
      <c r="M5130" s="392" t="n"/>
    </row>
    <row r="5131">
      <c r="A5131" s="568" t="n">
        <v>45971</v>
      </c>
      <c r="B5131" s="392" t="n">
        <v>12281</v>
      </c>
      <c r="C5131" s="392" t="n">
        <v>78</v>
      </c>
      <c r="D5131" s="392" t="n"/>
      <c r="E5131" s="392" t="n"/>
      <c r="F5131" s="392" t="n"/>
      <c r="G5131" s="392" t="n">
        <v>100</v>
      </c>
      <c r="H5131" s="446">
        <f>H5130-G5131</f>
        <v/>
      </c>
      <c r="I5131" s="392" t="n"/>
      <c r="J5131" s="392" t="n"/>
      <c r="K5131" s="392" t="n"/>
      <c r="L5131" s="392" t="n"/>
      <c r="M5131" s="392" t="n"/>
    </row>
    <row r="5132">
      <c r="A5132" s="568" t="n">
        <v>45971</v>
      </c>
      <c r="B5132" s="392" t="n">
        <v>12282</v>
      </c>
      <c r="C5132" s="392" t="n">
        <v>87</v>
      </c>
      <c r="D5132" s="392" t="n"/>
      <c r="E5132" s="392" t="n"/>
      <c r="F5132" s="392" t="n"/>
      <c r="G5132" s="392" t="n">
        <v>30</v>
      </c>
      <c r="H5132" s="446">
        <f>H5131-G5132</f>
        <v/>
      </c>
      <c r="I5132" s="392" t="n"/>
      <c r="J5132" s="392" t="n"/>
      <c r="K5132" s="392" t="n"/>
      <c r="L5132" s="392" t="n"/>
      <c r="M5132" s="392" t="n"/>
    </row>
    <row r="5133">
      <c r="A5133" s="568" t="n">
        <v>45971</v>
      </c>
      <c r="B5133" s="392" t="n">
        <v>12283</v>
      </c>
      <c r="C5133" s="392" t="n">
        <v>87</v>
      </c>
      <c r="D5133" s="392" t="n"/>
      <c r="E5133" s="392" t="n"/>
      <c r="F5133" s="392" t="n"/>
      <c r="G5133" s="392" t="n">
        <v>30</v>
      </c>
      <c r="H5133" s="446">
        <f>H5132-G5133</f>
        <v/>
      </c>
      <c r="I5133" s="392" t="n"/>
      <c r="J5133" s="392" t="n"/>
      <c r="K5133" s="392" t="n"/>
      <c r="L5133" s="392" t="n"/>
      <c r="M5133" s="392" t="n"/>
    </row>
    <row r="5134">
      <c r="A5134" s="568" t="n">
        <v>45971</v>
      </c>
      <c r="B5134" s="392" t="n">
        <v>12284</v>
      </c>
      <c r="C5134" s="392" t="n">
        <v>80</v>
      </c>
      <c r="D5134" s="392" t="n"/>
      <c r="E5134" s="392" t="n"/>
      <c r="F5134" s="392" t="n"/>
      <c r="G5134" s="392" t="n">
        <v>20</v>
      </c>
      <c r="H5134" s="446">
        <f>H5133-G5134</f>
        <v/>
      </c>
      <c r="I5134" s="392" t="n"/>
      <c r="J5134" s="392" t="n"/>
      <c r="K5134" s="392" t="n"/>
      <c r="L5134" s="392" t="n"/>
      <c r="M5134" s="392" t="n"/>
    </row>
    <row r="5135">
      <c r="A5135" s="568" t="n">
        <v>45971</v>
      </c>
      <c r="B5135" s="392" t="n">
        <v>12286</v>
      </c>
      <c r="C5135" s="392" t="n">
        <v>90</v>
      </c>
      <c r="D5135" s="392" t="n"/>
      <c r="E5135" s="392" t="n"/>
      <c r="F5135" s="392" t="n"/>
      <c r="G5135" s="392" t="n">
        <v>20</v>
      </c>
      <c r="H5135" s="446">
        <f>H5134-G5135</f>
        <v/>
      </c>
      <c r="I5135" s="392" t="n"/>
      <c r="J5135" s="392" t="n"/>
      <c r="K5135" s="392" t="n"/>
      <c r="L5135" s="392" t="n"/>
      <c r="M5135" s="392" t="n"/>
    </row>
    <row r="5136">
      <c r="A5136" s="568" t="n">
        <v>45971</v>
      </c>
      <c r="B5136" s="392" t="n">
        <v>12287</v>
      </c>
      <c r="C5136" s="392" t="n">
        <v>90</v>
      </c>
      <c r="D5136" s="392" t="n"/>
      <c r="E5136" s="392" t="n"/>
      <c r="F5136" s="392" t="n"/>
      <c r="G5136" s="392" t="n">
        <v>20</v>
      </c>
      <c r="H5136" s="446">
        <f>H5135-G5136</f>
        <v/>
      </c>
      <c r="I5136" s="392" t="n"/>
      <c r="J5136" s="392" t="n"/>
      <c r="K5136" s="392" t="n"/>
      <c r="L5136" s="392" t="n"/>
      <c r="M5136" s="392" t="n"/>
    </row>
    <row r="5137">
      <c r="A5137" s="568" t="n">
        <v>45972</v>
      </c>
      <c r="B5137" s="392" t="n">
        <v>12288</v>
      </c>
      <c r="C5137" s="392" t="n">
        <v>90</v>
      </c>
      <c r="D5137" s="392" t="n"/>
      <c r="E5137" s="392" t="n"/>
      <c r="F5137" s="392" t="n"/>
      <c r="G5137" s="392" t="n">
        <v>50</v>
      </c>
      <c r="H5137" s="446">
        <f>H5136-G5137</f>
        <v/>
      </c>
      <c r="I5137" s="392" t="n"/>
      <c r="J5137" s="392" t="n"/>
      <c r="K5137" s="392" t="n"/>
      <c r="L5137" s="392" t="n"/>
      <c r="M5137" s="392" t="n"/>
    </row>
    <row r="5138">
      <c r="A5138" s="568" t="n">
        <v>45973</v>
      </c>
      <c r="B5138" s="392" t="n">
        <v>12294</v>
      </c>
      <c r="C5138" s="392" t="n">
        <v>76</v>
      </c>
      <c r="D5138" s="392" t="n"/>
      <c r="E5138" s="392" t="n"/>
      <c r="F5138" s="392" t="n"/>
      <c r="G5138" s="392" t="n">
        <v>50</v>
      </c>
      <c r="H5138" s="446">
        <f>H5137-G5138</f>
        <v/>
      </c>
      <c r="I5138" s="392" t="n"/>
      <c r="J5138" s="392" t="n"/>
      <c r="K5138" s="392" t="n"/>
      <c r="L5138" s="392" t="n"/>
      <c r="M5138" s="392" t="n"/>
    </row>
    <row r="5139">
      <c r="A5139" s="568" t="n">
        <v>45973</v>
      </c>
      <c r="B5139" s="392" t="n">
        <v>12295</v>
      </c>
      <c r="C5139" s="392" t="n">
        <v>81</v>
      </c>
      <c r="D5139" s="392" t="n"/>
      <c r="E5139" s="392" t="n"/>
      <c r="F5139" s="392" t="n"/>
      <c r="G5139" s="392" t="n">
        <v>10</v>
      </c>
      <c r="H5139" s="446">
        <f>H5138-G5139</f>
        <v/>
      </c>
      <c r="I5139" s="392" t="n"/>
      <c r="J5139" s="392" t="n"/>
      <c r="K5139" s="392" t="n"/>
      <c r="L5139" s="392" t="n"/>
      <c r="M5139" s="392" t="n"/>
    </row>
    <row r="5140">
      <c r="A5140" s="568" t="n">
        <v>45977</v>
      </c>
      <c r="B5140" s="392" t="n">
        <v>12296</v>
      </c>
      <c r="C5140" s="392" t="n">
        <v>83</v>
      </c>
      <c r="D5140" s="392" t="n"/>
      <c r="E5140" s="392" t="n"/>
      <c r="F5140" s="392" t="n"/>
      <c r="G5140" s="392" t="n">
        <v>20</v>
      </c>
      <c r="H5140" s="446">
        <f>H5139-G5140</f>
        <v/>
      </c>
      <c r="I5140" s="392" t="n"/>
      <c r="J5140" s="392" t="n"/>
      <c r="K5140" s="392" t="n"/>
      <c r="L5140" s="392" t="n"/>
      <c r="M5140" s="392" t="n"/>
    </row>
    <row r="5141">
      <c r="A5141" s="568" t="n">
        <v>45979</v>
      </c>
      <c r="B5141" s="392" t="n">
        <v>12297</v>
      </c>
      <c r="C5141" s="392" t="n">
        <v>89</v>
      </c>
      <c r="D5141" s="392" t="n"/>
      <c r="E5141" s="392" t="n"/>
      <c r="F5141" s="392" t="n"/>
      <c r="G5141" s="392" t="n">
        <v>100</v>
      </c>
      <c r="H5141" s="446">
        <f>H5140-G5141</f>
        <v/>
      </c>
      <c r="I5141" s="392" t="n"/>
      <c r="J5141" s="392" t="n"/>
      <c r="K5141" s="392" t="n"/>
      <c r="L5141" s="392" t="n"/>
      <c r="M5141" s="392" t="n"/>
    </row>
    <row r="5142">
      <c r="A5142" s="568" t="n">
        <v>45979</v>
      </c>
      <c r="B5142" s="392" t="n">
        <v>12298</v>
      </c>
      <c r="C5142" s="392" t="n">
        <v>83</v>
      </c>
      <c r="D5142" s="392" t="n"/>
      <c r="E5142" s="392" t="n"/>
      <c r="F5142" s="392" t="n"/>
      <c r="G5142" s="392" t="n">
        <v>30</v>
      </c>
      <c r="H5142" s="446">
        <f>H5141-G5142</f>
        <v/>
      </c>
      <c r="I5142" s="392" t="n"/>
      <c r="J5142" s="392" t="n"/>
      <c r="K5142" s="392" t="n"/>
      <c r="L5142" s="392" t="n"/>
      <c r="M5142" s="392" t="n"/>
    </row>
    <row r="5143">
      <c r="A5143" s="568" t="n">
        <v>45979</v>
      </c>
      <c r="B5143" s="392" t="n">
        <v>12299</v>
      </c>
      <c r="C5143" s="392" t="n">
        <v>80</v>
      </c>
      <c r="D5143" s="392" t="n"/>
      <c r="E5143" s="392" t="n"/>
      <c r="F5143" s="392" t="n"/>
      <c r="G5143" s="392" t="n">
        <v>20</v>
      </c>
      <c r="H5143" s="446">
        <f>H5142-G5143</f>
        <v/>
      </c>
      <c r="I5143" s="392" t="n"/>
      <c r="J5143" s="392" t="n"/>
      <c r="K5143" s="392" t="n"/>
      <c r="L5143" s="392" t="n"/>
      <c r="M5143" s="392" t="n"/>
    </row>
    <row r="5144">
      <c r="A5144" s="568" t="n">
        <v>45979</v>
      </c>
      <c r="B5144" s="392" t="n">
        <v>12306</v>
      </c>
      <c r="C5144" s="392" t="n">
        <v>83.7</v>
      </c>
      <c r="D5144" s="392" t="n"/>
      <c r="E5144" s="392" t="n"/>
      <c r="F5144" s="392" t="n"/>
      <c r="G5144" s="392" t="n">
        <v>26</v>
      </c>
      <c r="H5144" s="446">
        <f>H5143-G5144</f>
        <v/>
      </c>
      <c r="I5144" s="392" t="n"/>
      <c r="J5144" s="392" t="n"/>
      <c r="K5144" s="392" t="n"/>
      <c r="L5144" s="392" t="n"/>
      <c r="M5144" s="392" t="n"/>
    </row>
    <row r="5145">
      <c r="A5145" s="568" t="n">
        <v>45979</v>
      </c>
      <c r="B5145" s="392" t="n">
        <v>12307</v>
      </c>
      <c r="C5145" s="392" t="n">
        <v>83</v>
      </c>
      <c r="D5145" s="392" t="n"/>
      <c r="E5145" s="392" t="n"/>
      <c r="F5145" s="392" t="n"/>
      <c r="G5145" s="392" t="n">
        <v>20</v>
      </c>
      <c r="H5145" s="446">
        <f>H5144-G5145</f>
        <v/>
      </c>
      <c r="I5145" s="392" t="n"/>
      <c r="J5145" s="392" t="n"/>
      <c r="K5145" s="392" t="n"/>
      <c r="L5145" s="392" t="n"/>
      <c r="M5145" s="392" t="n"/>
    </row>
    <row r="5146">
      <c r="A5146" s="568" t="n">
        <v>45979</v>
      </c>
      <c r="B5146" s="392" t="n">
        <v>12308</v>
      </c>
      <c r="C5146" s="392" t="n">
        <v>79</v>
      </c>
      <c r="D5146" s="392" t="n"/>
      <c r="E5146" s="392" t="n"/>
      <c r="F5146" s="392" t="n"/>
      <c r="G5146" s="392" t="n">
        <v>200</v>
      </c>
      <c r="H5146" s="446">
        <f>H5145-G5146</f>
        <v/>
      </c>
      <c r="I5146" s="392" t="n"/>
      <c r="J5146" s="392" t="n"/>
      <c r="K5146" s="392" t="n"/>
      <c r="L5146" s="392" t="n"/>
      <c r="M5146" s="392" t="n"/>
    </row>
    <row r="5147">
      <c r="A5147" s="568" t="n">
        <v>45979</v>
      </c>
      <c r="B5147" s="392" t="n">
        <v>12310</v>
      </c>
      <c r="C5147" s="392" t="n">
        <v>83</v>
      </c>
      <c r="D5147" s="392" t="n"/>
      <c r="E5147" s="392" t="n"/>
      <c r="F5147" s="392" t="n"/>
      <c r="G5147" s="392" t="n">
        <v>50</v>
      </c>
      <c r="H5147" s="446">
        <f>H5146-G5147</f>
        <v/>
      </c>
      <c r="I5147" s="392" t="n"/>
      <c r="J5147" s="392" t="n"/>
      <c r="K5147" s="392" t="n"/>
      <c r="L5147" s="392" t="n"/>
      <c r="M5147" s="392" t="n"/>
    </row>
    <row r="5148">
      <c r="A5148" s="568" t="n">
        <v>45985</v>
      </c>
      <c r="B5148" s="392" t="n">
        <v>12314</v>
      </c>
      <c r="C5148" s="392" t="n">
        <v>90</v>
      </c>
      <c r="D5148" s="392" t="n"/>
      <c r="E5148" s="392" t="n"/>
      <c r="F5148" s="392" t="n"/>
      <c r="G5148" s="392" t="n">
        <v>40</v>
      </c>
      <c r="H5148" s="446">
        <f>H5147-G5148</f>
        <v/>
      </c>
      <c r="I5148" s="392" t="n"/>
      <c r="J5148" s="392" t="n"/>
      <c r="K5148" s="392" t="n"/>
      <c r="L5148" s="392" t="n"/>
      <c r="M5148" s="392" t="n"/>
    </row>
    <row r="5149">
      <c r="A5149" s="568" t="n">
        <v>45985</v>
      </c>
      <c r="B5149" s="392" t="n">
        <v>12315</v>
      </c>
      <c r="C5149" s="392" t="n">
        <v>83</v>
      </c>
      <c r="D5149" s="392" t="n"/>
      <c r="E5149" s="392" t="n"/>
      <c r="F5149" s="392" t="n"/>
      <c r="G5149" s="392" t="n">
        <v>20</v>
      </c>
      <c r="H5149" s="446">
        <f>H5148-G5149</f>
        <v/>
      </c>
      <c r="I5149" s="392" t="n"/>
      <c r="J5149" s="392" t="n"/>
      <c r="K5149" s="392" t="n"/>
      <c r="L5149" s="392" t="n"/>
      <c r="M5149" s="392" t="n"/>
    </row>
    <row r="5150">
      <c r="A5150" s="568" t="n">
        <v>45985</v>
      </c>
      <c r="B5150" s="392" t="n">
        <v>12316</v>
      </c>
      <c r="C5150" s="392" t="n">
        <v>83</v>
      </c>
      <c r="D5150" s="392" t="n"/>
      <c r="E5150" s="392" t="n"/>
      <c r="F5150" s="392" t="n"/>
      <c r="G5150" s="392" t="n">
        <v>20</v>
      </c>
      <c r="H5150" s="446">
        <f>H5149-G5150</f>
        <v/>
      </c>
      <c r="I5150" s="392" t="n"/>
      <c r="J5150" s="392" t="n"/>
      <c r="K5150" s="392" t="n"/>
      <c r="L5150" s="392" t="n"/>
      <c r="M5150" s="392" t="n"/>
    </row>
    <row r="5151">
      <c r="A5151" s="568" t="n">
        <v>45985</v>
      </c>
      <c r="B5151" s="392" t="n">
        <v>12317</v>
      </c>
      <c r="C5151" s="392" t="n">
        <v>81</v>
      </c>
      <c r="D5151" s="392" t="n"/>
      <c r="E5151" s="392" t="n"/>
      <c r="F5151" s="392" t="n"/>
      <c r="G5151" s="392" t="n">
        <v>50</v>
      </c>
      <c r="H5151" s="446">
        <f>H5150-G5151</f>
        <v/>
      </c>
      <c r="I5151" s="392" t="n"/>
      <c r="J5151" s="392" t="n"/>
      <c r="K5151" s="392" t="n"/>
      <c r="L5151" s="392" t="n"/>
      <c r="M5151" s="392" t="n"/>
    </row>
    <row r="5152">
      <c r="A5152" s="568" t="n">
        <v>45985</v>
      </c>
      <c r="B5152" s="392" t="n">
        <v>12318</v>
      </c>
      <c r="C5152" s="392" t="n">
        <v>82.34</v>
      </c>
      <c r="D5152" s="392" t="n"/>
      <c r="E5152" s="392" t="n"/>
      <c r="F5152" s="392" t="n"/>
      <c r="G5152" s="392" t="n">
        <v>15</v>
      </c>
      <c r="H5152" s="446">
        <f>H5151-G5152</f>
        <v/>
      </c>
      <c r="I5152" s="392" t="n"/>
      <c r="J5152" s="392" t="n"/>
      <c r="K5152" s="392" t="n"/>
      <c r="L5152" s="392" t="n"/>
      <c r="M5152" s="392" t="n"/>
    </row>
    <row r="5153">
      <c r="A5153" s="568" t="n">
        <v>45985</v>
      </c>
      <c r="B5153" s="392" t="n">
        <v>12319</v>
      </c>
      <c r="C5153" s="392" t="n">
        <v>90</v>
      </c>
      <c r="D5153" s="392" t="n"/>
      <c r="E5153" s="392" t="n"/>
      <c r="F5153" s="392" t="n"/>
      <c r="G5153" s="392" t="n">
        <v>20</v>
      </c>
      <c r="H5153" s="446">
        <f>H5152-G5153</f>
        <v/>
      </c>
      <c r="I5153" s="392" t="n"/>
      <c r="J5153" s="392" t="n"/>
      <c r="K5153" s="392" t="n"/>
      <c r="L5153" s="392" t="n"/>
      <c r="M5153" s="392" t="n"/>
    </row>
    <row r="5154">
      <c r="A5154" s="568" t="n">
        <v>45987</v>
      </c>
      <c r="B5154" s="392" t="n">
        <v>12322</v>
      </c>
      <c r="C5154" s="392" t="n">
        <v>87</v>
      </c>
      <c r="D5154" s="392" t="n"/>
      <c r="E5154" s="392" t="n"/>
      <c r="F5154" s="392" t="n"/>
      <c r="G5154" s="392" t="n">
        <v>30</v>
      </c>
      <c r="H5154" s="446">
        <f>H5153-G5154</f>
        <v/>
      </c>
      <c r="I5154" s="392" t="n"/>
      <c r="J5154" s="392" t="n"/>
      <c r="K5154" s="392" t="n"/>
      <c r="L5154" s="392" t="n"/>
      <c r="M5154" s="392" t="n"/>
    </row>
    <row r="5155">
      <c r="A5155" s="568" t="n">
        <v>45987</v>
      </c>
      <c r="B5155" s="392" t="n">
        <v>12323</v>
      </c>
      <c r="C5155" s="392" t="n">
        <v>90</v>
      </c>
      <c r="D5155" s="392" t="n"/>
      <c r="E5155" s="392" t="n"/>
      <c r="F5155" s="392" t="n"/>
      <c r="G5155" s="392" t="n">
        <v>20</v>
      </c>
      <c r="H5155" s="446">
        <f>H5154-G5155</f>
        <v/>
      </c>
      <c r="I5155" s="392" t="n"/>
      <c r="J5155" s="392" t="n"/>
      <c r="K5155" s="392" t="n"/>
      <c r="L5155" s="392" t="n"/>
      <c r="M5155" s="392" t="n"/>
    </row>
    <row r="5156">
      <c r="A5156" s="304" t="n">
        <v>45987</v>
      </c>
      <c r="B5156" s="401" t="n">
        <v>3711</v>
      </c>
      <c r="C5156" s="401" t="n"/>
      <c r="D5156" s="401" t="n"/>
      <c r="E5156" s="401" t="n"/>
      <c r="F5156" s="401" t="n">
        <v>1120</v>
      </c>
      <c r="G5156" s="401" t="n"/>
      <c r="H5156" s="322" t="n">
        <v>2560</v>
      </c>
      <c r="I5156" s="392" t="n"/>
      <c r="J5156" s="392" t="n"/>
      <c r="K5156" s="392" t="n"/>
      <c r="L5156" s="392" t="n"/>
      <c r="M5156" s="392" t="n"/>
    </row>
    <row r="5157">
      <c r="A5157" s="568" t="n">
        <v>45987</v>
      </c>
      <c r="B5157" s="392" t="n">
        <v>12324</v>
      </c>
      <c r="C5157" s="392" t="n">
        <v>90</v>
      </c>
      <c r="D5157" s="392" t="n"/>
      <c r="E5157" s="392" t="n"/>
      <c r="F5157" s="392" t="n"/>
      <c r="G5157" s="392" t="n">
        <v>20</v>
      </c>
      <c r="H5157" s="446">
        <f>H5156-G5157</f>
        <v/>
      </c>
      <c r="I5157" s="392" t="n"/>
      <c r="J5157" s="392" t="n"/>
      <c r="K5157" s="392" t="n"/>
      <c r="L5157" s="392" t="n"/>
      <c r="M5157" s="392" t="n"/>
    </row>
    <row r="5158">
      <c r="A5158" s="568" t="n">
        <v>45987</v>
      </c>
      <c r="B5158" s="392" t="n">
        <v>12326</v>
      </c>
      <c r="C5158" s="392" t="n">
        <v>81</v>
      </c>
      <c r="D5158" s="392" t="n"/>
      <c r="E5158" s="392" t="n"/>
      <c r="F5158" s="392" t="n"/>
      <c r="G5158" s="392" t="n">
        <v>60</v>
      </c>
      <c r="H5158" s="446">
        <f>H5157-G5158</f>
        <v/>
      </c>
      <c r="I5158" s="392" t="n"/>
      <c r="J5158" s="392" t="n"/>
      <c r="K5158" s="392" t="n"/>
      <c r="L5158" s="392" t="n"/>
      <c r="M5158" s="392" t="n"/>
    </row>
    <row r="5159" ht="15.75" customHeight="1" s="436" thickBot="1">
      <c r="A5159" s="414" t="n"/>
      <c r="H5159" s="390" t="n"/>
    </row>
    <row r="5160" ht="32.25" customHeight="1" s="436" thickBot="1">
      <c r="A5160" s="735" t="inlineStr">
        <is>
          <t>Dezembro</t>
        </is>
      </c>
      <c r="B5160" s="697" t="n"/>
      <c r="C5160" s="697" t="n"/>
      <c r="D5160" s="697" t="n"/>
      <c r="E5160" s="697" t="n"/>
      <c r="F5160" s="697" t="n"/>
      <c r="G5160" s="697" t="n"/>
      <c r="H5160" s="697" t="n"/>
      <c r="I5160" s="697" t="n"/>
      <c r="J5160" s="697" t="n"/>
      <c r="K5160" s="697" t="n"/>
      <c r="L5160" s="697" t="n"/>
      <c r="M5160" s="698" t="n"/>
    </row>
    <row r="5161" ht="27" customHeight="1" s="436" thickBot="1">
      <c r="A5161" s="720" t="inlineStr">
        <is>
          <t xml:space="preserve"> FARINHA DE TRIGO TIPO: 1 - 25 KG</t>
        </is>
      </c>
      <c r="B5161" s="697" t="n"/>
      <c r="C5161" s="697" t="n"/>
      <c r="D5161" s="697" t="n"/>
      <c r="E5161" s="697" t="n"/>
      <c r="F5161" s="697" t="n"/>
      <c r="G5161" s="697" t="n"/>
      <c r="H5161" s="697" t="n"/>
      <c r="I5161" s="697" t="n"/>
      <c r="J5161" s="697" t="n"/>
      <c r="K5161" s="697" t="n"/>
      <c r="L5161" s="697" t="n"/>
      <c r="M5161" s="698" t="n"/>
    </row>
    <row r="5162">
      <c r="A5162" s="3" t="inlineStr">
        <is>
          <t>DATA</t>
        </is>
      </c>
      <c r="B5162" s="3" t="inlineStr">
        <is>
          <t>N.F.</t>
        </is>
      </c>
      <c r="C5162" s="3" t="inlineStr">
        <is>
          <t>TIPO</t>
        </is>
      </c>
      <c r="D5162" s="708" t="inlineStr">
        <is>
          <t>PREÇO UNITÁRIO</t>
        </is>
      </c>
      <c r="E5162" s="736" t="n"/>
      <c r="F5162" s="3" t="inlineStr">
        <is>
          <t>QUANTIDADE / KG</t>
        </is>
      </c>
      <c r="G5162" s="737" t="n"/>
      <c r="H5162" s="736" t="n"/>
      <c r="I5162" s="631" t="inlineStr">
        <is>
          <t>PREÇO</t>
        </is>
      </c>
      <c r="J5162" s="631" t="inlineStr">
        <is>
          <t>VALORES</t>
        </is>
      </c>
      <c r="K5162" s="737" t="n"/>
      <c r="L5162" s="736" t="n"/>
      <c r="M5162" s="738" t="n"/>
    </row>
    <row r="5163" ht="15.75" customHeight="1" s="436" thickBot="1">
      <c r="A5163" s="704" t="n"/>
      <c r="B5163" s="704" t="n"/>
      <c r="C5163" s="704" t="n"/>
      <c r="D5163" s="703" t="n"/>
      <c r="E5163" s="701" t="n"/>
      <c r="F5163" s="705" t="n"/>
      <c r="G5163" s="706" t="n"/>
      <c r="H5163" s="707" t="n"/>
      <c r="I5163" s="704" t="n"/>
      <c r="J5163" s="703" t="n"/>
      <c r="L5163" s="701" t="n"/>
      <c r="M5163" s="704" t="n"/>
    </row>
    <row r="5164" ht="15.75" customHeight="1" s="436" thickBot="1">
      <c r="A5164" s="704" t="n"/>
      <c r="B5164" s="704" t="n"/>
      <c r="C5164" s="704" t="n"/>
      <c r="D5164" s="705" t="n"/>
      <c r="E5164" s="707" t="n"/>
      <c r="F5164" s="3" t="inlineStr">
        <is>
          <t>ENTRADA</t>
        </is>
      </c>
      <c r="G5164" s="3" t="inlineStr">
        <is>
          <t>SAÍDA</t>
        </is>
      </c>
      <c r="H5164" s="640" t="n"/>
      <c r="I5164" s="633" t="inlineStr">
        <is>
          <t>MÉDIO</t>
        </is>
      </c>
      <c r="J5164" s="739" t="inlineStr">
        <is>
          <t>SALDO EM 30/11/2017</t>
        </is>
      </c>
      <c r="K5164" s="707" t="n"/>
      <c r="L5164" s="17" t="n"/>
      <c r="M5164" s="740" t="n"/>
    </row>
    <row r="5165" ht="18" customHeight="1" s="436" thickBot="1">
      <c r="A5165" s="695" t="n"/>
      <c r="B5165" s="695" t="n"/>
      <c r="C5165" s="695" t="n"/>
      <c r="D5165" s="3" t="inlineStr">
        <is>
          <t>C/ICMS</t>
        </is>
      </c>
      <c r="E5165" s="3" t="inlineStr">
        <is>
          <t>S/ICMS</t>
        </is>
      </c>
      <c r="F5165" s="695" t="n"/>
      <c r="G5165" s="695" t="n"/>
      <c r="H5165" s="84" t="inlineStr">
        <is>
          <t>Saldo em 30/11/2024</t>
        </is>
      </c>
      <c r="I5165" s="695" t="n"/>
      <c r="J5165" s="645" t="inlineStr">
        <is>
          <t>ENTRADA</t>
        </is>
      </c>
      <c r="K5165" s="633" t="inlineStr">
        <is>
          <t>SAÍDA / CMV</t>
        </is>
      </c>
      <c r="L5165" s="643" t="inlineStr">
        <is>
          <t>SALDO</t>
        </is>
      </c>
      <c r="M5165" s="392" t="n"/>
    </row>
    <row r="5166">
      <c r="A5166" s="392" t="n"/>
      <c r="B5166" s="392" t="n"/>
      <c r="C5166" s="392" t="n"/>
      <c r="D5166" s="392" t="n"/>
      <c r="E5166" s="392" t="n"/>
      <c r="F5166" s="392" t="n"/>
      <c r="G5166" s="392" t="n"/>
      <c r="H5166" s="446" t="n">
        <v>2480</v>
      </c>
      <c r="I5166" s="392" t="n"/>
      <c r="J5166" s="392" t="n"/>
      <c r="K5166" s="392" t="n"/>
      <c r="L5166" s="392" t="n"/>
      <c r="M5166" s="392" t="n"/>
    </row>
    <row r="5167">
      <c r="A5167" s="568" t="n">
        <v>45992</v>
      </c>
      <c r="B5167" s="392" t="n">
        <v>12327</v>
      </c>
      <c r="C5167" s="392" t="n">
        <v>80</v>
      </c>
      <c r="D5167" s="392" t="n"/>
      <c r="E5167" s="392" t="n"/>
      <c r="F5167" s="392" t="n"/>
      <c r="G5167" s="392" t="n">
        <v>10</v>
      </c>
      <c r="H5167" s="446">
        <f>H5166-G5167</f>
        <v/>
      </c>
      <c r="I5167" s="392" t="n"/>
      <c r="J5167" s="392" t="n"/>
      <c r="K5167" s="392" t="n"/>
      <c r="L5167" s="392" t="n"/>
      <c r="M5167" s="392" t="n"/>
    </row>
    <row r="5168">
      <c r="A5168" s="568" t="n">
        <v>45992</v>
      </c>
      <c r="B5168" s="392" t="n">
        <v>12328</v>
      </c>
      <c r="C5168" s="392" t="n">
        <v>83</v>
      </c>
      <c r="D5168" s="392" t="n"/>
      <c r="E5168" s="392" t="n"/>
      <c r="F5168" s="392" t="n"/>
      <c r="G5168" s="392" t="n">
        <v>20</v>
      </c>
      <c r="H5168" s="446">
        <f>H5167-G5168</f>
        <v/>
      </c>
      <c r="I5168" s="392" t="n"/>
      <c r="J5168" s="392" t="n"/>
      <c r="K5168" s="392" t="n"/>
      <c r="L5168" s="392" t="n"/>
      <c r="M5168" s="392" t="n"/>
    </row>
    <row r="5169">
      <c r="A5169" s="568" t="n">
        <v>45992</v>
      </c>
      <c r="B5169" s="392" t="n">
        <v>12329</v>
      </c>
      <c r="C5169" s="392" t="n">
        <v>83</v>
      </c>
      <c r="D5169" s="392" t="n"/>
      <c r="E5169" s="392" t="n"/>
      <c r="F5169" s="392" t="n"/>
      <c r="G5169" s="392" t="n">
        <v>50</v>
      </c>
      <c r="H5169" s="446">
        <f>H5168-G5169</f>
        <v/>
      </c>
      <c r="I5169" s="392" t="n"/>
      <c r="J5169" s="392" t="n"/>
      <c r="K5169" s="392" t="n"/>
      <c r="L5169" s="392" t="n"/>
      <c r="M5169" s="392" t="n"/>
    </row>
    <row r="5170">
      <c r="A5170" s="568" t="n">
        <v>45992</v>
      </c>
      <c r="B5170" s="392" t="n">
        <v>12331</v>
      </c>
      <c r="C5170" s="392" t="n">
        <v>83</v>
      </c>
      <c r="D5170" s="392" t="n"/>
      <c r="E5170" s="392" t="n"/>
      <c r="F5170" s="392" t="n"/>
      <c r="G5170" s="392" t="n">
        <v>20</v>
      </c>
      <c r="H5170" s="446">
        <f>H5169-G5170</f>
        <v/>
      </c>
      <c r="I5170" s="392" t="n"/>
      <c r="J5170" s="392" t="n"/>
      <c r="K5170" s="392" t="n"/>
      <c r="L5170" s="392" t="n"/>
      <c r="M5170" s="392" t="n"/>
    </row>
    <row r="5171">
      <c r="A5171" s="304" t="n">
        <v>46360</v>
      </c>
      <c r="B5171" s="401" t="n">
        <v>3775</v>
      </c>
      <c r="C5171" s="401" t="n">
        <v>70</v>
      </c>
      <c r="D5171" s="401" t="n"/>
      <c r="E5171" s="401" t="n"/>
      <c r="F5171" s="401" t="n">
        <v>1120</v>
      </c>
      <c r="G5171" s="401" t="n"/>
      <c r="H5171" s="322" t="n">
        <v>3500</v>
      </c>
      <c r="I5171" s="392" t="n"/>
      <c r="J5171" s="392" t="n"/>
      <c r="K5171" s="392" t="n"/>
      <c r="L5171" s="392" t="n"/>
      <c r="M5171" s="392" t="n"/>
    </row>
    <row r="5172">
      <c r="A5172" s="568" t="n">
        <v>45994</v>
      </c>
      <c r="B5172" s="392" t="n">
        <v>12338</v>
      </c>
      <c r="C5172" s="392" t="n">
        <v>90</v>
      </c>
      <c r="D5172" s="392" t="n"/>
      <c r="E5172" s="392" t="n"/>
      <c r="F5172" s="392" t="n"/>
      <c r="G5172" s="392" t="n">
        <v>20</v>
      </c>
      <c r="H5172" s="446">
        <f>H5171-G5172</f>
        <v/>
      </c>
      <c r="I5172" s="392" t="n"/>
      <c r="J5172" s="392" t="n"/>
      <c r="K5172" s="392" t="n"/>
      <c r="L5172" s="392" t="n"/>
      <c r="M5172" s="392" t="n"/>
    </row>
    <row r="5173">
      <c r="A5173" s="568" t="n">
        <v>45994</v>
      </c>
      <c r="B5173" s="392" t="n">
        <v>12339</v>
      </c>
      <c r="C5173" s="392" t="n">
        <v>81</v>
      </c>
      <c r="D5173" s="392" t="n"/>
      <c r="E5173" s="392" t="n"/>
      <c r="F5173" s="392" t="n"/>
      <c r="G5173" s="392" t="n">
        <v>21</v>
      </c>
      <c r="H5173" s="446">
        <f>H5172-G5173</f>
        <v/>
      </c>
      <c r="I5173" s="392" t="n"/>
      <c r="J5173" s="392" t="n"/>
      <c r="K5173" s="392" t="n"/>
      <c r="L5173" s="392" t="n"/>
      <c r="M5173" s="392" t="n"/>
    </row>
    <row r="5174">
      <c r="A5174" s="568" t="n">
        <v>45999</v>
      </c>
      <c r="B5174" s="392" t="n">
        <v>12340</v>
      </c>
      <c r="C5174" s="392" t="n">
        <v>80</v>
      </c>
      <c r="D5174" s="392" t="n"/>
      <c r="E5174" s="392" t="n"/>
      <c r="F5174" s="392" t="n"/>
      <c r="G5174" s="392" t="n">
        <v>50</v>
      </c>
      <c r="H5174" s="446">
        <f>H5173-G5174</f>
        <v/>
      </c>
      <c r="I5174" s="392" t="n"/>
      <c r="J5174" s="392" t="n"/>
      <c r="K5174" s="392" t="n"/>
      <c r="L5174" s="392" t="n"/>
      <c r="M5174" s="392" t="n"/>
    </row>
    <row r="5175">
      <c r="A5175" s="568" t="n">
        <v>45999</v>
      </c>
      <c r="B5175" s="392" t="n">
        <v>12343</v>
      </c>
      <c r="C5175" s="392" t="n">
        <v>80</v>
      </c>
      <c r="D5175" s="392" t="n"/>
      <c r="E5175" s="392" t="n"/>
      <c r="F5175" s="392" t="n"/>
      <c r="G5175" s="392" t="n">
        <v>20</v>
      </c>
      <c r="H5175" s="446">
        <f>H5174-G5175</f>
        <v/>
      </c>
      <c r="I5175" s="392" t="n"/>
      <c r="J5175" s="392" t="n"/>
      <c r="K5175" s="392" t="n"/>
      <c r="L5175" s="392" t="n"/>
      <c r="M5175" s="392" t="n"/>
    </row>
    <row r="5176">
      <c r="A5176" s="568" t="n">
        <v>46001</v>
      </c>
      <c r="B5176" s="392" t="n">
        <v>12345</v>
      </c>
      <c r="C5176" s="392" t="n">
        <v>84.04000000000001</v>
      </c>
      <c r="D5176" s="392" t="n"/>
      <c r="E5176" s="392" t="n"/>
      <c r="F5176" s="392" t="n"/>
      <c r="G5176" s="392" t="n">
        <v>26</v>
      </c>
      <c r="H5176" s="446">
        <f>H5175-G5176</f>
        <v/>
      </c>
      <c r="I5176" s="392" t="n"/>
      <c r="J5176" s="392" t="n"/>
      <c r="K5176" s="392" t="n"/>
      <c r="L5176" s="392" t="n"/>
      <c r="M5176" s="392" t="n"/>
    </row>
    <row r="5177">
      <c r="A5177" s="568" t="n">
        <v>46001</v>
      </c>
      <c r="B5177" s="392" t="n">
        <v>12347</v>
      </c>
      <c r="C5177" s="392" t="n">
        <v>90</v>
      </c>
      <c r="D5177" s="392" t="n"/>
      <c r="E5177" s="392" t="n"/>
      <c r="F5177" s="392" t="n"/>
      <c r="G5177" s="392" t="n">
        <v>20</v>
      </c>
      <c r="H5177" s="446">
        <f>H5176-G5177</f>
        <v/>
      </c>
      <c r="I5177" s="392" t="n"/>
      <c r="J5177" s="392" t="n"/>
      <c r="K5177" s="392" t="n"/>
      <c r="L5177" s="392" t="n"/>
      <c r="M5177" s="392" t="n"/>
    </row>
    <row r="5178">
      <c r="A5178" s="568" t="n">
        <v>46001</v>
      </c>
      <c r="B5178" s="392" t="n">
        <v>12350</v>
      </c>
      <c r="C5178" s="392" t="n">
        <v>87</v>
      </c>
      <c r="D5178" s="392" t="n"/>
      <c r="E5178" s="392" t="n"/>
      <c r="F5178" s="392" t="n"/>
      <c r="G5178" s="392" t="n">
        <v>30</v>
      </c>
      <c r="H5178" s="446">
        <f>H5177-G5178</f>
        <v/>
      </c>
      <c r="I5178" s="392" t="n"/>
      <c r="J5178" s="392" t="n"/>
      <c r="K5178" s="392" t="n"/>
      <c r="L5178" s="392" t="n"/>
      <c r="M5178" s="392" t="n"/>
    </row>
    <row r="5179">
      <c r="A5179" s="568" t="n">
        <v>46001</v>
      </c>
      <c r="B5179" s="392" t="n">
        <v>12351</v>
      </c>
      <c r="C5179" s="392" t="n">
        <v>87</v>
      </c>
      <c r="D5179" s="392" t="n"/>
      <c r="E5179" s="392" t="n"/>
      <c r="F5179" s="392" t="n"/>
      <c r="G5179" s="392" t="n">
        <v>20</v>
      </c>
      <c r="H5179" s="446">
        <f>H5178-G5179</f>
        <v/>
      </c>
      <c r="I5179" s="392" t="n"/>
      <c r="J5179" s="392" t="n"/>
      <c r="K5179" s="392" t="n"/>
      <c r="L5179" s="392" t="n"/>
      <c r="M5179" s="392" t="n"/>
    </row>
    <row r="5180">
      <c r="A5180" s="568" t="n">
        <v>46001</v>
      </c>
      <c r="B5180" s="392" t="n">
        <v>12353</v>
      </c>
      <c r="C5180" s="392" t="n">
        <v>80</v>
      </c>
      <c r="D5180" s="392" t="n"/>
      <c r="E5180" s="392" t="n"/>
      <c r="F5180" s="392" t="n"/>
      <c r="G5180" s="392" t="n">
        <v>15</v>
      </c>
      <c r="H5180" s="446">
        <f>H5179-G5180</f>
        <v/>
      </c>
      <c r="I5180" s="392" t="n"/>
      <c r="J5180" s="392" t="n"/>
      <c r="K5180" s="392" t="n"/>
      <c r="L5180" s="392" t="n"/>
      <c r="M5180" s="392" t="n"/>
    </row>
    <row r="5181">
      <c r="A5181" s="568" t="n">
        <v>46001</v>
      </c>
      <c r="B5181" s="392" t="n">
        <v>12354</v>
      </c>
      <c r="C5181" s="392" t="n">
        <v>90</v>
      </c>
      <c r="D5181" s="392" t="n"/>
      <c r="E5181" s="392" t="n"/>
      <c r="F5181" s="392" t="n"/>
      <c r="G5181" s="392" t="n">
        <v>40</v>
      </c>
      <c r="H5181" s="446">
        <f>H5180-G5181</f>
        <v/>
      </c>
      <c r="I5181" s="392" t="n"/>
      <c r="J5181" s="392" t="n"/>
      <c r="K5181" s="392" t="n"/>
      <c r="L5181" s="392" t="n"/>
      <c r="M5181" s="392" t="n"/>
    </row>
    <row r="5182">
      <c r="A5182" s="568" t="n">
        <v>46006</v>
      </c>
      <c r="B5182" s="392" t="n">
        <v>12356</v>
      </c>
      <c r="C5182" s="392" t="n">
        <v>90</v>
      </c>
      <c r="D5182" s="392" t="n"/>
      <c r="E5182" s="392" t="n"/>
      <c r="F5182" s="392" t="n"/>
      <c r="G5182" s="392" t="n">
        <v>100</v>
      </c>
      <c r="H5182" s="446">
        <f>H5181-G5182</f>
        <v/>
      </c>
      <c r="I5182" s="392" t="n"/>
      <c r="J5182" s="392" t="n"/>
      <c r="K5182" s="392" t="n"/>
      <c r="L5182" s="392" t="n"/>
      <c r="M5182" s="392" t="n"/>
    </row>
    <row r="5183">
      <c r="A5183" s="568" t="n">
        <v>46006</v>
      </c>
      <c r="B5183" s="392" t="n">
        <v>12357</v>
      </c>
      <c r="C5183" s="392" t="n">
        <v>84.34999999999999</v>
      </c>
      <c r="D5183" s="392" t="n"/>
      <c r="E5183" s="392" t="n"/>
      <c r="F5183" s="392" t="n"/>
      <c r="G5183" s="392" t="n">
        <v>20</v>
      </c>
      <c r="H5183" s="446">
        <f>H5182-G5183</f>
        <v/>
      </c>
      <c r="I5183" s="392" t="n"/>
      <c r="J5183" s="392" t="n"/>
      <c r="K5183" s="392" t="n"/>
      <c r="L5183" s="392" t="n"/>
      <c r="M5183" s="392" t="n"/>
    </row>
    <row r="5184">
      <c r="A5184" s="568" t="n">
        <v>46006</v>
      </c>
      <c r="B5184" s="392" t="n">
        <v>12359</v>
      </c>
      <c r="C5184" s="392" t="n">
        <v>81</v>
      </c>
      <c r="D5184" s="392" t="n"/>
      <c r="E5184" s="392" t="n"/>
      <c r="F5184" s="392" t="n"/>
      <c r="G5184" s="392" t="n">
        <v>20</v>
      </c>
      <c r="H5184" s="446">
        <f>H5183-G5184</f>
        <v/>
      </c>
      <c r="I5184" s="392" t="n"/>
      <c r="J5184" s="392" t="n"/>
      <c r="K5184" s="392" t="n"/>
      <c r="L5184" s="392" t="n"/>
      <c r="M5184" s="392" t="n"/>
    </row>
    <row r="5185">
      <c r="A5185" s="568" t="n">
        <v>46006</v>
      </c>
      <c r="B5185" s="392" t="n">
        <v>12361</v>
      </c>
      <c r="C5185" s="392" t="n">
        <v>90</v>
      </c>
      <c r="D5185" s="392" t="n"/>
      <c r="E5185" s="392" t="n"/>
      <c r="F5185" s="392" t="n"/>
      <c r="G5185" s="392" t="n">
        <v>30</v>
      </c>
      <c r="H5185" s="446">
        <f>H5184-G5185</f>
        <v/>
      </c>
      <c r="I5185" s="392" t="n"/>
      <c r="J5185" s="392" t="n"/>
      <c r="K5185" s="392" t="n"/>
      <c r="L5185" s="392" t="n"/>
      <c r="M5185" s="392" t="n"/>
    </row>
    <row r="5186">
      <c r="A5186" s="568" t="n">
        <v>46006</v>
      </c>
      <c r="B5186" s="392" t="n">
        <v>12362</v>
      </c>
      <c r="C5186" s="392" t="n">
        <v>83</v>
      </c>
      <c r="D5186" s="392" t="n"/>
      <c r="E5186" s="392" t="n"/>
      <c r="F5186" s="392" t="n"/>
      <c r="G5186" s="392" t="n">
        <v>20</v>
      </c>
      <c r="H5186" s="446">
        <f>H5185-G5186</f>
        <v/>
      </c>
      <c r="I5186" s="392" t="n"/>
      <c r="J5186" s="392" t="n"/>
      <c r="K5186" s="392" t="n"/>
      <c r="L5186" s="392" t="n"/>
      <c r="M5186" s="392" t="n"/>
    </row>
    <row r="5187">
      <c r="A5187" s="568" t="n">
        <v>46007</v>
      </c>
      <c r="B5187" s="392" t="n">
        <v>12363</v>
      </c>
      <c r="C5187" s="392" t="n">
        <v>90</v>
      </c>
      <c r="D5187" s="392" t="n"/>
      <c r="E5187" s="392" t="n"/>
      <c r="F5187" s="392" t="n"/>
      <c r="G5187" s="392" t="n">
        <v>70</v>
      </c>
      <c r="H5187" s="446">
        <f>H5186-G5187</f>
        <v/>
      </c>
      <c r="I5187" s="392" t="n"/>
      <c r="J5187" s="392" t="n"/>
      <c r="K5187" s="392" t="n"/>
      <c r="L5187" s="392" t="n"/>
      <c r="M5187" s="392" t="n"/>
    </row>
    <row r="5188">
      <c r="A5188" s="568" t="n">
        <v>46007</v>
      </c>
      <c r="B5188" s="392" t="n">
        <v>12365</v>
      </c>
      <c r="C5188" s="392" t="n">
        <v>90</v>
      </c>
      <c r="D5188" s="392" t="n"/>
      <c r="E5188" s="392" t="n"/>
      <c r="F5188" s="392" t="n"/>
      <c r="G5188" s="392" t="n">
        <v>40</v>
      </c>
      <c r="H5188" s="446">
        <f>H5187-G5188</f>
        <v/>
      </c>
      <c r="I5188" s="392" t="n"/>
      <c r="J5188" s="392" t="n"/>
      <c r="K5188" s="392" t="n"/>
      <c r="L5188" s="392" t="n"/>
      <c r="M5188" s="392" t="n"/>
    </row>
    <row r="5189">
      <c r="A5189" s="568" t="n">
        <v>46007</v>
      </c>
      <c r="B5189" s="392" t="n">
        <v>12368</v>
      </c>
      <c r="C5189" s="392" t="n">
        <v>90</v>
      </c>
      <c r="D5189" s="392" t="n"/>
      <c r="E5189" s="392" t="n"/>
      <c r="F5189" s="392" t="n"/>
      <c r="G5189" s="392" t="n">
        <v>10</v>
      </c>
      <c r="H5189" s="446">
        <f>H5188-G5189</f>
        <v/>
      </c>
      <c r="I5189" s="392" t="n"/>
      <c r="J5189" s="392" t="n"/>
      <c r="K5189" s="392" t="n"/>
      <c r="L5189" s="392" t="n"/>
      <c r="M5189" s="392" t="n"/>
    </row>
    <row r="5190">
      <c r="A5190" s="568" t="n">
        <v>46007</v>
      </c>
      <c r="B5190" s="392" t="n">
        <v>12370</v>
      </c>
      <c r="C5190" s="392" t="n">
        <v>83.64</v>
      </c>
      <c r="D5190" s="392" t="n"/>
      <c r="E5190" s="392" t="n"/>
      <c r="F5190" s="392" t="n"/>
      <c r="G5190" s="392" t="n">
        <v>22</v>
      </c>
      <c r="H5190" s="446">
        <f>H5189-G5190</f>
        <v/>
      </c>
      <c r="I5190" s="392" t="n"/>
      <c r="J5190" s="392" t="n"/>
      <c r="K5190" s="392" t="n"/>
      <c r="L5190" s="392" t="n"/>
      <c r="M5190" s="392" t="n"/>
    </row>
    <row r="5191">
      <c r="A5191" s="568" t="n">
        <v>46008</v>
      </c>
      <c r="B5191" s="392" t="n">
        <v>12373</v>
      </c>
      <c r="C5191" s="392" t="n">
        <v>83</v>
      </c>
      <c r="D5191" s="392" t="n"/>
      <c r="E5191" s="392" t="n"/>
      <c r="F5191" s="392" t="n"/>
      <c r="G5191" s="392" t="n">
        <v>50</v>
      </c>
      <c r="H5191" s="446">
        <f>H5190-G5191</f>
        <v/>
      </c>
      <c r="I5191" s="392" t="n"/>
      <c r="J5191" s="392" t="n"/>
      <c r="K5191" s="392" t="n"/>
      <c r="L5191" s="392" t="n"/>
      <c r="M5191" s="392" t="n"/>
    </row>
    <row r="5192">
      <c r="A5192" s="568" t="n">
        <v>46008</v>
      </c>
      <c r="B5192" s="392" t="n">
        <v>12374</v>
      </c>
      <c r="C5192" s="392" t="n">
        <v>87</v>
      </c>
      <c r="D5192" s="392" t="n"/>
      <c r="E5192" s="392" t="n"/>
      <c r="F5192" s="392" t="n"/>
      <c r="G5192" s="392" t="n">
        <v>30</v>
      </c>
      <c r="H5192" s="446">
        <f>H5191-G5192</f>
        <v/>
      </c>
      <c r="I5192" s="392" t="n"/>
      <c r="J5192" s="392" t="n"/>
      <c r="K5192" s="392" t="n"/>
      <c r="L5192" s="392" t="n"/>
      <c r="M5192" s="392" t="n"/>
    </row>
    <row r="5193">
      <c r="A5193" s="568" t="n">
        <v>46008</v>
      </c>
      <c r="B5193" s="392" t="n">
        <v>12375</v>
      </c>
      <c r="C5193" s="392" t="n">
        <v>87</v>
      </c>
      <c r="D5193" s="392" t="n"/>
      <c r="E5193" s="392" t="n"/>
      <c r="F5193" s="392" t="n"/>
      <c r="G5193" s="392" t="n">
        <v>20</v>
      </c>
      <c r="H5193" s="446">
        <f>H5192-G5193</f>
        <v/>
      </c>
      <c r="I5193" s="392" t="n"/>
      <c r="J5193" s="392" t="n"/>
      <c r="K5193" s="392" t="n"/>
      <c r="L5193" s="392" t="n"/>
      <c r="M5193" s="392" t="n"/>
    </row>
    <row r="5194" ht="17.25" customHeight="1" s="436">
      <c r="A5194" s="568" t="n">
        <v>46008</v>
      </c>
      <c r="B5194" s="392" t="n">
        <v>12376</v>
      </c>
      <c r="C5194" s="392" t="n">
        <v>80</v>
      </c>
      <c r="D5194" s="392" t="n"/>
      <c r="E5194" s="392" t="n"/>
      <c r="F5194" s="392" t="n"/>
      <c r="G5194" s="392" t="n">
        <v>20</v>
      </c>
      <c r="H5194" s="556">
        <f>H5193-G5194</f>
        <v/>
      </c>
      <c r="I5194" s="392" t="n"/>
      <c r="J5194" s="392" t="n"/>
      <c r="K5194" s="392" t="n"/>
      <c r="L5194" s="392" t="n"/>
      <c r="M5194" s="392" t="n"/>
    </row>
    <row r="5195" ht="15.75" customHeight="1" s="436" thickBot="1">
      <c r="A5195" s="414" t="n"/>
      <c r="H5195" s="390" t="n"/>
    </row>
    <row r="5196" ht="32.25" customHeight="1" s="436" thickBot="1">
      <c r="A5196" s="735" t="inlineStr">
        <is>
          <t>Janeiro</t>
        </is>
      </c>
      <c r="B5196" s="697" t="n"/>
      <c r="C5196" s="697" t="n"/>
      <c r="D5196" s="697" t="n"/>
      <c r="E5196" s="697" t="n"/>
      <c r="F5196" s="697" t="n"/>
      <c r="G5196" s="697" t="n"/>
      <c r="H5196" s="697" t="n"/>
      <c r="I5196" s="697" t="n"/>
      <c r="J5196" s="697" t="n"/>
      <c r="K5196" s="697" t="n"/>
      <c r="L5196" s="697" t="n"/>
      <c r="M5196" s="698" t="n"/>
    </row>
    <row r="5197" ht="27" customHeight="1" s="436" thickBot="1">
      <c r="A5197" s="720" t="inlineStr">
        <is>
          <t xml:space="preserve"> FARINHA DE TRIGO TIPO: 1 - 25 KG</t>
        </is>
      </c>
      <c r="B5197" s="697" t="n"/>
      <c r="C5197" s="697" t="n"/>
      <c r="D5197" s="697" t="n"/>
      <c r="E5197" s="697" t="n"/>
      <c r="F5197" s="697" t="n"/>
      <c r="G5197" s="697" t="n"/>
      <c r="H5197" s="697" t="n"/>
      <c r="I5197" s="697" t="n"/>
      <c r="J5197" s="697" t="n"/>
      <c r="K5197" s="697" t="n"/>
      <c r="L5197" s="697" t="n"/>
      <c r="M5197" s="698" t="n"/>
    </row>
    <row r="5198">
      <c r="A5198" s="3" t="inlineStr">
        <is>
          <t>DATA</t>
        </is>
      </c>
      <c r="B5198" s="3" t="inlineStr">
        <is>
          <t>N.F.</t>
        </is>
      </c>
      <c r="C5198" s="3" t="inlineStr">
        <is>
          <t>TIPO</t>
        </is>
      </c>
      <c r="D5198" s="708" t="inlineStr">
        <is>
          <t>PREÇO UNITÁRIO</t>
        </is>
      </c>
      <c r="E5198" s="736" t="n"/>
      <c r="F5198" s="3" t="inlineStr">
        <is>
          <t>QUANTIDADE / KG</t>
        </is>
      </c>
      <c r="G5198" s="737" t="n"/>
      <c r="H5198" s="736" t="n"/>
      <c r="I5198" s="631" t="inlineStr">
        <is>
          <t>PREÇO</t>
        </is>
      </c>
      <c r="J5198" s="631" t="inlineStr">
        <is>
          <t>VALORES</t>
        </is>
      </c>
      <c r="K5198" s="737" t="n"/>
      <c r="L5198" s="736" t="n"/>
      <c r="M5198" s="738" t="n"/>
    </row>
    <row r="5199" ht="15.75" customHeight="1" s="436" thickBot="1">
      <c r="A5199" s="704" t="n"/>
      <c r="B5199" s="704" t="n"/>
      <c r="C5199" s="704" t="n"/>
      <c r="D5199" s="703" t="n"/>
      <c r="E5199" s="701" t="n"/>
      <c r="F5199" s="705" t="n"/>
      <c r="G5199" s="706" t="n"/>
      <c r="H5199" s="707" t="n"/>
      <c r="I5199" s="704" t="n"/>
      <c r="J5199" s="703" t="n"/>
      <c r="L5199" s="701" t="n"/>
      <c r="M5199" s="704" t="n"/>
    </row>
    <row r="5200" ht="15.75" customHeight="1" s="436" thickBot="1">
      <c r="A5200" s="704" t="n"/>
      <c r="B5200" s="704" t="n"/>
      <c r="C5200" s="704" t="n"/>
      <c r="D5200" s="705" t="n"/>
      <c r="E5200" s="707" t="n"/>
      <c r="F5200" s="3" t="inlineStr">
        <is>
          <t>ENTRADA</t>
        </is>
      </c>
      <c r="G5200" s="3" t="inlineStr">
        <is>
          <t>SAÍDA</t>
        </is>
      </c>
      <c r="H5200" s="640" t="n"/>
      <c r="I5200" s="633" t="inlineStr">
        <is>
          <t>MÉDIO</t>
        </is>
      </c>
      <c r="J5200" s="739" t="inlineStr">
        <is>
          <t>SALDO EM 30/11/2017</t>
        </is>
      </c>
      <c r="K5200" s="707" t="n"/>
      <c r="L5200" s="17" t="n"/>
      <c r="M5200" s="740" t="n"/>
    </row>
    <row r="5201" ht="18" customHeight="1" s="436" thickBot="1">
      <c r="A5201" s="695" t="n"/>
      <c r="B5201" s="695" t="n"/>
      <c r="C5201" s="695" t="n"/>
      <c r="D5201" s="3" t="inlineStr">
        <is>
          <t>C/ICMS</t>
        </is>
      </c>
      <c r="E5201" s="3" t="inlineStr">
        <is>
          <t>S/ICMS</t>
        </is>
      </c>
      <c r="F5201" s="695" t="n"/>
      <c r="G5201" s="695" t="n"/>
      <c r="H5201" s="84" t="inlineStr">
        <is>
          <t>Saldo em 31/12/2025</t>
        </is>
      </c>
      <c r="I5201" s="695" t="n"/>
      <c r="J5201" s="645" t="inlineStr">
        <is>
          <t>ENTRADA</t>
        </is>
      </c>
      <c r="K5201" s="633" t="inlineStr">
        <is>
          <t>SAÍDA / CMV</t>
        </is>
      </c>
      <c r="L5201" s="643" t="inlineStr">
        <is>
          <t>SALDO</t>
        </is>
      </c>
      <c r="M5201" s="392" t="n"/>
    </row>
    <row r="5202">
      <c r="A5202" s="392" t="n"/>
      <c r="B5202" s="392" t="n"/>
      <c r="C5202" s="392" t="n"/>
      <c r="D5202" s="392" t="n"/>
      <c r="E5202" s="392" t="n"/>
      <c r="F5202" s="392" t="n"/>
      <c r="G5202" s="392" t="n"/>
      <c r="H5202" s="446" t="n">
        <v>2786</v>
      </c>
      <c r="I5202" s="392" t="n"/>
      <c r="J5202" s="392" t="n"/>
      <c r="K5202" s="392" t="n"/>
      <c r="L5202" s="392" t="n"/>
      <c r="M5202" s="392" t="n"/>
    </row>
    <row r="5203">
      <c r="A5203" s="568" t="n">
        <v>46026</v>
      </c>
      <c r="B5203" s="392" t="n">
        <v>12378</v>
      </c>
      <c r="C5203" s="392" t="n">
        <v>89</v>
      </c>
      <c r="D5203" s="392" t="n"/>
      <c r="E5203" s="392" t="n"/>
      <c r="F5203" s="392" t="n"/>
      <c r="G5203" s="392" t="n">
        <v>100</v>
      </c>
      <c r="H5203" s="446">
        <f>H5202-G5203</f>
        <v/>
      </c>
      <c r="I5203" s="392" t="n"/>
      <c r="J5203" s="392" t="n"/>
      <c r="K5203" s="392" t="n"/>
      <c r="L5203" s="392" t="n"/>
      <c r="M5203" s="392" t="n"/>
    </row>
    <row r="5204">
      <c r="A5204" s="568" t="n">
        <v>46026</v>
      </c>
      <c r="B5204" s="392" t="n">
        <v>12379</v>
      </c>
      <c r="C5204" s="392" t="n">
        <v>90</v>
      </c>
      <c r="D5204" s="392" t="n"/>
      <c r="E5204" s="392" t="n"/>
      <c r="F5204" s="392" t="n"/>
      <c r="G5204" s="392" t="n">
        <v>20</v>
      </c>
      <c r="H5204" s="446">
        <f>H5203-G5204</f>
        <v/>
      </c>
      <c r="I5204" s="392" t="n"/>
      <c r="J5204" s="392" t="n"/>
      <c r="K5204" s="392" t="n"/>
      <c r="L5204" s="392" t="n"/>
      <c r="M5204" s="392" t="n"/>
    </row>
    <row r="5205">
      <c r="A5205" s="568" t="n">
        <v>46026</v>
      </c>
      <c r="B5205" s="392" t="n">
        <v>12380</v>
      </c>
      <c r="C5205" s="392" t="n">
        <v>82.12</v>
      </c>
      <c r="D5205" s="392" t="n"/>
      <c r="E5205" s="392" t="n"/>
      <c r="F5205" s="392" t="n"/>
      <c r="G5205" s="392" t="n">
        <v>50</v>
      </c>
      <c r="H5205" s="446">
        <f>H5204-G5205</f>
        <v/>
      </c>
      <c r="I5205" s="392" t="n"/>
      <c r="J5205" s="392" t="n"/>
      <c r="K5205" s="392" t="n"/>
      <c r="L5205" s="392" t="n"/>
      <c r="M5205" s="392" t="n"/>
    </row>
    <row r="5206">
      <c r="A5206" s="568" t="n">
        <v>46028</v>
      </c>
      <c r="B5206" s="392" t="n">
        <v>12381</v>
      </c>
      <c r="C5206" s="392" t="n">
        <v>85</v>
      </c>
      <c r="D5206" s="392" t="n"/>
      <c r="E5206" s="392" t="n"/>
      <c r="F5206" s="392" t="n"/>
      <c r="G5206" s="392" t="n">
        <v>15</v>
      </c>
      <c r="H5206" s="446">
        <f>H5205-G5206</f>
        <v/>
      </c>
      <c r="I5206" s="392" t="n"/>
      <c r="J5206" s="392" t="n"/>
      <c r="K5206" s="392" t="n"/>
      <c r="L5206" s="392" t="n"/>
      <c r="M5206" s="392" t="n"/>
    </row>
    <row r="5207">
      <c r="A5207" s="568" t="n">
        <v>46028</v>
      </c>
      <c r="B5207" s="392" t="n">
        <v>12382</v>
      </c>
      <c r="C5207" s="392" t="n">
        <v>81</v>
      </c>
      <c r="D5207" s="392" t="n"/>
      <c r="E5207" s="392" t="n"/>
      <c r="F5207" s="392" t="n"/>
      <c r="G5207" s="392" t="n">
        <v>30</v>
      </c>
      <c r="H5207" s="446">
        <f>H5206-G5207</f>
        <v/>
      </c>
      <c r="I5207" s="392" t="n"/>
      <c r="J5207" s="392" t="n"/>
      <c r="K5207" s="392" t="n"/>
      <c r="L5207" s="392" t="n"/>
      <c r="M5207" s="392" t="n"/>
    </row>
    <row r="5208">
      <c r="A5208" s="568" t="n">
        <v>46028</v>
      </c>
      <c r="B5208" s="392" t="n">
        <v>12384</v>
      </c>
      <c r="C5208" s="392" t="n">
        <v>81</v>
      </c>
      <c r="D5208" s="392" t="n"/>
      <c r="E5208" s="392" t="n"/>
      <c r="F5208" s="392" t="n"/>
      <c r="G5208" s="392" t="n">
        <v>20</v>
      </c>
      <c r="H5208" s="446">
        <f>H5207-G5208</f>
        <v/>
      </c>
      <c r="I5208" s="392" t="n"/>
      <c r="J5208" s="392" t="n"/>
      <c r="K5208" s="392" t="n"/>
      <c r="L5208" s="392" t="n"/>
      <c r="M5208" s="392" t="n"/>
    </row>
    <row r="5209">
      <c r="A5209" s="568" t="n">
        <v>46028</v>
      </c>
      <c r="B5209" s="392" t="n">
        <v>12386</v>
      </c>
      <c r="C5209" s="392" t="n">
        <v>78</v>
      </c>
      <c r="D5209" s="392" t="n"/>
      <c r="E5209" s="392" t="n"/>
      <c r="F5209" s="392" t="n"/>
      <c r="G5209" s="392" t="n">
        <v>150</v>
      </c>
      <c r="H5209" s="446">
        <f>H5208-G5209</f>
        <v/>
      </c>
      <c r="I5209" s="392" t="n"/>
      <c r="J5209" s="392" t="n"/>
      <c r="K5209" s="392" t="n"/>
      <c r="L5209" s="392" t="n"/>
      <c r="M5209" s="392" t="n"/>
    </row>
    <row r="5210">
      <c r="A5210" s="568" t="n">
        <v>46033</v>
      </c>
      <c r="B5210" s="392" t="n">
        <v>12389</v>
      </c>
      <c r="C5210" s="392" t="n">
        <v>83</v>
      </c>
      <c r="D5210" s="392" t="n"/>
      <c r="E5210" s="392" t="n"/>
      <c r="F5210" s="392" t="n"/>
      <c r="G5210" s="392" t="n">
        <v>30</v>
      </c>
      <c r="H5210" s="446">
        <f>H5209-G5210</f>
        <v/>
      </c>
      <c r="I5210" s="392" t="n"/>
      <c r="J5210" s="392" t="n"/>
      <c r="K5210" s="392" t="n"/>
      <c r="L5210" s="392" t="n"/>
      <c r="M5210" s="392" t="n"/>
    </row>
    <row r="5211">
      <c r="A5211" s="568" t="n">
        <v>46033</v>
      </c>
      <c r="B5211" s="392" t="n">
        <v>12390</v>
      </c>
      <c r="C5211" s="392" t="n">
        <v>78</v>
      </c>
      <c r="D5211" s="392" t="n"/>
      <c r="E5211" s="392" t="n"/>
      <c r="F5211" s="392" t="n"/>
      <c r="G5211" s="392" t="n">
        <v>30</v>
      </c>
      <c r="H5211" s="446">
        <f>H5210-G5211</f>
        <v/>
      </c>
      <c r="I5211" s="392" t="n"/>
      <c r="J5211" s="392" t="n"/>
      <c r="K5211" s="392" t="n"/>
      <c r="L5211" s="392" t="n"/>
      <c r="M5211" s="392" t="n"/>
    </row>
    <row r="5212">
      <c r="A5212" s="568" t="n">
        <v>46033</v>
      </c>
      <c r="B5212" s="392" t="n">
        <v>12391</v>
      </c>
      <c r="C5212" s="392" t="n">
        <v>90</v>
      </c>
      <c r="D5212" s="392" t="n"/>
      <c r="E5212" s="392" t="n"/>
      <c r="F5212" s="392" t="n"/>
      <c r="G5212" s="392" t="n">
        <v>20</v>
      </c>
      <c r="H5212" s="446">
        <f>H5211-G5212</f>
        <v/>
      </c>
      <c r="I5212" s="392" t="n"/>
      <c r="J5212" s="392" t="n"/>
      <c r="K5212" s="392" t="n"/>
      <c r="L5212" s="392" t="n"/>
      <c r="M5212" s="392" t="n"/>
    </row>
    <row r="5213">
      <c r="A5213" s="568" t="n">
        <v>46034</v>
      </c>
      <c r="B5213" s="392" t="n">
        <v>12392</v>
      </c>
      <c r="C5213" s="392" t="n">
        <v>83</v>
      </c>
      <c r="D5213" s="392" t="n"/>
      <c r="E5213" s="392" t="n"/>
      <c r="F5213" s="392" t="n"/>
      <c r="G5213" s="392" t="n">
        <v>50</v>
      </c>
      <c r="H5213" s="446">
        <f>H5212-G5213</f>
        <v/>
      </c>
      <c r="I5213" s="392" t="n"/>
      <c r="J5213" s="392" t="n"/>
      <c r="K5213" s="392" t="n"/>
      <c r="L5213" s="392" t="n"/>
      <c r="M5213" s="392" t="n"/>
    </row>
    <row r="5214">
      <c r="A5214" s="568" t="n">
        <v>46034</v>
      </c>
      <c r="B5214" s="392" t="n">
        <v>12394</v>
      </c>
      <c r="C5214" s="392" t="n">
        <v>79</v>
      </c>
      <c r="D5214" s="392" t="n"/>
      <c r="E5214" s="392" t="n"/>
      <c r="F5214" s="392" t="n"/>
      <c r="G5214" s="392" t="n">
        <v>15</v>
      </c>
      <c r="H5214" s="446">
        <f>H5213-G5214</f>
        <v/>
      </c>
      <c r="I5214" s="392" t="n"/>
      <c r="J5214" s="392" t="n"/>
      <c r="K5214" s="392" t="n"/>
      <c r="L5214" s="392" t="n"/>
      <c r="M5214" s="392" t="n"/>
    </row>
    <row r="5215">
      <c r="A5215" s="568" t="n">
        <v>46034</v>
      </c>
      <c r="B5215" s="392" t="n">
        <v>12395</v>
      </c>
      <c r="C5215" s="392" t="n">
        <v>83.84</v>
      </c>
      <c r="D5215" s="392" t="n"/>
      <c r="E5215" s="392" t="n"/>
      <c r="F5215" s="392" t="n"/>
      <c r="G5215" s="392" t="n">
        <v>25</v>
      </c>
      <c r="H5215" s="446">
        <f>H5214-G5215</f>
        <v/>
      </c>
      <c r="I5215" s="392" t="n"/>
      <c r="J5215" s="392" t="n"/>
      <c r="K5215" s="392" t="n"/>
      <c r="L5215" s="392" t="n"/>
      <c r="M5215" s="392" t="n"/>
    </row>
    <row r="5216">
      <c r="A5216" s="568" t="n">
        <v>46034</v>
      </c>
      <c r="B5216" s="392" t="n">
        <v>12396</v>
      </c>
      <c r="C5216" s="392" t="n">
        <v>80</v>
      </c>
      <c r="D5216" s="392" t="n"/>
      <c r="E5216" s="392" t="n"/>
      <c r="F5216" s="392" t="n"/>
      <c r="G5216" s="392" t="n">
        <v>20</v>
      </c>
      <c r="H5216" s="446">
        <f>H5215-G5216</f>
        <v/>
      </c>
      <c r="I5216" s="392" t="n"/>
      <c r="J5216" s="392" t="n"/>
      <c r="K5216" s="392" t="n"/>
      <c r="L5216" s="392" t="n"/>
      <c r="M5216" s="392" t="n"/>
    </row>
    <row r="5217">
      <c r="A5217" s="568" t="n">
        <v>46034</v>
      </c>
      <c r="B5217" s="392" t="n">
        <v>12399</v>
      </c>
      <c r="C5217" s="392" t="n">
        <v>90</v>
      </c>
      <c r="D5217" s="392" t="n"/>
      <c r="E5217" s="392" t="n"/>
      <c r="F5217" s="392" t="n"/>
      <c r="G5217" s="392" t="n">
        <v>50</v>
      </c>
      <c r="H5217" s="446">
        <f>H5216-G5217</f>
        <v/>
      </c>
      <c r="I5217" s="392" t="n"/>
      <c r="J5217" s="392" t="n"/>
      <c r="K5217" s="392" t="n"/>
      <c r="L5217" s="392" t="n"/>
      <c r="M5217" s="392" t="n"/>
    </row>
    <row r="5218">
      <c r="A5218" s="568" t="n">
        <v>46034</v>
      </c>
      <c r="B5218" s="392" t="n">
        <v>12400</v>
      </c>
      <c r="C5218" s="392" t="n">
        <v>79</v>
      </c>
      <c r="D5218" s="392" t="n"/>
      <c r="E5218" s="392" t="n"/>
      <c r="F5218" s="392" t="n"/>
      <c r="G5218" s="392" t="n">
        <v>10</v>
      </c>
      <c r="H5218" s="446">
        <f>H5217-G5218</f>
        <v/>
      </c>
      <c r="I5218" s="392" t="n"/>
      <c r="J5218" s="392" t="n"/>
      <c r="K5218" s="392" t="n"/>
      <c r="L5218" s="392" t="n"/>
      <c r="M5218" s="392" t="n"/>
    </row>
    <row r="5219">
      <c r="A5219" s="568" t="n">
        <v>46035</v>
      </c>
      <c r="B5219" s="392" t="n">
        <v>12401</v>
      </c>
      <c r="C5219" s="392" t="n">
        <v>87</v>
      </c>
      <c r="D5219" s="392" t="n"/>
      <c r="E5219" s="392" t="n"/>
      <c r="F5219" s="392" t="n"/>
      <c r="G5219" s="392" t="n">
        <v>20</v>
      </c>
      <c r="H5219" s="446">
        <f>H5218-G5219</f>
        <v/>
      </c>
      <c r="I5219" s="392" t="n"/>
      <c r="J5219" s="392" t="n"/>
      <c r="K5219" s="392" t="n"/>
      <c r="L5219" s="392" t="n"/>
      <c r="M5219" s="392" t="n"/>
    </row>
    <row r="5220">
      <c r="A5220" s="568" t="n">
        <v>46036</v>
      </c>
      <c r="B5220" s="392" t="n">
        <v>12404</v>
      </c>
      <c r="C5220" s="392" t="n">
        <v>81</v>
      </c>
      <c r="D5220" s="392" t="n"/>
      <c r="E5220" s="392" t="n"/>
      <c r="F5220" s="392" t="n"/>
      <c r="G5220" s="392" t="n">
        <v>20</v>
      </c>
      <c r="H5220" s="446">
        <f>H5219-G5220</f>
        <v/>
      </c>
      <c r="I5220" s="392" t="n"/>
      <c r="J5220" s="392" t="n"/>
      <c r="K5220" s="392" t="n"/>
      <c r="L5220" s="392" t="n"/>
      <c r="M5220" s="392" t="n"/>
    </row>
    <row r="5221">
      <c r="A5221" s="568" t="n">
        <v>46041</v>
      </c>
      <c r="B5221" s="392" t="n">
        <v>12406</v>
      </c>
      <c r="C5221" s="392" t="n">
        <v>90</v>
      </c>
      <c r="D5221" s="392" t="n"/>
      <c r="E5221" s="392" t="n"/>
      <c r="F5221" s="392" t="n"/>
      <c r="G5221" s="392" t="n">
        <v>20</v>
      </c>
      <c r="H5221" s="446">
        <f>H5220-G5221</f>
        <v/>
      </c>
      <c r="I5221" s="392" t="n"/>
      <c r="J5221" s="392" t="n"/>
      <c r="K5221" s="392" t="n"/>
      <c r="L5221" s="392" t="n"/>
      <c r="M5221" s="392" t="n"/>
    </row>
    <row r="5222">
      <c r="A5222" s="568" t="n">
        <v>46041</v>
      </c>
      <c r="B5222" s="392" t="n">
        <v>12407</v>
      </c>
      <c r="C5222" s="392" t="n">
        <v>78</v>
      </c>
      <c r="D5222" s="392" t="n"/>
      <c r="E5222" s="392" t="n"/>
      <c r="F5222" s="392" t="n"/>
      <c r="G5222" s="392" t="n">
        <v>100</v>
      </c>
      <c r="H5222" s="446">
        <f>H5221-G5222</f>
        <v/>
      </c>
      <c r="I5222" s="392" t="n"/>
      <c r="J5222" s="392" t="n"/>
      <c r="K5222" s="392" t="n"/>
      <c r="L5222" s="392" t="n"/>
      <c r="M5222" s="392" t="n"/>
    </row>
    <row r="5223">
      <c r="A5223" s="568" t="n">
        <v>46041</v>
      </c>
      <c r="B5223" s="392" t="n">
        <v>12408</v>
      </c>
      <c r="C5223" s="392" t="n">
        <v>90</v>
      </c>
      <c r="D5223" s="392" t="n"/>
      <c r="E5223" s="392" t="n"/>
      <c r="F5223" s="392" t="n"/>
      <c r="G5223" s="392" t="n">
        <v>50</v>
      </c>
      <c r="H5223" s="446">
        <f>H5222-G5223</f>
        <v/>
      </c>
      <c r="I5223" s="392" t="n"/>
      <c r="J5223" s="392" t="n"/>
      <c r="K5223" s="392" t="n"/>
      <c r="L5223" s="392" t="n"/>
      <c r="M5223" s="392" t="n"/>
    </row>
    <row r="5224">
      <c r="A5224" s="568" t="n">
        <v>46041</v>
      </c>
      <c r="B5224" s="392" t="n">
        <v>12409</v>
      </c>
      <c r="C5224" s="392" t="n">
        <v>83</v>
      </c>
      <c r="D5224" s="392" t="n"/>
      <c r="E5224" s="392" t="n"/>
      <c r="F5224" s="392" t="n"/>
      <c r="G5224" s="392" t="n">
        <v>20</v>
      </c>
      <c r="H5224" s="446">
        <f>H5223-G5224</f>
        <v/>
      </c>
      <c r="I5224" s="392" t="n"/>
      <c r="J5224" s="392" t="n"/>
      <c r="K5224" s="392" t="n"/>
      <c r="L5224" s="392" t="n"/>
      <c r="M5224" s="392" t="n"/>
    </row>
    <row r="5225">
      <c r="A5225" s="568" t="n">
        <v>46043</v>
      </c>
      <c r="B5225" s="392" t="n">
        <v>12410</v>
      </c>
      <c r="C5225" s="392" t="n">
        <v>82.12</v>
      </c>
      <c r="D5225" s="392" t="n"/>
      <c r="E5225" s="392" t="n"/>
      <c r="F5225" s="392" t="n"/>
      <c r="G5225" s="392" t="n">
        <v>50</v>
      </c>
      <c r="H5225" s="446">
        <f>H5224-G5225</f>
        <v/>
      </c>
      <c r="I5225" s="392" t="n"/>
      <c r="J5225" s="392" t="n"/>
      <c r="K5225" s="392" t="n"/>
      <c r="L5225" s="392" t="n"/>
      <c r="M5225" s="392" t="n"/>
    </row>
    <row r="5226">
      <c r="A5226" s="568" t="n">
        <v>46043</v>
      </c>
      <c r="B5226" s="392" t="n">
        <v>12411</v>
      </c>
      <c r="C5226" s="392" t="n">
        <v>78</v>
      </c>
      <c r="D5226" s="392" t="n"/>
      <c r="E5226" s="392" t="n"/>
      <c r="F5226" s="392" t="n"/>
      <c r="G5226" s="392" t="n">
        <v>20</v>
      </c>
      <c r="H5226" s="446">
        <f>H5225-G5226</f>
        <v/>
      </c>
      <c r="I5226" s="392" t="n"/>
      <c r="J5226" s="392" t="n"/>
      <c r="K5226" s="392" t="n"/>
      <c r="L5226" s="392" t="n"/>
      <c r="M5226" s="392" t="n"/>
    </row>
    <row r="5227">
      <c r="A5227" s="568" t="n">
        <v>46043</v>
      </c>
      <c r="B5227" s="392" t="n">
        <v>12413</v>
      </c>
      <c r="C5227" s="392" t="n">
        <v>87</v>
      </c>
      <c r="D5227" s="392" t="n"/>
      <c r="E5227" s="392" t="n"/>
      <c r="F5227" s="392" t="n"/>
      <c r="G5227" s="392" t="n">
        <v>30</v>
      </c>
      <c r="H5227" s="446">
        <f>H5226-G5227</f>
        <v/>
      </c>
      <c r="I5227" s="392" t="n"/>
      <c r="J5227" s="392" t="n"/>
      <c r="K5227" s="392" t="n"/>
      <c r="L5227" s="392" t="n"/>
      <c r="M5227" s="392" t="n"/>
    </row>
    <row r="5228">
      <c r="A5228" s="568" t="n">
        <v>46043</v>
      </c>
      <c r="B5228" s="392" t="n">
        <v>12414</v>
      </c>
      <c r="C5228" s="392" t="n">
        <v>80</v>
      </c>
      <c r="D5228" s="392" t="n"/>
      <c r="E5228" s="392" t="n"/>
      <c r="F5228" s="392" t="n"/>
      <c r="G5228" s="392" t="n">
        <v>20</v>
      </c>
      <c r="H5228" s="446">
        <f>H5227-G5228</f>
        <v/>
      </c>
      <c r="I5228" s="392" t="n"/>
      <c r="J5228" s="392" t="n"/>
      <c r="K5228" s="392" t="n"/>
      <c r="L5228" s="392" t="n"/>
      <c r="M5228" s="392" t="n"/>
    </row>
    <row r="5229">
      <c r="A5229" s="568" t="n">
        <v>46043</v>
      </c>
      <c r="B5229" s="392" t="n">
        <v>12415</v>
      </c>
      <c r="C5229" s="392" t="n">
        <v>80</v>
      </c>
      <c r="D5229" s="392" t="n"/>
      <c r="E5229" s="392" t="n"/>
      <c r="F5229" s="392" t="n"/>
      <c r="G5229" s="392" t="n">
        <v>30</v>
      </c>
      <c r="H5229" s="446">
        <f>H5228-G5229</f>
        <v/>
      </c>
      <c r="I5229" s="392" t="n"/>
      <c r="J5229" s="392" t="n"/>
      <c r="K5229" s="392" t="n"/>
      <c r="L5229" s="392" t="n"/>
      <c r="M5229" s="392" t="n"/>
    </row>
    <row r="5230">
      <c r="A5230" s="568" t="n">
        <v>46043</v>
      </c>
      <c r="B5230" s="392" t="n">
        <v>12416</v>
      </c>
      <c r="C5230" s="392" t="n">
        <v>83</v>
      </c>
      <c r="D5230" s="392" t="n"/>
      <c r="E5230" s="392" t="n"/>
      <c r="F5230" s="392" t="n"/>
      <c r="G5230" s="392" t="n">
        <v>10</v>
      </c>
      <c r="H5230" s="446">
        <f>H5229-G5230</f>
        <v/>
      </c>
      <c r="I5230" s="392" t="n"/>
      <c r="J5230" s="392" t="n"/>
      <c r="K5230" s="392" t="n"/>
      <c r="L5230" s="392" t="n"/>
      <c r="M5230" s="392" t="n"/>
    </row>
    <row r="5231">
      <c r="A5231" s="568" t="n">
        <v>46043</v>
      </c>
      <c r="B5231" s="392" t="n">
        <v>12417</v>
      </c>
      <c r="C5231" s="392" t="n">
        <v>80</v>
      </c>
      <c r="D5231" s="392" t="n"/>
      <c r="E5231" s="392" t="n"/>
      <c r="F5231" s="392" t="n"/>
      <c r="G5231" s="392" t="n">
        <v>60</v>
      </c>
      <c r="H5231" s="446">
        <f>H5230-G5231</f>
        <v/>
      </c>
      <c r="I5231" s="392" t="n"/>
      <c r="J5231" s="392" t="n"/>
      <c r="K5231" s="392" t="n"/>
      <c r="L5231" s="392" t="n"/>
      <c r="M5231" s="392" t="n"/>
    </row>
    <row r="5232">
      <c r="A5232" s="568" t="n">
        <v>46043</v>
      </c>
      <c r="B5232" s="392" t="n">
        <v>12419</v>
      </c>
      <c r="C5232" s="392" t="n">
        <v>80</v>
      </c>
      <c r="D5232" s="392" t="n"/>
      <c r="E5232" s="392" t="n"/>
      <c r="F5232" s="392" t="n"/>
      <c r="G5232" s="392" t="n">
        <v>20</v>
      </c>
      <c r="H5232" s="446">
        <f>H5231-G5232</f>
        <v/>
      </c>
      <c r="I5232" s="392" t="n"/>
      <c r="J5232" s="392" t="n"/>
      <c r="K5232" s="392" t="n"/>
      <c r="L5232" s="392" t="n"/>
      <c r="M5232" s="392" t="n"/>
    </row>
    <row r="5233">
      <c r="A5233" s="568" t="n">
        <v>46043</v>
      </c>
      <c r="B5233" s="392" t="n">
        <v>12420</v>
      </c>
      <c r="C5233" s="392" t="n">
        <v>80</v>
      </c>
      <c r="D5233" s="392" t="n"/>
      <c r="E5233" s="392" t="n"/>
      <c r="F5233" s="392" t="n"/>
      <c r="G5233" s="392" t="n">
        <v>20</v>
      </c>
      <c r="H5233" s="446">
        <f>H5232-G5233</f>
        <v/>
      </c>
      <c r="I5233" s="392" t="n"/>
      <c r="J5233" s="392" t="n"/>
      <c r="K5233" s="392" t="n"/>
      <c r="L5233" s="392" t="n"/>
      <c r="M5233" s="392" t="n"/>
    </row>
    <row r="5234">
      <c r="A5234" s="568" t="n">
        <v>46043</v>
      </c>
      <c r="B5234" s="392" t="n">
        <v>12421</v>
      </c>
      <c r="C5234" s="392" t="n">
        <v>80</v>
      </c>
      <c r="D5234" s="392" t="n"/>
      <c r="E5234" s="392" t="n"/>
      <c r="F5234" s="392" t="n"/>
      <c r="G5234" s="392" t="n">
        <v>20</v>
      </c>
      <c r="H5234" s="446">
        <f>H5233-G5234</f>
        <v/>
      </c>
      <c r="I5234" s="392" t="n"/>
      <c r="J5234" s="392" t="n"/>
      <c r="K5234" s="392" t="n"/>
      <c r="L5234" s="392" t="n"/>
      <c r="M5234" s="392" t="n"/>
    </row>
    <row r="5235">
      <c r="A5235" s="304" t="n">
        <v>46044</v>
      </c>
      <c r="B5235" s="401" t="n">
        <v>4027</v>
      </c>
      <c r="C5235" s="401" t="n">
        <v>65</v>
      </c>
      <c r="D5235" s="401" t="n"/>
      <c r="E5235" s="401" t="n"/>
      <c r="F5235" s="401" t="n">
        <v>1120</v>
      </c>
      <c r="G5235" s="401" t="n"/>
      <c r="H5235" s="322" t="n">
        <v>2761</v>
      </c>
      <c r="I5235" s="392" t="n"/>
      <c r="J5235" s="392" t="n"/>
      <c r="K5235" s="392" t="n"/>
      <c r="L5235" s="392" t="n"/>
      <c r="M5235" s="392" t="n"/>
    </row>
    <row r="5236">
      <c r="A5236" s="568" t="n">
        <v>46048</v>
      </c>
      <c r="B5236" s="392" t="n">
        <v>12423</v>
      </c>
      <c r="C5236" s="392" t="n">
        <v>80</v>
      </c>
      <c r="D5236" s="392" t="n"/>
      <c r="E5236" s="392" t="n"/>
      <c r="F5236" s="392" t="n"/>
      <c r="G5236" s="392" t="n">
        <v>20</v>
      </c>
      <c r="H5236" s="446">
        <f>H5235-G5236</f>
        <v/>
      </c>
      <c r="I5236" s="392" t="n"/>
      <c r="J5236" s="392" t="n"/>
      <c r="K5236" s="392" t="n"/>
      <c r="L5236" s="392" t="n"/>
      <c r="M5236" s="392" t="n"/>
    </row>
    <row r="5237">
      <c r="A5237" s="568" t="n">
        <v>46048</v>
      </c>
      <c r="B5237" s="392" t="n">
        <v>12426</v>
      </c>
      <c r="C5237" s="392" t="n">
        <v>89</v>
      </c>
      <c r="D5237" s="392" t="n"/>
      <c r="E5237" s="392" t="n"/>
      <c r="F5237" s="392" t="n"/>
      <c r="G5237" s="392" t="n">
        <v>100</v>
      </c>
      <c r="H5237" s="446">
        <f>H5236-G5237</f>
        <v/>
      </c>
      <c r="I5237" s="392" t="n"/>
      <c r="J5237" s="392" t="n"/>
      <c r="K5237" s="392" t="n"/>
      <c r="L5237" s="392" t="n"/>
      <c r="M5237" s="392" t="n"/>
    </row>
    <row r="5238">
      <c r="A5238" s="568" t="n">
        <v>46048</v>
      </c>
      <c r="B5238" s="392" t="n">
        <v>12428</v>
      </c>
      <c r="C5238" s="392" t="n">
        <v>79</v>
      </c>
      <c r="D5238" s="392" t="n"/>
      <c r="E5238" s="392" t="n"/>
      <c r="F5238" s="392" t="n"/>
      <c r="G5238" s="392" t="n">
        <v>10</v>
      </c>
      <c r="H5238" s="446">
        <f>H5237-G5238</f>
        <v/>
      </c>
      <c r="I5238" s="392" t="n"/>
      <c r="J5238" s="392" t="n"/>
      <c r="K5238" s="392" t="n"/>
      <c r="L5238" s="392" t="n"/>
      <c r="M5238" s="392" t="n"/>
    </row>
    <row r="5239">
      <c r="A5239" s="568" t="n">
        <v>46048</v>
      </c>
      <c r="B5239" s="392" t="n">
        <v>12429</v>
      </c>
      <c r="C5239" s="392" t="n">
        <v>80</v>
      </c>
      <c r="D5239" s="392" t="n"/>
      <c r="E5239" s="392" t="n"/>
      <c r="F5239" s="392" t="n"/>
      <c r="G5239" s="392" t="n">
        <v>15</v>
      </c>
      <c r="H5239" s="446">
        <f>H5238-G5239</f>
        <v/>
      </c>
      <c r="I5239" s="392" t="n"/>
      <c r="J5239" s="392" t="n"/>
      <c r="K5239" s="392" t="n"/>
      <c r="L5239" s="392" t="n"/>
      <c r="M5239" s="392" t="n"/>
    </row>
    <row r="5240">
      <c r="A5240" s="568" t="n">
        <v>46048</v>
      </c>
      <c r="B5240" s="392" t="n">
        <v>12431</v>
      </c>
      <c r="C5240" s="392" t="n">
        <v>90</v>
      </c>
      <c r="D5240" s="392" t="n"/>
      <c r="E5240" s="392" t="n"/>
      <c r="F5240" s="392" t="n"/>
      <c r="G5240" s="392" t="n">
        <v>40</v>
      </c>
      <c r="H5240" s="446">
        <f>H5239-G5240</f>
        <v/>
      </c>
      <c r="I5240" s="392" t="n"/>
      <c r="J5240" s="392" t="n"/>
      <c r="K5240" s="392" t="n"/>
      <c r="L5240" s="392" t="n"/>
      <c r="M5240" s="392" t="n"/>
    </row>
    <row r="5241">
      <c r="A5241" s="568" t="n">
        <v>46050</v>
      </c>
      <c r="B5241" s="392" t="n">
        <v>12435</v>
      </c>
      <c r="C5241" s="392" t="n">
        <v>83</v>
      </c>
      <c r="D5241" s="392" t="n"/>
      <c r="E5241" s="392" t="n"/>
      <c r="F5241" s="392" t="n"/>
      <c r="G5241" s="392" t="n">
        <v>10</v>
      </c>
      <c r="H5241" s="446">
        <f>H5240-G5241</f>
        <v/>
      </c>
      <c r="I5241" s="392" t="n"/>
      <c r="J5241" s="392" t="n"/>
      <c r="K5241" s="392" t="n"/>
      <c r="L5241" s="392" t="n"/>
      <c r="M5241" s="392" t="n"/>
    </row>
    <row r="5242" ht="15.75" customHeight="1" s="436" thickBot="1">
      <c r="A5242" s="414" t="n"/>
      <c r="H5242" s="390" t="n"/>
    </row>
    <row r="5243" ht="32.25" customHeight="1" s="436" thickBot="1">
      <c r="A5243" s="735" t="inlineStr">
        <is>
          <t>Fevereiro</t>
        </is>
      </c>
      <c r="B5243" s="697" t="n"/>
      <c r="C5243" s="697" t="n"/>
      <c r="D5243" s="697" t="n"/>
      <c r="E5243" s="697" t="n"/>
      <c r="F5243" s="697" t="n"/>
      <c r="G5243" s="697" t="n"/>
      <c r="H5243" s="697" t="n"/>
      <c r="I5243" s="697" t="n"/>
      <c r="J5243" s="697" t="n"/>
      <c r="K5243" s="697" t="n"/>
      <c r="L5243" s="697" t="n"/>
      <c r="M5243" s="698" t="n"/>
    </row>
    <row r="5244" ht="27" customHeight="1" s="436" thickBot="1">
      <c r="A5244" s="720" t="inlineStr">
        <is>
          <t xml:space="preserve"> FARINHA DE TRIGO TIPO: 1 - 25 KG</t>
        </is>
      </c>
      <c r="B5244" s="697" t="n"/>
      <c r="C5244" s="697" t="n"/>
      <c r="D5244" s="697" t="n"/>
      <c r="E5244" s="697" t="n"/>
      <c r="F5244" s="697" t="n"/>
      <c r="G5244" s="697" t="n"/>
      <c r="H5244" s="697" t="n"/>
      <c r="I5244" s="697" t="n"/>
      <c r="J5244" s="697" t="n"/>
      <c r="K5244" s="697" t="n"/>
      <c r="L5244" s="697" t="n"/>
      <c r="M5244" s="698" t="n"/>
    </row>
    <row r="5245">
      <c r="A5245" s="3" t="inlineStr">
        <is>
          <t>DATA</t>
        </is>
      </c>
      <c r="B5245" s="3" t="inlineStr">
        <is>
          <t>N.F.</t>
        </is>
      </c>
      <c r="C5245" s="3" t="inlineStr">
        <is>
          <t>TIPO</t>
        </is>
      </c>
      <c r="D5245" s="708" t="inlineStr">
        <is>
          <t>PREÇO UNITÁRIO</t>
        </is>
      </c>
      <c r="E5245" s="736" t="n"/>
      <c r="F5245" s="3" t="inlineStr">
        <is>
          <t>QUANTIDADE / KG</t>
        </is>
      </c>
      <c r="G5245" s="737" t="n"/>
      <c r="H5245" s="736" t="n"/>
      <c r="I5245" s="631" t="inlineStr">
        <is>
          <t>PREÇO</t>
        </is>
      </c>
      <c r="J5245" s="631" t="inlineStr">
        <is>
          <t>VALORES</t>
        </is>
      </c>
      <c r="K5245" s="737" t="n"/>
      <c r="L5245" s="736" t="n"/>
      <c r="M5245" s="738" t="n"/>
    </row>
    <row r="5246" ht="15.75" customHeight="1" s="436" thickBot="1">
      <c r="A5246" s="704" t="n"/>
      <c r="B5246" s="704" t="n"/>
      <c r="C5246" s="704" t="n"/>
      <c r="D5246" s="703" t="n"/>
      <c r="E5246" s="701" t="n"/>
      <c r="F5246" s="705" t="n"/>
      <c r="G5246" s="706" t="n"/>
      <c r="H5246" s="707" t="n"/>
      <c r="I5246" s="704" t="n"/>
      <c r="J5246" s="703" t="n"/>
      <c r="L5246" s="701" t="n"/>
      <c r="M5246" s="704" t="n"/>
    </row>
    <row r="5247" ht="15.75" customHeight="1" s="436" thickBot="1">
      <c r="A5247" s="704" t="n"/>
      <c r="B5247" s="704" t="n"/>
      <c r="C5247" s="704" t="n"/>
      <c r="D5247" s="705" t="n"/>
      <c r="E5247" s="707" t="n"/>
      <c r="F5247" s="3" t="inlineStr">
        <is>
          <t>ENTRADA</t>
        </is>
      </c>
      <c r="G5247" s="3" t="inlineStr">
        <is>
          <t>SAÍDA</t>
        </is>
      </c>
      <c r="H5247" s="640" t="n"/>
      <c r="I5247" s="633" t="inlineStr">
        <is>
          <t>MÉDIO</t>
        </is>
      </c>
      <c r="J5247" s="739" t="inlineStr">
        <is>
          <t>SALDO EM 30/11/2017</t>
        </is>
      </c>
      <c r="K5247" s="707" t="n"/>
      <c r="L5247" s="17" t="n"/>
      <c r="M5247" s="740" t="n"/>
    </row>
    <row r="5248" ht="15.75" customHeight="1" s="436" thickBot="1">
      <c r="A5248" s="695" t="n"/>
      <c r="B5248" s="695" t="n"/>
      <c r="C5248" s="695" t="n"/>
      <c r="D5248" s="3" t="inlineStr">
        <is>
          <t>C/ICMS</t>
        </is>
      </c>
      <c r="E5248" s="3" t="inlineStr">
        <is>
          <t>S/ICMS</t>
        </is>
      </c>
      <c r="F5248" s="695" t="n"/>
      <c r="G5248" s="695" t="n"/>
      <c r="H5248" s="361" t="inlineStr">
        <is>
          <t>Saldo em 31/01/2026</t>
        </is>
      </c>
      <c r="I5248" s="695" t="n"/>
      <c r="J5248" s="645" t="inlineStr">
        <is>
          <t>ENTRADA</t>
        </is>
      </c>
      <c r="K5248" s="633" t="inlineStr">
        <is>
          <t>SAÍDA / CMV</t>
        </is>
      </c>
      <c r="L5248" s="643" t="inlineStr">
        <is>
          <t>SALDO</t>
        </is>
      </c>
      <c r="M5248" s="392" t="n"/>
    </row>
    <row r="5249">
      <c r="A5249" s="392" t="n"/>
      <c r="B5249" s="392" t="n"/>
      <c r="C5249" s="392" t="n"/>
      <c r="D5249" s="392" t="n"/>
      <c r="E5249" s="392" t="n"/>
      <c r="F5249" s="392" t="n"/>
      <c r="G5249" s="392" t="n"/>
      <c r="H5249" s="446" t="n">
        <v>2566</v>
      </c>
      <c r="I5249" s="392" t="n"/>
      <c r="J5249" s="392" t="n"/>
      <c r="K5249" s="392" t="n"/>
      <c r="L5249" s="392" t="n"/>
      <c r="M5249" s="392" t="n"/>
    </row>
    <row r="5250">
      <c r="A5250" s="568" t="n">
        <v>46055</v>
      </c>
      <c r="B5250" s="392" t="n">
        <v>12438</v>
      </c>
      <c r="C5250" s="392" t="n">
        <v>80</v>
      </c>
      <c r="D5250" s="392" t="n"/>
      <c r="E5250" s="392" t="n"/>
      <c r="F5250" s="392" t="n"/>
      <c r="G5250" s="392" t="n">
        <v>50</v>
      </c>
      <c r="H5250" s="446">
        <f>H5249-G5250</f>
        <v/>
      </c>
      <c r="I5250" s="392" t="n"/>
      <c r="J5250" s="392" t="n"/>
      <c r="K5250" s="392" t="n"/>
      <c r="L5250" s="392" t="n"/>
      <c r="M5250" s="392" t="n"/>
    </row>
    <row r="5251">
      <c r="A5251" s="568" t="n">
        <v>46055</v>
      </c>
      <c r="B5251" s="392" t="n">
        <v>12439</v>
      </c>
      <c r="C5251" s="392" t="n">
        <v>79</v>
      </c>
      <c r="D5251" s="392" t="n"/>
      <c r="E5251" s="392" t="n"/>
      <c r="F5251" s="392" t="n"/>
      <c r="G5251" s="392" t="n">
        <v>10</v>
      </c>
      <c r="H5251" s="446">
        <f>H5250-G5251</f>
        <v/>
      </c>
      <c r="I5251" s="392" t="n"/>
      <c r="J5251" s="392" t="n"/>
      <c r="K5251" s="392" t="n"/>
      <c r="L5251" s="392" t="n"/>
      <c r="M5251" s="392" t="n"/>
    </row>
    <row r="5252">
      <c r="A5252" s="568" t="n">
        <v>46055</v>
      </c>
      <c r="B5252" s="392" t="n">
        <v>12440</v>
      </c>
      <c r="C5252" s="392" t="n">
        <v>80</v>
      </c>
      <c r="D5252" s="392" t="n"/>
      <c r="E5252" s="392" t="n"/>
      <c r="F5252" s="392" t="n"/>
      <c r="G5252" s="392" t="n">
        <v>20</v>
      </c>
      <c r="H5252" s="446">
        <f>H5251-G5252</f>
        <v/>
      </c>
      <c r="I5252" s="392" t="n"/>
      <c r="J5252" s="392" t="n"/>
      <c r="K5252" s="392" t="n"/>
      <c r="L5252" s="392" t="n"/>
      <c r="M5252" s="392" t="n"/>
    </row>
    <row r="5253">
      <c r="A5253" s="568" t="n">
        <v>46055</v>
      </c>
      <c r="B5253" s="392" t="n">
        <v>12441</v>
      </c>
      <c r="C5253" s="392" t="n">
        <v>90</v>
      </c>
      <c r="D5253" s="392" t="n"/>
      <c r="E5253" s="392" t="n"/>
      <c r="F5253" s="392" t="n"/>
      <c r="G5253" s="392" t="n">
        <v>20</v>
      </c>
      <c r="H5253" s="446">
        <f>H5252-G5253</f>
        <v/>
      </c>
      <c r="I5253" s="392" t="n"/>
      <c r="J5253" s="392" t="n"/>
      <c r="K5253" s="392" t="n"/>
      <c r="L5253" s="392" t="n"/>
      <c r="M5253" s="392" t="n"/>
    </row>
    <row r="5254">
      <c r="A5254" s="568" t="n">
        <v>46055</v>
      </c>
      <c r="B5254" s="392" t="n">
        <v>12442</v>
      </c>
      <c r="C5254" s="392" t="n">
        <v>78</v>
      </c>
      <c r="D5254" s="392" t="n"/>
      <c r="E5254" s="392" t="n"/>
      <c r="F5254" s="392" t="n"/>
      <c r="G5254" s="392" t="n">
        <v>20</v>
      </c>
      <c r="H5254" s="446">
        <f>H5253-G5254</f>
        <v/>
      </c>
      <c r="I5254" s="392" t="n"/>
      <c r="J5254" s="392" t="n"/>
      <c r="K5254" s="392" t="n"/>
      <c r="L5254" s="392" t="n"/>
      <c r="M5254" s="392" t="n"/>
    </row>
    <row r="5255">
      <c r="A5255" s="568" t="n">
        <v>46055</v>
      </c>
      <c r="B5255" s="392" t="n">
        <v>12444</v>
      </c>
      <c r="C5255" s="392" t="n">
        <v>83</v>
      </c>
      <c r="D5255" s="392" t="n"/>
      <c r="E5255" s="392" t="n"/>
      <c r="F5255" s="392" t="n"/>
      <c r="G5255" s="392" t="n">
        <v>20</v>
      </c>
      <c r="H5255" s="446">
        <f>H5254-G5255</f>
        <v/>
      </c>
      <c r="I5255" s="392" t="n"/>
      <c r="J5255" s="392" t="n"/>
      <c r="K5255" s="392" t="n"/>
      <c r="L5255" s="392" t="n"/>
      <c r="M5255" s="392" t="n"/>
    </row>
    <row r="5256">
      <c r="A5256" s="568" t="n">
        <v>46055</v>
      </c>
      <c r="B5256" s="392" t="n">
        <v>12446</v>
      </c>
      <c r="C5256" s="392" t="n">
        <v>90</v>
      </c>
      <c r="D5256" s="392" t="n"/>
      <c r="E5256" s="392" t="n"/>
      <c r="F5256" s="392" t="n"/>
      <c r="G5256" s="392" t="n">
        <v>20</v>
      </c>
      <c r="H5256" s="446">
        <f>H5255-G5256</f>
        <v/>
      </c>
      <c r="I5256" s="392" t="n"/>
      <c r="J5256" s="392" t="n"/>
      <c r="K5256" s="392" t="n"/>
      <c r="L5256" s="392" t="n"/>
      <c r="M5256" s="392" t="n"/>
    </row>
    <row r="5257">
      <c r="A5257" s="568" t="n">
        <v>46057</v>
      </c>
      <c r="B5257" s="392" t="n">
        <v>12449</v>
      </c>
      <c r="C5257" s="392" t="n">
        <v>80</v>
      </c>
      <c r="D5257" s="392" t="n"/>
      <c r="E5257" s="392" t="n"/>
      <c r="F5257" s="392" t="n"/>
      <c r="G5257" s="392" t="n">
        <v>30</v>
      </c>
      <c r="H5257" s="446">
        <f>H5256-G5257</f>
        <v/>
      </c>
      <c r="I5257" s="392" t="n"/>
      <c r="J5257" s="392" t="n"/>
      <c r="K5257" s="392" t="n"/>
      <c r="L5257" s="392" t="n"/>
      <c r="M5257" s="392" t="n"/>
    </row>
    <row r="5258">
      <c r="A5258" s="568" t="n">
        <v>46057</v>
      </c>
      <c r="B5258" s="392" t="n">
        <v>12450</v>
      </c>
      <c r="C5258" s="392" t="n">
        <v>78</v>
      </c>
      <c r="D5258" s="392" t="n"/>
      <c r="E5258" s="392" t="n"/>
      <c r="F5258" s="392" t="n"/>
      <c r="G5258" s="392" t="n">
        <v>20</v>
      </c>
      <c r="H5258" s="446">
        <f>H5257-G5258</f>
        <v/>
      </c>
      <c r="I5258" s="392" t="n"/>
      <c r="J5258" s="392" t="n"/>
      <c r="K5258" s="392" t="n"/>
      <c r="L5258" s="392" t="n"/>
      <c r="M5258" s="392" t="n"/>
    </row>
    <row r="5259">
      <c r="A5259" s="568" t="n">
        <v>46057</v>
      </c>
      <c r="B5259" s="392" t="n">
        <v>12451</v>
      </c>
      <c r="C5259" s="392" t="n">
        <v>81.16</v>
      </c>
      <c r="D5259" s="392" t="n"/>
      <c r="E5259" s="392" t="n"/>
      <c r="F5259" s="392" t="n"/>
      <c r="G5259" s="392" t="n">
        <v>26</v>
      </c>
      <c r="H5259" s="446">
        <f>H5258-G5259</f>
        <v/>
      </c>
      <c r="I5259" s="392" t="n"/>
      <c r="J5259" s="392" t="n"/>
      <c r="K5259" s="392" t="n"/>
      <c r="L5259" s="392" t="n"/>
      <c r="M5259" s="392" t="n"/>
    </row>
    <row r="5260">
      <c r="A5260" s="568" t="n">
        <v>46058</v>
      </c>
      <c r="B5260" s="392" t="n">
        <v>12452</v>
      </c>
      <c r="C5260" s="392" t="n">
        <v>82</v>
      </c>
      <c r="D5260" s="392" t="n"/>
      <c r="E5260" s="392" t="n"/>
      <c r="F5260" s="392" t="n"/>
      <c r="G5260" s="392" t="n">
        <v>25</v>
      </c>
      <c r="H5260" s="446">
        <f>H5259-G5260</f>
        <v/>
      </c>
      <c r="I5260" s="392" t="n"/>
      <c r="J5260" s="392" t="n"/>
      <c r="K5260" s="392" t="n"/>
      <c r="L5260" s="392" t="n"/>
      <c r="M5260" s="392" t="n"/>
    </row>
    <row r="5261">
      <c r="A5261" s="568" t="n">
        <v>46063</v>
      </c>
      <c r="B5261" s="392" t="n">
        <v>12453</v>
      </c>
      <c r="C5261" s="392" t="n">
        <v>79</v>
      </c>
      <c r="D5261" s="392" t="n"/>
      <c r="E5261" s="392" t="n"/>
      <c r="F5261" s="392" t="n"/>
      <c r="G5261" s="392" t="n">
        <v>10</v>
      </c>
      <c r="H5261" s="446">
        <f>H5260-G5261</f>
        <v/>
      </c>
      <c r="I5261" s="392" t="n"/>
      <c r="J5261" s="392" t="n"/>
      <c r="K5261" s="392" t="n"/>
      <c r="L5261" s="392" t="n"/>
      <c r="M5261" s="392" t="n"/>
    </row>
    <row r="5262">
      <c r="A5262" s="568" t="n">
        <v>46063</v>
      </c>
      <c r="B5262" s="392" t="n">
        <v>12454</v>
      </c>
      <c r="C5262" s="392" t="n">
        <v>80</v>
      </c>
      <c r="D5262" s="392" t="n"/>
      <c r="E5262" s="392" t="n"/>
      <c r="F5262" s="392" t="n"/>
      <c r="G5262" s="392" t="n">
        <v>20</v>
      </c>
      <c r="H5262" s="446">
        <f>H5261-G5262</f>
        <v/>
      </c>
      <c r="I5262" s="392" t="n"/>
      <c r="J5262" s="392" t="n"/>
      <c r="K5262" s="392" t="n"/>
      <c r="L5262" s="392" t="n"/>
      <c r="M5262" s="392" t="n"/>
    </row>
    <row r="5263">
      <c r="A5263" s="568" t="n">
        <v>46063</v>
      </c>
      <c r="B5263" s="392" t="n">
        <v>12456</v>
      </c>
      <c r="C5263" s="392" t="n">
        <v>80</v>
      </c>
      <c r="D5263" s="392" t="n"/>
      <c r="E5263" s="392" t="n"/>
      <c r="F5263" s="392" t="n"/>
      <c r="G5263" s="392" t="n">
        <v>30</v>
      </c>
      <c r="H5263" s="446">
        <f>H5262-G5263</f>
        <v/>
      </c>
      <c r="I5263" s="392" t="n"/>
      <c r="J5263" s="392" t="n"/>
      <c r="K5263" s="392" t="n"/>
      <c r="L5263" s="392" t="n"/>
      <c r="M5263" s="392" t="n"/>
    </row>
    <row r="5264">
      <c r="A5264" s="568" t="n">
        <v>46063</v>
      </c>
      <c r="B5264" s="392" t="n">
        <v>12457</v>
      </c>
      <c r="C5264" s="392" t="n">
        <v>80</v>
      </c>
      <c r="D5264" s="392" t="n"/>
      <c r="E5264" s="392" t="n"/>
      <c r="F5264" s="392" t="n"/>
      <c r="G5264" s="392" t="n">
        <v>20</v>
      </c>
      <c r="H5264" s="446">
        <f>H5263-G5264</f>
        <v/>
      </c>
      <c r="I5264" s="392" t="n"/>
      <c r="J5264" s="392" t="n"/>
      <c r="K5264" s="392" t="n"/>
      <c r="L5264" s="392" t="n"/>
      <c r="M5264" s="392" t="n"/>
    </row>
    <row r="5265">
      <c r="A5265" s="568" t="n">
        <v>46063</v>
      </c>
      <c r="B5265" s="392" t="n">
        <v>12461</v>
      </c>
      <c r="C5265" s="392" t="n">
        <v>80</v>
      </c>
      <c r="D5265" s="392" t="n"/>
      <c r="E5265" s="392" t="n"/>
      <c r="F5265" s="392" t="n"/>
      <c r="G5265" s="392" t="n">
        <v>20</v>
      </c>
      <c r="H5265" s="446">
        <f>H5264-G5265</f>
        <v/>
      </c>
      <c r="I5265" s="392" t="n"/>
      <c r="J5265" s="392" t="n"/>
      <c r="K5265" s="392" t="n"/>
      <c r="L5265" s="392" t="n"/>
      <c r="M5265" s="392" t="n"/>
    </row>
    <row r="5266">
      <c r="A5266" s="568" t="n">
        <v>46063</v>
      </c>
      <c r="B5266" s="392" t="n">
        <v>12464</v>
      </c>
      <c r="C5266" s="392" t="n">
        <v>90</v>
      </c>
      <c r="D5266" s="392" t="n"/>
      <c r="E5266" s="392" t="n"/>
      <c r="F5266" s="392" t="n"/>
      <c r="G5266" s="392" t="n">
        <v>40</v>
      </c>
      <c r="H5266" s="446">
        <f>H5265-G5266</f>
        <v/>
      </c>
      <c r="I5266" s="392" t="n"/>
      <c r="J5266" s="392" t="n"/>
      <c r="K5266" s="392" t="n"/>
      <c r="L5266" s="392" t="n"/>
      <c r="M5266" s="392" t="n"/>
    </row>
    <row r="5267">
      <c r="A5267" s="568" t="n">
        <v>46065</v>
      </c>
      <c r="B5267" s="392" t="n">
        <v>12466</v>
      </c>
      <c r="C5267" s="392" t="n">
        <v>78</v>
      </c>
      <c r="D5267" s="392" t="n"/>
      <c r="E5267" s="392" t="n"/>
      <c r="F5267" s="392" t="n"/>
      <c r="G5267" s="392" t="n">
        <v>20</v>
      </c>
      <c r="H5267" s="446">
        <f>H5266-G5267</f>
        <v/>
      </c>
      <c r="I5267" s="392" t="n"/>
      <c r="J5267" s="392" t="n"/>
      <c r="K5267" s="392" t="n"/>
      <c r="L5267" s="392" t="n"/>
      <c r="M5267" s="392" t="n"/>
    </row>
    <row r="5268">
      <c r="A5268" s="568" t="n">
        <v>46065</v>
      </c>
      <c r="B5268" s="392" t="n">
        <v>12467</v>
      </c>
      <c r="C5268" s="392" t="n">
        <v>80</v>
      </c>
      <c r="D5268" s="392" t="n"/>
      <c r="E5268" s="392" t="n"/>
      <c r="F5268" s="392" t="n"/>
      <c r="G5268" s="392" t="n">
        <v>20</v>
      </c>
      <c r="H5268" s="446">
        <f>H5267-G5268</f>
        <v/>
      </c>
      <c r="I5268" s="392" t="n"/>
      <c r="J5268" s="392" t="n"/>
      <c r="K5268" s="392" t="n"/>
      <c r="L5268" s="392" t="n"/>
      <c r="M5268" s="392" t="n"/>
    </row>
    <row r="5269">
      <c r="A5269" s="568" t="n">
        <v>46065</v>
      </c>
      <c r="B5269" s="392" t="n">
        <v>12468</v>
      </c>
      <c r="C5269" s="392" t="n">
        <v>87</v>
      </c>
      <c r="D5269" s="392" t="n"/>
      <c r="E5269" s="392" t="n"/>
      <c r="F5269" s="392" t="n"/>
      <c r="G5269" s="392" t="n">
        <v>30</v>
      </c>
      <c r="H5269" s="446">
        <f>H5268-G5269</f>
        <v/>
      </c>
      <c r="I5269" s="392" t="n"/>
      <c r="J5269" s="392" t="n"/>
      <c r="K5269" s="392" t="n"/>
      <c r="L5269" s="392" t="n"/>
      <c r="M5269" s="392" t="n"/>
    </row>
    <row r="5270">
      <c r="A5270" s="568" t="n">
        <v>46070</v>
      </c>
      <c r="B5270" s="392" t="n">
        <v>12469</v>
      </c>
      <c r="C5270" s="392" t="n">
        <v>79</v>
      </c>
      <c r="D5270" s="392" t="n"/>
      <c r="E5270" s="392" t="n"/>
      <c r="F5270" s="392" t="n"/>
      <c r="G5270" s="392" t="n">
        <v>10</v>
      </c>
      <c r="H5270" s="446">
        <f>H5269-G5270</f>
        <v/>
      </c>
      <c r="I5270" s="392" t="n"/>
      <c r="J5270" s="392" t="n"/>
      <c r="K5270" s="392" t="n"/>
      <c r="L5270" s="392" t="n"/>
      <c r="M5270" s="392" t="n"/>
    </row>
    <row r="5271">
      <c r="A5271" s="568" t="n">
        <v>46070</v>
      </c>
      <c r="B5271" s="392" t="n">
        <v>12470</v>
      </c>
      <c r="C5271" s="392" t="n">
        <v>90</v>
      </c>
      <c r="D5271" s="392" t="n"/>
      <c r="E5271" s="392" t="n"/>
      <c r="F5271" s="392" t="n"/>
      <c r="G5271" s="392" t="n">
        <v>20</v>
      </c>
      <c r="H5271" s="446">
        <f>H5270-G5271</f>
        <v/>
      </c>
      <c r="I5271" s="392" t="n"/>
      <c r="J5271" s="392" t="n"/>
      <c r="K5271" s="392" t="n"/>
      <c r="L5271" s="392" t="n"/>
      <c r="M5271" s="392" t="n"/>
    </row>
    <row r="5272">
      <c r="A5272" s="568" t="n">
        <v>46070</v>
      </c>
      <c r="B5272" s="392" t="n">
        <v>12472</v>
      </c>
      <c r="C5272" s="392" t="n">
        <v>80</v>
      </c>
      <c r="D5272" s="392" t="n"/>
      <c r="E5272" s="392" t="n"/>
      <c r="F5272" s="392" t="n"/>
      <c r="G5272" s="392" t="n">
        <v>30</v>
      </c>
      <c r="H5272" s="446">
        <f>H5271-G5272</f>
        <v/>
      </c>
      <c r="I5272" s="392" t="n"/>
      <c r="J5272" s="392" t="n"/>
      <c r="K5272" s="392" t="n"/>
      <c r="L5272" s="392" t="n"/>
      <c r="M5272" s="392" t="n"/>
    </row>
    <row r="5273">
      <c r="A5273" s="568" t="n">
        <v>46070</v>
      </c>
      <c r="B5273" s="392" t="n">
        <v>12474</v>
      </c>
      <c r="C5273" s="392" t="n">
        <v>80</v>
      </c>
      <c r="D5273" s="392" t="n"/>
      <c r="E5273" s="392" t="n"/>
      <c r="F5273" s="392" t="n"/>
      <c r="G5273" s="392" t="n">
        <v>70</v>
      </c>
      <c r="H5273" s="446">
        <f>H5272-G5273</f>
        <v/>
      </c>
      <c r="I5273" s="392" t="n"/>
      <c r="J5273" s="392" t="n"/>
      <c r="K5273" s="392" t="n"/>
      <c r="L5273" s="392" t="n"/>
      <c r="M5273" s="392" t="n"/>
    </row>
    <row r="5274">
      <c r="A5274" s="568" t="n">
        <v>46075</v>
      </c>
      <c r="B5274" s="392" t="n">
        <v>12476</v>
      </c>
      <c r="C5274" s="392" t="n">
        <v>87</v>
      </c>
      <c r="D5274" s="392" t="n"/>
      <c r="E5274" s="392" t="n"/>
      <c r="F5274" s="392" t="n"/>
      <c r="G5274" s="392" t="n">
        <v>30</v>
      </c>
      <c r="H5274" s="446">
        <f>H5273-G5274</f>
        <v/>
      </c>
      <c r="I5274" s="392" t="n"/>
      <c r="J5274" s="392" t="n"/>
      <c r="K5274" s="392" t="n"/>
      <c r="L5274" s="392" t="n"/>
      <c r="M5274" s="392" t="n"/>
    </row>
    <row r="5275">
      <c r="A5275" s="568" t="n">
        <v>46075</v>
      </c>
      <c r="B5275" s="392" t="n">
        <v>12477</v>
      </c>
      <c r="C5275" s="392" t="n">
        <v>88</v>
      </c>
      <c r="D5275" s="392" t="n"/>
      <c r="E5275" s="392" t="n"/>
      <c r="F5275" s="392" t="n"/>
      <c r="G5275" s="392" t="n">
        <v>100</v>
      </c>
      <c r="H5275" s="446">
        <f>H5274-G5275</f>
        <v/>
      </c>
      <c r="I5275" s="392" t="n"/>
      <c r="J5275" s="392" t="n"/>
      <c r="K5275" s="392" t="n"/>
      <c r="L5275" s="392" t="n"/>
      <c r="M5275" s="392" t="n"/>
    </row>
    <row r="5276">
      <c r="A5276" s="568" t="n">
        <v>46076</v>
      </c>
      <c r="B5276" s="392" t="n">
        <v>12478</v>
      </c>
      <c r="C5276" s="392" t="n">
        <v>80</v>
      </c>
      <c r="D5276" s="392" t="n"/>
      <c r="E5276" s="392" t="n"/>
      <c r="F5276" s="392" t="n"/>
      <c r="G5276" s="392" t="n">
        <v>30</v>
      </c>
      <c r="H5276" s="446">
        <f>H5275-G5276</f>
        <v/>
      </c>
      <c r="I5276" s="392" t="n"/>
      <c r="J5276" s="392" t="n"/>
      <c r="K5276" s="392" t="n"/>
      <c r="L5276" s="392" t="n"/>
      <c r="M5276" s="392" t="n"/>
    </row>
    <row r="5277">
      <c r="A5277" s="568" t="n">
        <v>46076</v>
      </c>
      <c r="B5277" s="392" t="n">
        <v>12479</v>
      </c>
      <c r="C5277" s="392" t="n">
        <v>80</v>
      </c>
      <c r="D5277" s="392" t="n"/>
      <c r="E5277" s="392" t="n"/>
      <c r="F5277" s="392" t="n"/>
      <c r="G5277" s="392" t="n">
        <v>40</v>
      </c>
      <c r="H5277" s="446">
        <f>H5276-G5277</f>
        <v/>
      </c>
      <c r="I5277" s="392" t="n"/>
      <c r="J5277" s="392" t="n"/>
      <c r="K5277" s="392" t="n"/>
      <c r="L5277" s="392" t="n"/>
      <c r="M5277" s="392" t="n"/>
    </row>
    <row r="5278">
      <c r="A5278" s="568" t="n">
        <v>46076</v>
      </c>
      <c r="B5278" s="392" t="n">
        <v>12480</v>
      </c>
      <c r="C5278" s="392" t="n">
        <v>90</v>
      </c>
      <c r="D5278" s="392" t="n"/>
      <c r="E5278" s="392" t="n"/>
      <c r="F5278" s="392" t="n"/>
      <c r="G5278" s="392" t="n">
        <v>40</v>
      </c>
      <c r="H5278" s="446">
        <f>H5277-G5278</f>
        <v/>
      </c>
      <c r="I5278" s="392" t="n"/>
      <c r="J5278" s="392" t="n"/>
      <c r="K5278" s="392" t="n"/>
      <c r="L5278" s="392" t="n"/>
      <c r="M5278" s="392" t="n"/>
    </row>
    <row r="5279">
      <c r="A5279" s="568" t="n">
        <v>46076</v>
      </c>
      <c r="B5279" s="392" t="n">
        <v>12481</v>
      </c>
      <c r="C5279" s="392" t="n">
        <v>78</v>
      </c>
      <c r="D5279" s="392" t="n"/>
      <c r="E5279" s="392" t="n"/>
      <c r="F5279" s="392" t="n"/>
      <c r="G5279" s="392" t="n">
        <v>50</v>
      </c>
      <c r="H5279" s="446">
        <f>H5278-G5279</f>
        <v/>
      </c>
      <c r="I5279" s="392" t="n"/>
      <c r="J5279" s="392" t="n"/>
      <c r="K5279" s="392" t="n"/>
      <c r="L5279" s="392" t="n"/>
      <c r="M5279" s="392" t="n"/>
    </row>
    <row r="5280">
      <c r="A5280" s="568" t="n">
        <v>46076</v>
      </c>
      <c r="B5280" s="392" t="n">
        <v>12482</v>
      </c>
      <c r="C5280" s="392" t="n">
        <v>90</v>
      </c>
      <c r="D5280" s="392" t="n"/>
      <c r="E5280" s="392" t="n"/>
      <c r="F5280" s="392" t="n"/>
      <c r="G5280" s="392" t="n">
        <v>20</v>
      </c>
      <c r="H5280" s="446">
        <f>H5279-G5280</f>
        <v/>
      </c>
      <c r="I5280" s="392" t="n"/>
      <c r="J5280" s="392" t="n"/>
      <c r="K5280" s="392" t="n"/>
      <c r="L5280" s="392" t="n"/>
      <c r="M5280" s="392" t="n"/>
    </row>
    <row r="5281">
      <c r="A5281" s="568" t="n">
        <v>46076</v>
      </c>
      <c r="B5281" s="392" t="n">
        <v>12483</v>
      </c>
      <c r="C5281" s="392" t="n">
        <v>89</v>
      </c>
      <c r="D5281" s="392" t="n"/>
      <c r="E5281" s="392" t="n"/>
      <c r="F5281" s="392" t="n"/>
      <c r="G5281" s="392" t="n">
        <v>100</v>
      </c>
      <c r="H5281" s="446">
        <f>H5280-G5281</f>
        <v/>
      </c>
      <c r="I5281" s="392" t="n"/>
      <c r="J5281" s="392" t="n"/>
      <c r="K5281" s="392" t="n"/>
      <c r="L5281" s="392" t="n"/>
      <c r="M5281" s="392" t="n"/>
    </row>
    <row r="5282">
      <c r="A5282" s="304" t="n">
        <v>46076</v>
      </c>
      <c r="B5282" s="401" t="n">
        <v>4299</v>
      </c>
      <c r="C5282" s="401" t="n"/>
      <c r="D5282" s="401" t="n"/>
      <c r="E5282" s="401" t="n">
        <v>1120</v>
      </c>
      <c r="F5282" s="401" t="n"/>
      <c r="G5282" s="401" t="n"/>
      <c r="H5282" s="322" t="n">
        <v>2675</v>
      </c>
      <c r="I5282" s="392" t="n"/>
      <c r="J5282" s="392" t="n"/>
      <c r="K5282" s="392" t="n"/>
      <c r="L5282" s="392" t="n"/>
      <c r="M5282" s="392" t="n"/>
    </row>
    <row r="5283">
      <c r="A5283" s="304" t="n">
        <v>46079</v>
      </c>
      <c r="B5283" s="401" t="n">
        <v>4308</v>
      </c>
      <c r="C5283" s="401" t="n"/>
      <c r="D5283" s="401" t="n"/>
      <c r="E5283" s="401" t="n">
        <v>1120</v>
      </c>
      <c r="F5283" s="401" t="n"/>
      <c r="G5283" s="401" t="n"/>
      <c r="H5283" s="322" t="n">
        <v>3795</v>
      </c>
      <c r="I5283" s="392" t="n"/>
      <c r="J5283" s="392" t="n"/>
      <c r="K5283" s="392" t="n"/>
      <c r="L5283" s="392" t="n"/>
      <c r="M5283" s="392" t="n"/>
    </row>
    <row r="5284">
      <c r="A5284" s="568" t="n">
        <v>46076</v>
      </c>
      <c r="B5284" s="392" t="n">
        <v>12488</v>
      </c>
      <c r="C5284" s="392" t="n">
        <v>80</v>
      </c>
      <c r="D5284" s="392" t="n"/>
      <c r="E5284" s="392" t="n"/>
      <c r="F5284" s="392" t="n"/>
      <c r="G5284" s="392" t="n">
        <v>15</v>
      </c>
      <c r="H5284" s="446">
        <f>H5283-G5284</f>
        <v/>
      </c>
      <c r="I5284" s="392" t="n"/>
      <c r="J5284" s="392" t="n"/>
      <c r="K5284" s="392" t="n"/>
      <c r="L5284" s="392" t="n"/>
      <c r="M5284" s="392" t="n"/>
    </row>
    <row r="5285">
      <c r="A5285" s="568" t="n">
        <v>46077</v>
      </c>
      <c r="B5285" s="392" t="n">
        <v>1289</v>
      </c>
      <c r="C5285" s="392" t="n">
        <v>81.16</v>
      </c>
      <c r="D5285" s="392" t="n"/>
      <c r="E5285" s="392" t="n"/>
      <c r="F5285" s="392" t="n"/>
      <c r="G5285" s="392" t="n">
        <v>20</v>
      </c>
      <c r="H5285" s="446">
        <f>H5284-G5285</f>
        <v/>
      </c>
      <c r="I5285" s="392" t="n"/>
      <c r="J5285" s="392" t="n"/>
      <c r="K5285" s="392" t="n"/>
      <c r="L5285" s="392" t="n"/>
      <c r="M5285" s="392" t="n"/>
    </row>
    <row r="5286" ht="15.75" customHeight="1" s="436" thickBot="1">
      <c r="A5286" s="414" t="n"/>
      <c r="H5286" s="390" t="n"/>
    </row>
    <row r="5287" ht="32.25" customHeight="1" s="436" thickBot="1">
      <c r="A5287" s="735" t="inlineStr">
        <is>
          <t>Março</t>
        </is>
      </c>
      <c r="B5287" s="697" t="n"/>
      <c r="C5287" s="697" t="n"/>
      <c r="D5287" s="697" t="n"/>
      <c r="E5287" s="697" t="n"/>
      <c r="F5287" s="697" t="n"/>
      <c r="G5287" s="697" t="n"/>
      <c r="H5287" s="697" t="n"/>
      <c r="I5287" s="697" t="n"/>
      <c r="J5287" s="697" t="n"/>
      <c r="K5287" s="697" t="n"/>
      <c r="L5287" s="697" t="n"/>
      <c r="M5287" s="698" t="n"/>
    </row>
    <row r="5288" ht="27" customHeight="1" s="436" thickBot="1">
      <c r="A5288" s="720" t="inlineStr">
        <is>
          <t xml:space="preserve"> FARINHA DE TRIGO TIPO: 1 - 25 KG</t>
        </is>
      </c>
      <c r="B5288" s="697" t="n"/>
      <c r="C5288" s="697" t="n"/>
      <c r="D5288" s="697" t="n"/>
      <c r="E5288" s="697" t="n"/>
      <c r="F5288" s="697" t="n"/>
      <c r="G5288" s="697" t="n"/>
      <c r="H5288" s="697" t="n"/>
      <c r="I5288" s="697" t="n"/>
      <c r="J5288" s="697" t="n"/>
      <c r="K5288" s="697" t="n"/>
      <c r="L5288" s="697" t="n"/>
      <c r="M5288" s="698" t="n"/>
    </row>
    <row r="5289">
      <c r="A5289" s="3" t="inlineStr">
        <is>
          <t>DATA</t>
        </is>
      </c>
      <c r="B5289" s="3" t="inlineStr">
        <is>
          <t>N.F.</t>
        </is>
      </c>
      <c r="C5289" s="3" t="inlineStr">
        <is>
          <t>TIPO</t>
        </is>
      </c>
      <c r="D5289" s="708" t="inlineStr">
        <is>
          <t>PREÇO UNITÁRIO</t>
        </is>
      </c>
      <c r="E5289" s="736" t="n"/>
      <c r="F5289" s="3" t="inlineStr">
        <is>
          <t>QUANTIDADE / KG</t>
        </is>
      </c>
      <c r="G5289" s="737" t="n"/>
      <c r="H5289" s="736" t="n"/>
      <c r="I5289" s="631" t="inlineStr">
        <is>
          <t>PREÇO</t>
        </is>
      </c>
      <c r="J5289" s="631" t="inlineStr">
        <is>
          <t>VALORES</t>
        </is>
      </c>
      <c r="K5289" s="737" t="n"/>
      <c r="L5289" s="736" t="n"/>
      <c r="M5289" s="738" t="n"/>
    </row>
    <row r="5290" ht="15.75" customHeight="1" s="436" thickBot="1">
      <c r="A5290" s="704" t="n"/>
      <c r="B5290" s="704" t="n"/>
      <c r="C5290" s="704" t="n"/>
      <c r="D5290" s="703" t="n"/>
      <c r="E5290" s="701" t="n"/>
      <c r="F5290" s="705" t="n"/>
      <c r="G5290" s="706" t="n"/>
      <c r="H5290" s="707" t="n"/>
      <c r="I5290" s="704" t="n"/>
      <c r="J5290" s="703" t="n"/>
      <c r="L5290" s="701" t="n"/>
      <c r="M5290" s="704" t="n"/>
    </row>
    <row r="5291" ht="15.75" customHeight="1" s="436" thickBot="1">
      <c r="A5291" s="704" t="n"/>
      <c r="B5291" s="704" t="n"/>
      <c r="C5291" s="704" t="n"/>
      <c r="D5291" s="705" t="n"/>
      <c r="E5291" s="707" t="n"/>
      <c r="F5291" s="3" t="inlineStr">
        <is>
          <t>ENTRADA</t>
        </is>
      </c>
      <c r="G5291" s="3" t="inlineStr">
        <is>
          <t>SAÍDA</t>
        </is>
      </c>
      <c r="H5291" s="640" t="n"/>
      <c r="I5291" s="633" t="inlineStr">
        <is>
          <t>MÉDIO</t>
        </is>
      </c>
      <c r="J5291" s="739" t="inlineStr">
        <is>
          <t>SALDO EM 30/11/2017</t>
        </is>
      </c>
      <c r="K5291" s="707" t="n"/>
      <c r="L5291" s="17" t="n"/>
      <c r="M5291" s="740" t="n"/>
    </row>
    <row r="5292" ht="15.75" customHeight="1" s="436" thickBot="1">
      <c r="A5292" s="695" t="n"/>
      <c r="B5292" s="695" t="n"/>
      <c r="C5292" s="695" t="n"/>
      <c r="D5292" s="3" t="inlineStr">
        <is>
          <t>C/ICMS</t>
        </is>
      </c>
      <c r="E5292" s="3" t="inlineStr">
        <is>
          <t>S/ICMS</t>
        </is>
      </c>
      <c r="F5292" s="695" t="n"/>
      <c r="G5292" s="695" t="n"/>
      <c r="H5292" s="361" t="inlineStr">
        <is>
          <t>Saldo em 28/02/2026</t>
        </is>
      </c>
      <c r="I5292" s="695" t="n"/>
      <c r="J5292" s="645" t="inlineStr">
        <is>
          <t>ENTRADA</t>
        </is>
      </c>
      <c r="K5292" s="633" t="inlineStr">
        <is>
          <t>SAÍDA / CMV</t>
        </is>
      </c>
      <c r="L5292" s="643" t="inlineStr">
        <is>
          <t>SALDO</t>
        </is>
      </c>
      <c r="M5292" s="392" t="n"/>
    </row>
    <row r="5293">
      <c r="A5293" s="392" t="n"/>
      <c r="B5293" s="392" t="n"/>
      <c r="C5293" s="392" t="n"/>
      <c r="D5293" s="392" t="n"/>
      <c r="E5293" s="392" t="n"/>
      <c r="F5293" s="392" t="n"/>
      <c r="G5293" s="392" t="n"/>
      <c r="H5293" s="446" t="n">
        <v>3760</v>
      </c>
      <c r="I5293" s="392" t="n"/>
      <c r="J5293" s="392" t="n"/>
      <c r="K5293" s="392" t="n"/>
      <c r="L5293" s="392" t="n"/>
      <c r="M5293" s="392" t="n"/>
    </row>
    <row r="5294">
      <c r="A5294" s="568" t="n">
        <v>46082</v>
      </c>
      <c r="B5294" s="392" t="n">
        <v>12492</v>
      </c>
      <c r="C5294" s="392" t="n">
        <v>79</v>
      </c>
      <c r="D5294" s="392" t="n"/>
      <c r="E5294" s="392" t="n"/>
      <c r="F5294" s="392" t="n"/>
      <c r="G5294" s="392" t="n">
        <v>50</v>
      </c>
      <c r="H5294" s="446">
        <f>H5293-G5294</f>
        <v/>
      </c>
      <c r="I5294" s="392" t="n"/>
      <c r="J5294" s="392" t="n"/>
      <c r="K5294" s="392" t="n"/>
      <c r="L5294" s="392" t="n"/>
      <c r="M5294" s="392" t="n"/>
    </row>
    <row r="5295">
      <c r="A5295" s="568" t="n">
        <v>46082</v>
      </c>
      <c r="B5295" s="392" t="n">
        <v>12494</v>
      </c>
      <c r="C5295" s="392" t="n">
        <v>78</v>
      </c>
      <c r="D5295" s="392" t="n"/>
      <c r="E5295" s="392" t="n"/>
      <c r="F5295" s="392" t="n"/>
      <c r="G5295" s="392" t="n">
        <v>200</v>
      </c>
      <c r="H5295" s="446">
        <f>H5294-G5295</f>
        <v/>
      </c>
      <c r="I5295" s="392" t="n"/>
      <c r="J5295" s="392" t="n"/>
      <c r="K5295" s="392" t="n"/>
      <c r="L5295" s="392" t="n"/>
      <c r="M5295" s="392" t="n"/>
    </row>
    <row r="5296">
      <c r="A5296" s="568" t="n">
        <v>46082</v>
      </c>
      <c r="B5296" s="392" t="n">
        <v>12493</v>
      </c>
      <c r="C5296" s="392" t="n">
        <v>78</v>
      </c>
      <c r="D5296" s="392" t="n"/>
      <c r="E5296" s="392" t="n"/>
      <c r="F5296" s="392" t="n"/>
      <c r="G5296" s="392" t="n">
        <v>50</v>
      </c>
      <c r="H5296" s="446">
        <f>H5295-G5296</f>
        <v/>
      </c>
      <c r="I5296" s="392" t="n"/>
      <c r="J5296" s="392" t="n"/>
      <c r="K5296" s="392" t="n"/>
      <c r="L5296" s="392" t="n"/>
      <c r="M5296" s="392" t="n"/>
    </row>
    <row r="5297">
      <c r="A5297" s="568" t="n">
        <v>46083</v>
      </c>
      <c r="B5297" s="392" t="n">
        <v>12495</v>
      </c>
      <c r="C5297" s="392" t="n">
        <v>80</v>
      </c>
      <c r="D5297" s="392" t="n"/>
      <c r="E5297" s="392" t="n"/>
      <c r="F5297" s="392" t="n"/>
      <c r="G5297" s="392" t="n">
        <v>20</v>
      </c>
      <c r="H5297" s="446">
        <f>H5296-G5297</f>
        <v/>
      </c>
      <c r="I5297" s="392" t="n"/>
      <c r="J5297" s="392" t="n"/>
      <c r="K5297" s="392" t="n"/>
      <c r="L5297" s="392" t="n"/>
      <c r="M5297" s="392" t="n"/>
    </row>
    <row r="5298">
      <c r="A5298" s="568" t="n">
        <v>46083</v>
      </c>
      <c r="B5298" s="392" t="n">
        <v>12496</v>
      </c>
      <c r="C5298" s="392" t="n">
        <v>80</v>
      </c>
      <c r="D5298" s="392" t="n"/>
      <c r="E5298" s="392" t="n"/>
      <c r="F5298" s="392" t="n"/>
      <c r="G5298" s="392" t="n">
        <v>20</v>
      </c>
      <c r="H5298" s="446">
        <f>H5297-G5298</f>
        <v/>
      </c>
      <c r="I5298" s="392" t="n"/>
      <c r="J5298" s="392" t="n"/>
      <c r="K5298" s="392" t="n"/>
      <c r="L5298" s="392" t="n"/>
      <c r="M5298" s="392" t="n"/>
    </row>
    <row r="5299">
      <c r="A5299" s="568" t="n">
        <v>46083</v>
      </c>
      <c r="B5299" s="392" t="n">
        <v>12497</v>
      </c>
      <c r="C5299" s="392" t="n">
        <v>90</v>
      </c>
      <c r="D5299" s="392" t="n"/>
      <c r="E5299" s="392" t="n"/>
      <c r="F5299" s="392" t="n"/>
      <c r="G5299" s="392" t="n">
        <v>20</v>
      </c>
      <c r="H5299" s="446">
        <f>H5298-G5299</f>
        <v/>
      </c>
      <c r="I5299" s="392" t="n"/>
      <c r="J5299" s="392" t="n"/>
      <c r="K5299" s="392" t="n"/>
      <c r="L5299" s="392" t="n"/>
      <c r="M5299" s="392" t="n"/>
    </row>
    <row r="5300">
      <c r="A5300" s="568" t="n">
        <v>46083</v>
      </c>
      <c r="B5300" s="392" t="n">
        <v>12498</v>
      </c>
      <c r="C5300" s="392" t="n">
        <v>85</v>
      </c>
      <c r="D5300" s="392" t="n"/>
      <c r="E5300" s="392" t="n"/>
      <c r="F5300" s="392" t="n"/>
      <c r="G5300" s="392" t="n">
        <v>20</v>
      </c>
      <c r="H5300" s="446">
        <f>H5299-G5300</f>
        <v/>
      </c>
      <c r="I5300" s="392" t="n"/>
      <c r="J5300" s="392" t="n"/>
      <c r="K5300" s="392" t="n"/>
      <c r="L5300" s="392" t="n"/>
      <c r="M5300" s="392" t="n"/>
    </row>
    <row r="5301">
      <c r="A5301" s="568" t="n">
        <v>46083</v>
      </c>
      <c r="B5301" s="392" t="n">
        <v>12501</v>
      </c>
      <c r="C5301" s="392" t="n">
        <v>80</v>
      </c>
      <c r="D5301" s="392" t="n"/>
      <c r="E5301" s="392" t="n"/>
      <c r="F5301" s="392" t="n"/>
      <c r="G5301" s="392" t="n">
        <v>24</v>
      </c>
      <c r="H5301" s="446">
        <f>H5300-G5301</f>
        <v/>
      </c>
      <c r="I5301" s="392" t="n"/>
      <c r="J5301" s="392" t="n"/>
      <c r="K5301" s="392" t="n"/>
      <c r="L5301" s="392" t="n"/>
      <c r="M5301" s="392" t="n"/>
    </row>
    <row r="5302">
      <c r="A5302" s="568" t="n">
        <v>46084</v>
      </c>
      <c r="B5302" s="392" t="n">
        <v>12505</v>
      </c>
      <c r="C5302" s="392" t="n">
        <v>80</v>
      </c>
      <c r="D5302" s="392" t="n"/>
      <c r="E5302" s="392" t="n"/>
      <c r="F5302" s="392" t="n"/>
      <c r="G5302" s="392" t="n">
        <v>60</v>
      </c>
      <c r="H5302" s="446">
        <f>H5301-G5302</f>
        <v/>
      </c>
      <c r="I5302" s="392" t="n"/>
      <c r="J5302" s="392" t="n"/>
      <c r="K5302" s="392" t="n"/>
      <c r="L5302" s="392" t="n"/>
      <c r="M5302" s="392" t="n"/>
    </row>
    <row r="5303">
      <c r="A5303" s="568" t="n">
        <v>46085</v>
      </c>
      <c r="B5303" s="392" t="n">
        <v>12509</v>
      </c>
      <c r="C5303" s="392" t="n">
        <v>83</v>
      </c>
      <c r="D5303" s="392" t="n"/>
      <c r="E5303" s="392" t="n"/>
      <c r="F5303" s="392" t="n"/>
      <c r="G5303" s="392" t="n">
        <v>30</v>
      </c>
      <c r="H5303" s="446">
        <f>H5302-G5303</f>
        <v/>
      </c>
      <c r="I5303" s="392" t="n"/>
      <c r="J5303" s="392" t="n"/>
      <c r="K5303" s="392" t="n"/>
      <c r="L5303" s="392" t="n"/>
      <c r="M5303" s="392" t="n"/>
    </row>
    <row r="5304">
      <c r="A5304" s="568" t="n">
        <v>46090</v>
      </c>
      <c r="B5304" s="392" t="n">
        <v>12511</v>
      </c>
      <c r="C5304" s="392" t="n">
        <v>90</v>
      </c>
      <c r="D5304" s="392" t="n"/>
      <c r="E5304" s="392" t="n"/>
      <c r="F5304" s="392" t="n"/>
      <c r="G5304" s="392" t="n">
        <v>40</v>
      </c>
      <c r="H5304" s="446">
        <f>H5303-G5304</f>
        <v/>
      </c>
      <c r="I5304" s="392" t="n"/>
      <c r="J5304" s="392" t="n"/>
      <c r="K5304" s="392" t="n"/>
      <c r="L5304" s="392" t="n"/>
      <c r="M5304" s="392" t="n"/>
    </row>
    <row r="5305">
      <c r="A5305" s="568" t="n">
        <v>46090</v>
      </c>
      <c r="B5305" s="392" t="n">
        <v>12512</v>
      </c>
      <c r="C5305" s="392" t="n">
        <v>78</v>
      </c>
      <c r="D5305" s="392" t="n"/>
      <c r="E5305" s="392" t="n"/>
      <c r="F5305" s="392" t="n"/>
      <c r="G5305" s="392" t="n">
        <v>100</v>
      </c>
      <c r="H5305" s="446">
        <f>H5304-G5305</f>
        <v/>
      </c>
      <c r="I5305" s="392" t="n"/>
      <c r="J5305" s="392" t="n"/>
      <c r="K5305" s="392" t="n"/>
      <c r="L5305" s="392" t="n"/>
      <c r="M5305" s="392" t="n"/>
    </row>
    <row r="5306">
      <c r="A5306" s="568" t="n">
        <v>46090</v>
      </c>
      <c r="B5306" s="392" t="n">
        <v>12514</v>
      </c>
      <c r="C5306" s="392" t="n">
        <v>80</v>
      </c>
      <c r="D5306" s="392" t="n"/>
      <c r="E5306" s="392" t="n"/>
      <c r="F5306" s="392" t="n"/>
      <c r="G5306" s="392" t="n">
        <v>20</v>
      </c>
      <c r="H5306" s="446">
        <f>H5305-G5306</f>
        <v/>
      </c>
      <c r="I5306" s="392" t="n"/>
      <c r="J5306" s="392" t="n"/>
      <c r="K5306" s="392" t="n"/>
      <c r="L5306" s="392" t="n"/>
      <c r="M5306" s="392" t="n"/>
    </row>
    <row r="5307">
      <c r="A5307" s="568" t="n">
        <v>46090</v>
      </c>
      <c r="B5307" s="392" t="n">
        <v>12515</v>
      </c>
      <c r="C5307" s="392" t="n">
        <v>78</v>
      </c>
      <c r="D5307" s="392" t="n"/>
      <c r="E5307" s="392" t="n"/>
      <c r="F5307" s="392" t="n"/>
      <c r="G5307" s="392" t="n">
        <v>60</v>
      </c>
      <c r="H5307" s="446">
        <f>H5306-G5307</f>
        <v/>
      </c>
      <c r="I5307" s="392" t="n"/>
      <c r="J5307" s="392" t="n"/>
      <c r="K5307" s="392" t="n"/>
      <c r="L5307" s="392" t="n"/>
      <c r="M5307" s="392" t="n"/>
    </row>
    <row r="5308">
      <c r="A5308" s="568" t="n">
        <v>46091</v>
      </c>
      <c r="B5308" s="392" t="n">
        <v>12517</v>
      </c>
      <c r="C5308" s="392" t="n">
        <v>82</v>
      </c>
      <c r="D5308" s="392" t="n"/>
      <c r="E5308" s="392" t="n"/>
      <c r="F5308" s="392" t="n"/>
      <c r="G5308" s="392" t="n">
        <v>25</v>
      </c>
      <c r="H5308" s="446">
        <f>H5307-G5308</f>
        <v/>
      </c>
      <c r="I5308" s="392" t="n"/>
      <c r="J5308" s="392" t="n"/>
      <c r="K5308" s="392" t="n"/>
      <c r="L5308" s="392" t="n"/>
      <c r="M5308" s="392" t="n"/>
    </row>
    <row r="5309">
      <c r="A5309" s="568" t="n">
        <v>46097</v>
      </c>
      <c r="B5309" s="392" t="n">
        <v>12519</v>
      </c>
      <c r="C5309" s="392" t="n">
        <v>77</v>
      </c>
      <c r="D5309" s="392" t="n"/>
      <c r="E5309" s="392" t="n"/>
      <c r="F5309" s="392" t="n"/>
      <c r="G5309" s="392" t="n">
        <v>50</v>
      </c>
      <c r="H5309" s="446">
        <f>H5308-G5309</f>
        <v/>
      </c>
      <c r="I5309" s="392" t="n"/>
      <c r="J5309" s="392" t="n"/>
      <c r="K5309" s="392" t="n"/>
      <c r="L5309" s="392" t="n"/>
      <c r="M5309" s="392" t="n"/>
    </row>
    <row r="5310">
      <c r="A5310" s="568" t="n">
        <v>46097</v>
      </c>
      <c r="B5310" s="392" t="n">
        <v>12520</v>
      </c>
      <c r="C5310" s="392" t="n">
        <v>90</v>
      </c>
      <c r="D5310" s="392" t="n"/>
      <c r="E5310" s="392" t="n"/>
      <c r="F5310" s="392" t="n"/>
      <c r="G5310" s="392" t="n">
        <v>20</v>
      </c>
      <c r="H5310" s="446">
        <f>H5309-G5310</f>
        <v/>
      </c>
      <c r="I5310" s="392" t="n"/>
      <c r="J5310" s="392" t="n"/>
      <c r="K5310" s="392" t="n"/>
      <c r="L5310" s="392" t="n"/>
      <c r="M5310" s="392" t="n"/>
    </row>
    <row r="5311">
      <c r="A5311" s="568" t="n">
        <v>46097</v>
      </c>
      <c r="B5311" s="392" t="n">
        <v>12521</v>
      </c>
      <c r="C5311" s="392" t="n">
        <v>80</v>
      </c>
      <c r="D5311" s="392" t="n"/>
      <c r="E5311" s="392" t="n"/>
      <c r="F5311" s="392" t="n"/>
      <c r="G5311" s="392" t="n">
        <v>50</v>
      </c>
      <c r="H5311" s="446">
        <f>H5310-G5311</f>
        <v/>
      </c>
      <c r="I5311" s="392" t="n"/>
      <c r="J5311" s="392" t="n"/>
      <c r="K5311" s="392" t="n"/>
      <c r="L5311" s="392" t="n"/>
      <c r="M5311" s="392" t="n"/>
    </row>
    <row r="5312">
      <c r="A5312" s="568" t="n">
        <v>46097</v>
      </c>
      <c r="B5312" s="392" t="n">
        <v>12522</v>
      </c>
      <c r="C5312" s="392" t="n">
        <v>76.86</v>
      </c>
      <c r="D5312" s="392" t="n"/>
      <c r="E5312" s="392" t="n"/>
      <c r="F5312" s="392" t="n"/>
      <c r="G5312" s="392" t="n">
        <v>35</v>
      </c>
      <c r="H5312" s="446">
        <f>H5311-G5312</f>
        <v/>
      </c>
      <c r="I5312" s="392" t="n"/>
      <c r="J5312" s="392" t="n"/>
      <c r="K5312" s="392" t="n"/>
      <c r="L5312" s="392" t="n"/>
      <c r="M5312" s="392" t="n"/>
    </row>
    <row r="5313">
      <c r="A5313" s="568" t="n">
        <v>46097</v>
      </c>
      <c r="B5313" s="392" t="n">
        <v>12523</v>
      </c>
      <c r="C5313" s="392" t="n">
        <v>80</v>
      </c>
      <c r="D5313" s="392" t="n"/>
      <c r="E5313" s="392" t="n"/>
      <c r="F5313" s="392" t="n"/>
      <c r="G5313" s="392" t="n">
        <v>20</v>
      </c>
      <c r="H5313" s="446">
        <f>H5312-G5313</f>
        <v/>
      </c>
      <c r="I5313" s="392" t="n"/>
      <c r="J5313" s="392" t="n"/>
      <c r="K5313" s="392" t="n"/>
      <c r="L5313" s="392" t="n"/>
      <c r="M5313" s="392" t="n"/>
    </row>
    <row r="5314">
      <c r="A5314" s="568" t="n">
        <v>46097</v>
      </c>
      <c r="B5314" s="392" t="n">
        <v>12525</v>
      </c>
      <c r="C5314" s="392" t="n">
        <v>80</v>
      </c>
      <c r="D5314" s="392" t="n"/>
      <c r="E5314" s="392" t="n"/>
      <c r="F5314" s="392" t="n"/>
      <c r="G5314" s="392" t="n">
        <v>15</v>
      </c>
      <c r="H5314" s="446">
        <f>H5313-G5314</f>
        <v/>
      </c>
      <c r="I5314" s="392" t="n"/>
      <c r="J5314" s="392" t="n"/>
      <c r="K5314" s="392" t="n"/>
      <c r="L5314" s="392" t="n"/>
      <c r="M5314" s="392" t="n"/>
    </row>
    <row r="5315">
      <c r="A5315" s="568" t="n">
        <v>46097</v>
      </c>
      <c r="B5315" s="392" t="n">
        <v>12526</v>
      </c>
      <c r="C5315" s="392" t="n">
        <v>80</v>
      </c>
      <c r="D5315" s="392" t="n"/>
      <c r="E5315" s="392" t="n"/>
      <c r="F5315" s="392" t="n"/>
      <c r="G5315" s="392" t="n">
        <v>20</v>
      </c>
      <c r="H5315" s="446">
        <f>H5314-G5315</f>
        <v/>
      </c>
      <c r="I5315" s="392" t="n"/>
      <c r="J5315" s="392" t="n"/>
      <c r="K5315" s="392" t="n"/>
      <c r="L5315" s="392" t="n"/>
      <c r="M5315" s="392" t="n"/>
    </row>
    <row r="5316">
      <c r="A5316" s="568" t="n">
        <v>46097</v>
      </c>
      <c r="B5316" s="392" t="n">
        <v>12528</v>
      </c>
      <c r="C5316" s="392" t="n">
        <v>80</v>
      </c>
      <c r="D5316" s="392" t="n"/>
      <c r="E5316" s="392" t="n"/>
      <c r="F5316" s="392" t="n"/>
      <c r="G5316" s="392" t="n">
        <v>10</v>
      </c>
      <c r="H5316" s="446">
        <f>H5315-G5316</f>
        <v/>
      </c>
      <c r="I5316" s="392" t="n"/>
      <c r="J5316" s="392" t="n"/>
      <c r="K5316" s="392" t="n"/>
      <c r="L5316" s="392" t="n"/>
      <c r="M5316" s="392" t="n"/>
    </row>
    <row r="5317">
      <c r="A5317" s="568" t="n">
        <v>46097</v>
      </c>
      <c r="B5317" s="392" t="n">
        <v>12529</v>
      </c>
      <c r="C5317" s="392" t="n">
        <v>89</v>
      </c>
      <c r="D5317" s="392" t="n"/>
      <c r="E5317" s="392" t="n"/>
      <c r="F5317" s="392" t="n"/>
      <c r="G5317" s="392" t="n">
        <v>15</v>
      </c>
      <c r="H5317" s="446">
        <f>H5316-G5317</f>
        <v/>
      </c>
      <c r="I5317" s="392" t="n"/>
      <c r="J5317" s="392" t="n"/>
      <c r="K5317" s="392" t="n"/>
      <c r="L5317" s="392" t="n"/>
      <c r="M5317" s="392" t="n"/>
    </row>
    <row r="5318">
      <c r="A5318" s="568" t="n">
        <v>46097</v>
      </c>
      <c r="B5318" s="392" t="n">
        <v>12530</v>
      </c>
      <c r="C5318" s="392" t="n">
        <v>82.75</v>
      </c>
      <c r="D5318" s="392" t="n"/>
      <c r="E5318" s="392" t="n"/>
      <c r="F5318" s="392" t="n"/>
      <c r="G5318" s="392" t="n">
        <v>20</v>
      </c>
      <c r="H5318" s="446">
        <f>H5317-G5318</f>
        <v/>
      </c>
      <c r="I5318" s="392" t="n"/>
      <c r="J5318" s="392" t="n"/>
      <c r="K5318" s="392" t="n"/>
      <c r="L5318" s="392" t="n"/>
      <c r="M5318" s="392" t="n"/>
    </row>
    <row r="5319">
      <c r="A5319" s="568" t="n">
        <v>46097</v>
      </c>
      <c r="B5319" s="392" t="n">
        <v>12531</v>
      </c>
      <c r="C5319" s="392" t="n">
        <v>78</v>
      </c>
      <c r="D5319" s="392" t="n"/>
      <c r="E5319" s="392" t="n"/>
      <c r="F5319" s="392" t="n"/>
      <c r="G5319" s="392" t="n">
        <v>30</v>
      </c>
      <c r="H5319" s="446">
        <f>H5318-G5319</f>
        <v/>
      </c>
      <c r="I5319" s="392" t="n"/>
      <c r="J5319" s="392" t="n"/>
      <c r="K5319" s="392" t="n"/>
      <c r="L5319" s="392" t="n"/>
      <c r="M5319" s="392" t="n"/>
    </row>
    <row r="5320">
      <c r="A5320" s="568" t="n">
        <v>46098</v>
      </c>
      <c r="B5320" s="392" t="n">
        <v>12532</v>
      </c>
      <c r="C5320" s="392" t="n">
        <v>87</v>
      </c>
      <c r="D5320" s="392" t="n"/>
      <c r="E5320" s="392" t="n"/>
      <c r="F5320" s="392" t="n"/>
      <c r="G5320" s="392" t="n">
        <v>20</v>
      </c>
      <c r="H5320" s="446">
        <f>H5319-G5320</f>
        <v/>
      </c>
      <c r="I5320" s="392" t="n"/>
      <c r="J5320" s="392" t="n"/>
      <c r="K5320" s="392" t="n"/>
      <c r="L5320" s="392" t="n"/>
      <c r="M5320" s="392" t="n"/>
    </row>
    <row r="5321">
      <c r="A5321" s="568" t="n">
        <v>46098</v>
      </c>
      <c r="B5321" s="392" t="n">
        <v>12535</v>
      </c>
      <c r="C5321" s="392" t="n">
        <v>78</v>
      </c>
      <c r="D5321" s="392" t="n"/>
      <c r="E5321" s="392" t="n"/>
      <c r="F5321" s="392" t="n"/>
      <c r="G5321" s="392" t="n">
        <v>100</v>
      </c>
      <c r="H5321" s="446">
        <f>H5320-G5321</f>
        <v/>
      </c>
      <c r="I5321" s="392" t="n"/>
      <c r="J5321" s="392" t="n"/>
      <c r="K5321" s="392" t="n"/>
      <c r="L5321" s="392" t="n"/>
      <c r="M5321" s="392" t="n"/>
    </row>
    <row r="5322">
      <c r="A5322" s="568" t="n">
        <v>46098</v>
      </c>
      <c r="B5322" s="392" t="n">
        <v>12536</v>
      </c>
      <c r="C5322" s="392" t="n">
        <v>90</v>
      </c>
      <c r="D5322" s="392" t="n"/>
      <c r="E5322" s="392" t="n"/>
      <c r="F5322" s="392" t="n"/>
      <c r="G5322" s="392" t="n">
        <v>10</v>
      </c>
      <c r="H5322" s="446">
        <f>H5321-G5322</f>
        <v/>
      </c>
      <c r="I5322" s="392" t="n"/>
      <c r="J5322" s="392" t="n"/>
      <c r="K5322" s="392" t="n"/>
      <c r="L5322" s="392" t="n"/>
      <c r="M5322" s="392" t="n"/>
    </row>
    <row r="5323">
      <c r="A5323" s="568" t="n">
        <v>46098</v>
      </c>
      <c r="B5323" s="392" t="n">
        <v>12538</v>
      </c>
      <c r="C5323" s="392" t="n">
        <v>80.75</v>
      </c>
      <c r="D5323" s="392" t="n"/>
      <c r="E5323" s="392" t="n"/>
      <c r="F5323" s="392" t="n"/>
      <c r="G5323" s="392" t="n">
        <v>27</v>
      </c>
      <c r="H5323" s="446">
        <f>H5322-G5323</f>
        <v/>
      </c>
      <c r="I5323" s="392" t="n"/>
      <c r="J5323" s="392" t="n"/>
      <c r="K5323" s="392" t="n"/>
      <c r="L5323" s="392" t="n"/>
      <c r="M5323" s="392" t="n"/>
    </row>
    <row r="5324">
      <c r="A5324" s="304" t="n">
        <v>46101</v>
      </c>
      <c r="B5324" s="401" t="n">
        <v>4526</v>
      </c>
      <c r="C5324" s="401" t="n"/>
      <c r="D5324" s="401" t="n"/>
      <c r="E5324" s="401" t="n"/>
      <c r="F5324" s="401" t="n">
        <v>1120</v>
      </c>
      <c r="G5324" s="401" t="n"/>
      <c r="H5324" s="322" t="n">
        <v>3699</v>
      </c>
      <c r="I5324" s="392" t="n"/>
      <c r="J5324" s="392" t="n"/>
      <c r="K5324" s="392" t="n"/>
      <c r="L5324" s="392" t="n"/>
      <c r="M5324" s="392" t="n"/>
    </row>
    <row r="5325">
      <c r="A5325" s="568" t="n">
        <v>46104</v>
      </c>
      <c r="B5325" s="392" t="n">
        <v>12540</v>
      </c>
      <c r="C5325" s="392" t="n">
        <v>80</v>
      </c>
      <c r="D5325" s="392" t="n"/>
      <c r="E5325" s="392" t="n"/>
      <c r="F5325" s="392" t="n"/>
      <c r="G5325" s="392" t="n">
        <v>20</v>
      </c>
      <c r="H5325" s="446">
        <f>H5324-G5325</f>
        <v/>
      </c>
      <c r="I5325" s="392" t="n"/>
      <c r="J5325" s="392" t="n"/>
      <c r="K5325" s="392" t="n"/>
      <c r="L5325" s="392" t="n"/>
      <c r="M5325" s="392" t="n"/>
    </row>
    <row r="5326">
      <c r="A5326" s="568" t="n">
        <v>46104</v>
      </c>
      <c r="B5326" s="392" t="n">
        <v>12541</v>
      </c>
      <c r="C5326" s="392" t="n">
        <v>80</v>
      </c>
      <c r="D5326" s="392" t="n"/>
      <c r="E5326" s="392" t="n"/>
      <c r="F5326" s="392" t="n"/>
      <c r="G5326" s="392" t="n">
        <v>20</v>
      </c>
      <c r="H5326" s="446">
        <f>H5325-G5326</f>
        <v/>
      </c>
      <c r="I5326" s="392" t="n"/>
      <c r="J5326" s="392" t="n"/>
      <c r="K5326" s="392" t="n"/>
      <c r="L5326" s="392" t="n"/>
      <c r="M5326" s="392" t="n"/>
    </row>
    <row r="5327">
      <c r="A5327" s="568" t="n">
        <v>46104</v>
      </c>
      <c r="B5327" s="392" t="n">
        <v>12542</v>
      </c>
      <c r="C5327" s="392" t="n">
        <v>80</v>
      </c>
      <c r="D5327" s="392" t="n"/>
      <c r="E5327" s="392" t="n"/>
      <c r="F5327" s="392" t="n"/>
      <c r="G5327" s="392" t="n">
        <v>10</v>
      </c>
      <c r="H5327" s="446">
        <f>H5326-G5327</f>
        <v/>
      </c>
      <c r="I5327" s="392" t="n"/>
      <c r="J5327" s="392" t="n"/>
      <c r="K5327" s="392" t="n"/>
      <c r="L5327" s="392" t="n"/>
      <c r="M5327" s="392" t="n"/>
    </row>
    <row r="5328">
      <c r="A5328" s="568" t="n">
        <v>46104</v>
      </c>
      <c r="B5328" s="392" t="n">
        <v>12543</v>
      </c>
      <c r="C5328" s="392" t="n">
        <v>88</v>
      </c>
      <c r="D5328" s="392" t="n"/>
      <c r="E5328" s="392" t="n"/>
      <c r="F5328" s="392" t="n"/>
      <c r="G5328" s="392" t="n">
        <v>100</v>
      </c>
      <c r="H5328" s="446">
        <f>H5327-G5328</f>
        <v/>
      </c>
      <c r="I5328" s="392" t="n"/>
      <c r="J5328" s="392" t="n"/>
      <c r="K5328" s="392" t="n"/>
      <c r="L5328" s="392" t="n"/>
      <c r="M5328" s="392" t="n"/>
    </row>
    <row r="5329">
      <c r="A5329" s="568" t="n">
        <v>46104</v>
      </c>
      <c r="B5329" s="392" t="n">
        <v>12544</v>
      </c>
      <c r="C5329" s="392" t="n">
        <v>78</v>
      </c>
      <c r="D5329" s="392" t="n"/>
      <c r="E5329" s="392" t="n"/>
      <c r="F5329" s="392" t="n"/>
      <c r="G5329" s="392" t="n">
        <v>70</v>
      </c>
      <c r="H5329" s="446">
        <f>H5328-G5329</f>
        <v/>
      </c>
      <c r="I5329" s="392" t="n"/>
      <c r="J5329" s="392" t="n"/>
      <c r="K5329" s="392" t="n"/>
      <c r="L5329" s="392" t="n"/>
      <c r="M5329" s="392" t="n"/>
    </row>
    <row r="5330">
      <c r="A5330" s="568" t="n">
        <v>46104</v>
      </c>
      <c r="B5330" s="392" t="n">
        <v>12545</v>
      </c>
      <c r="C5330" s="392" t="n">
        <v>90</v>
      </c>
      <c r="D5330" s="392" t="n"/>
      <c r="E5330" s="392" t="n"/>
      <c r="F5330" s="392" t="n"/>
      <c r="G5330" s="392" t="n">
        <v>35</v>
      </c>
      <c r="H5330" s="446">
        <f>H5329-G5330</f>
        <v/>
      </c>
      <c r="I5330" s="392" t="n"/>
      <c r="J5330" s="392" t="n"/>
      <c r="K5330" s="392" t="n"/>
      <c r="L5330" s="392" t="n"/>
      <c r="M5330" s="392" t="n"/>
    </row>
    <row r="5331">
      <c r="A5331" s="568" t="n">
        <v>46104</v>
      </c>
      <c r="B5331" s="392" t="n">
        <v>12546</v>
      </c>
      <c r="C5331" s="392" t="n">
        <v>85</v>
      </c>
      <c r="D5331" s="392" t="n"/>
      <c r="E5331" s="392" t="n"/>
      <c r="F5331" s="392" t="n"/>
      <c r="G5331" s="392" t="n">
        <v>30</v>
      </c>
      <c r="H5331" s="446">
        <f>H5330-G5331</f>
        <v/>
      </c>
      <c r="I5331" s="392" t="n"/>
      <c r="J5331" s="392" t="n"/>
      <c r="K5331" s="392" t="n"/>
      <c r="L5331" s="392" t="n"/>
      <c r="M5331" s="392" t="n"/>
    </row>
    <row r="5332">
      <c r="A5332" s="568" t="n">
        <v>46104</v>
      </c>
      <c r="B5332" s="392" t="n">
        <v>12548</v>
      </c>
      <c r="C5332" s="392" t="n">
        <v>80</v>
      </c>
      <c r="D5332" s="392" t="n"/>
      <c r="E5332" s="392" t="n"/>
      <c r="F5332" s="392" t="n"/>
      <c r="G5332" s="392" t="n">
        <v>15</v>
      </c>
      <c r="H5332" s="446">
        <f>H5331-G5332</f>
        <v/>
      </c>
      <c r="I5332" s="392" t="n"/>
      <c r="J5332" s="392" t="n"/>
      <c r="K5332" s="392" t="n"/>
      <c r="L5332" s="392" t="n"/>
      <c r="M5332" s="392" t="n"/>
    </row>
    <row r="5333">
      <c r="A5333" s="568" t="n">
        <v>46106</v>
      </c>
      <c r="B5333" s="392" t="n">
        <v>12553</v>
      </c>
      <c r="C5333" s="392" t="n">
        <v>80</v>
      </c>
      <c r="D5333" s="392" t="n"/>
      <c r="E5333" s="392" t="n"/>
      <c r="F5333" s="392" t="n"/>
      <c r="G5333" s="392" t="n">
        <v>60</v>
      </c>
      <c r="H5333" s="446">
        <f>H5332-G5333</f>
        <v/>
      </c>
      <c r="I5333" s="392" t="n"/>
      <c r="J5333" s="392" t="n"/>
      <c r="K5333" s="392" t="n"/>
      <c r="L5333" s="392" t="n"/>
      <c r="M5333" s="392" t="n"/>
    </row>
    <row r="5334">
      <c r="A5334" s="568" t="n">
        <v>46106</v>
      </c>
      <c r="B5334" s="392" t="n">
        <v>12554</v>
      </c>
      <c r="C5334" s="392" t="n">
        <v>80</v>
      </c>
      <c r="D5334" s="392" t="n"/>
      <c r="E5334" s="392" t="n"/>
      <c r="F5334" s="392" t="n"/>
      <c r="G5334" s="392" t="n">
        <v>30</v>
      </c>
      <c r="H5334" s="446">
        <f>H5333-G5334</f>
        <v/>
      </c>
      <c r="I5334" s="392" t="n"/>
      <c r="J5334" s="392" t="n"/>
      <c r="K5334" s="392" t="n"/>
      <c r="L5334" s="392" t="n"/>
      <c r="M5334" s="392" t="n"/>
    </row>
    <row r="5335">
      <c r="A5335" s="568" t="n">
        <v>46111</v>
      </c>
      <c r="B5335" s="392" t="n">
        <v>12555</v>
      </c>
      <c r="C5335" s="392" t="n">
        <v>78</v>
      </c>
      <c r="D5335" s="392" t="n"/>
      <c r="E5335" s="392" t="n"/>
      <c r="F5335" s="392" t="n"/>
      <c r="G5335" s="392" t="n">
        <v>30</v>
      </c>
      <c r="H5335" s="446">
        <f>H5334-G5335</f>
        <v/>
      </c>
      <c r="I5335" s="392" t="n"/>
      <c r="J5335" s="392" t="n"/>
      <c r="K5335" s="392" t="n"/>
      <c r="L5335" s="392" t="n"/>
      <c r="M5335" s="392" t="n"/>
    </row>
    <row r="5336">
      <c r="A5336" s="568" t="n">
        <v>46111</v>
      </c>
      <c r="B5336" s="392" t="n">
        <v>12556</v>
      </c>
      <c r="C5336" s="392" t="n">
        <v>78</v>
      </c>
      <c r="D5336" s="392" t="n"/>
      <c r="E5336" s="392" t="n"/>
      <c r="F5336" s="392" t="n"/>
      <c r="G5336" s="392" t="n">
        <v>100</v>
      </c>
      <c r="H5336" s="446">
        <f>H5335-G5336</f>
        <v/>
      </c>
      <c r="I5336" s="392" t="n"/>
      <c r="J5336" s="392" t="n"/>
      <c r="K5336" s="392" t="n"/>
      <c r="L5336" s="392" t="n"/>
      <c r="M5336" s="392" t="n"/>
    </row>
    <row r="5337">
      <c r="A5337" s="568" t="n">
        <v>46111</v>
      </c>
      <c r="B5337" s="392" t="n">
        <v>12557</v>
      </c>
      <c r="C5337" s="392" t="n">
        <v>78</v>
      </c>
      <c r="D5337" s="392" t="n"/>
      <c r="E5337" s="392" t="n"/>
      <c r="F5337" s="392" t="n"/>
      <c r="G5337" s="392" t="n">
        <v>200</v>
      </c>
      <c r="H5337" s="446">
        <f>H5336-G5337</f>
        <v/>
      </c>
      <c r="I5337" s="392" t="n"/>
      <c r="J5337" s="392" t="n"/>
      <c r="K5337" s="392" t="n"/>
      <c r="L5337" s="392" t="n"/>
      <c r="M5337" s="392" t="n"/>
    </row>
    <row r="5338">
      <c r="A5338" s="568" t="n">
        <v>46111</v>
      </c>
      <c r="B5338" s="392" t="n">
        <v>12558</v>
      </c>
      <c r="C5338" s="392" t="n">
        <v>90</v>
      </c>
      <c r="D5338" s="392" t="n"/>
      <c r="E5338" s="392" t="n"/>
      <c r="F5338" s="392" t="n"/>
      <c r="G5338" s="392" t="n">
        <v>20</v>
      </c>
      <c r="H5338" s="446">
        <f>H5337-G5338</f>
        <v/>
      </c>
      <c r="I5338" s="392" t="n"/>
      <c r="J5338" s="392" t="n"/>
      <c r="K5338" s="392" t="n"/>
      <c r="L5338" s="392" t="n"/>
      <c r="M5338" s="392" t="n"/>
    </row>
    <row r="5339">
      <c r="A5339" s="568" t="n">
        <v>46111</v>
      </c>
      <c r="B5339" s="392" t="n">
        <v>12559</v>
      </c>
      <c r="C5339" s="392" t="n">
        <v>90</v>
      </c>
      <c r="D5339" s="392" t="n"/>
      <c r="E5339" s="392" t="n"/>
      <c r="F5339" s="392" t="n"/>
      <c r="G5339" s="392" t="n">
        <v>20</v>
      </c>
      <c r="H5339" s="446">
        <f>H5338-G5339</f>
        <v/>
      </c>
      <c r="I5339" s="392" t="n"/>
      <c r="J5339" s="392" t="n"/>
      <c r="K5339" s="392" t="n"/>
      <c r="L5339" s="392" t="n"/>
      <c r="M5339" s="392" t="n"/>
    </row>
    <row r="5340">
      <c r="A5340" s="568" t="n">
        <v>46111</v>
      </c>
      <c r="B5340" s="392" t="n">
        <v>12560</v>
      </c>
      <c r="C5340" s="392" t="n">
        <v>84</v>
      </c>
      <c r="D5340" s="392" t="n"/>
      <c r="E5340" s="392" t="n"/>
      <c r="F5340" s="392" t="n"/>
      <c r="G5340" s="392" t="n">
        <v>15</v>
      </c>
      <c r="H5340" s="446">
        <f>H5339-G5340</f>
        <v/>
      </c>
      <c r="I5340" s="392" t="n"/>
      <c r="J5340" s="392" t="n"/>
      <c r="K5340" s="392" t="n"/>
      <c r="L5340" s="392" t="n"/>
      <c r="M5340" s="392" t="n"/>
    </row>
    <row r="5341">
      <c r="A5341" s="568" t="n">
        <v>46111</v>
      </c>
      <c r="B5341" s="392" t="n">
        <v>12561</v>
      </c>
      <c r="C5341" s="392" t="n">
        <v>84</v>
      </c>
      <c r="D5341" s="392" t="n"/>
      <c r="E5341" s="392" t="n"/>
      <c r="F5341" s="392" t="n"/>
      <c r="G5341" s="392" t="n">
        <v>15</v>
      </c>
      <c r="H5341" s="446">
        <f>H5340-G5341</f>
        <v/>
      </c>
      <c r="I5341" s="392" t="n"/>
      <c r="J5341" s="392" t="n"/>
      <c r="K5341" s="392" t="n"/>
      <c r="L5341" s="392" t="n"/>
      <c r="M5341" s="392" t="n"/>
    </row>
    <row r="5342">
      <c r="A5342" s="304" t="n">
        <v>46111</v>
      </c>
      <c r="B5342" s="401" t="n">
        <v>4601</v>
      </c>
      <c r="C5342" s="401" t="n"/>
      <c r="D5342" s="401" t="n"/>
      <c r="E5342" s="401" t="n"/>
      <c r="F5342" s="401" t="n">
        <v>1120</v>
      </c>
      <c r="G5342" s="401" t="n"/>
      <c r="H5342" s="322" t="n">
        <v>4029</v>
      </c>
      <c r="I5342" s="392" t="n"/>
      <c r="J5342" s="392" t="n"/>
      <c r="K5342" s="392" t="n"/>
      <c r="L5342" s="392" t="n"/>
      <c r="M5342" s="392" t="n"/>
    </row>
    <row r="5343">
      <c r="A5343" s="568" t="n">
        <v>46111</v>
      </c>
      <c r="B5343" s="392" t="n">
        <v>12562</v>
      </c>
      <c r="C5343" s="392" t="n">
        <v>80</v>
      </c>
      <c r="D5343" s="392" t="n"/>
      <c r="E5343" s="392" t="n"/>
      <c r="F5343" s="392" t="n"/>
      <c r="G5343" s="392" t="n">
        <v>20</v>
      </c>
      <c r="H5343" s="446">
        <f>H5342-G5343</f>
        <v/>
      </c>
      <c r="I5343" s="392" t="n"/>
      <c r="J5343" s="392" t="n"/>
      <c r="K5343" s="392" t="n"/>
      <c r="L5343" s="392" t="n"/>
      <c r="M5343" s="392" t="n"/>
    </row>
    <row r="5344">
      <c r="A5344" s="568" t="n">
        <v>46112</v>
      </c>
      <c r="B5344" s="392" t="n">
        <v>12563</v>
      </c>
      <c r="C5344" s="392" t="n">
        <v>80</v>
      </c>
      <c r="D5344" s="392" t="n"/>
      <c r="E5344" s="392" t="n"/>
      <c r="F5344" s="392" t="n"/>
      <c r="G5344" s="392" t="n">
        <v>20</v>
      </c>
      <c r="H5344" s="446">
        <f>H5343-G5344</f>
        <v/>
      </c>
      <c r="I5344" s="392" t="n"/>
      <c r="J5344" s="392" t="n"/>
      <c r="K5344" s="392" t="n"/>
      <c r="L5344" s="392" t="n"/>
      <c r="M5344" s="392" t="n"/>
    </row>
    <row r="5345" ht="15.75" customHeight="1" s="436" thickBot="1">
      <c r="A5345" s="414" t="n"/>
      <c r="H5345" s="390" t="n"/>
    </row>
    <row r="5346" ht="32.25" customHeight="1" s="436" thickBot="1">
      <c r="A5346" s="735" t="inlineStr">
        <is>
          <t>Abril</t>
        </is>
      </c>
      <c r="B5346" s="697" t="n"/>
      <c r="C5346" s="697" t="n"/>
      <c r="D5346" s="697" t="n"/>
      <c r="E5346" s="697" t="n"/>
      <c r="F5346" s="697" t="n"/>
      <c r="G5346" s="697" t="n"/>
      <c r="H5346" s="697" t="n"/>
      <c r="I5346" s="697" t="n"/>
      <c r="J5346" s="697" t="n"/>
      <c r="K5346" s="697" t="n"/>
      <c r="L5346" s="697" t="n"/>
      <c r="M5346" s="698" t="n"/>
    </row>
    <row r="5347" ht="27" customHeight="1" s="436" thickBot="1">
      <c r="A5347" s="720" t="inlineStr">
        <is>
          <t xml:space="preserve"> FARINHA DE TRIGO TIPO: 1 - 25 KG</t>
        </is>
      </c>
      <c r="B5347" s="697" t="n"/>
      <c r="C5347" s="697" t="n"/>
      <c r="D5347" s="697" t="n"/>
      <c r="E5347" s="697" t="n"/>
      <c r="F5347" s="697" t="n"/>
      <c r="G5347" s="697" t="n"/>
      <c r="H5347" s="697" t="n"/>
      <c r="I5347" s="697" t="n"/>
      <c r="J5347" s="697" t="n"/>
      <c r="K5347" s="697" t="n"/>
      <c r="L5347" s="697" t="n"/>
      <c r="M5347" s="698" t="n"/>
    </row>
    <row r="5348">
      <c r="A5348" s="3" t="inlineStr">
        <is>
          <t>DATA</t>
        </is>
      </c>
      <c r="B5348" s="3" t="inlineStr">
        <is>
          <t>N.F.</t>
        </is>
      </c>
      <c r="C5348" s="3" t="inlineStr">
        <is>
          <t>TIPO</t>
        </is>
      </c>
      <c r="D5348" s="708" t="inlineStr">
        <is>
          <t>PREÇO UNITÁRIO</t>
        </is>
      </c>
      <c r="E5348" s="736" t="n"/>
      <c r="F5348" s="3" t="inlineStr">
        <is>
          <t>QUANTIDADE / KG</t>
        </is>
      </c>
      <c r="G5348" s="737" t="n"/>
      <c r="H5348" s="736" t="n"/>
      <c r="I5348" s="631" t="inlineStr">
        <is>
          <t>PREÇO</t>
        </is>
      </c>
      <c r="J5348" s="631" t="inlineStr">
        <is>
          <t>VALORES</t>
        </is>
      </c>
      <c r="K5348" s="737" t="n"/>
      <c r="L5348" s="736" t="n"/>
      <c r="M5348" s="738" t="n"/>
    </row>
    <row r="5349" ht="15.75" customHeight="1" s="436" thickBot="1">
      <c r="A5349" s="704" t="n"/>
      <c r="B5349" s="704" t="n"/>
      <c r="C5349" s="704" t="n"/>
      <c r="D5349" s="703" t="n"/>
      <c r="E5349" s="701" t="n"/>
      <c r="F5349" s="705" t="n"/>
      <c r="G5349" s="706" t="n"/>
      <c r="H5349" s="707" t="n"/>
      <c r="I5349" s="704" t="n"/>
      <c r="J5349" s="703" t="n"/>
      <c r="L5349" s="701" t="n"/>
      <c r="M5349" s="704" t="n"/>
    </row>
    <row r="5350" ht="15.75" customHeight="1" s="436" thickBot="1">
      <c r="A5350" s="704" t="n"/>
      <c r="B5350" s="704" t="n"/>
      <c r="C5350" s="704" t="n"/>
      <c r="D5350" s="705" t="n"/>
      <c r="E5350" s="707" t="n"/>
      <c r="F5350" s="3" t="inlineStr">
        <is>
          <t>ENTRADA</t>
        </is>
      </c>
      <c r="G5350" s="3" t="inlineStr">
        <is>
          <t>SAÍDA</t>
        </is>
      </c>
      <c r="H5350" s="640" t="n"/>
      <c r="I5350" s="633" t="inlineStr">
        <is>
          <t>MÉDIO</t>
        </is>
      </c>
      <c r="J5350" s="739" t="inlineStr">
        <is>
          <t>SALDO EM 30/11/2017</t>
        </is>
      </c>
      <c r="K5350" s="707" t="n"/>
      <c r="L5350" s="17" t="n"/>
      <c r="M5350" s="740" t="n"/>
    </row>
    <row r="5351" ht="15.75" customHeight="1" s="436" thickBot="1">
      <c r="A5351" s="695" t="n"/>
      <c r="B5351" s="695" t="n"/>
      <c r="C5351" s="695" t="n"/>
      <c r="D5351" s="3" t="inlineStr">
        <is>
          <t>C/ICMS</t>
        </is>
      </c>
      <c r="E5351" s="3" t="inlineStr">
        <is>
          <t>S/ICMS</t>
        </is>
      </c>
      <c r="F5351" s="695" t="n"/>
      <c r="G5351" s="695" t="n"/>
      <c r="H5351" s="361" t="inlineStr">
        <is>
          <t>Saldo em 31/03/2026</t>
        </is>
      </c>
      <c r="I5351" s="695" t="n"/>
      <c r="J5351" s="645" t="inlineStr">
        <is>
          <t>ENTRADA</t>
        </is>
      </c>
      <c r="K5351" s="633" t="inlineStr">
        <is>
          <t>SAÍDA / CMV</t>
        </is>
      </c>
      <c r="L5351" s="643" t="inlineStr">
        <is>
          <t>SALDO</t>
        </is>
      </c>
      <c r="M5351" s="392" t="n"/>
    </row>
    <row r="5352">
      <c r="A5352" s="392" t="n"/>
      <c r="B5352" s="392" t="n"/>
      <c r="C5352" s="392" t="n"/>
      <c r="D5352" s="392" t="n"/>
      <c r="E5352" s="392" t="n"/>
      <c r="F5352" s="392" t="n"/>
      <c r="G5352" s="392" t="n"/>
      <c r="H5352" s="446" t="n">
        <v>3989</v>
      </c>
      <c r="I5352" s="392" t="n"/>
      <c r="J5352" s="392" t="n"/>
      <c r="K5352" s="392" t="n"/>
      <c r="L5352" s="392" t="n"/>
      <c r="M5352" s="392" t="n"/>
    </row>
    <row r="5353">
      <c r="A5353" s="568" t="n">
        <v>46117</v>
      </c>
      <c r="B5353" s="392" t="n">
        <v>12569</v>
      </c>
      <c r="C5353" s="392" t="n">
        <v>80</v>
      </c>
      <c r="D5353" s="392" t="n"/>
      <c r="E5353" s="392" t="n"/>
      <c r="F5353" s="392" t="n"/>
      <c r="G5353" s="392" t="n">
        <v>40</v>
      </c>
      <c r="H5353" s="446">
        <f>H5352-G5353</f>
        <v/>
      </c>
      <c r="I5353" s="392" t="n"/>
      <c r="J5353" s="392" t="n"/>
      <c r="K5353" s="392" t="n"/>
      <c r="L5353" s="392" t="n"/>
      <c r="M5353" s="392" t="n"/>
    </row>
    <row r="5354">
      <c r="A5354" s="568" t="n">
        <v>46118</v>
      </c>
      <c r="B5354" s="392" t="n">
        <v>12570</v>
      </c>
      <c r="C5354" s="392" t="n">
        <v>87</v>
      </c>
      <c r="D5354" s="392" t="n"/>
      <c r="E5354" s="392" t="n"/>
      <c r="F5354" s="392" t="n"/>
      <c r="G5354" s="392" t="n">
        <v>30</v>
      </c>
      <c r="H5354" s="446">
        <f>H5353-G5354</f>
        <v/>
      </c>
      <c r="I5354" s="392" t="n"/>
      <c r="J5354" s="392" t="n"/>
      <c r="K5354" s="392" t="n"/>
      <c r="L5354" s="392" t="n"/>
      <c r="M5354" s="392" t="n"/>
    </row>
    <row r="5355">
      <c r="A5355" s="568" t="n">
        <v>46118</v>
      </c>
      <c r="B5355" s="392" t="n">
        <v>12572</v>
      </c>
      <c r="C5355" s="392" t="n">
        <v>80</v>
      </c>
      <c r="D5355" s="392" t="n"/>
      <c r="E5355" s="392" t="n"/>
      <c r="F5355" s="392" t="n"/>
      <c r="G5355" s="392" t="n">
        <v>50</v>
      </c>
      <c r="H5355" s="446">
        <f>H5354-G5355</f>
        <v/>
      </c>
      <c r="I5355" s="392" t="n"/>
      <c r="J5355" s="392" t="n"/>
      <c r="K5355" s="392" t="n"/>
      <c r="L5355" s="392" t="n"/>
      <c r="M5355" s="392" t="n"/>
    </row>
    <row r="5356">
      <c r="A5356" s="568" t="n">
        <v>46118</v>
      </c>
      <c r="B5356" s="392" t="n">
        <v>12574</v>
      </c>
      <c r="C5356" s="392" t="n">
        <v>78</v>
      </c>
      <c r="D5356" s="392" t="n"/>
      <c r="E5356" s="392" t="n"/>
      <c r="F5356" s="392" t="n"/>
      <c r="G5356" s="392" t="n">
        <v>100</v>
      </c>
      <c r="H5356" s="446">
        <f>H5355-G5356</f>
        <v/>
      </c>
      <c r="I5356" s="392" t="n"/>
      <c r="J5356" s="392" t="n"/>
      <c r="K5356" s="392" t="n"/>
      <c r="L5356" s="392" t="n"/>
      <c r="M5356" s="392" t="n"/>
    </row>
    <row r="5357">
      <c r="A5357" s="568" t="n">
        <v>46118</v>
      </c>
      <c r="B5357" s="392" t="n">
        <v>12575</v>
      </c>
      <c r="C5357" s="392" t="n">
        <v>90</v>
      </c>
      <c r="D5357" s="392" t="n"/>
      <c r="E5357" s="392" t="n"/>
      <c r="F5357" s="392" t="n"/>
      <c r="G5357" s="392" t="n">
        <v>40</v>
      </c>
      <c r="H5357" s="446">
        <f>H5356-G5357</f>
        <v/>
      </c>
      <c r="I5357" s="392" t="n"/>
      <c r="J5357" s="392" t="n"/>
      <c r="K5357" s="392" t="n"/>
      <c r="L5357" s="392" t="n"/>
      <c r="M5357" s="392" t="n"/>
    </row>
    <row r="5358">
      <c r="A5358" s="568" t="n">
        <v>46118</v>
      </c>
      <c r="B5358" s="392" t="n">
        <v>12580</v>
      </c>
      <c r="C5358" s="392" t="n">
        <v>84</v>
      </c>
      <c r="D5358" s="392" t="n"/>
      <c r="E5358" s="392" t="n"/>
      <c r="F5358" s="392" t="n"/>
      <c r="G5358" s="392" t="n">
        <v>20</v>
      </c>
      <c r="H5358" s="446">
        <f>H5357-G5358</f>
        <v/>
      </c>
      <c r="I5358" s="392" t="n"/>
      <c r="J5358" s="392" t="n"/>
      <c r="K5358" s="392" t="n"/>
      <c r="L5358" s="392" t="n"/>
      <c r="M5358" s="392" t="n"/>
    </row>
    <row r="5359">
      <c r="A5359" s="568" t="n">
        <v>46120</v>
      </c>
      <c r="B5359" s="392" t="n">
        <v>12581</v>
      </c>
      <c r="C5359" s="392" t="n">
        <v>84</v>
      </c>
      <c r="D5359" s="392" t="n"/>
      <c r="E5359" s="392" t="n"/>
      <c r="F5359" s="392" t="n"/>
      <c r="G5359" s="392" t="n">
        <v>25</v>
      </c>
      <c r="H5359" s="446">
        <f>H5358-G5359</f>
        <v/>
      </c>
      <c r="I5359" s="392" t="n"/>
      <c r="J5359" s="392" t="n"/>
      <c r="K5359" s="392" t="n"/>
      <c r="L5359" s="392" t="n"/>
      <c r="M5359" s="392" t="n"/>
    </row>
    <row r="5360">
      <c r="A5360" s="568" t="n">
        <v>46120</v>
      </c>
      <c r="B5360" s="392" t="n">
        <v>12582</v>
      </c>
      <c r="C5360" s="392" t="n">
        <v>80</v>
      </c>
      <c r="D5360" s="392" t="n"/>
      <c r="E5360" s="392" t="n"/>
      <c r="F5360" s="392" t="n"/>
      <c r="G5360" s="392" t="n">
        <v>100</v>
      </c>
      <c r="H5360" s="446">
        <f>H5359-G5360</f>
        <v/>
      </c>
      <c r="I5360" s="392" t="n"/>
      <c r="J5360" s="392" t="n"/>
      <c r="K5360" s="392" t="n"/>
      <c r="L5360" s="392" t="n"/>
      <c r="M5360" s="392" t="n"/>
    </row>
    <row r="5361">
      <c r="A5361" s="568" t="n">
        <v>46120</v>
      </c>
      <c r="B5361" s="392" t="n">
        <v>12583</v>
      </c>
      <c r="C5361" s="392" t="n">
        <v>90</v>
      </c>
      <c r="D5361" s="392" t="n"/>
      <c r="E5361" s="392" t="n"/>
      <c r="F5361" s="392" t="n"/>
      <c r="G5361" s="392" t="n">
        <v>20</v>
      </c>
      <c r="H5361" s="446">
        <f>H5360-G5361</f>
        <v/>
      </c>
      <c r="I5361" s="392" t="n"/>
      <c r="J5361" s="392" t="n"/>
      <c r="K5361" s="392" t="n"/>
      <c r="L5361" s="392" t="n"/>
      <c r="M5361" s="392" t="n"/>
    </row>
    <row r="5362">
      <c r="A5362" s="568" t="n">
        <v>46120</v>
      </c>
      <c r="B5362" s="392" t="n">
        <v>12584</v>
      </c>
      <c r="C5362" s="392" t="n">
        <v>84.45</v>
      </c>
      <c r="D5362" s="392" t="n"/>
      <c r="E5362" s="392" t="n"/>
      <c r="F5362" s="392" t="n"/>
      <c r="G5362" s="392" t="n">
        <v>27</v>
      </c>
      <c r="H5362" s="446">
        <f>H5361-G5362</f>
        <v/>
      </c>
      <c r="I5362" s="392" t="n"/>
      <c r="J5362" s="392" t="n"/>
      <c r="K5362" s="392" t="n"/>
      <c r="L5362" s="392" t="n"/>
      <c r="M5362" s="392" t="n"/>
    </row>
    <row r="5363">
      <c r="A5363" s="568" t="n">
        <v>46120</v>
      </c>
      <c r="B5363" s="392" t="n">
        <v>12585</v>
      </c>
      <c r="C5363" s="392" t="n">
        <v>83</v>
      </c>
      <c r="D5363" s="392" t="n"/>
      <c r="E5363" s="392" t="n"/>
      <c r="F5363" s="392" t="n"/>
      <c r="G5363" s="392" t="n">
        <v>30</v>
      </c>
      <c r="H5363" s="446">
        <f>H5362-G5363</f>
        <v/>
      </c>
      <c r="I5363" s="392" t="n"/>
      <c r="J5363" s="392" t="n"/>
      <c r="K5363" s="392" t="n"/>
      <c r="L5363" s="392" t="n"/>
      <c r="M5363" s="392" t="n"/>
    </row>
    <row r="5364">
      <c r="A5364" s="304" t="n">
        <v>46121</v>
      </c>
      <c r="B5364" s="401" t="n">
        <v>4742</v>
      </c>
      <c r="C5364" s="401" t="n">
        <v>67</v>
      </c>
      <c r="D5364" s="401" t="n"/>
      <c r="E5364" s="401" t="n"/>
      <c r="F5364" s="401" t="n">
        <v>1120</v>
      </c>
      <c r="G5364" s="401" t="n"/>
      <c r="H5364" s="322" t="n">
        <v>4627</v>
      </c>
      <c r="I5364" s="392" t="n"/>
      <c r="J5364" s="392" t="n"/>
      <c r="K5364" s="392" t="n"/>
      <c r="L5364" s="392" t="n"/>
      <c r="M5364" s="392" t="n"/>
    </row>
    <row r="5365">
      <c r="A5365" s="304" t="n">
        <v>46122</v>
      </c>
      <c r="B5365" s="401" t="n">
        <v>4756</v>
      </c>
      <c r="C5365" s="401" t="n">
        <v>72.40000000000001</v>
      </c>
      <c r="D5365" s="401" t="n"/>
      <c r="E5365" s="401" t="n"/>
      <c r="F5365" s="401" t="n">
        <v>1120</v>
      </c>
      <c r="G5365" s="401" t="n"/>
      <c r="H5365" s="322" t="n">
        <v>5747</v>
      </c>
      <c r="I5365" s="392" t="n"/>
      <c r="J5365" s="392" t="n"/>
      <c r="K5365" s="392" t="n"/>
      <c r="L5365" s="392" t="n"/>
      <c r="M5365" s="392" t="n"/>
    </row>
    <row r="5366">
      <c r="A5366" s="568" t="n">
        <v>46126</v>
      </c>
      <c r="B5366" s="392" t="n">
        <v>12587</v>
      </c>
      <c r="C5366" s="392" t="n">
        <v>84</v>
      </c>
      <c r="D5366" s="392" t="n"/>
      <c r="E5366" s="392" t="n"/>
      <c r="F5366" s="392" t="n"/>
      <c r="G5366" s="392" t="n">
        <v>70</v>
      </c>
      <c r="H5366" s="446">
        <f>H5365-G5366</f>
        <v/>
      </c>
      <c r="I5366" s="392" t="n"/>
      <c r="J5366" s="392" t="n"/>
      <c r="K5366" s="392" t="n"/>
      <c r="L5366" s="392" t="n"/>
      <c r="M5366" s="392" t="n"/>
    </row>
    <row r="5367">
      <c r="A5367" s="568" t="n">
        <v>46126</v>
      </c>
      <c r="B5367" s="392" t="n">
        <v>12588</v>
      </c>
      <c r="C5367" s="392" t="n">
        <v>84</v>
      </c>
      <c r="D5367" s="392" t="n"/>
      <c r="E5367" s="392" t="n"/>
      <c r="F5367" s="392" t="n"/>
      <c r="G5367" s="392" t="n">
        <v>20</v>
      </c>
      <c r="H5367" s="446">
        <f>H5366-G5367</f>
        <v/>
      </c>
      <c r="I5367" s="392" t="n"/>
      <c r="J5367" s="392" t="n"/>
      <c r="K5367" s="392" t="n"/>
      <c r="L5367" s="392" t="n"/>
      <c r="M5367" s="392" t="n"/>
    </row>
    <row r="5368">
      <c r="A5368" s="568" t="n">
        <v>46132</v>
      </c>
      <c r="B5368" s="392" t="n">
        <v>12596</v>
      </c>
      <c r="C5368" s="392" t="n">
        <v>90</v>
      </c>
      <c r="D5368" s="392" t="n"/>
      <c r="E5368" s="392" t="n"/>
      <c r="F5368" s="392" t="n"/>
      <c r="G5368" s="392" t="n">
        <v>40</v>
      </c>
      <c r="H5368" s="446">
        <f>H5367-G5368</f>
        <v/>
      </c>
      <c r="I5368" s="392" t="n"/>
      <c r="J5368" s="392" t="n"/>
      <c r="K5368" s="392" t="n"/>
      <c r="L5368" s="392" t="n"/>
      <c r="M5368" s="392" t="n"/>
    </row>
    <row r="5369">
      <c r="A5369" s="568" t="n">
        <v>46132</v>
      </c>
      <c r="B5369" s="392" t="n">
        <v>12597</v>
      </c>
      <c r="C5369" s="392" t="n">
        <v>87</v>
      </c>
      <c r="D5369" s="392" t="n"/>
      <c r="E5369" s="392" t="n"/>
      <c r="F5369" s="392" t="n"/>
      <c r="G5369" s="392" t="n">
        <v>30</v>
      </c>
      <c r="H5369" s="446">
        <f>H5368-G5369</f>
        <v/>
      </c>
      <c r="I5369" s="392" t="n"/>
      <c r="J5369" s="392" t="n"/>
      <c r="K5369" s="392" t="n"/>
      <c r="L5369" s="392" t="n"/>
      <c r="M5369" s="392" t="n"/>
    </row>
    <row r="5370">
      <c r="A5370" s="568" t="n">
        <v>46132</v>
      </c>
      <c r="B5370" s="392" t="n">
        <v>12598</v>
      </c>
      <c r="C5370" s="392" t="n">
        <v>84</v>
      </c>
      <c r="D5370" s="392" t="n"/>
      <c r="E5370" s="392" t="n"/>
      <c r="F5370" s="392" t="n"/>
      <c r="G5370" s="392" t="n">
        <v>20</v>
      </c>
      <c r="H5370" s="446">
        <f>H5369-G5370</f>
        <v/>
      </c>
      <c r="I5370" s="392" t="n"/>
      <c r="J5370" s="392" t="n"/>
      <c r="K5370" s="392" t="n"/>
      <c r="L5370" s="392" t="n"/>
      <c r="M5370" s="392" t="n"/>
    </row>
    <row r="5371">
      <c r="A5371" s="568" t="n">
        <v>46132</v>
      </c>
      <c r="B5371" s="392" t="n">
        <v>12600</v>
      </c>
      <c r="C5371" s="392" t="n">
        <v>84</v>
      </c>
      <c r="D5371" s="392" t="n"/>
      <c r="E5371" s="392" t="n"/>
      <c r="F5371" s="392" t="n"/>
      <c r="G5371" s="392" t="n">
        <v>60</v>
      </c>
      <c r="H5371" s="446">
        <f>H5370-G5371</f>
        <v/>
      </c>
      <c r="I5371" s="392" t="n"/>
      <c r="J5371" s="392" t="n"/>
      <c r="K5371" s="392" t="n"/>
      <c r="L5371" s="392" t="n"/>
      <c r="M5371" s="392" t="n"/>
    </row>
    <row r="5372">
      <c r="A5372" s="568" t="n">
        <v>46132</v>
      </c>
      <c r="B5372" s="392" t="n">
        <v>12601</v>
      </c>
      <c r="C5372" s="392" t="n">
        <v>82</v>
      </c>
      <c r="D5372" s="392" t="n"/>
      <c r="E5372" s="392" t="n"/>
      <c r="F5372" s="392" t="n"/>
      <c r="G5372" s="392" t="n">
        <v>100</v>
      </c>
      <c r="H5372" s="446">
        <f>H5371-G5372</f>
        <v/>
      </c>
      <c r="I5372" s="392" t="n"/>
      <c r="J5372" s="392" t="n"/>
      <c r="K5372" s="392" t="n"/>
      <c r="L5372" s="392" t="n"/>
      <c r="M5372" s="392" t="n"/>
    </row>
    <row r="5373">
      <c r="A5373" s="568" t="n">
        <v>46133</v>
      </c>
      <c r="B5373" s="392" t="n">
        <v>12605</v>
      </c>
      <c r="C5373" s="392" t="n">
        <v>83</v>
      </c>
      <c r="D5373" s="392" t="n"/>
      <c r="E5373" s="392" t="n"/>
      <c r="F5373" s="392" t="n"/>
      <c r="G5373" s="392" t="n">
        <v>20</v>
      </c>
      <c r="H5373" s="446">
        <f>H5372-G5373</f>
        <v/>
      </c>
      <c r="I5373" s="392" t="n"/>
      <c r="J5373" s="392" t="n"/>
      <c r="K5373" s="392" t="n"/>
      <c r="L5373" s="392" t="n"/>
      <c r="M5373" s="392" t="n"/>
    </row>
    <row r="5374">
      <c r="A5374" s="568" t="n">
        <v>46135</v>
      </c>
      <c r="B5374" s="392" t="n">
        <v>12607</v>
      </c>
      <c r="C5374" s="392" t="n">
        <v>84</v>
      </c>
      <c r="D5374" s="392" t="n"/>
      <c r="E5374" s="392" t="n"/>
      <c r="F5374" s="392" t="n"/>
      <c r="G5374" s="392" t="n">
        <v>20</v>
      </c>
      <c r="H5374" s="446">
        <f>H5373-G5374</f>
        <v/>
      </c>
      <c r="I5374" s="392" t="n"/>
      <c r="J5374" s="392" t="n"/>
      <c r="K5374" s="392" t="n"/>
      <c r="L5374" s="392" t="n"/>
      <c r="M5374" s="392" t="n"/>
    </row>
    <row r="5375">
      <c r="A5375" s="568" t="n">
        <v>46139</v>
      </c>
      <c r="B5375" s="392" t="n">
        <v>12608</v>
      </c>
      <c r="C5375" s="392" t="n">
        <v>80</v>
      </c>
      <c r="D5375" s="392" t="n"/>
      <c r="E5375" s="392" t="n"/>
      <c r="F5375" s="392" t="n"/>
      <c r="G5375" s="392" t="n">
        <v>100</v>
      </c>
      <c r="H5375" s="446">
        <f>H5374-G5375</f>
        <v/>
      </c>
      <c r="I5375" s="392" t="n"/>
      <c r="J5375" s="392" t="n"/>
      <c r="K5375" s="392" t="n"/>
      <c r="L5375" s="392" t="n"/>
      <c r="M5375" s="392" t="n"/>
    </row>
    <row r="5376">
      <c r="A5376" s="568" t="n">
        <v>46139</v>
      </c>
      <c r="B5376" s="392" t="n">
        <v>12610</v>
      </c>
      <c r="C5376" s="392" t="n">
        <v>90</v>
      </c>
      <c r="D5376" s="392" t="n"/>
      <c r="E5376" s="392" t="n"/>
      <c r="F5376" s="392" t="n"/>
      <c r="G5376" s="392" t="n">
        <v>20</v>
      </c>
      <c r="H5376" s="446">
        <f>H5375-G5376</f>
        <v/>
      </c>
      <c r="I5376" s="392" t="n"/>
      <c r="J5376" s="392" t="n"/>
      <c r="K5376" s="392" t="n"/>
      <c r="L5376" s="392" t="n"/>
      <c r="M5376" s="392" t="n"/>
    </row>
    <row r="5377">
      <c r="A5377" s="568" t="n">
        <v>46139</v>
      </c>
      <c r="B5377" s="392" t="n">
        <v>12611</v>
      </c>
      <c r="C5377" s="392" t="n">
        <v>84</v>
      </c>
      <c r="D5377" s="392" t="n"/>
      <c r="E5377" s="392" t="n"/>
      <c r="F5377" s="392" t="n"/>
      <c r="G5377" s="392" t="n">
        <v>20</v>
      </c>
      <c r="H5377" s="446">
        <f>H5376-G5377</f>
        <v/>
      </c>
      <c r="I5377" s="392" t="n"/>
      <c r="J5377" s="392" t="n"/>
      <c r="K5377" s="392" t="n"/>
      <c r="L5377" s="392" t="n"/>
      <c r="M5377" s="392" t="n"/>
    </row>
    <row r="5378">
      <c r="A5378" s="568" t="n">
        <v>46139</v>
      </c>
      <c r="B5378" s="392" t="n">
        <v>12612</v>
      </c>
      <c r="C5378" s="392" t="n">
        <v>82</v>
      </c>
      <c r="D5378" s="392" t="n"/>
      <c r="E5378" s="392" t="n"/>
      <c r="F5378" s="392" t="n"/>
      <c r="G5378" s="392" t="n">
        <v>20</v>
      </c>
      <c r="H5378" s="446">
        <f>H5377-G5378</f>
        <v/>
      </c>
      <c r="I5378" s="392" t="n"/>
      <c r="J5378" s="392" t="n"/>
      <c r="K5378" s="392" t="n"/>
      <c r="L5378" s="392" t="n"/>
      <c r="M5378" s="392" t="n"/>
    </row>
    <row r="5379">
      <c r="A5379" s="568" t="n">
        <v>46139</v>
      </c>
      <c r="B5379" s="392" t="n">
        <v>12614</v>
      </c>
      <c r="C5379" s="392" t="n">
        <v>84</v>
      </c>
      <c r="D5379" s="392" t="n"/>
      <c r="E5379" s="392" t="n"/>
      <c r="F5379" s="392" t="n"/>
      <c r="G5379" s="392" t="n">
        <v>20</v>
      </c>
      <c r="H5379" s="446">
        <f>H5378-G5379</f>
        <v/>
      </c>
      <c r="I5379" s="392" t="n"/>
      <c r="J5379" s="392" t="n"/>
      <c r="K5379" s="392" t="n"/>
      <c r="L5379" s="392" t="n"/>
      <c r="M5379" s="392" t="n"/>
    </row>
    <row r="5380" ht="17.25" customHeight="1" s="436">
      <c r="A5380" s="568" t="n">
        <v>46139</v>
      </c>
      <c r="B5380" s="392" t="n">
        <v>12609</v>
      </c>
      <c r="C5380" s="392" t="n">
        <v>90</v>
      </c>
      <c r="D5380" s="392" t="n"/>
      <c r="E5380" s="392" t="n"/>
      <c r="F5380" s="392" t="n"/>
      <c r="G5380" s="392" t="n">
        <v>20</v>
      </c>
      <c r="H5380" s="556">
        <f>H5379-G5380</f>
        <v/>
      </c>
      <c r="I5380" s="392" t="n"/>
      <c r="J5380" s="392" t="n"/>
      <c r="K5380" s="392" t="n"/>
      <c r="L5380" s="392" t="n"/>
      <c r="M5380" s="392" t="n"/>
    </row>
    <row r="5381">
      <c r="A5381" s="568" t="n">
        <v>46141</v>
      </c>
      <c r="B5381" s="392" t="n">
        <v>12615</v>
      </c>
      <c r="C5381" s="392" t="n">
        <v>80</v>
      </c>
      <c r="D5381" s="392" t="n"/>
      <c r="E5381" s="392" t="n"/>
      <c r="F5381" s="392" t="n"/>
      <c r="G5381" s="392" t="n">
        <v>200</v>
      </c>
      <c r="H5381" s="446">
        <f>H5380-G5381</f>
        <v/>
      </c>
      <c r="I5381" s="392" t="n"/>
      <c r="J5381" s="392" t="n"/>
      <c r="K5381" s="392" t="n"/>
      <c r="L5381" s="392" t="n"/>
      <c r="M5381" s="392" t="n"/>
    </row>
    <row r="5382">
      <c r="A5382" s="568" t="n">
        <v>46141</v>
      </c>
      <c r="B5382" s="392" t="n">
        <v>12617</v>
      </c>
      <c r="C5382" s="392" t="n">
        <v>85.5</v>
      </c>
      <c r="D5382" s="392" t="n"/>
      <c r="E5382" s="392" t="n"/>
      <c r="F5382" s="392" t="n"/>
      <c r="G5382" s="392" t="n">
        <v>20</v>
      </c>
      <c r="H5382" s="446">
        <f>H5381-G5382</f>
        <v/>
      </c>
      <c r="I5382" s="392" t="n"/>
      <c r="J5382" s="392" t="n"/>
      <c r="K5382" s="392" t="n"/>
      <c r="L5382" s="392" t="n"/>
      <c r="M5382" s="392" t="n"/>
    </row>
    <row r="5383">
      <c r="A5383" s="568" t="n">
        <v>46141</v>
      </c>
      <c r="B5383" s="392" t="n">
        <v>12619</v>
      </c>
      <c r="C5383" s="392" t="n">
        <v>84.43000000000001</v>
      </c>
      <c r="D5383" s="392" t="n"/>
      <c r="E5383" s="392" t="n"/>
      <c r="F5383" s="392" t="n"/>
      <c r="G5383" s="392" t="n">
        <v>28</v>
      </c>
      <c r="H5383" s="446">
        <f>H5382-G5383</f>
        <v/>
      </c>
      <c r="I5383" s="392" t="n"/>
      <c r="J5383" s="392" t="n"/>
      <c r="K5383" s="392" t="n"/>
      <c r="L5383" s="392" t="n"/>
      <c r="M5383" s="392" t="n"/>
    </row>
    <row r="5384" ht="15.75" customHeight="1" s="436" thickBot="1">
      <c r="A5384" s="414" t="n"/>
      <c r="H5384" s="390" t="n"/>
    </row>
    <row r="5385" ht="32.25" customHeight="1" s="436" thickBot="1">
      <c r="A5385" s="735" t="inlineStr">
        <is>
          <t>Maio</t>
        </is>
      </c>
      <c r="B5385" s="697" t="n"/>
      <c r="C5385" s="697" t="n"/>
      <c r="D5385" s="697" t="n"/>
      <c r="E5385" s="697" t="n"/>
      <c r="F5385" s="697" t="n"/>
      <c r="G5385" s="697" t="n"/>
      <c r="H5385" s="697" t="n"/>
      <c r="I5385" s="697" t="n"/>
      <c r="J5385" s="697" t="n"/>
      <c r="K5385" s="697" t="n"/>
      <c r="L5385" s="697" t="n"/>
      <c r="M5385" s="698" t="n"/>
    </row>
    <row r="5386" ht="27" customHeight="1" s="436" thickBot="1">
      <c r="A5386" s="720" t="inlineStr">
        <is>
          <t xml:space="preserve"> FARINHA DE TRIGO TIPO: 1 - 25 KG</t>
        </is>
      </c>
      <c r="B5386" s="697" t="n"/>
      <c r="C5386" s="697" t="n"/>
      <c r="D5386" s="697" t="n"/>
      <c r="E5386" s="697" t="n"/>
      <c r="F5386" s="697" t="n"/>
      <c r="G5386" s="697" t="n"/>
      <c r="H5386" s="697" t="n"/>
      <c r="I5386" s="697" t="n"/>
      <c r="J5386" s="697" t="n"/>
      <c r="K5386" s="697" t="n"/>
      <c r="L5386" s="697" t="n"/>
      <c r="M5386" s="698" t="n"/>
    </row>
    <row r="5387">
      <c r="A5387" s="3" t="inlineStr">
        <is>
          <t>DATA</t>
        </is>
      </c>
      <c r="B5387" s="3" t="inlineStr">
        <is>
          <t>N.F.</t>
        </is>
      </c>
      <c r="C5387" s="3" t="inlineStr">
        <is>
          <t>TIPO</t>
        </is>
      </c>
      <c r="D5387" s="708" t="inlineStr">
        <is>
          <t>PREÇO UNITÁRIO</t>
        </is>
      </c>
      <c r="E5387" s="736" t="n"/>
      <c r="F5387" s="3" t="inlineStr">
        <is>
          <t>QUANTIDADE / KG</t>
        </is>
      </c>
      <c r="G5387" s="737" t="n"/>
      <c r="H5387" s="736" t="n"/>
      <c r="I5387" s="631" t="inlineStr">
        <is>
          <t>PREÇO</t>
        </is>
      </c>
      <c r="J5387" s="631" t="inlineStr">
        <is>
          <t>VALORES</t>
        </is>
      </c>
      <c r="K5387" s="737" t="n"/>
      <c r="L5387" s="736" t="n"/>
      <c r="M5387" s="738" t="n"/>
    </row>
    <row r="5388" ht="15.75" customHeight="1" s="436" thickBot="1">
      <c r="A5388" s="704" t="n"/>
      <c r="B5388" s="704" t="n"/>
      <c r="C5388" s="704" t="n"/>
      <c r="D5388" s="703" t="n"/>
      <c r="E5388" s="701" t="n"/>
      <c r="F5388" s="705" t="n"/>
      <c r="G5388" s="706" t="n"/>
      <c r="H5388" s="707" t="n"/>
      <c r="I5388" s="704" t="n"/>
      <c r="J5388" s="703" t="n"/>
      <c r="L5388" s="701" t="n"/>
      <c r="M5388" s="704" t="n"/>
    </row>
    <row r="5389" ht="15.75" customHeight="1" s="436" thickBot="1">
      <c r="A5389" s="704" t="n"/>
      <c r="B5389" s="704" t="n"/>
      <c r="C5389" s="704" t="n"/>
      <c r="D5389" s="705" t="n"/>
      <c r="E5389" s="707" t="n"/>
      <c r="F5389" s="3" t="inlineStr">
        <is>
          <t>ENTRADA</t>
        </is>
      </c>
      <c r="G5389" s="3" t="inlineStr">
        <is>
          <t>SAÍDA</t>
        </is>
      </c>
      <c r="H5389" s="640" t="n"/>
      <c r="I5389" s="633" t="inlineStr">
        <is>
          <t>MÉDIO</t>
        </is>
      </c>
      <c r="J5389" s="739" t="inlineStr">
        <is>
          <t>SALDO EM 30/11/2017</t>
        </is>
      </c>
      <c r="K5389" s="707" t="n"/>
      <c r="L5389" s="17" t="n"/>
      <c r="M5389" s="740" t="n"/>
    </row>
    <row r="5390" ht="15.75" customHeight="1" s="436" thickBot="1">
      <c r="A5390" s="695" t="n"/>
      <c r="B5390" s="695" t="n"/>
      <c r="C5390" s="695" t="n"/>
      <c r="D5390" s="3" t="inlineStr">
        <is>
          <t>C/ICMS</t>
        </is>
      </c>
      <c r="E5390" s="3" t="inlineStr">
        <is>
          <t>S/ICMS</t>
        </is>
      </c>
      <c r="F5390" s="695" t="n"/>
      <c r="G5390" s="695" t="n"/>
      <c r="H5390" s="361" t="inlineStr">
        <is>
          <t>Saldo em 30/04/2026</t>
        </is>
      </c>
      <c r="I5390" s="695" t="n"/>
      <c r="J5390" s="645" t="inlineStr">
        <is>
          <t>ENTRADA</t>
        </is>
      </c>
      <c r="K5390" s="633" t="inlineStr">
        <is>
          <t>SAÍDA / CMV</t>
        </is>
      </c>
      <c r="L5390" s="643" t="inlineStr">
        <is>
          <t>SALDO</t>
        </is>
      </c>
      <c r="M5390" s="392" t="n"/>
    </row>
    <row r="5391">
      <c r="A5391" s="392" t="n"/>
      <c r="B5391" s="392" t="n"/>
      <c r="C5391" s="392" t="n"/>
      <c r="D5391" s="392" t="n"/>
      <c r="E5391" s="392" t="n"/>
      <c r="F5391" s="392" t="n"/>
      <c r="G5391" s="392" t="n"/>
      <c r="H5391" s="446" t="n">
        <v>4919</v>
      </c>
      <c r="I5391" s="392" t="n"/>
      <c r="J5391" s="392" t="n"/>
      <c r="K5391" s="392" t="n"/>
      <c r="L5391" s="392" t="n"/>
      <c r="M5391" s="392" t="n"/>
    </row>
    <row r="5392">
      <c r="A5392" s="568" t="n">
        <v>46146</v>
      </c>
      <c r="B5392" s="392" t="n">
        <v>12621</v>
      </c>
      <c r="C5392" s="392" t="n">
        <v>84</v>
      </c>
      <c r="D5392" s="392" t="n"/>
      <c r="E5392" s="392" t="n"/>
      <c r="F5392" s="392" t="n"/>
      <c r="G5392" s="392" t="n">
        <v>20</v>
      </c>
      <c r="H5392" s="446">
        <f>H5391-G5392</f>
        <v/>
      </c>
      <c r="I5392" s="392" t="n"/>
      <c r="J5392" s="392" t="n"/>
      <c r="K5392" s="392" t="n"/>
      <c r="L5392" s="392" t="n"/>
      <c r="M5392" s="392" t="n"/>
    </row>
    <row r="5393">
      <c r="A5393" s="568" t="n">
        <v>46146</v>
      </c>
      <c r="B5393" s="392" t="n">
        <v>12622</v>
      </c>
      <c r="C5393" s="392" t="n">
        <v>50</v>
      </c>
      <c r="D5393" s="392" t="n"/>
      <c r="E5393" s="392" t="n"/>
      <c r="F5393" s="392" t="n"/>
      <c r="G5393" s="392" t="n">
        <v>90</v>
      </c>
      <c r="H5393" s="446">
        <f>H5392-G5393</f>
        <v/>
      </c>
      <c r="I5393" s="392" t="n"/>
      <c r="J5393" s="392" t="n"/>
      <c r="K5393" s="392" t="n"/>
      <c r="L5393" s="392" t="n"/>
      <c r="M5393" s="392" t="n"/>
    </row>
    <row r="5394">
      <c r="A5394" s="568" t="n">
        <v>46146</v>
      </c>
      <c r="B5394" s="392" t="n">
        <v>12623</v>
      </c>
      <c r="C5394" s="392" t="n">
        <v>82</v>
      </c>
      <c r="D5394" s="392" t="n"/>
      <c r="E5394" s="392" t="n"/>
      <c r="F5394" s="392" t="n"/>
      <c r="G5394" s="392" t="n">
        <v>100</v>
      </c>
      <c r="H5394" s="446">
        <f>H5393-G5394</f>
        <v/>
      </c>
      <c r="I5394" s="392" t="n"/>
      <c r="J5394" s="392" t="n"/>
      <c r="K5394" s="392" t="n"/>
      <c r="L5394" s="392" t="n"/>
      <c r="M5394" s="392" t="n"/>
    </row>
    <row r="5395">
      <c r="A5395" s="568" t="n">
        <v>46146</v>
      </c>
      <c r="B5395" s="392" t="n">
        <v>12624</v>
      </c>
      <c r="C5395" s="392" t="n">
        <v>89</v>
      </c>
      <c r="D5395" s="392" t="n"/>
      <c r="E5395" s="392" t="n"/>
      <c r="F5395" s="392" t="n"/>
      <c r="G5395" s="392" t="n">
        <v>100</v>
      </c>
      <c r="H5395" s="446">
        <f>H5394-G5395</f>
        <v/>
      </c>
      <c r="I5395" s="392" t="n"/>
      <c r="J5395" s="392" t="n"/>
      <c r="K5395" s="392" t="n"/>
      <c r="L5395" s="392" t="n"/>
      <c r="M5395" s="392" t="n"/>
    </row>
    <row r="5396">
      <c r="A5396" s="568" t="n">
        <v>46146</v>
      </c>
      <c r="B5396" s="392" t="n">
        <v>12625</v>
      </c>
      <c r="C5396" s="392" t="n">
        <v>84</v>
      </c>
      <c r="D5396" s="392" t="n"/>
      <c r="E5396" s="392" t="n"/>
      <c r="F5396" s="392" t="n"/>
      <c r="G5396" s="392" t="n">
        <v>20</v>
      </c>
      <c r="H5396" s="446">
        <f>H5395-G5396</f>
        <v/>
      </c>
      <c r="I5396" s="392" t="n"/>
      <c r="J5396" s="392" t="n"/>
      <c r="K5396" s="392" t="n"/>
      <c r="L5396" s="392" t="n"/>
      <c r="M5396" s="392" t="n"/>
    </row>
    <row r="5397">
      <c r="A5397" s="568" t="n">
        <v>46146</v>
      </c>
      <c r="B5397" s="392" t="n">
        <v>12626</v>
      </c>
      <c r="C5397" s="392" t="n">
        <v>78</v>
      </c>
      <c r="D5397" s="392" t="n"/>
      <c r="E5397" s="392" t="n"/>
      <c r="F5397" s="392" t="n"/>
      <c r="G5397" s="392" t="n">
        <v>30</v>
      </c>
      <c r="H5397" s="446">
        <f>H5396-G5397</f>
        <v/>
      </c>
      <c r="I5397" s="392" t="n"/>
      <c r="J5397" s="392" t="n"/>
      <c r="K5397" s="392" t="n"/>
      <c r="L5397" s="392" t="n"/>
      <c r="M5397" s="392" t="n"/>
    </row>
    <row r="5398">
      <c r="A5398" s="568" t="n">
        <v>46148</v>
      </c>
      <c r="B5398" s="392" t="n">
        <v>12627</v>
      </c>
      <c r="C5398" s="392" t="n">
        <v>70</v>
      </c>
      <c r="D5398" s="392" t="n"/>
      <c r="E5398" s="392" t="n"/>
      <c r="F5398" s="392" t="n"/>
      <c r="G5398" s="392" t="n">
        <v>84</v>
      </c>
      <c r="H5398" s="446">
        <f>H5397-G5398</f>
        <v/>
      </c>
      <c r="I5398" s="392" t="n"/>
      <c r="J5398" s="392" t="n"/>
      <c r="K5398" s="392" t="n"/>
      <c r="L5398" s="392" t="n"/>
      <c r="M5398" s="392" t="n"/>
    </row>
    <row r="5399">
      <c r="A5399" s="568" t="n">
        <v>46148</v>
      </c>
      <c r="B5399" s="392" t="n">
        <v>12628</v>
      </c>
      <c r="C5399" s="392" t="n">
        <v>90</v>
      </c>
      <c r="D5399" s="392" t="n"/>
      <c r="E5399" s="392" t="n"/>
      <c r="F5399" s="392" t="n"/>
      <c r="G5399" s="392" t="n">
        <v>50</v>
      </c>
      <c r="H5399" s="446">
        <f>H5398-G5399</f>
        <v/>
      </c>
      <c r="I5399" s="392" t="n"/>
      <c r="J5399" s="392" t="n"/>
      <c r="K5399" s="392" t="n"/>
      <c r="L5399" s="392" t="n"/>
      <c r="M5399" s="392" t="n"/>
    </row>
    <row r="5400">
      <c r="A5400" s="568" t="n">
        <v>46153</v>
      </c>
      <c r="B5400" s="392" t="n">
        <v>12632</v>
      </c>
      <c r="C5400" s="392" t="n">
        <v>84</v>
      </c>
      <c r="D5400" s="392" t="n"/>
      <c r="E5400" s="392" t="n"/>
      <c r="F5400" s="392" t="n"/>
      <c r="G5400" s="392" t="n">
        <v>20</v>
      </c>
      <c r="H5400" s="446">
        <f>H5399-G5400</f>
        <v/>
      </c>
      <c r="I5400" s="392" t="n"/>
      <c r="J5400" s="392" t="n"/>
      <c r="K5400" s="392" t="n"/>
      <c r="L5400" s="392" t="n"/>
      <c r="M5400" s="392" t="n"/>
    </row>
    <row r="5401">
      <c r="A5401" s="568" t="n">
        <v>46153</v>
      </c>
      <c r="B5401" s="392" t="n">
        <v>12634</v>
      </c>
      <c r="C5401" s="392" t="n">
        <v>84</v>
      </c>
      <c r="D5401" s="392" t="n"/>
      <c r="E5401" s="392" t="n"/>
      <c r="F5401" s="392" t="n"/>
      <c r="G5401" s="392" t="n">
        <v>60</v>
      </c>
      <c r="H5401" s="446">
        <f>H5400-G5401</f>
        <v/>
      </c>
      <c r="I5401" s="392" t="n"/>
      <c r="J5401" s="392" t="n"/>
      <c r="K5401" s="392" t="n"/>
      <c r="L5401" s="392" t="n"/>
      <c r="M5401" s="392" t="n"/>
    </row>
    <row r="5402">
      <c r="A5402" s="568" t="n">
        <v>46153</v>
      </c>
      <c r="B5402" s="392" t="n">
        <v>12635</v>
      </c>
      <c r="C5402" s="392" t="n">
        <v>82</v>
      </c>
      <c r="D5402" s="392" t="n"/>
      <c r="E5402" s="392" t="n"/>
      <c r="F5402" s="392" t="n"/>
      <c r="G5402" s="392" t="n">
        <v>10</v>
      </c>
      <c r="H5402" s="446">
        <f>H5401-G5402</f>
        <v/>
      </c>
      <c r="I5402" s="392" t="n"/>
      <c r="J5402" s="392" t="n"/>
      <c r="K5402" s="392" t="n"/>
      <c r="L5402" s="392" t="n"/>
      <c r="M5402" s="392" t="n"/>
    </row>
    <row r="5403">
      <c r="A5403" s="568" t="n">
        <v>46153</v>
      </c>
      <c r="B5403" s="392" t="n">
        <v>12636</v>
      </c>
      <c r="C5403" s="392" t="n">
        <v>87</v>
      </c>
      <c r="D5403" s="392" t="n"/>
      <c r="E5403" s="392" t="n"/>
      <c r="F5403" s="392" t="n"/>
      <c r="G5403" s="392" t="n">
        <v>30</v>
      </c>
      <c r="H5403" s="446">
        <f>H5402-G5403</f>
        <v/>
      </c>
      <c r="I5403" s="392" t="n"/>
      <c r="J5403" s="392" t="n"/>
      <c r="K5403" s="392" t="n"/>
      <c r="L5403" s="392" t="n"/>
      <c r="M5403" s="392" t="n"/>
    </row>
    <row r="5404">
      <c r="A5404" s="568" t="n">
        <v>46153</v>
      </c>
      <c r="B5404" s="392" t="n">
        <v>12638</v>
      </c>
      <c r="C5404" s="392" t="n">
        <v>84</v>
      </c>
      <c r="D5404" s="392" t="n"/>
      <c r="E5404" s="392" t="n"/>
      <c r="F5404" s="392" t="n"/>
      <c r="G5404" s="392" t="n">
        <v>20</v>
      </c>
      <c r="H5404" s="446">
        <f>H5403-G5404</f>
        <v/>
      </c>
      <c r="I5404" s="392" t="n"/>
      <c r="J5404" s="392" t="n"/>
      <c r="K5404" s="392" t="n"/>
      <c r="L5404" s="392" t="n"/>
      <c r="M5404" s="392" t="n"/>
    </row>
    <row r="5405">
      <c r="A5405" s="568" t="n">
        <v>46155</v>
      </c>
      <c r="B5405" s="392" t="n">
        <v>12641</v>
      </c>
      <c r="C5405" s="392" t="n">
        <v>82</v>
      </c>
      <c r="D5405" s="392" t="n"/>
      <c r="E5405" s="392" t="n"/>
      <c r="F5405" s="392" t="n"/>
      <c r="G5405" s="392" t="n">
        <v>100</v>
      </c>
      <c r="H5405" s="446">
        <f>H5404-G5405</f>
        <v/>
      </c>
      <c r="I5405" s="392" t="n"/>
      <c r="J5405" s="392" t="n"/>
      <c r="K5405" s="392" t="n"/>
      <c r="L5405" s="392" t="n"/>
      <c r="M5405" s="392" t="n"/>
    </row>
    <row r="5406">
      <c r="A5406" s="568" t="n">
        <v>46155</v>
      </c>
      <c r="B5406" s="392" t="n">
        <v>12642</v>
      </c>
      <c r="C5406" s="392" t="n">
        <v>82</v>
      </c>
      <c r="D5406" s="392" t="n"/>
      <c r="E5406" s="392" t="n"/>
      <c r="F5406" s="392" t="n"/>
      <c r="G5406" s="392" t="n">
        <v>10</v>
      </c>
      <c r="H5406" s="446">
        <f>H5405-G5406</f>
        <v/>
      </c>
      <c r="I5406" s="392" t="n"/>
      <c r="J5406" s="392" t="n"/>
      <c r="K5406" s="392" t="n"/>
      <c r="L5406" s="392" t="n"/>
      <c r="M5406" s="392" t="n"/>
    </row>
    <row r="5407">
      <c r="A5407" s="568" t="n">
        <v>46155</v>
      </c>
      <c r="B5407" s="392" t="n">
        <v>12643</v>
      </c>
      <c r="C5407" s="392" t="n">
        <v>84</v>
      </c>
      <c r="D5407" s="392" t="n"/>
      <c r="E5407" s="392" t="n"/>
      <c r="F5407" s="392" t="n"/>
      <c r="G5407" s="392" t="n">
        <v>20</v>
      </c>
      <c r="H5407" s="446">
        <f>H5406-G5407</f>
        <v/>
      </c>
      <c r="I5407" s="392" t="n"/>
      <c r="J5407" s="392" t="n"/>
      <c r="K5407" s="392" t="n"/>
      <c r="L5407" s="392" t="n"/>
      <c r="M5407" s="392" t="n"/>
    </row>
    <row r="5408">
      <c r="A5408" s="568" t="n">
        <v>46155</v>
      </c>
      <c r="B5408" s="392" t="n">
        <v>12644</v>
      </c>
      <c r="C5408" s="392" t="n">
        <v>90</v>
      </c>
      <c r="D5408" s="392" t="n"/>
      <c r="E5408" s="392" t="n"/>
      <c r="F5408" s="392" t="n"/>
      <c r="G5408" s="392" t="n">
        <v>20</v>
      </c>
      <c r="H5408" s="446">
        <f>H5407-G5408</f>
        <v/>
      </c>
      <c r="I5408" s="392" t="n"/>
      <c r="J5408" s="392" t="n"/>
      <c r="K5408" s="392" t="n"/>
      <c r="L5408" s="392" t="n"/>
      <c r="M5408" s="392" t="n"/>
    </row>
    <row r="5409">
      <c r="A5409" s="304" t="n">
        <v>46160</v>
      </c>
      <c r="B5409" s="401" t="n">
        <v>5064</v>
      </c>
      <c r="C5409" s="401" t="n">
        <v>80</v>
      </c>
      <c r="D5409" s="401" t="n"/>
      <c r="E5409" s="401" t="n"/>
      <c r="F5409" s="401" t="n">
        <v>1120</v>
      </c>
      <c r="G5409" s="401" t="n"/>
      <c r="H5409" s="322" t="n">
        <v>5255</v>
      </c>
      <c r="I5409" s="392" t="n"/>
      <c r="J5409" s="392" t="n"/>
      <c r="K5409" s="392" t="n"/>
      <c r="L5409" s="392" t="n"/>
      <c r="M5409" s="392" t="n"/>
    </row>
    <row r="5410">
      <c r="A5410" s="568" t="n">
        <v>46160</v>
      </c>
      <c r="B5410" s="392" t="n">
        <v>12647</v>
      </c>
      <c r="C5410" s="392" t="n">
        <v>90</v>
      </c>
      <c r="D5410" s="392" t="n"/>
      <c r="E5410" s="392" t="n"/>
      <c r="F5410" s="392" t="n"/>
      <c r="G5410" s="392" t="n">
        <v>40</v>
      </c>
      <c r="H5410" s="446">
        <f>H5409-G5410</f>
        <v/>
      </c>
      <c r="I5410" s="392" t="n"/>
      <c r="J5410" s="392" t="n"/>
      <c r="K5410" s="392" t="n"/>
      <c r="L5410" s="392" t="n"/>
      <c r="M5410" s="392" t="n"/>
    </row>
    <row r="5411">
      <c r="A5411" s="568" t="n">
        <v>46160</v>
      </c>
      <c r="B5411" s="392" t="n">
        <v>12650</v>
      </c>
      <c r="C5411" s="392" t="n">
        <v>82</v>
      </c>
      <c r="D5411" s="392" t="n"/>
      <c r="E5411" s="392" t="n"/>
      <c r="F5411" s="392" t="n"/>
      <c r="G5411" s="392" t="n">
        <v>100</v>
      </c>
      <c r="H5411" s="446">
        <f>H5410-G5411</f>
        <v/>
      </c>
      <c r="I5411" s="392" t="n"/>
      <c r="J5411" s="392" t="n"/>
      <c r="K5411" s="392" t="n"/>
      <c r="L5411" s="392" t="n"/>
      <c r="M5411" s="392" t="n"/>
    </row>
    <row r="5412">
      <c r="A5412" s="568" t="n">
        <v>46162</v>
      </c>
      <c r="B5412" s="392" t="n">
        <v>12651</v>
      </c>
      <c r="C5412" s="392" t="n">
        <v>84</v>
      </c>
      <c r="D5412" s="392" t="n"/>
      <c r="E5412" s="392" t="n"/>
      <c r="F5412" s="392" t="n"/>
      <c r="G5412" s="392" t="n">
        <v>20</v>
      </c>
      <c r="H5412" s="446">
        <f>H5411-G5412</f>
        <v/>
      </c>
      <c r="I5412" s="392" t="n"/>
      <c r="J5412" s="392" t="n"/>
      <c r="K5412" s="392" t="n"/>
      <c r="L5412" s="392" t="n"/>
      <c r="M5412" s="392" t="n"/>
    </row>
    <row r="5413">
      <c r="A5413" s="568" t="n">
        <v>46162</v>
      </c>
      <c r="B5413" s="392" t="n">
        <v>12653</v>
      </c>
      <c r="C5413" s="392" t="n">
        <v>84</v>
      </c>
      <c r="D5413" s="392" t="n"/>
      <c r="E5413" s="392" t="n"/>
      <c r="F5413" s="392" t="n"/>
      <c r="G5413" s="392" t="n">
        <v>20</v>
      </c>
      <c r="H5413" s="446">
        <f>H5412-G5413</f>
        <v/>
      </c>
      <c r="I5413" s="392" t="n"/>
      <c r="J5413" s="392" t="n"/>
      <c r="K5413" s="392" t="n"/>
      <c r="L5413" s="392" t="n"/>
      <c r="M5413" s="392" t="n"/>
    </row>
    <row r="5414">
      <c r="A5414" s="568" t="n">
        <v>46162</v>
      </c>
      <c r="B5414" s="392" t="n">
        <v>12654</v>
      </c>
      <c r="C5414" s="392" t="n">
        <v>90</v>
      </c>
      <c r="D5414" s="392" t="n"/>
      <c r="E5414" s="392" t="n"/>
      <c r="F5414" s="392" t="n"/>
      <c r="G5414" s="392" t="n">
        <v>20</v>
      </c>
      <c r="H5414" s="446">
        <f>H5413-G5414</f>
        <v/>
      </c>
      <c r="I5414" s="392" t="n"/>
      <c r="J5414" s="392" t="n"/>
      <c r="K5414" s="392" t="n"/>
      <c r="L5414" s="392" t="n"/>
      <c r="M5414" s="392" t="n"/>
    </row>
    <row r="5415">
      <c r="A5415" s="568" t="n">
        <v>46162</v>
      </c>
      <c r="B5415" s="392" t="n">
        <v>12656</v>
      </c>
      <c r="C5415" s="392" t="n">
        <v>85.2</v>
      </c>
      <c r="D5415" s="392" t="n"/>
      <c r="E5415" s="392" t="n"/>
      <c r="F5415" s="392" t="n"/>
      <c r="G5415" s="392" t="n">
        <v>15</v>
      </c>
      <c r="H5415" s="446">
        <f>H5414-G5415</f>
        <v/>
      </c>
      <c r="I5415" s="392" t="n"/>
      <c r="J5415" s="392" t="n"/>
      <c r="K5415" s="392" t="n"/>
      <c r="L5415" s="392" t="n"/>
      <c r="M5415" s="392" t="n"/>
    </row>
    <row r="5416">
      <c r="A5416" s="568" t="n">
        <v>46162</v>
      </c>
      <c r="B5416" s="392" t="n">
        <v>12657</v>
      </c>
      <c r="C5416" s="392" t="n">
        <v>90</v>
      </c>
      <c r="D5416" s="392" t="n"/>
      <c r="E5416" s="392" t="n"/>
      <c r="F5416" s="392" t="n"/>
      <c r="G5416" s="392" t="n">
        <v>20</v>
      </c>
      <c r="H5416" s="446">
        <f>H5415-G5416</f>
        <v/>
      </c>
      <c r="I5416" s="392" t="n"/>
      <c r="J5416" s="392" t="n"/>
      <c r="K5416" s="392" t="n"/>
      <c r="L5416" s="392" t="n"/>
      <c r="M5416" s="392" t="n"/>
    </row>
    <row r="5417">
      <c r="A5417" s="568" t="n">
        <v>46162</v>
      </c>
      <c r="B5417" s="392" t="n">
        <v>12658</v>
      </c>
      <c r="C5417" s="392" t="n">
        <v>84</v>
      </c>
      <c r="D5417" s="392" t="n"/>
      <c r="E5417" s="392" t="n"/>
      <c r="F5417" s="392" t="n"/>
      <c r="G5417" s="392" t="n">
        <v>30</v>
      </c>
      <c r="H5417" s="446">
        <f>H5416-G5417</f>
        <v/>
      </c>
      <c r="I5417" s="392" t="n"/>
      <c r="J5417" s="392" t="n"/>
      <c r="K5417" s="392" t="n"/>
      <c r="L5417" s="392" t="n"/>
      <c r="M5417" s="392" t="n"/>
    </row>
    <row r="5418">
      <c r="A5418" s="568" t="n">
        <v>46167</v>
      </c>
      <c r="B5418" s="392" t="n">
        <v>12662</v>
      </c>
      <c r="C5418" s="392" t="n">
        <v>82</v>
      </c>
      <c r="D5418" s="392" t="n"/>
      <c r="E5418" s="392" t="n"/>
      <c r="F5418" s="392" t="n"/>
      <c r="G5418" s="392" t="n">
        <v>100</v>
      </c>
      <c r="H5418" s="446">
        <f>H5417-G5418</f>
        <v/>
      </c>
      <c r="I5418" s="392" t="n"/>
      <c r="J5418" s="392" t="n"/>
      <c r="K5418" s="392" t="n"/>
      <c r="L5418" s="392" t="n"/>
      <c r="M5418" s="392" t="n"/>
    </row>
    <row r="5419">
      <c r="A5419" s="568" t="n">
        <v>46167</v>
      </c>
      <c r="B5419" s="392" t="n">
        <v>12663</v>
      </c>
      <c r="C5419" s="392" t="n">
        <v>89</v>
      </c>
      <c r="D5419" s="392" t="n"/>
      <c r="E5419" s="392" t="n"/>
      <c r="F5419" s="392" t="n"/>
      <c r="G5419" s="392" t="n">
        <v>100</v>
      </c>
      <c r="H5419" s="446">
        <f>H5418-G5419</f>
        <v/>
      </c>
      <c r="I5419" s="392" t="n"/>
      <c r="J5419" s="392" t="n"/>
      <c r="K5419" s="392" t="n"/>
      <c r="L5419" s="392" t="n"/>
      <c r="M5419" s="392" t="n"/>
    </row>
    <row r="5420">
      <c r="A5420" s="568" t="n">
        <v>46167</v>
      </c>
      <c r="B5420" s="392" t="n">
        <v>12664</v>
      </c>
      <c r="C5420" s="392" t="n">
        <v>84</v>
      </c>
      <c r="D5420" s="392" t="n"/>
      <c r="E5420" s="392" t="n"/>
      <c r="F5420" s="392" t="n"/>
      <c r="G5420" s="392" t="n">
        <v>40</v>
      </c>
      <c r="H5420" s="446">
        <f>H5419-G5420</f>
        <v/>
      </c>
      <c r="I5420" s="392" t="n"/>
      <c r="J5420" s="392" t="n"/>
      <c r="K5420" s="392" t="n"/>
      <c r="L5420" s="392" t="n"/>
      <c r="M5420" s="392" t="n"/>
    </row>
    <row r="5421">
      <c r="A5421" s="568" t="n">
        <v>46167</v>
      </c>
      <c r="B5421" s="392" t="n">
        <v>12665</v>
      </c>
      <c r="C5421" s="392" t="n">
        <v>84</v>
      </c>
      <c r="D5421" s="392" t="n"/>
      <c r="E5421" s="392" t="n"/>
      <c r="F5421" s="392" t="n"/>
      <c r="G5421" s="392" t="n">
        <v>15</v>
      </c>
      <c r="H5421" s="446">
        <f>H5420-G5421</f>
        <v/>
      </c>
      <c r="I5421" s="392" t="n"/>
      <c r="J5421" s="392" t="n"/>
      <c r="K5421" s="392" t="n"/>
      <c r="L5421" s="392" t="n"/>
      <c r="M5421" s="392" t="n"/>
    </row>
    <row r="5422">
      <c r="A5422" s="568" t="n">
        <v>46169</v>
      </c>
      <c r="B5422" s="392" t="n">
        <v>12666</v>
      </c>
      <c r="C5422" s="392" t="n">
        <v>84</v>
      </c>
      <c r="D5422" s="392" t="n"/>
      <c r="E5422" s="392" t="n"/>
      <c r="F5422" s="392" t="n"/>
      <c r="G5422" s="392" t="n">
        <v>20</v>
      </c>
      <c r="H5422" s="446">
        <f>H5421-G5422</f>
        <v/>
      </c>
      <c r="I5422" s="392" t="n"/>
      <c r="J5422" s="392" t="n"/>
      <c r="K5422" s="392" t="n"/>
      <c r="L5422" s="392" t="n"/>
      <c r="M5422" s="392" t="n"/>
    </row>
    <row r="5423">
      <c r="A5423" s="568" t="n">
        <v>46169</v>
      </c>
      <c r="B5423" s="392" t="n">
        <v>12668</v>
      </c>
      <c r="C5423" s="392" t="n">
        <v>80</v>
      </c>
      <c r="D5423" s="392" t="n"/>
      <c r="E5423" s="392" t="n"/>
      <c r="F5423" s="392" t="n"/>
      <c r="G5423" s="392" t="n">
        <v>200</v>
      </c>
      <c r="H5423" s="446">
        <f>H5422-G5423</f>
        <v/>
      </c>
      <c r="I5423" s="392" t="n"/>
      <c r="J5423" s="392" t="n"/>
      <c r="K5423" s="392" t="n"/>
      <c r="L5423" s="392" t="n"/>
      <c r="M5423" s="392" t="n"/>
    </row>
    <row r="5424">
      <c r="A5424" s="568" t="n">
        <v>46169</v>
      </c>
      <c r="B5424" s="392" t="n">
        <v>12669</v>
      </c>
      <c r="C5424" s="392" t="n">
        <v>84</v>
      </c>
      <c r="D5424" s="392" t="n"/>
      <c r="E5424" s="392" t="n"/>
      <c r="F5424" s="392" t="n"/>
      <c r="G5424" s="392" t="n">
        <v>20</v>
      </c>
      <c r="H5424" s="446">
        <f>H5423-G5424</f>
        <v/>
      </c>
      <c r="I5424" s="392" t="n"/>
      <c r="J5424" s="392" t="n"/>
      <c r="K5424" s="392" t="n"/>
      <c r="L5424" s="392" t="n"/>
      <c r="M5424" s="392" t="n"/>
    </row>
    <row r="5425">
      <c r="A5425" s="568" t="n">
        <v>46169</v>
      </c>
      <c r="B5425" s="392" t="n">
        <v>12670</v>
      </c>
      <c r="C5425" s="392" t="n">
        <v>82</v>
      </c>
      <c r="D5425" s="392" t="n"/>
      <c r="E5425" s="392" t="n"/>
      <c r="F5425" s="392" t="n"/>
      <c r="G5425" s="392" t="n">
        <v>20</v>
      </c>
      <c r="H5425" s="446">
        <f>H5424-G5425</f>
        <v/>
      </c>
      <c r="I5425" s="392" t="n"/>
      <c r="J5425" s="392" t="n"/>
      <c r="K5425" s="392" t="n"/>
      <c r="L5425" s="392" t="n"/>
      <c r="M5425" s="392" t="n"/>
    </row>
    <row r="5426">
      <c r="A5426" s="568" t="n">
        <v>46169</v>
      </c>
      <c r="B5426" s="392" t="n">
        <v>12671</v>
      </c>
      <c r="C5426" s="392" t="n">
        <v>90</v>
      </c>
      <c r="D5426" s="392" t="n"/>
      <c r="E5426" s="392" t="n"/>
      <c r="F5426" s="392" t="n"/>
      <c r="G5426" s="392" t="n">
        <v>15</v>
      </c>
      <c r="H5426" s="446">
        <f>H5425-G5426</f>
        <v/>
      </c>
      <c r="I5426" s="392" t="n"/>
      <c r="J5426" s="392" t="n"/>
      <c r="K5426" s="392" t="n"/>
      <c r="L5426" s="392" t="n"/>
      <c r="M5426" s="392" t="n"/>
    </row>
    <row r="5427">
      <c r="A5427" s="568" t="n">
        <v>46169</v>
      </c>
      <c r="B5427" s="392" t="n">
        <v>12673</v>
      </c>
      <c r="C5427" s="392" t="n">
        <v>82</v>
      </c>
      <c r="D5427" s="392" t="n"/>
      <c r="E5427" s="392" t="n"/>
      <c r="F5427" s="392" t="n"/>
      <c r="G5427" s="392" t="n">
        <v>10</v>
      </c>
      <c r="H5427" s="446">
        <f>H5426-G5427</f>
        <v/>
      </c>
      <c r="I5427" s="392" t="n"/>
      <c r="J5427" s="392" t="n"/>
      <c r="K5427" s="392" t="n"/>
      <c r="L5427" s="392" t="n"/>
      <c r="M5427" s="392" t="n"/>
    </row>
    <row r="5428" ht="17.25" customHeight="1" s="436">
      <c r="A5428" s="568" t="n">
        <v>46169</v>
      </c>
      <c r="B5428" s="392" t="n">
        <v>12677</v>
      </c>
      <c r="C5428" s="392" t="n">
        <v>82.5</v>
      </c>
      <c r="D5428" s="392" t="n"/>
      <c r="E5428" s="392" t="n"/>
      <c r="F5428" s="392" t="n"/>
      <c r="G5428" s="392" t="n">
        <v>20</v>
      </c>
      <c r="H5428" s="556">
        <f>H5427-G5428</f>
        <v/>
      </c>
      <c r="I5428" s="392" t="n"/>
      <c r="J5428" s="392" t="n"/>
      <c r="K5428" s="392" t="n"/>
      <c r="L5428" s="392" t="n"/>
      <c r="M5428" s="392" t="n"/>
    </row>
    <row r="5429" ht="15.75" customHeight="1" s="436" thickBot="1">
      <c r="A5429" s="414" t="n"/>
      <c r="H5429" s="390" t="n"/>
    </row>
    <row r="5430" ht="32.25" customHeight="1" s="436" thickBot="1">
      <c r="A5430" s="735" t="inlineStr">
        <is>
          <t>Junho</t>
        </is>
      </c>
      <c r="B5430" s="697" t="n"/>
      <c r="C5430" s="697" t="n"/>
      <c r="D5430" s="697" t="n"/>
      <c r="E5430" s="697" t="n"/>
      <c r="F5430" s="697" t="n"/>
      <c r="G5430" s="697" t="n"/>
      <c r="H5430" s="697" t="n"/>
      <c r="I5430" s="697" t="n"/>
      <c r="J5430" s="697" t="n"/>
      <c r="K5430" s="697" t="n"/>
      <c r="L5430" s="697" t="n"/>
      <c r="M5430" s="698" t="n"/>
    </row>
    <row r="5431" ht="27" customHeight="1" s="436" thickBot="1">
      <c r="A5431" s="720" t="inlineStr">
        <is>
          <t xml:space="preserve"> FARINHA DE TRIGO TIPO: 1 - 25 KG</t>
        </is>
      </c>
      <c r="B5431" s="697" t="n"/>
      <c r="C5431" s="697" t="n"/>
      <c r="D5431" s="697" t="n"/>
      <c r="E5431" s="697" t="n"/>
      <c r="F5431" s="697" t="n"/>
      <c r="G5431" s="697" t="n"/>
      <c r="H5431" s="697" t="n"/>
      <c r="I5431" s="697" t="n"/>
      <c r="J5431" s="697" t="n"/>
      <c r="K5431" s="697" t="n"/>
      <c r="L5431" s="697" t="n"/>
      <c r="M5431" s="698" t="n"/>
    </row>
    <row r="5432">
      <c r="A5432" s="3" t="inlineStr">
        <is>
          <t>DATA</t>
        </is>
      </c>
      <c r="B5432" s="3" t="inlineStr">
        <is>
          <t>N.F.</t>
        </is>
      </c>
      <c r="C5432" s="3" t="inlineStr">
        <is>
          <t>TIPO</t>
        </is>
      </c>
      <c r="D5432" s="708" t="inlineStr">
        <is>
          <t>PREÇO UNITÁRIO</t>
        </is>
      </c>
      <c r="E5432" s="736" t="n"/>
      <c r="F5432" s="3" t="inlineStr">
        <is>
          <t>QUANTIDADE / KG</t>
        </is>
      </c>
      <c r="G5432" s="737" t="n"/>
      <c r="H5432" s="736" t="n"/>
      <c r="I5432" s="631" t="inlineStr">
        <is>
          <t>PREÇO</t>
        </is>
      </c>
      <c r="J5432" s="631" t="inlineStr">
        <is>
          <t>VALORES</t>
        </is>
      </c>
      <c r="K5432" s="737" t="n"/>
      <c r="L5432" s="736" t="n"/>
      <c r="M5432" s="738" t="n"/>
    </row>
    <row r="5433" ht="15.75" customHeight="1" s="436" thickBot="1">
      <c r="A5433" s="704" t="n"/>
      <c r="B5433" s="704" t="n"/>
      <c r="C5433" s="704" t="n"/>
      <c r="D5433" s="703" t="n"/>
      <c r="E5433" s="701" t="n"/>
      <c r="F5433" s="705" t="n"/>
      <c r="G5433" s="706" t="n"/>
      <c r="H5433" s="707" t="n"/>
      <c r="I5433" s="704" t="n"/>
      <c r="J5433" s="703" t="n"/>
      <c r="L5433" s="701" t="n"/>
      <c r="M5433" s="704" t="n"/>
    </row>
    <row r="5434" ht="15.75" customHeight="1" s="436" thickBot="1">
      <c r="A5434" s="704" t="n"/>
      <c r="B5434" s="704" t="n"/>
      <c r="C5434" s="704" t="n"/>
      <c r="D5434" s="705" t="n"/>
      <c r="E5434" s="707" t="n"/>
      <c r="F5434" s="3" t="inlineStr">
        <is>
          <t>ENTRADA</t>
        </is>
      </c>
      <c r="G5434" s="3" t="inlineStr">
        <is>
          <t>SAÍDA</t>
        </is>
      </c>
      <c r="H5434" s="640" t="n"/>
      <c r="I5434" s="633" t="inlineStr">
        <is>
          <t>MÉDIO</t>
        </is>
      </c>
      <c r="J5434" s="739" t="inlineStr">
        <is>
          <t>SALDO EM 30/11/2017</t>
        </is>
      </c>
      <c r="K5434" s="707" t="n"/>
      <c r="L5434" s="17" t="n"/>
      <c r="M5434" s="740" t="n"/>
    </row>
    <row r="5435" ht="15.75" customHeight="1" s="436" thickBot="1">
      <c r="A5435" s="695" t="n"/>
      <c r="B5435" s="695" t="n"/>
      <c r="C5435" s="695" t="n"/>
      <c r="D5435" s="3" t="inlineStr">
        <is>
          <t>C/ICMS</t>
        </is>
      </c>
      <c r="E5435" s="3" t="inlineStr">
        <is>
          <t>S/ICMS</t>
        </is>
      </c>
      <c r="F5435" s="695" t="n"/>
      <c r="G5435" s="695" t="n"/>
      <c r="H5435" s="361" t="inlineStr">
        <is>
          <t>Saldo em 31/05/2026</t>
        </is>
      </c>
      <c r="I5435" s="695" t="n"/>
      <c r="J5435" s="645" t="inlineStr">
        <is>
          <t>ENTRADA</t>
        </is>
      </c>
      <c r="K5435" s="633" t="inlineStr">
        <is>
          <t>SAÍDA / CMV</t>
        </is>
      </c>
      <c r="L5435" s="643" t="inlineStr">
        <is>
          <t>SALDO</t>
        </is>
      </c>
      <c r="M5435" s="392" t="n"/>
    </row>
    <row r="5436">
      <c r="A5436" s="392" t="n"/>
      <c r="B5436" s="392" t="n"/>
      <c r="C5436" s="392" t="n"/>
      <c r="D5436" s="392" t="n"/>
      <c r="E5436" s="392" t="n"/>
      <c r="F5436" s="392" t="n"/>
      <c r="G5436" s="392" t="n"/>
      <c r="H5436" s="446" t="n">
        <v>4430</v>
      </c>
      <c r="I5436" s="392" t="n"/>
      <c r="J5436" s="392" t="n"/>
      <c r="K5436" s="392" t="n"/>
      <c r="L5436" s="392" t="n"/>
      <c r="M5436" s="392" t="n"/>
    </row>
    <row r="5437">
      <c r="A5437" s="568" t="n">
        <v>46174</v>
      </c>
      <c r="B5437" s="392" t="n">
        <v>12678</v>
      </c>
      <c r="C5437" s="392" t="n">
        <v>87</v>
      </c>
      <c r="D5437" s="392" t="n"/>
      <c r="E5437" s="392" t="n"/>
      <c r="F5437" s="392" t="n"/>
      <c r="G5437" s="392" t="n">
        <v>30</v>
      </c>
      <c r="H5437" s="446">
        <f>H5436-G5437</f>
        <v/>
      </c>
      <c r="I5437" s="392" t="n"/>
      <c r="J5437" s="392" t="n"/>
      <c r="K5437" s="392" t="n"/>
      <c r="L5437" s="392" t="n"/>
      <c r="M5437" s="392" t="n"/>
    </row>
    <row r="5438">
      <c r="A5438" s="568" t="n">
        <v>46174</v>
      </c>
      <c r="B5438" s="392" t="n">
        <v>12679</v>
      </c>
      <c r="C5438" s="392" t="n">
        <v>84</v>
      </c>
      <c r="D5438" s="392" t="n"/>
      <c r="E5438" s="392" t="n"/>
      <c r="F5438" s="392" t="n"/>
      <c r="G5438" s="392" t="n">
        <v>20</v>
      </c>
      <c r="H5438" s="446">
        <f>H5437-G5438</f>
        <v/>
      </c>
      <c r="I5438" s="392" t="n"/>
      <c r="J5438" s="392" t="n"/>
      <c r="K5438" s="392" t="n"/>
      <c r="L5438" s="392" t="n"/>
      <c r="M5438" s="392" t="n"/>
    </row>
    <row r="5439">
      <c r="A5439" s="568" t="n">
        <v>46174</v>
      </c>
      <c r="B5439" s="392" t="n">
        <v>12680</v>
      </c>
      <c r="C5439" s="392" t="n">
        <v>82</v>
      </c>
      <c r="D5439" s="392" t="n"/>
      <c r="E5439" s="392" t="n"/>
      <c r="F5439" s="392" t="n"/>
      <c r="G5439" s="392" t="n">
        <v>100</v>
      </c>
      <c r="H5439" s="446">
        <f>H5438-G5439</f>
        <v/>
      </c>
      <c r="I5439" s="392" t="n"/>
      <c r="J5439" s="392" t="n"/>
      <c r="K5439" s="392" t="n"/>
      <c r="L5439" s="392" t="n"/>
      <c r="M5439" s="392" t="n"/>
    </row>
    <row r="5440">
      <c r="A5440" s="568" t="n">
        <v>46174</v>
      </c>
      <c r="B5440" s="392" t="n">
        <v>12681</v>
      </c>
      <c r="C5440" s="392" t="n">
        <v>90</v>
      </c>
      <c r="D5440" s="392" t="n"/>
      <c r="E5440" s="392" t="n"/>
      <c r="F5440" s="392" t="n"/>
      <c r="G5440" s="392" t="n">
        <v>50</v>
      </c>
      <c r="H5440" s="446">
        <f>H5439-G5440</f>
        <v/>
      </c>
      <c r="I5440" s="392" t="n"/>
      <c r="J5440" s="392" t="n"/>
      <c r="K5440" s="392" t="n"/>
      <c r="L5440" s="392" t="n"/>
      <c r="M5440" s="392" t="n"/>
    </row>
    <row r="5441">
      <c r="A5441" s="568" t="n">
        <v>46175</v>
      </c>
      <c r="B5441" s="392" t="n">
        <v>12684</v>
      </c>
      <c r="C5441" s="392" t="n">
        <v>83</v>
      </c>
      <c r="D5441" s="392" t="n"/>
      <c r="E5441" s="392" t="n"/>
      <c r="F5441" s="392" t="n"/>
      <c r="G5441" s="392" t="n">
        <v>30</v>
      </c>
      <c r="H5441" s="446">
        <f>H5440-G5441</f>
        <v/>
      </c>
      <c r="I5441" s="392" t="n"/>
      <c r="J5441" s="392" t="n"/>
      <c r="K5441" s="392" t="n"/>
      <c r="L5441" s="392" t="n"/>
      <c r="M5441" s="392" t="n"/>
    </row>
    <row r="5442">
      <c r="A5442" s="568" t="n">
        <v>46176</v>
      </c>
      <c r="B5442" s="392" t="n">
        <v>12687</v>
      </c>
      <c r="C5442" s="392" t="n">
        <v>90</v>
      </c>
      <c r="D5442" s="392" t="n"/>
      <c r="E5442" s="392" t="n"/>
      <c r="F5442" s="392" t="n"/>
      <c r="G5442" s="392" t="n">
        <v>20</v>
      </c>
      <c r="H5442" s="446">
        <f>H5441-G5442</f>
        <v/>
      </c>
      <c r="I5442" s="392" t="n"/>
      <c r="J5442" s="392" t="n"/>
      <c r="K5442" s="392" t="n"/>
      <c r="L5442" s="392" t="n"/>
      <c r="M5442" s="392" t="n"/>
    </row>
    <row r="5443">
      <c r="A5443" s="568" t="n">
        <v>46181</v>
      </c>
      <c r="B5443" s="392" t="n">
        <v>12688</v>
      </c>
      <c r="C5443" s="392" t="n">
        <v>82</v>
      </c>
      <c r="D5443" s="392" t="n"/>
      <c r="E5443" s="392" t="n"/>
      <c r="F5443" s="392" t="n"/>
      <c r="G5443" s="392" t="n">
        <v>100</v>
      </c>
      <c r="H5443" s="446">
        <f>H5442-G5443</f>
        <v/>
      </c>
      <c r="I5443" s="392" t="n"/>
      <c r="J5443" s="392" t="n"/>
      <c r="K5443" s="392" t="n"/>
      <c r="L5443" s="392" t="n"/>
      <c r="M5443" s="392" t="n"/>
    </row>
    <row r="5444">
      <c r="A5444" s="568" t="n">
        <v>46181</v>
      </c>
      <c r="B5444" s="392" t="n">
        <v>12689</v>
      </c>
      <c r="C5444" s="392" t="n">
        <v>84</v>
      </c>
      <c r="D5444" s="392" t="n"/>
      <c r="E5444" s="392" t="n"/>
      <c r="F5444" s="392" t="n"/>
      <c r="G5444" s="392" t="n">
        <v>60</v>
      </c>
      <c r="H5444" s="446">
        <f>H5443-G5444</f>
        <v/>
      </c>
      <c r="I5444" s="392" t="n"/>
      <c r="J5444" s="392" t="n"/>
      <c r="K5444" s="392" t="n"/>
      <c r="L5444" s="392" t="n"/>
      <c r="M5444" s="392" t="n"/>
    </row>
    <row r="5445">
      <c r="A5445" s="568" t="n">
        <v>46181</v>
      </c>
      <c r="B5445" s="392" t="n">
        <v>12690</v>
      </c>
      <c r="C5445" s="392" t="n">
        <v>84</v>
      </c>
      <c r="D5445" s="392" t="n"/>
      <c r="E5445" s="392" t="n"/>
      <c r="F5445" s="392" t="n"/>
      <c r="G5445" s="392" t="n">
        <v>20</v>
      </c>
      <c r="H5445" s="446">
        <f>H5444-G5445</f>
        <v/>
      </c>
      <c r="I5445" s="392" t="n"/>
      <c r="J5445" s="392" t="n"/>
      <c r="K5445" s="392" t="n"/>
      <c r="L5445" s="392" t="n"/>
      <c r="M5445" s="392" t="n"/>
    </row>
    <row r="5446">
      <c r="A5446" s="568" t="n">
        <v>46181</v>
      </c>
      <c r="B5446" s="392" t="n">
        <v>12691</v>
      </c>
      <c r="C5446" s="392" t="n">
        <v>84</v>
      </c>
      <c r="D5446" s="392" t="n"/>
      <c r="E5446" s="392" t="n"/>
      <c r="F5446" s="392" t="n"/>
      <c r="G5446" s="392" t="n">
        <v>20</v>
      </c>
      <c r="H5446" s="446">
        <f>H5445-G5446</f>
        <v/>
      </c>
      <c r="I5446" s="392" t="n"/>
      <c r="J5446" s="392" t="n"/>
      <c r="K5446" s="392" t="n"/>
      <c r="L5446" s="392" t="n"/>
      <c r="M5446" s="392" t="n"/>
    </row>
    <row r="5447">
      <c r="A5447" s="568" t="n">
        <v>46182</v>
      </c>
      <c r="B5447" s="392" t="n">
        <v>12693</v>
      </c>
      <c r="C5447" s="392" t="n">
        <v>90</v>
      </c>
      <c r="D5447" s="392" t="n"/>
      <c r="E5447" s="392" t="n"/>
      <c r="F5447" s="392" t="n"/>
      <c r="G5447" s="392" t="n">
        <v>70</v>
      </c>
      <c r="H5447" s="446">
        <f>H5446-G5447</f>
        <v/>
      </c>
      <c r="I5447" s="392" t="n"/>
      <c r="J5447" s="392" t="n"/>
      <c r="K5447" s="392" t="n"/>
      <c r="L5447" s="392" t="n"/>
      <c r="M5447" s="392" t="n"/>
    </row>
    <row r="5448">
      <c r="A5448" s="568" t="n">
        <v>46182</v>
      </c>
      <c r="B5448" s="392" t="n">
        <v>12697</v>
      </c>
      <c r="C5448" s="392" t="n">
        <v>84</v>
      </c>
      <c r="D5448" s="392" t="n"/>
      <c r="E5448" s="392" t="n"/>
      <c r="F5448" s="392" t="n"/>
      <c r="G5448" s="392" t="n">
        <v>20</v>
      </c>
      <c r="H5448" s="446">
        <f>H5447-G5448</f>
        <v/>
      </c>
      <c r="I5448" s="392" t="n"/>
      <c r="J5448" s="392" t="n"/>
      <c r="K5448" s="392" t="n"/>
      <c r="L5448" s="392" t="n"/>
      <c r="M5448" s="392" t="n"/>
    </row>
    <row r="5449">
      <c r="A5449" s="568" t="n">
        <v>46182</v>
      </c>
      <c r="B5449" s="392" t="n">
        <v>12698</v>
      </c>
      <c r="C5449" s="392" t="n">
        <v>90</v>
      </c>
      <c r="D5449" s="392" t="n"/>
      <c r="E5449" s="392" t="n"/>
      <c r="F5449" s="392" t="n"/>
      <c r="G5449" s="392" t="n">
        <v>20</v>
      </c>
      <c r="H5449" s="446">
        <f>H5448-G5449</f>
        <v/>
      </c>
      <c r="I5449" s="392" t="n"/>
      <c r="J5449" s="392" t="n"/>
      <c r="K5449" s="392" t="n"/>
      <c r="L5449" s="392" t="n"/>
      <c r="M5449" s="392" t="n"/>
    </row>
    <row r="5450">
      <c r="A5450" s="568" t="n">
        <v>46182</v>
      </c>
      <c r="B5450" s="392" t="n">
        <v>12699</v>
      </c>
      <c r="C5450" s="392" t="n">
        <v>89</v>
      </c>
      <c r="D5450" s="392" t="n"/>
      <c r="E5450" s="392" t="n"/>
      <c r="F5450" s="392" t="n"/>
      <c r="G5450" s="392" t="n">
        <v>100</v>
      </c>
      <c r="H5450" s="446">
        <f>H5449-G5450</f>
        <v/>
      </c>
      <c r="I5450" s="392" t="n"/>
      <c r="J5450" s="392" t="n"/>
      <c r="K5450" s="392" t="n"/>
      <c r="L5450" s="392" t="n"/>
      <c r="M5450" s="392" t="n"/>
    </row>
    <row r="5451">
      <c r="A5451" s="568" t="n">
        <v>46182</v>
      </c>
      <c r="B5451" s="392" t="n">
        <v>12701</v>
      </c>
      <c r="C5451" s="392" t="n">
        <v>84.48</v>
      </c>
      <c r="D5451" s="392" t="n"/>
      <c r="E5451" s="392" t="n"/>
      <c r="F5451" s="392" t="n"/>
      <c r="G5451" s="392" t="n">
        <v>25</v>
      </c>
      <c r="H5451" s="446">
        <f>H5450-G5451</f>
        <v/>
      </c>
      <c r="I5451" s="392" t="n"/>
      <c r="J5451" s="392" t="n"/>
      <c r="K5451" s="392" t="n"/>
      <c r="L5451" s="392" t="n"/>
      <c r="M5451" s="392" t="n"/>
    </row>
    <row r="5452">
      <c r="A5452" s="568" t="n">
        <v>46182</v>
      </c>
      <c r="B5452" s="392" t="n">
        <v>12702</v>
      </c>
      <c r="C5452" s="392" t="n">
        <v>84.40000000000001</v>
      </c>
      <c r="D5452" s="392" t="n"/>
      <c r="E5452" s="392" t="n"/>
      <c r="F5452" s="392" t="n"/>
      <c r="G5452" s="392" t="n">
        <v>30</v>
      </c>
      <c r="H5452" s="446">
        <f>H5451-G5452</f>
        <v/>
      </c>
      <c r="I5452" s="392" t="n"/>
      <c r="J5452" s="392" t="n"/>
      <c r="K5452" s="392" t="n"/>
      <c r="L5452" s="392" t="n"/>
      <c r="M5452" s="392" t="n"/>
    </row>
    <row r="5453">
      <c r="A5453" s="568" t="n">
        <v>46182</v>
      </c>
      <c r="B5453" s="392" t="n">
        <v>12703</v>
      </c>
      <c r="C5453" s="392" t="n">
        <v>84</v>
      </c>
      <c r="D5453" s="392" t="n"/>
      <c r="E5453" s="392" t="n"/>
      <c r="F5453" s="392" t="n"/>
      <c r="G5453" s="392" t="n">
        <v>30</v>
      </c>
      <c r="H5453" s="446">
        <f>H5452-G5453</f>
        <v/>
      </c>
      <c r="I5453" s="392" t="n"/>
      <c r="J5453" s="392" t="n"/>
      <c r="K5453" s="392" t="n"/>
      <c r="L5453" s="392" t="n"/>
      <c r="M5453" s="392" t="n"/>
    </row>
    <row r="5454">
      <c r="A5454" s="304" t="n">
        <v>46185</v>
      </c>
      <c r="B5454" s="401" t="n">
        <v>5383</v>
      </c>
      <c r="C5454" s="401" t="n">
        <v>70</v>
      </c>
      <c r="D5454" s="401" t="n"/>
      <c r="E5454" s="401" t="n"/>
      <c r="F5454" s="401" t="n">
        <v>1120</v>
      </c>
      <c r="G5454" s="401" t="n"/>
      <c r="H5454" s="322" t="n">
        <v>4805</v>
      </c>
      <c r="I5454" s="392" t="n"/>
      <c r="J5454" s="392" t="n"/>
      <c r="K5454" s="392" t="n"/>
      <c r="L5454" s="392" t="n"/>
      <c r="M5454" s="392" t="n"/>
    </row>
    <row r="5455">
      <c r="A5455" s="568" t="n">
        <v>46188</v>
      </c>
      <c r="B5455" s="392" t="n">
        <v>12705</v>
      </c>
      <c r="C5455" s="392" t="n">
        <v>82</v>
      </c>
      <c r="D5455" s="392" t="n"/>
      <c r="E5455" s="392" t="n"/>
      <c r="F5455" s="392" t="n"/>
      <c r="G5455" s="392" t="n">
        <v>100</v>
      </c>
      <c r="H5455" s="446">
        <f>H5454-G5455</f>
        <v/>
      </c>
      <c r="I5455" s="392" t="n"/>
      <c r="J5455" s="392" t="n"/>
      <c r="K5455" s="392" t="n"/>
      <c r="L5455" s="392" t="n"/>
      <c r="M5455" s="392" t="n"/>
    </row>
    <row r="5456">
      <c r="A5456" s="568" t="n">
        <v>46188</v>
      </c>
      <c r="B5456" s="392" t="n">
        <v>12706</v>
      </c>
      <c r="C5456" s="392" t="n">
        <v>82</v>
      </c>
      <c r="D5456" s="392" t="n"/>
      <c r="E5456" s="392" t="n"/>
      <c r="F5456" s="392" t="n"/>
      <c r="G5456" s="392" t="n">
        <v>15</v>
      </c>
      <c r="H5456" s="446">
        <f>H5455-G5456</f>
        <v/>
      </c>
      <c r="I5456" s="392" t="n"/>
      <c r="J5456" s="392" t="n"/>
      <c r="K5456" s="392" t="n"/>
      <c r="L5456" s="392" t="n"/>
      <c r="M5456" s="392" t="n"/>
    </row>
    <row r="5457">
      <c r="A5457" s="568" t="n">
        <v>46188</v>
      </c>
      <c r="B5457" s="392" t="n">
        <v>12707</v>
      </c>
      <c r="C5457" s="392" t="n">
        <v>82</v>
      </c>
      <c r="D5457" s="392" t="n"/>
      <c r="E5457" s="392" t="n"/>
      <c r="F5457" s="392" t="n"/>
      <c r="G5457" s="392" t="n">
        <v>100</v>
      </c>
      <c r="H5457" s="446">
        <f>H5456-G5457</f>
        <v/>
      </c>
      <c r="I5457" s="392" t="n"/>
      <c r="J5457" s="392" t="n"/>
      <c r="K5457" s="392" t="n"/>
      <c r="L5457" s="392" t="n"/>
      <c r="M5457" s="392" t="n"/>
    </row>
    <row r="5458">
      <c r="A5458" s="568" t="n">
        <v>46188</v>
      </c>
      <c r="B5458" s="392" t="n">
        <v>12708</v>
      </c>
      <c r="C5458" s="392" t="n">
        <v>84</v>
      </c>
      <c r="D5458" s="392" t="n"/>
      <c r="E5458" s="392" t="n"/>
      <c r="F5458" s="392" t="n"/>
      <c r="G5458" s="392" t="n">
        <v>20</v>
      </c>
      <c r="H5458" s="446">
        <f>H5457-G5458</f>
        <v/>
      </c>
      <c r="I5458" s="392" t="n"/>
      <c r="J5458" s="392" t="n"/>
      <c r="K5458" s="392" t="n"/>
      <c r="L5458" s="392" t="n"/>
      <c r="M5458" s="392" t="n"/>
    </row>
    <row r="5459">
      <c r="A5459" s="568" t="n">
        <v>46190</v>
      </c>
      <c r="B5459" s="392" t="n">
        <v>12710</v>
      </c>
      <c r="C5459" s="392" t="n">
        <v>90</v>
      </c>
      <c r="D5459" s="392" t="n"/>
      <c r="E5459" s="392" t="n"/>
      <c r="F5459" s="392" t="n"/>
      <c r="G5459" s="392" t="n">
        <v>20</v>
      </c>
      <c r="H5459" s="446">
        <f>H5458-G5459</f>
        <v/>
      </c>
      <c r="I5459" s="392" t="n"/>
      <c r="J5459" s="392" t="n"/>
      <c r="K5459" s="392" t="n"/>
      <c r="L5459" s="392" t="n"/>
      <c r="M5459" s="392" t="n"/>
    </row>
    <row r="5460">
      <c r="A5460" s="568" t="n">
        <v>46190</v>
      </c>
      <c r="B5460" s="392" t="n">
        <v>12712</v>
      </c>
      <c r="C5460" s="392" t="n">
        <v>90</v>
      </c>
      <c r="D5460" s="392" t="n"/>
      <c r="E5460" s="392" t="n"/>
      <c r="F5460" s="392" t="n"/>
      <c r="G5460" s="392" t="n">
        <v>50</v>
      </c>
      <c r="H5460" s="446">
        <f>H5459-G5460</f>
        <v/>
      </c>
      <c r="I5460" s="392" t="n"/>
      <c r="J5460" s="392" t="n"/>
      <c r="K5460" s="392" t="n"/>
      <c r="L5460" s="392" t="n"/>
      <c r="M5460" s="392" t="n"/>
    </row>
    <row r="5461">
      <c r="A5461" s="568" t="n">
        <v>46190</v>
      </c>
      <c r="B5461" s="392" t="n">
        <v>12713</v>
      </c>
      <c r="C5461" s="392" t="n">
        <v>84</v>
      </c>
      <c r="D5461" s="392" t="n"/>
      <c r="E5461" s="392" t="n"/>
      <c r="F5461" s="392" t="n"/>
      <c r="G5461" s="392" t="n">
        <v>20</v>
      </c>
      <c r="H5461" s="446">
        <f>H5460-G5461</f>
        <v/>
      </c>
      <c r="I5461" s="392" t="n"/>
      <c r="J5461" s="392" t="n"/>
      <c r="K5461" s="392" t="n"/>
      <c r="L5461" s="392" t="n"/>
      <c r="M5461" s="392" t="n"/>
    </row>
    <row r="5462">
      <c r="A5462" s="568" t="n">
        <v>46195</v>
      </c>
      <c r="B5462" s="392" t="n">
        <v>12721</v>
      </c>
      <c r="C5462" s="392" t="n">
        <v>89</v>
      </c>
      <c r="D5462" s="392" t="n"/>
      <c r="E5462" s="392" t="n"/>
      <c r="F5462" s="392" t="n"/>
      <c r="G5462" s="392" t="n">
        <v>70</v>
      </c>
      <c r="H5462" s="446">
        <f>H5461-G5462</f>
        <v/>
      </c>
      <c r="I5462" s="392" t="n"/>
      <c r="J5462" s="392" t="n"/>
      <c r="K5462" s="392" t="n"/>
      <c r="L5462" s="392" t="n"/>
      <c r="M5462" s="392" t="n"/>
    </row>
    <row r="5463">
      <c r="A5463" s="568" t="n">
        <v>46195</v>
      </c>
      <c r="B5463" s="392" t="n">
        <v>12722</v>
      </c>
      <c r="C5463" s="392" t="n">
        <v>82</v>
      </c>
      <c r="D5463" s="392" t="n"/>
      <c r="E5463" s="392" t="n"/>
      <c r="F5463" s="392" t="n"/>
      <c r="G5463" s="392" t="n">
        <v>100</v>
      </c>
      <c r="H5463" s="446">
        <f>H5462-G5463</f>
        <v/>
      </c>
      <c r="I5463" s="392" t="n"/>
      <c r="J5463" s="392" t="n"/>
      <c r="K5463" s="392" t="n"/>
      <c r="L5463" s="392" t="n"/>
      <c r="M5463" s="392" t="n"/>
    </row>
    <row r="5464">
      <c r="A5464" s="568" t="n">
        <v>46199</v>
      </c>
      <c r="B5464" s="392" t="n">
        <v>12723</v>
      </c>
      <c r="C5464" s="392" t="n">
        <v>84</v>
      </c>
      <c r="D5464" s="392" t="n"/>
      <c r="E5464" s="392" t="n"/>
      <c r="F5464" s="392" t="n"/>
      <c r="G5464" s="392" t="n">
        <v>15</v>
      </c>
      <c r="H5464" s="446">
        <f>H5463-G5464</f>
        <v/>
      </c>
      <c r="I5464" s="392" t="n"/>
      <c r="J5464" s="392" t="n"/>
      <c r="K5464" s="392" t="n"/>
      <c r="L5464" s="392" t="n"/>
      <c r="M5464" s="392" t="n"/>
    </row>
    <row r="5465">
      <c r="A5465" s="568" t="n">
        <v>46202</v>
      </c>
      <c r="B5465" s="392" t="n">
        <v>12726</v>
      </c>
      <c r="C5465" s="392" t="n">
        <v>82</v>
      </c>
      <c r="D5465" s="392" t="n"/>
      <c r="E5465" s="392" t="n"/>
      <c r="F5465" s="392" t="n"/>
      <c r="G5465" s="392" t="n">
        <v>50</v>
      </c>
      <c r="H5465" s="446">
        <f>H5464-G5465</f>
        <v/>
      </c>
      <c r="I5465" s="392" t="n"/>
      <c r="J5465" s="392" t="n"/>
      <c r="K5465" s="392" t="n"/>
      <c r="L5465" s="392" t="n"/>
      <c r="M5465" s="392" t="n"/>
    </row>
    <row r="5466">
      <c r="A5466" s="568" t="n">
        <v>46202</v>
      </c>
      <c r="B5466" s="392" t="n">
        <v>12727</v>
      </c>
      <c r="C5466" s="392" t="n">
        <v>82</v>
      </c>
      <c r="D5466" s="392" t="n"/>
      <c r="E5466" s="392" t="n"/>
      <c r="F5466" s="392" t="n"/>
      <c r="G5466" s="392" t="n">
        <v>100</v>
      </c>
      <c r="H5466" s="446">
        <f>H5465-G5466</f>
        <v/>
      </c>
      <c r="I5466" s="392" t="n"/>
      <c r="J5466" s="392" t="n"/>
      <c r="K5466" s="392" t="n"/>
      <c r="L5466" s="392" t="n"/>
      <c r="M5466" s="392" t="n"/>
    </row>
    <row r="5467">
      <c r="A5467" s="568" t="n">
        <v>46202</v>
      </c>
      <c r="B5467" s="392" t="n">
        <v>12728</v>
      </c>
      <c r="C5467" s="392" t="n">
        <v>84</v>
      </c>
      <c r="D5467" s="392" t="n"/>
      <c r="E5467" s="392" t="n"/>
      <c r="F5467" s="392" t="n"/>
      <c r="G5467" s="392" t="n">
        <v>30</v>
      </c>
      <c r="H5467" s="446">
        <f>H5466-G5467</f>
        <v/>
      </c>
      <c r="I5467" s="392" t="n"/>
      <c r="J5467" s="392" t="n"/>
      <c r="K5467" s="392" t="n"/>
      <c r="L5467" s="392" t="n"/>
      <c r="M5467" s="392" t="n"/>
    </row>
    <row r="5468" ht="15.75" customHeight="1" s="436" thickBot="1">
      <c r="A5468" s="414" t="n"/>
      <c r="H5468" s="390" t="n"/>
    </row>
    <row r="5469" ht="32.25" customHeight="1" s="436" thickBot="1">
      <c r="A5469" s="735" t="inlineStr">
        <is>
          <t>Julho</t>
        </is>
      </c>
      <c r="B5469" s="697" t="n"/>
      <c r="C5469" s="697" t="n"/>
      <c r="D5469" s="697" t="n"/>
      <c r="E5469" s="697" t="n"/>
      <c r="F5469" s="697" t="n"/>
      <c r="G5469" s="697" t="n"/>
      <c r="H5469" s="697" t="n"/>
      <c r="I5469" s="697" t="n"/>
      <c r="J5469" s="697" t="n"/>
      <c r="K5469" s="697" t="n"/>
      <c r="L5469" s="697" t="n"/>
      <c r="M5469" s="698" t="n"/>
    </row>
    <row r="5470" ht="27" customHeight="1" s="436" thickBot="1">
      <c r="A5470" s="720" t="inlineStr">
        <is>
          <t xml:space="preserve"> FARINHA DE TRIGO TIPO: 1 - 25 KG</t>
        </is>
      </c>
      <c r="B5470" s="697" t="n"/>
      <c r="C5470" s="697" t="n"/>
      <c r="D5470" s="697" t="n"/>
      <c r="E5470" s="697" t="n"/>
      <c r="F5470" s="697" t="n"/>
      <c r="G5470" s="697" t="n"/>
      <c r="H5470" s="697" t="n"/>
      <c r="I5470" s="697" t="n"/>
      <c r="J5470" s="697" t="n"/>
      <c r="K5470" s="697" t="n"/>
      <c r="L5470" s="697" t="n"/>
      <c r="M5470" s="698" t="n"/>
    </row>
    <row r="5471">
      <c r="A5471" s="3" t="inlineStr">
        <is>
          <t>DATA</t>
        </is>
      </c>
      <c r="B5471" s="3" t="inlineStr">
        <is>
          <t>N.F.</t>
        </is>
      </c>
      <c r="C5471" s="3" t="inlineStr">
        <is>
          <t>TIPO</t>
        </is>
      </c>
      <c r="D5471" s="708" t="inlineStr">
        <is>
          <t>PREÇO UNITÁRIO</t>
        </is>
      </c>
      <c r="E5471" s="736" t="n"/>
      <c r="F5471" s="3" t="inlineStr">
        <is>
          <t>QUANTIDADE / KG</t>
        </is>
      </c>
      <c r="G5471" s="737" t="n"/>
      <c r="H5471" s="736" t="n"/>
      <c r="I5471" s="631" t="inlineStr">
        <is>
          <t>PREÇO</t>
        </is>
      </c>
      <c r="J5471" s="631" t="inlineStr">
        <is>
          <t>VALORES</t>
        </is>
      </c>
      <c r="K5471" s="737" t="n"/>
      <c r="L5471" s="736" t="n"/>
      <c r="M5471" s="738" t="n"/>
    </row>
    <row r="5472" ht="15.75" customHeight="1" s="436" thickBot="1">
      <c r="A5472" s="704" t="n"/>
      <c r="B5472" s="704" t="n"/>
      <c r="C5472" s="704" t="n"/>
      <c r="D5472" s="703" t="n"/>
      <c r="E5472" s="701" t="n"/>
      <c r="F5472" s="705" t="n"/>
      <c r="G5472" s="706" t="n"/>
      <c r="H5472" s="707" t="n"/>
      <c r="I5472" s="704" t="n"/>
      <c r="J5472" s="703" t="n"/>
      <c r="L5472" s="701" t="n"/>
      <c r="M5472" s="704" t="n"/>
    </row>
    <row r="5473" ht="15.75" customHeight="1" s="436" thickBot="1">
      <c r="A5473" s="704" t="n"/>
      <c r="B5473" s="704" t="n"/>
      <c r="C5473" s="704" t="n"/>
      <c r="D5473" s="705" t="n"/>
      <c r="E5473" s="707" t="n"/>
      <c r="F5473" s="3" t="inlineStr">
        <is>
          <t>ENTRADA</t>
        </is>
      </c>
      <c r="G5473" s="3" t="inlineStr">
        <is>
          <t>SAÍDA</t>
        </is>
      </c>
      <c r="H5473" s="640" t="n"/>
      <c r="I5473" s="633" t="inlineStr">
        <is>
          <t>MÉDIO</t>
        </is>
      </c>
      <c r="J5473" s="739" t="inlineStr">
        <is>
          <t>SALDO EM 30/11/2017</t>
        </is>
      </c>
      <c r="K5473" s="707" t="n"/>
      <c r="L5473" s="17" t="n"/>
      <c r="M5473" s="740" t="n"/>
    </row>
    <row r="5474" ht="15.75" customHeight="1" s="436" thickBot="1">
      <c r="A5474" s="695" t="n"/>
      <c r="B5474" s="695" t="n"/>
      <c r="C5474" s="695" t="n"/>
      <c r="D5474" s="3" t="inlineStr">
        <is>
          <t>C/ICMS</t>
        </is>
      </c>
      <c r="E5474" s="3" t="inlineStr">
        <is>
          <t>S/ICMS</t>
        </is>
      </c>
      <c r="F5474" s="695" t="n"/>
      <c r="G5474" s="695" t="n"/>
      <c r="H5474" s="361" t="inlineStr">
        <is>
          <t>Saldo em 31/06/2026</t>
        </is>
      </c>
      <c r="I5474" s="695" t="n"/>
      <c r="J5474" s="645" t="inlineStr">
        <is>
          <t>ENTRADA</t>
        </is>
      </c>
      <c r="K5474" s="633" t="inlineStr">
        <is>
          <t>SAÍDA / CMV</t>
        </is>
      </c>
      <c r="L5474" s="643" t="inlineStr">
        <is>
          <t>SALDO</t>
        </is>
      </c>
      <c r="M5474" s="392" t="n"/>
    </row>
    <row r="5475">
      <c r="A5475" s="392" t="n"/>
      <c r="B5475" s="392" t="n"/>
      <c r="C5475" s="392" t="n"/>
      <c r="D5475" s="392" t="n"/>
      <c r="E5475" s="392" t="n"/>
      <c r="F5475" s="392" t="n"/>
      <c r="G5475" s="392" t="n"/>
      <c r="H5475" s="446" t="n">
        <v>4115</v>
      </c>
      <c r="I5475" s="392" t="n"/>
      <c r="J5475" s="392" t="n"/>
      <c r="K5475" s="392" t="n"/>
      <c r="L5475" s="392" t="n"/>
      <c r="M5475" s="392" t="n"/>
    </row>
    <row r="5476">
      <c r="A5476" s="568" t="n">
        <v>46204</v>
      </c>
      <c r="B5476" s="392" t="n">
        <v>12729</v>
      </c>
      <c r="C5476" s="392" t="n">
        <v>89</v>
      </c>
      <c r="D5476" s="392" t="n"/>
      <c r="E5476" s="392" t="n"/>
      <c r="F5476" s="392" t="n"/>
      <c r="G5476" s="392" t="n">
        <v>100</v>
      </c>
      <c r="H5476" s="446">
        <f>H5475-G5476</f>
        <v/>
      </c>
      <c r="I5476" s="392" t="n"/>
      <c r="J5476" s="392" t="n"/>
      <c r="K5476" s="392" t="n"/>
      <c r="L5476" s="392" t="n"/>
      <c r="M5476" s="392" t="n"/>
    </row>
    <row r="5477">
      <c r="A5477" s="568" t="n">
        <v>46204</v>
      </c>
      <c r="B5477" s="392" t="n">
        <v>12730</v>
      </c>
      <c r="C5477" s="392" t="n">
        <v>84</v>
      </c>
      <c r="D5477" s="392" t="n"/>
      <c r="E5477" s="392" t="n"/>
      <c r="F5477" s="392" t="n"/>
      <c r="G5477" s="392" t="n">
        <v>20</v>
      </c>
      <c r="H5477" s="446">
        <f>H5476-G5477</f>
        <v/>
      </c>
      <c r="I5477" s="392" t="n"/>
      <c r="J5477" s="392" t="n"/>
      <c r="K5477" s="392" t="n"/>
      <c r="L5477" s="392" t="n"/>
      <c r="M5477" s="392" t="n"/>
    </row>
    <row r="5478">
      <c r="A5478" s="568" t="n">
        <v>46204</v>
      </c>
      <c r="B5478" s="392" t="n">
        <v>12731</v>
      </c>
      <c r="C5478" s="392" t="n">
        <v>84</v>
      </c>
      <c r="D5478" s="392" t="n"/>
      <c r="E5478" s="392" t="n"/>
      <c r="F5478" s="392" t="n"/>
      <c r="G5478" s="392" t="n">
        <v>60</v>
      </c>
      <c r="H5478" s="446">
        <f>H5477-G5478</f>
        <v/>
      </c>
      <c r="I5478" s="392" t="n"/>
      <c r="J5478" s="392" t="n"/>
      <c r="K5478" s="392" t="n"/>
      <c r="L5478" s="392" t="n"/>
      <c r="M5478" s="392" t="n"/>
    </row>
    <row r="5479">
      <c r="A5479" s="568" t="n">
        <v>46204</v>
      </c>
      <c r="B5479" s="392" t="n">
        <v>12732</v>
      </c>
      <c r="C5479" s="392" t="n">
        <v>90</v>
      </c>
      <c r="D5479" s="392" t="n"/>
      <c r="E5479" s="392" t="n"/>
      <c r="F5479" s="392" t="n"/>
      <c r="G5479" s="392" t="n">
        <v>50</v>
      </c>
      <c r="H5479" s="446">
        <f>H5478-G5479</f>
        <v/>
      </c>
      <c r="I5479" s="392" t="n"/>
      <c r="J5479" s="392" t="n"/>
      <c r="K5479" s="392" t="n"/>
      <c r="L5479" s="392" t="n"/>
      <c r="M5479" s="392" t="n"/>
    </row>
    <row r="5480">
      <c r="A5480" s="568" t="n">
        <v>46204</v>
      </c>
      <c r="B5480" s="392" t="n">
        <v>12733</v>
      </c>
      <c r="C5480" s="392" t="n">
        <v>90</v>
      </c>
      <c r="D5480" s="392" t="n"/>
      <c r="E5480" s="392" t="n"/>
      <c r="F5480" s="392" t="n"/>
      <c r="G5480" s="392" t="n">
        <v>40</v>
      </c>
      <c r="H5480" s="446">
        <f>H5479-G5480</f>
        <v/>
      </c>
      <c r="I5480" s="392" t="n"/>
      <c r="J5480" s="392" t="n"/>
      <c r="K5480" s="392" t="n"/>
      <c r="L5480" s="392" t="n"/>
      <c r="M5480" s="392" t="n"/>
    </row>
    <row r="5481">
      <c r="A5481" s="568" t="n">
        <v>46204</v>
      </c>
      <c r="B5481" s="392" t="n">
        <v>12735</v>
      </c>
      <c r="C5481" s="392" t="n">
        <v>82</v>
      </c>
      <c r="D5481" s="392" t="n"/>
      <c r="E5481" s="392" t="n"/>
      <c r="F5481" s="392" t="n"/>
      <c r="G5481" s="392" t="n">
        <v>10</v>
      </c>
      <c r="H5481" s="446">
        <f>H5480-G5481</f>
        <v/>
      </c>
      <c r="I5481" s="392" t="n"/>
      <c r="J5481" s="392" t="n"/>
      <c r="K5481" s="392" t="n"/>
      <c r="L5481" s="392" t="n"/>
      <c r="M5481" s="392" t="n"/>
    </row>
    <row r="5482">
      <c r="A5482" s="568" t="n">
        <v>46208</v>
      </c>
      <c r="B5482" s="392" t="n">
        <v>12737</v>
      </c>
      <c r="C5482" s="392" t="n">
        <v>80</v>
      </c>
      <c r="D5482" s="392" t="n"/>
      <c r="E5482" s="392" t="n"/>
      <c r="F5482" s="392" t="n"/>
      <c r="G5482" s="392" t="n">
        <v>200</v>
      </c>
      <c r="H5482" s="446">
        <f>H5481-G5482</f>
        <v/>
      </c>
      <c r="I5482" s="392" t="n"/>
      <c r="J5482" s="392" t="n"/>
      <c r="K5482" s="392" t="n"/>
      <c r="L5482" s="392" t="n"/>
      <c r="M5482" s="392" t="n"/>
    </row>
    <row r="5483">
      <c r="A5483" s="568" t="n">
        <v>46208</v>
      </c>
      <c r="B5483" s="392" t="n">
        <v>12738</v>
      </c>
      <c r="C5483" s="392" t="n">
        <v>84</v>
      </c>
      <c r="D5483" s="392" t="n"/>
      <c r="E5483" s="392" t="n"/>
      <c r="F5483" s="392" t="n"/>
      <c r="G5483" s="392" t="n">
        <v>40</v>
      </c>
      <c r="H5483" s="446">
        <f>H5482-G5483</f>
        <v/>
      </c>
      <c r="I5483" s="392" t="n"/>
      <c r="J5483" s="392" t="n"/>
      <c r="K5483" s="392" t="n"/>
      <c r="L5483" s="392" t="n"/>
      <c r="M5483" s="392" t="n"/>
    </row>
    <row r="5484">
      <c r="A5484" s="568" t="n">
        <v>46209</v>
      </c>
      <c r="B5484" s="392" t="n">
        <v>12739</v>
      </c>
      <c r="C5484" s="392" t="n">
        <v>90</v>
      </c>
      <c r="D5484" s="392" t="n"/>
      <c r="E5484" s="392" t="n"/>
      <c r="F5484" s="392" t="n"/>
      <c r="G5484" s="392" t="n">
        <v>45</v>
      </c>
      <c r="H5484" s="446">
        <f>H5483-G5484</f>
        <v/>
      </c>
      <c r="I5484" s="392" t="n"/>
      <c r="J5484" s="392" t="n"/>
      <c r="K5484" s="392" t="n"/>
      <c r="L5484" s="392" t="n"/>
      <c r="M5484" s="392" t="n"/>
    </row>
    <row r="5485">
      <c r="A5485" s="568" t="n">
        <v>46209</v>
      </c>
      <c r="B5485" s="392" t="n">
        <v>12740</v>
      </c>
      <c r="C5485" s="392" t="n">
        <v>84</v>
      </c>
      <c r="D5485" s="392" t="n"/>
      <c r="E5485" s="392" t="n"/>
      <c r="F5485" s="392" t="n"/>
      <c r="G5485" s="392" t="n">
        <v>20</v>
      </c>
      <c r="H5485" s="446">
        <f>H5484-G5485</f>
        <v/>
      </c>
      <c r="I5485" s="392" t="n"/>
      <c r="J5485" s="392" t="n"/>
      <c r="K5485" s="392" t="n"/>
      <c r="L5485" s="392" t="n"/>
      <c r="M5485" s="392" t="n"/>
    </row>
    <row r="5486">
      <c r="A5486" s="568" t="n">
        <v>46209</v>
      </c>
      <c r="B5486" s="392" t="n">
        <v>12741</v>
      </c>
      <c r="C5486" s="392" t="n">
        <v>82</v>
      </c>
      <c r="D5486" s="392" t="n"/>
      <c r="E5486" s="392" t="n"/>
      <c r="F5486" s="392" t="n"/>
      <c r="G5486" s="392" t="n">
        <v>100</v>
      </c>
      <c r="H5486" s="446">
        <f>H5485-G5486</f>
        <v/>
      </c>
      <c r="I5486" s="392" t="n"/>
      <c r="J5486" s="392" t="n"/>
      <c r="K5486" s="392" t="n"/>
      <c r="L5486" s="392" t="n"/>
      <c r="M5486" s="392" t="n"/>
    </row>
    <row r="5487">
      <c r="A5487" s="568" t="n">
        <v>46209</v>
      </c>
      <c r="B5487" s="392" t="n">
        <v>12742</v>
      </c>
      <c r="C5487" s="392" t="n">
        <v>84</v>
      </c>
      <c r="D5487" s="392" t="n"/>
      <c r="E5487" s="392" t="n"/>
      <c r="F5487" s="392" t="n"/>
      <c r="G5487" s="392" t="n">
        <v>20</v>
      </c>
      <c r="H5487" s="446">
        <f>H5486-G5487</f>
        <v/>
      </c>
      <c r="I5487" s="392" t="n"/>
      <c r="J5487" s="392" t="n"/>
      <c r="K5487" s="392" t="n"/>
      <c r="L5487" s="392" t="n"/>
      <c r="M5487" s="392" t="n"/>
    </row>
    <row r="5488">
      <c r="A5488" s="568" t="n">
        <v>46209</v>
      </c>
      <c r="B5488" s="392" t="n">
        <v>12743</v>
      </c>
      <c r="C5488" s="392" t="n">
        <v>82</v>
      </c>
      <c r="D5488" s="392" t="n"/>
      <c r="E5488" s="392" t="n"/>
      <c r="F5488" s="392" t="n"/>
      <c r="G5488" s="392" t="n">
        <v>20</v>
      </c>
      <c r="H5488" s="446">
        <f>H5487-G5488</f>
        <v/>
      </c>
      <c r="I5488" s="392" t="n"/>
      <c r="J5488" s="392" t="n"/>
      <c r="K5488" s="392" t="n"/>
      <c r="L5488" s="392" t="n"/>
      <c r="M5488" s="392" t="n"/>
    </row>
    <row r="5489">
      <c r="A5489" s="568" t="n">
        <v>46209</v>
      </c>
      <c r="B5489" s="392" t="n">
        <v>12745</v>
      </c>
      <c r="C5489" s="392" t="n">
        <v>84</v>
      </c>
      <c r="D5489" s="392" t="n"/>
      <c r="E5489" s="392" t="n"/>
      <c r="F5489" s="392" t="n"/>
      <c r="G5489" s="392" t="n">
        <v>20</v>
      </c>
      <c r="H5489" s="446">
        <f>H5488-G5489</f>
        <v/>
      </c>
      <c r="I5489" s="392" t="n"/>
      <c r="J5489" s="392" t="n"/>
      <c r="K5489" s="392" t="n"/>
      <c r="L5489" s="392" t="n"/>
      <c r="M5489" s="392" t="n"/>
    </row>
    <row r="5490">
      <c r="A5490" s="568" t="n">
        <v>46210</v>
      </c>
      <c r="B5490" s="392" t="n">
        <v>12749</v>
      </c>
      <c r="C5490" s="392" t="n">
        <v>81.59999999999999</v>
      </c>
      <c r="D5490" s="392" t="n"/>
      <c r="E5490" s="392" t="n"/>
      <c r="F5490" s="392" t="n"/>
      <c r="G5490" s="392" t="n">
        <v>50</v>
      </c>
      <c r="H5490" s="446">
        <f>H5489-G5490</f>
        <v/>
      </c>
      <c r="I5490" s="392" t="n"/>
      <c r="J5490" s="392" t="n"/>
      <c r="K5490" s="392" t="n"/>
      <c r="L5490" s="392" t="n"/>
      <c r="M5490" s="392" t="n"/>
    </row>
    <row r="5491">
      <c r="A5491" s="304" t="n">
        <v>46216</v>
      </c>
      <c r="B5491" s="401" t="n">
        <v>5738</v>
      </c>
      <c r="C5491" s="401" t="n">
        <v>72.37</v>
      </c>
      <c r="D5491" s="401" t="n"/>
      <c r="E5491" s="401" t="n"/>
      <c r="F5491" s="401" t="n">
        <v>1120</v>
      </c>
      <c r="G5491" s="401" t="n"/>
      <c r="H5491" s="322" t="n">
        <v>4440</v>
      </c>
      <c r="I5491" s="392" t="n"/>
      <c r="J5491" s="392" t="n"/>
      <c r="K5491" s="392" t="n"/>
      <c r="L5491" s="392" t="n"/>
      <c r="M5491" s="392" t="n"/>
    </row>
    <row r="5492">
      <c r="A5492" s="568" t="n">
        <v>46216</v>
      </c>
      <c r="B5492" s="392" t="n">
        <v>12752</v>
      </c>
      <c r="C5492" s="392" t="n">
        <v>87</v>
      </c>
      <c r="D5492" s="392" t="n"/>
      <c r="E5492" s="392" t="n"/>
      <c r="F5492" s="392" t="n"/>
      <c r="G5492" s="392" t="n">
        <v>30</v>
      </c>
      <c r="H5492" s="446">
        <f>H5491-G5492</f>
        <v/>
      </c>
      <c r="I5492" s="392" t="n"/>
      <c r="J5492" s="392" t="n"/>
      <c r="K5492" s="392" t="n"/>
      <c r="L5492" s="392" t="n"/>
      <c r="M5492" s="392" t="n"/>
    </row>
    <row r="5493">
      <c r="A5493" s="568" t="n">
        <v>46216</v>
      </c>
      <c r="B5493" s="392" t="n">
        <v>12753</v>
      </c>
      <c r="C5493" s="392" t="n">
        <v>82</v>
      </c>
      <c r="D5493" s="392" t="n"/>
      <c r="E5493" s="392" t="n"/>
      <c r="F5493" s="392" t="n"/>
      <c r="G5493" s="392" t="n">
        <v>100</v>
      </c>
      <c r="H5493" s="446">
        <f>H5492-G5493</f>
        <v/>
      </c>
      <c r="I5493" s="392" t="n"/>
      <c r="J5493" s="392" t="n"/>
      <c r="K5493" s="392" t="n"/>
      <c r="L5493" s="392" t="n"/>
      <c r="M5493" s="392" t="n"/>
    </row>
    <row r="5494">
      <c r="A5494" s="568" t="n">
        <v>46216</v>
      </c>
      <c r="B5494" s="392" t="n">
        <v>12754</v>
      </c>
      <c r="C5494" s="392" t="n">
        <v>84</v>
      </c>
      <c r="D5494" s="392" t="n"/>
      <c r="E5494" s="392" t="n"/>
      <c r="F5494" s="392" t="n"/>
      <c r="G5494" s="392" t="n">
        <v>20</v>
      </c>
      <c r="H5494" s="446">
        <f>H5493-G5494</f>
        <v/>
      </c>
      <c r="I5494" s="392" t="n"/>
      <c r="J5494" s="392" t="n"/>
      <c r="K5494" s="392" t="n"/>
      <c r="L5494" s="392" t="n"/>
      <c r="M5494" s="392" t="n"/>
    </row>
    <row r="5495">
      <c r="A5495" s="568" t="n">
        <v>46216</v>
      </c>
      <c r="B5495" s="392" t="n">
        <v>12756</v>
      </c>
      <c r="C5495" s="392" t="n">
        <v>84</v>
      </c>
      <c r="D5495" s="392" t="n"/>
      <c r="E5495" s="392" t="n"/>
      <c r="F5495" s="392" t="n"/>
      <c r="G5495" s="392" t="n">
        <v>20</v>
      </c>
      <c r="H5495" s="446">
        <f>H5494-G5495</f>
        <v/>
      </c>
      <c r="I5495" s="392" t="n"/>
      <c r="J5495" s="392" t="n"/>
      <c r="K5495" s="392" t="n"/>
      <c r="L5495" s="392" t="n"/>
      <c r="M5495" s="392" t="n"/>
    </row>
    <row r="5496">
      <c r="A5496" s="568" t="n">
        <v>46216</v>
      </c>
      <c r="B5496" s="392" t="n">
        <v>12757</v>
      </c>
      <c r="C5496" s="392" t="n">
        <v>84</v>
      </c>
      <c r="D5496" s="392" t="n"/>
      <c r="E5496" s="392" t="n"/>
      <c r="F5496" s="392" t="n"/>
      <c r="G5496" s="392" t="n">
        <v>30</v>
      </c>
      <c r="H5496" s="446">
        <f>H5495-G5496</f>
        <v/>
      </c>
      <c r="I5496" s="392" t="n"/>
      <c r="J5496" s="392" t="n"/>
      <c r="K5496" s="392" t="n"/>
      <c r="L5496" s="392" t="n"/>
      <c r="M5496" s="392" t="n"/>
    </row>
    <row r="5497">
      <c r="A5497" s="568" t="n">
        <v>46216</v>
      </c>
      <c r="B5497" s="392" t="n">
        <v>12758</v>
      </c>
      <c r="C5497" s="392" t="n">
        <v>90</v>
      </c>
      <c r="D5497" s="392" t="n"/>
      <c r="E5497" s="392" t="n"/>
      <c r="F5497" s="392" t="n"/>
      <c r="G5497" s="392" t="n">
        <v>20</v>
      </c>
      <c r="H5497" s="446">
        <f>H5496-G5497</f>
        <v/>
      </c>
      <c r="I5497" s="392" t="n"/>
      <c r="J5497" s="392" t="n"/>
      <c r="K5497" s="392" t="n"/>
      <c r="L5497" s="392" t="n"/>
      <c r="M5497" s="392" t="n"/>
    </row>
    <row r="5498">
      <c r="A5498" s="568" t="n">
        <v>46216</v>
      </c>
      <c r="B5498" s="392" t="n">
        <v>12759</v>
      </c>
      <c r="C5498" s="392" t="n">
        <v>90</v>
      </c>
      <c r="D5498" s="392" t="n"/>
      <c r="E5498" s="392" t="n"/>
      <c r="F5498" s="392" t="n"/>
      <c r="G5498" s="392" t="n">
        <v>40</v>
      </c>
      <c r="H5498" s="446">
        <f>H5497-G5498</f>
        <v/>
      </c>
      <c r="I5498" s="392" t="n"/>
      <c r="J5498" s="392" t="n"/>
      <c r="K5498" s="392" t="n"/>
      <c r="L5498" s="392" t="n"/>
      <c r="M5498" s="392" t="n"/>
    </row>
    <row r="5499">
      <c r="A5499" s="568" t="n">
        <v>46218</v>
      </c>
      <c r="B5499" s="392" t="n">
        <v>12763</v>
      </c>
      <c r="C5499" s="392" t="n">
        <v>89</v>
      </c>
      <c r="D5499" s="392" t="n"/>
      <c r="E5499" s="392" t="n"/>
      <c r="F5499" s="392" t="n"/>
      <c r="G5499" s="392" t="n">
        <v>30</v>
      </c>
      <c r="H5499" s="446">
        <f>H5498-G5499</f>
        <v/>
      </c>
      <c r="I5499" s="392" t="n"/>
      <c r="J5499" s="392" t="n"/>
      <c r="K5499" s="392" t="n"/>
      <c r="L5499" s="392" t="n"/>
      <c r="M5499" s="392" t="n"/>
    </row>
    <row r="5500">
      <c r="A5500" s="568" t="n">
        <v>46218</v>
      </c>
      <c r="B5500" s="392" t="n">
        <v>12764</v>
      </c>
      <c r="C5500" s="392" t="n">
        <v>90</v>
      </c>
      <c r="D5500" s="392" t="n"/>
      <c r="E5500" s="392" t="n"/>
      <c r="F5500" s="392" t="n"/>
      <c r="G5500" s="392" t="n">
        <v>20</v>
      </c>
      <c r="H5500" s="446">
        <f>H5499-G5500</f>
        <v/>
      </c>
      <c r="I5500" s="392" t="n"/>
      <c r="J5500" s="392" t="n"/>
      <c r="K5500" s="392" t="n"/>
      <c r="L5500" s="392" t="n"/>
      <c r="M5500" s="392" t="n"/>
    </row>
    <row r="5501">
      <c r="A5501" s="568" t="n">
        <v>46223</v>
      </c>
      <c r="B5501" s="392" t="n">
        <v>12765</v>
      </c>
      <c r="C5501" s="392" t="n">
        <v>82</v>
      </c>
      <c r="D5501" s="392" t="n"/>
      <c r="E5501" s="392" t="n"/>
      <c r="F5501" s="392" t="n"/>
      <c r="G5501" s="392" t="n">
        <v>100</v>
      </c>
      <c r="H5501" s="446">
        <f>H5500-G5501</f>
        <v/>
      </c>
      <c r="I5501" s="392" t="n"/>
      <c r="J5501" s="392" t="n"/>
      <c r="K5501" s="392" t="n"/>
      <c r="L5501" s="392" t="n"/>
      <c r="M5501" s="392" t="n"/>
    </row>
    <row r="5502">
      <c r="A5502" s="568" t="n">
        <v>46224</v>
      </c>
      <c r="B5502" s="392" t="n">
        <v>12770</v>
      </c>
      <c r="C5502" s="392" t="n">
        <v>85.5</v>
      </c>
      <c r="D5502" s="392" t="n"/>
      <c r="E5502" s="392" t="n"/>
      <c r="F5502" s="392" t="n"/>
      <c r="G5502" s="392" t="n">
        <v>20</v>
      </c>
      <c r="H5502" s="446">
        <f>H5501-G5502</f>
        <v/>
      </c>
      <c r="I5502" s="392" t="n"/>
      <c r="J5502" s="392" t="n"/>
      <c r="K5502" s="392" t="n"/>
      <c r="L5502" s="392" t="n"/>
      <c r="M5502" s="392" t="n"/>
    </row>
    <row r="5503">
      <c r="A5503" s="568" t="n">
        <v>46224</v>
      </c>
      <c r="B5503" s="392" t="n">
        <v>12771</v>
      </c>
      <c r="C5503" s="392" t="n">
        <v>84</v>
      </c>
      <c r="D5503" s="392" t="n"/>
      <c r="E5503" s="392" t="n"/>
      <c r="F5503" s="392" t="n"/>
      <c r="G5503" s="392" t="n">
        <v>20</v>
      </c>
      <c r="H5503" s="446">
        <f>H5502-G5503</f>
        <v/>
      </c>
      <c r="I5503" s="392" t="n"/>
      <c r="J5503" s="392" t="n"/>
      <c r="K5503" s="392" t="n"/>
      <c r="L5503" s="392" t="n"/>
      <c r="M5503" s="392" t="n"/>
    </row>
    <row r="5504">
      <c r="A5504" s="568" t="n">
        <v>46224</v>
      </c>
      <c r="B5504" s="392" t="n">
        <v>12772</v>
      </c>
      <c r="C5504" s="392" t="n">
        <v>89</v>
      </c>
      <c r="D5504" s="392" t="n"/>
      <c r="E5504" s="392" t="n"/>
      <c r="F5504" s="392" t="n"/>
      <c r="G5504" s="392" t="n">
        <v>100</v>
      </c>
      <c r="H5504" s="446">
        <f>H5503-G5504</f>
        <v/>
      </c>
      <c r="I5504" s="392" t="n"/>
      <c r="J5504" s="392" t="n"/>
      <c r="K5504" s="392" t="n"/>
      <c r="L5504" s="392" t="n"/>
      <c r="M5504" s="392" t="n"/>
    </row>
    <row r="5505">
      <c r="A5505" s="568" t="n">
        <v>46224</v>
      </c>
      <c r="B5505" s="392" t="n">
        <v>12773</v>
      </c>
      <c r="C5505" s="392" t="n">
        <v>84</v>
      </c>
      <c r="D5505" s="392" t="n"/>
      <c r="E5505" s="392" t="n"/>
      <c r="F5505" s="392" t="n"/>
      <c r="G5505" s="392" t="n">
        <v>60</v>
      </c>
      <c r="H5505" s="446">
        <f>H5504-G5505</f>
        <v/>
      </c>
      <c r="I5505" s="392" t="n"/>
      <c r="J5505" s="392" t="n"/>
      <c r="K5505" s="392" t="n"/>
      <c r="L5505" s="392" t="n"/>
      <c r="M5505" s="392" t="n"/>
    </row>
    <row r="5506">
      <c r="A5506" s="568" t="n">
        <v>46224</v>
      </c>
      <c r="B5506" s="392" t="n">
        <v>12774</v>
      </c>
      <c r="C5506" s="392" t="n">
        <v>82</v>
      </c>
      <c r="D5506" s="392" t="n"/>
      <c r="E5506" s="392" t="n"/>
      <c r="F5506" s="392" t="n"/>
      <c r="G5506" s="392" t="n">
        <v>50</v>
      </c>
      <c r="H5506" s="446">
        <f>H5505-G5506</f>
        <v/>
      </c>
      <c r="I5506" s="392" t="n"/>
      <c r="J5506" s="392" t="n"/>
      <c r="K5506" s="392" t="n"/>
      <c r="L5506" s="392" t="n"/>
      <c r="M5506" s="392" t="n"/>
    </row>
    <row r="5507">
      <c r="A5507" s="568" t="n">
        <v>46225</v>
      </c>
      <c r="B5507" s="392" t="n">
        <v>12775</v>
      </c>
      <c r="C5507" s="392" t="n">
        <v>84</v>
      </c>
      <c r="D5507" s="392" t="n"/>
      <c r="E5507" s="392" t="n"/>
      <c r="F5507" s="392" t="n"/>
      <c r="G5507" s="392" t="n">
        <v>20</v>
      </c>
      <c r="H5507" s="446">
        <f>H5506-G5507</f>
        <v/>
      </c>
      <c r="I5507" s="392" t="n"/>
      <c r="J5507" s="392" t="n"/>
      <c r="K5507" s="392" t="n"/>
      <c r="L5507" s="392" t="n"/>
      <c r="M5507" s="392" t="n"/>
    </row>
    <row r="5508">
      <c r="A5508" s="568" t="n">
        <v>46225</v>
      </c>
      <c r="B5508" s="392" t="n">
        <v>12776</v>
      </c>
      <c r="C5508" s="392" t="n">
        <v>84</v>
      </c>
      <c r="D5508" s="392" t="n"/>
      <c r="E5508" s="392" t="n"/>
      <c r="F5508" s="392" t="n"/>
      <c r="G5508" s="392" t="n">
        <v>15</v>
      </c>
      <c r="H5508" s="446">
        <f>H5507-G5508</f>
        <v/>
      </c>
      <c r="I5508" s="392" t="n"/>
      <c r="J5508" s="392" t="n"/>
      <c r="K5508" s="392" t="n"/>
      <c r="L5508" s="392" t="n"/>
      <c r="M5508" s="392" t="n"/>
    </row>
    <row r="5509">
      <c r="A5509" s="568" t="n">
        <v>46225</v>
      </c>
      <c r="B5509" s="392" t="n">
        <v>12778</v>
      </c>
      <c r="C5509" s="392" t="n">
        <v>84</v>
      </c>
      <c r="D5509" s="392" t="n"/>
      <c r="E5509" s="392" t="n"/>
      <c r="F5509" s="392" t="n"/>
      <c r="G5509" s="392" t="n">
        <v>10</v>
      </c>
      <c r="H5509" s="446">
        <f>H5508-G5509</f>
        <v/>
      </c>
      <c r="I5509" s="392" t="n"/>
      <c r="J5509" s="392" t="n"/>
      <c r="K5509" s="392" t="n"/>
      <c r="L5509" s="392" t="n"/>
      <c r="M5509" s="392" t="n"/>
    </row>
    <row r="5510">
      <c r="A5510" s="568" t="n">
        <v>46225</v>
      </c>
      <c r="B5510" s="392" t="n">
        <v>12779</v>
      </c>
      <c r="C5510" s="392" t="n">
        <v>82</v>
      </c>
      <c r="D5510" s="392" t="n"/>
      <c r="E5510" s="392" t="n"/>
      <c r="F5510" s="392" t="n"/>
      <c r="G5510" s="392" t="n">
        <v>30</v>
      </c>
      <c r="H5510" s="446">
        <f>H5509-G5510</f>
        <v/>
      </c>
      <c r="I5510" s="392" t="n"/>
      <c r="J5510" s="392" t="n"/>
      <c r="K5510" s="392" t="n"/>
      <c r="L5510" s="392" t="n"/>
      <c r="M5510" s="392" t="n"/>
    </row>
    <row r="5511">
      <c r="A5511" s="568" t="n">
        <v>46230</v>
      </c>
      <c r="B5511" s="392" t="n">
        <v>12780</v>
      </c>
      <c r="C5511" s="392" t="n">
        <v>82</v>
      </c>
      <c r="D5511" s="392" t="n"/>
      <c r="E5511" s="392" t="n"/>
      <c r="F5511" s="392" t="n"/>
      <c r="G5511" s="392" t="n">
        <v>20</v>
      </c>
      <c r="H5511" s="446">
        <f>H5510-G5511</f>
        <v/>
      </c>
      <c r="I5511" s="392" t="n"/>
      <c r="J5511" s="392" t="n"/>
      <c r="K5511" s="392" t="n"/>
      <c r="L5511" s="392" t="n"/>
      <c r="M5511" s="392" t="n"/>
    </row>
    <row r="5512">
      <c r="A5512" s="568" t="n">
        <v>46230</v>
      </c>
      <c r="B5512" s="392" t="n">
        <v>12782</v>
      </c>
      <c r="C5512" s="392" t="n">
        <v>90</v>
      </c>
      <c r="D5512" s="392" t="n"/>
      <c r="E5512" s="392" t="n"/>
      <c r="F5512" s="392" t="n"/>
      <c r="G5512" s="392" t="n">
        <v>20</v>
      </c>
      <c r="H5512" s="446">
        <f>H5511-G5512</f>
        <v/>
      </c>
      <c r="I5512" s="392" t="n"/>
      <c r="J5512" s="392" t="n"/>
      <c r="K5512" s="392" t="n"/>
      <c r="L5512" s="392" t="n"/>
      <c r="M5512" s="392" t="n"/>
    </row>
    <row r="5513">
      <c r="A5513" s="568" t="n">
        <v>46230</v>
      </c>
      <c r="B5513" s="392" t="n">
        <v>12783</v>
      </c>
      <c r="C5513" s="392" t="n">
        <v>90</v>
      </c>
      <c r="D5513" s="392" t="n"/>
      <c r="E5513" s="392" t="n"/>
      <c r="F5513" s="392" t="n"/>
      <c r="G5513" s="392" t="n">
        <v>50</v>
      </c>
      <c r="H5513" s="446">
        <f>H5512-G5513</f>
        <v/>
      </c>
      <c r="I5513" s="392" t="n"/>
      <c r="J5513" s="392" t="n"/>
      <c r="K5513" s="392" t="n"/>
      <c r="L5513" s="392" t="n"/>
      <c r="M5513" s="392" t="n"/>
    </row>
    <row r="5514">
      <c r="A5514" s="568" t="n">
        <v>46230</v>
      </c>
      <c r="B5514" s="392" t="n">
        <v>12784</v>
      </c>
      <c r="C5514" s="392" t="n">
        <v>84</v>
      </c>
      <c r="D5514" s="392" t="n"/>
      <c r="E5514" s="392" t="n"/>
      <c r="F5514" s="392" t="n"/>
      <c r="G5514" s="392" t="n">
        <v>20</v>
      </c>
      <c r="H5514" s="446">
        <f>H5513-G5514</f>
        <v/>
      </c>
      <c r="I5514" s="392" t="n"/>
      <c r="J5514" s="392" t="n"/>
      <c r="K5514" s="392" t="n"/>
      <c r="L5514" s="392" t="n"/>
      <c r="M5514" s="392" t="n"/>
    </row>
    <row r="5515">
      <c r="A5515" s="568" t="n">
        <v>46230</v>
      </c>
      <c r="B5515" s="392" t="n">
        <v>12785</v>
      </c>
      <c r="C5515" s="392" t="n">
        <v>90</v>
      </c>
      <c r="D5515" s="392" t="n"/>
      <c r="E5515" s="392" t="n"/>
      <c r="F5515" s="392" t="n"/>
      <c r="G5515" s="392" t="n">
        <v>20</v>
      </c>
      <c r="H5515" s="446">
        <f>H5514-G5515</f>
        <v/>
      </c>
      <c r="I5515" s="392" t="n"/>
      <c r="J5515" s="392" t="n"/>
      <c r="K5515" s="392" t="n"/>
      <c r="L5515" s="392" t="n"/>
      <c r="M5515" s="392" t="n"/>
    </row>
    <row r="5516">
      <c r="A5516" s="568" t="n">
        <v>46230</v>
      </c>
      <c r="B5516" s="392" t="n">
        <v>12786</v>
      </c>
      <c r="C5516" s="392" t="n">
        <v>82</v>
      </c>
      <c r="D5516" s="392" t="n"/>
      <c r="E5516" s="392" t="n"/>
      <c r="F5516" s="392" t="n"/>
      <c r="G5516" s="392" t="n">
        <v>200</v>
      </c>
      <c r="H5516" s="446">
        <f>H5515-G5516</f>
        <v/>
      </c>
      <c r="I5516" s="392" t="n"/>
      <c r="J5516" s="392" t="n"/>
      <c r="K5516" s="392" t="n"/>
      <c r="L5516" s="392" t="n"/>
      <c r="M5516" s="392" t="n"/>
    </row>
    <row r="5517">
      <c r="A5517" s="568" t="n">
        <v>46230</v>
      </c>
      <c r="B5517" s="392" t="n">
        <v>12787</v>
      </c>
      <c r="C5517" s="392" t="n">
        <v>82</v>
      </c>
      <c r="D5517" s="392" t="n"/>
      <c r="E5517" s="392" t="n"/>
      <c r="F5517" s="392" t="n"/>
      <c r="G5517" s="392" t="n">
        <v>100</v>
      </c>
      <c r="H5517" s="446">
        <f>H5516-G5517</f>
        <v/>
      </c>
      <c r="I5517" s="392" t="n"/>
      <c r="J5517" s="392" t="n"/>
      <c r="K5517" s="392" t="n"/>
      <c r="L5517" s="392" t="n"/>
      <c r="M5517" s="392" t="n"/>
    </row>
    <row r="5518">
      <c r="A5518" s="568" t="n">
        <v>46232</v>
      </c>
      <c r="B5518" s="392" t="n">
        <v>12788</v>
      </c>
      <c r="C5518" s="392" t="n">
        <v>84.40000000000001</v>
      </c>
      <c r="D5518" s="392" t="n"/>
      <c r="E5518" s="392" t="n"/>
      <c r="F5518" s="392" t="n"/>
      <c r="G5518" s="392" t="n">
        <v>30</v>
      </c>
      <c r="H5518" s="446">
        <f>H5517-G5518</f>
        <v/>
      </c>
      <c r="I5518" s="392" t="n"/>
      <c r="J5518" s="392" t="n"/>
      <c r="K5518" s="392" t="n"/>
      <c r="L5518" s="392" t="n"/>
      <c r="M5518" s="392" t="n"/>
    </row>
    <row r="5519">
      <c r="A5519" s="568" t="n">
        <v>46232</v>
      </c>
      <c r="B5519" s="392" t="n">
        <v>12790</v>
      </c>
      <c r="C5519" s="392" t="n">
        <v>83</v>
      </c>
      <c r="D5519" s="392" t="n"/>
      <c r="E5519" s="392" t="n"/>
      <c r="F5519" s="392" t="n"/>
      <c r="G5519" s="392" t="n">
        <v>30</v>
      </c>
      <c r="H5519" s="446">
        <f>H5518-G5519</f>
        <v/>
      </c>
      <c r="I5519" s="392" t="n"/>
      <c r="J5519" s="392" t="n"/>
      <c r="K5519" s="392" t="n"/>
      <c r="L5519" s="392" t="n"/>
      <c r="M5519" s="392" t="n"/>
    </row>
    <row r="5520" ht="15.75" customHeight="1" s="436" thickBot="1">
      <c r="A5520" s="414" t="n"/>
      <c r="H5520" s="390" t="n"/>
    </row>
    <row r="5521" ht="32.25" customHeight="1" s="436" thickBot="1">
      <c r="A5521" s="735" t="inlineStr">
        <is>
          <t>Agosto</t>
        </is>
      </c>
      <c r="B5521" s="697" t="n"/>
      <c r="C5521" s="697" t="n"/>
      <c r="D5521" s="697" t="n"/>
      <c r="E5521" s="697" t="n"/>
      <c r="F5521" s="697" t="n"/>
      <c r="G5521" s="697" t="n"/>
      <c r="H5521" s="697" t="n"/>
      <c r="I5521" s="697" t="n"/>
      <c r="J5521" s="697" t="n"/>
      <c r="K5521" s="697" t="n"/>
      <c r="L5521" s="697" t="n"/>
      <c r="M5521" s="698" t="n"/>
    </row>
    <row r="5522" ht="27" customHeight="1" s="436" thickBot="1">
      <c r="A5522" s="720" t="inlineStr">
        <is>
          <t xml:space="preserve"> FARINHA DE TRIGO TIPO: 1 - 25 KG</t>
        </is>
      </c>
      <c r="B5522" s="697" t="n"/>
      <c r="C5522" s="697" t="n"/>
      <c r="D5522" s="697" t="n"/>
      <c r="E5522" s="697" t="n"/>
      <c r="F5522" s="697" t="n"/>
      <c r="G5522" s="697" t="n"/>
      <c r="H5522" s="697" t="n"/>
      <c r="I5522" s="697" t="n"/>
      <c r="J5522" s="697" t="n"/>
      <c r="K5522" s="697" t="n"/>
      <c r="L5522" s="697" t="n"/>
      <c r="M5522" s="698" t="n"/>
    </row>
    <row r="5523">
      <c r="A5523" s="3" t="inlineStr">
        <is>
          <t>DATA</t>
        </is>
      </c>
      <c r="B5523" s="3" t="inlineStr">
        <is>
          <t>N.F.</t>
        </is>
      </c>
      <c r="C5523" s="3" t="inlineStr">
        <is>
          <t>TIPO</t>
        </is>
      </c>
      <c r="D5523" s="708" t="inlineStr">
        <is>
          <t>PREÇO UNITÁRIO</t>
        </is>
      </c>
      <c r="E5523" s="736" t="n"/>
      <c r="F5523" s="3" t="inlineStr">
        <is>
          <t>QUANTIDADE / KG</t>
        </is>
      </c>
      <c r="G5523" s="737" t="n"/>
      <c r="H5523" s="736" t="n"/>
      <c r="I5523" s="631" t="inlineStr">
        <is>
          <t>PREÇO</t>
        </is>
      </c>
      <c r="J5523" s="631" t="inlineStr">
        <is>
          <t>VALORES</t>
        </is>
      </c>
      <c r="K5523" s="737" t="n"/>
      <c r="L5523" s="736" t="n"/>
      <c r="M5523" s="738" t="n"/>
    </row>
    <row r="5524" ht="15.75" customHeight="1" s="436" thickBot="1">
      <c r="A5524" s="704" t="n"/>
      <c r="B5524" s="704" t="n"/>
      <c r="C5524" s="704" t="n"/>
      <c r="D5524" s="703" t="n"/>
      <c r="E5524" s="701" t="n"/>
      <c r="F5524" s="705" t="n"/>
      <c r="G5524" s="706" t="n"/>
      <c r="H5524" s="707" t="n"/>
      <c r="I5524" s="704" t="n"/>
      <c r="J5524" s="703" t="n"/>
      <c r="L5524" s="701" t="n"/>
      <c r="M5524" s="704" t="n"/>
    </row>
    <row r="5525" ht="15.75" customHeight="1" s="436" thickBot="1">
      <c r="A5525" s="704" t="n"/>
      <c r="B5525" s="704" t="n"/>
      <c r="C5525" s="704" t="n"/>
      <c r="D5525" s="705" t="n"/>
      <c r="E5525" s="707" t="n"/>
      <c r="F5525" s="3" t="inlineStr">
        <is>
          <t>ENTRADA</t>
        </is>
      </c>
      <c r="G5525" s="3" t="inlineStr">
        <is>
          <t>SAÍDA</t>
        </is>
      </c>
      <c r="H5525" s="640" t="n"/>
      <c r="I5525" s="633" t="inlineStr">
        <is>
          <t>MÉDIO</t>
        </is>
      </c>
      <c r="J5525" s="739" t="inlineStr">
        <is>
          <t>SALDO EM 30/11/2017</t>
        </is>
      </c>
      <c r="K5525" s="707" t="n"/>
      <c r="L5525" s="17" t="n"/>
      <c r="M5525" s="740" t="n"/>
    </row>
    <row r="5526" ht="15.75" customHeight="1" s="436" thickBot="1">
      <c r="A5526" s="695" t="n"/>
      <c r="B5526" s="695" t="n"/>
      <c r="C5526" s="695" t="n"/>
      <c r="D5526" s="3" t="inlineStr">
        <is>
          <t>C/ICMS</t>
        </is>
      </c>
      <c r="E5526" s="3" t="inlineStr">
        <is>
          <t>S/ICMS</t>
        </is>
      </c>
      <c r="F5526" s="695" t="n"/>
      <c r="G5526" s="695" t="n"/>
      <c r="H5526" s="361" t="inlineStr">
        <is>
          <t>Saldo em 31/07/2026</t>
        </is>
      </c>
      <c r="I5526" s="695" t="n"/>
      <c r="J5526" s="645" t="inlineStr">
        <is>
          <t>ENTRADA</t>
        </is>
      </c>
      <c r="K5526" s="633" t="inlineStr">
        <is>
          <t>SAÍDA / CMV</t>
        </is>
      </c>
      <c r="L5526" s="643" t="inlineStr">
        <is>
          <t>SALDO</t>
        </is>
      </c>
      <c r="M5526" s="392" t="n"/>
    </row>
    <row r="5527">
      <c r="A5527" s="392" t="n"/>
      <c r="B5527" s="392" t="n"/>
      <c r="C5527" s="392" t="n"/>
      <c r="D5527" s="392" t="n"/>
      <c r="E5527" s="392" t="n"/>
      <c r="F5527" s="392" t="n"/>
      <c r="G5527" s="392" t="n"/>
      <c r="H5527" s="446" t="n">
        <v>3215</v>
      </c>
      <c r="I5527" s="392" t="n"/>
      <c r="J5527" s="392" t="n"/>
      <c r="K5527" s="392" t="n"/>
      <c r="L5527" s="392" t="n"/>
      <c r="M5527" s="392" t="n"/>
    </row>
    <row r="5528">
      <c r="A5528" s="568" t="n">
        <v>46237</v>
      </c>
      <c r="B5528" s="392" t="n">
        <v>12792</v>
      </c>
      <c r="C5528" s="392" t="n">
        <v>89</v>
      </c>
      <c r="D5528" s="392" t="n"/>
      <c r="E5528" s="392" t="n"/>
      <c r="F5528" s="392" t="n"/>
      <c r="G5528" s="392" t="n">
        <v>50</v>
      </c>
      <c r="H5528" s="446">
        <f>H5527-G5528</f>
        <v/>
      </c>
      <c r="I5528" s="392" t="n"/>
      <c r="J5528" s="392" t="n"/>
      <c r="K5528" s="392" t="n"/>
      <c r="L5528" s="392" t="n"/>
      <c r="M5528" s="392" t="n"/>
    </row>
    <row r="5529">
      <c r="A5529" s="568" t="n">
        <v>46237</v>
      </c>
      <c r="B5529" s="392" t="n">
        <v>12795</v>
      </c>
      <c r="C5529" s="392" t="n">
        <v>82</v>
      </c>
      <c r="D5529" s="392" t="n"/>
      <c r="E5529" s="392" t="n"/>
      <c r="F5529" s="392" t="n"/>
      <c r="G5529" s="392" t="n">
        <v>100</v>
      </c>
      <c r="H5529" s="446">
        <f>H5528-G5529</f>
        <v/>
      </c>
      <c r="I5529" s="392" t="n"/>
      <c r="J5529" s="392" t="n"/>
      <c r="K5529" s="392" t="n"/>
      <c r="L5529" s="392" t="n"/>
      <c r="M5529" s="392" t="n"/>
    </row>
    <row r="5530">
      <c r="A5530" s="568" t="n">
        <v>46237</v>
      </c>
      <c r="B5530" s="392" t="n">
        <v>12796</v>
      </c>
      <c r="C5530" s="392" t="n">
        <v>84</v>
      </c>
      <c r="D5530" s="392" t="n"/>
      <c r="E5530" s="392" t="n"/>
      <c r="F5530" s="392" t="n"/>
      <c r="G5530" s="392" t="n">
        <v>20</v>
      </c>
      <c r="H5530" s="446">
        <f>H5529-G5530</f>
        <v/>
      </c>
      <c r="I5530" s="392" t="n"/>
      <c r="J5530" s="392" t="n"/>
      <c r="K5530" s="392" t="n"/>
      <c r="L5530" s="392" t="n"/>
      <c r="M5530" s="392" t="n"/>
    </row>
    <row r="5531">
      <c r="A5531" s="568" t="n">
        <v>46237</v>
      </c>
      <c r="B5531" s="392" t="n">
        <v>12797</v>
      </c>
      <c r="C5531" s="392" t="n">
        <v>84</v>
      </c>
      <c r="D5531" s="392" t="n"/>
      <c r="E5531" s="392" t="n"/>
      <c r="F5531" s="392" t="n"/>
      <c r="G5531" s="392" t="n">
        <v>35</v>
      </c>
      <c r="H5531" s="446">
        <f>H5530-G5531</f>
        <v/>
      </c>
      <c r="I5531" s="392" t="n"/>
      <c r="J5531" s="392" t="n"/>
      <c r="K5531" s="392" t="n"/>
      <c r="L5531" s="392" t="n"/>
      <c r="M5531" s="392" t="n"/>
    </row>
    <row r="5532">
      <c r="A5532" s="568" t="n">
        <v>46237</v>
      </c>
      <c r="B5532" s="392" t="n">
        <v>12799</v>
      </c>
      <c r="C5532" s="392" t="n">
        <v>86.5</v>
      </c>
      <c r="D5532" s="392" t="n"/>
      <c r="E5532" s="392" t="n"/>
      <c r="F5532" s="392" t="n"/>
      <c r="G5532" s="392" t="n">
        <v>20</v>
      </c>
      <c r="H5532" s="446">
        <f>H5531-G5532</f>
        <v/>
      </c>
      <c r="I5532" s="392" t="n"/>
      <c r="J5532" s="392" t="n"/>
      <c r="K5532" s="392" t="n"/>
      <c r="L5532" s="392" t="n"/>
      <c r="M5532" s="392" t="n"/>
    </row>
    <row r="5533">
      <c r="A5533" s="568" t="n">
        <v>46237</v>
      </c>
      <c r="B5533" s="392" t="n">
        <v>12800</v>
      </c>
      <c r="C5533" s="392" t="n">
        <v>85</v>
      </c>
      <c r="D5533" s="392" t="n"/>
      <c r="E5533" s="392" t="n"/>
      <c r="F5533" s="392" t="n"/>
      <c r="G5533" s="392" t="n">
        <v>20</v>
      </c>
      <c r="H5533" s="446">
        <f>H5532-G5533</f>
        <v/>
      </c>
      <c r="I5533" s="392" t="n"/>
      <c r="J5533" s="392" t="n"/>
      <c r="K5533" s="392" t="n"/>
      <c r="L5533" s="392" t="n"/>
      <c r="M5533" s="392" t="n"/>
    </row>
    <row r="5534">
      <c r="A5534" s="568" t="n">
        <v>46237</v>
      </c>
      <c r="B5534" s="392" t="n">
        <v>12802</v>
      </c>
      <c r="C5534" s="392" t="n">
        <v>84</v>
      </c>
      <c r="D5534" s="392" t="n"/>
      <c r="E5534" s="392" t="n"/>
      <c r="F5534" s="392" t="n"/>
      <c r="G5534" s="392" t="n">
        <v>10</v>
      </c>
      <c r="H5534" s="446">
        <f>H5533-G5534</f>
        <v/>
      </c>
      <c r="I5534" s="392" t="n"/>
      <c r="J5534" s="392" t="n"/>
      <c r="K5534" s="392" t="n"/>
      <c r="L5534" s="392" t="n"/>
      <c r="M5534" s="392" t="n"/>
    </row>
    <row r="5535">
      <c r="A5535" s="568" t="n">
        <v>46240</v>
      </c>
      <c r="B5535" s="392" t="n">
        <v>12805</v>
      </c>
      <c r="C5535" s="392" t="n">
        <v>83.34</v>
      </c>
      <c r="D5535" s="392" t="n"/>
      <c r="E5535" s="392" t="n"/>
      <c r="F5535" s="392" t="n"/>
      <c r="G5535" s="392" t="n">
        <v>30</v>
      </c>
      <c r="H5535" s="446">
        <f>H5534-G5535</f>
        <v/>
      </c>
      <c r="I5535" s="392" t="n"/>
      <c r="J5535" s="392" t="n"/>
      <c r="K5535" s="392" t="n"/>
      <c r="L5535" s="392" t="n"/>
      <c r="M5535" s="392" t="n"/>
    </row>
    <row r="5536">
      <c r="A5536" s="568" t="n">
        <v>46241</v>
      </c>
      <c r="B5536" s="392" t="n">
        <v>12806</v>
      </c>
      <c r="C5536" s="392" t="n">
        <v>84</v>
      </c>
      <c r="D5536" s="392" t="n"/>
      <c r="E5536" s="392" t="n"/>
      <c r="F5536" s="392" t="n"/>
      <c r="G5536" s="392" t="n">
        <v>60</v>
      </c>
      <c r="H5536" s="446">
        <f>H5535-G5536</f>
        <v/>
      </c>
      <c r="I5536" s="392" t="n"/>
      <c r="J5536" s="392" t="n"/>
      <c r="K5536" s="392" t="n"/>
      <c r="L5536" s="392" t="n"/>
      <c r="M5536" s="392" t="n"/>
    </row>
    <row r="5537">
      <c r="A5537" s="568" t="n">
        <v>46244</v>
      </c>
      <c r="B5537" s="392" t="n">
        <v>12807</v>
      </c>
      <c r="C5537" s="392" t="n">
        <v>84</v>
      </c>
      <c r="D5537" s="392" t="n"/>
      <c r="E5537" s="392" t="n"/>
      <c r="F5537" s="392" t="n"/>
      <c r="G5537" s="392" t="n">
        <v>30</v>
      </c>
      <c r="H5537" s="446">
        <f>H5536-G5537</f>
        <v/>
      </c>
      <c r="I5537" s="392" t="n"/>
      <c r="J5537" s="392" t="n"/>
      <c r="K5537" s="392" t="n"/>
      <c r="L5537" s="392" t="n"/>
      <c r="M5537" s="392" t="n"/>
    </row>
    <row r="5538">
      <c r="A5538" s="568" t="n">
        <v>46244</v>
      </c>
      <c r="B5538" s="392" t="n">
        <v>12808</v>
      </c>
      <c r="C5538" s="392" t="n">
        <v>82</v>
      </c>
      <c r="D5538" s="392" t="n"/>
      <c r="E5538" s="392" t="n"/>
      <c r="F5538" s="392" t="n"/>
      <c r="G5538" s="392" t="n">
        <v>100</v>
      </c>
      <c r="H5538" s="446">
        <f>H5537-G5538</f>
        <v/>
      </c>
      <c r="I5538" s="392" t="n"/>
      <c r="J5538" s="392" t="n"/>
      <c r="K5538" s="392" t="n"/>
      <c r="L5538" s="392" t="n"/>
      <c r="M5538" s="392" t="n"/>
    </row>
    <row r="5539">
      <c r="A5539" s="568" t="n">
        <v>46244</v>
      </c>
      <c r="B5539" s="392" t="n">
        <v>12809</v>
      </c>
      <c r="C5539" s="392" t="n">
        <v>84</v>
      </c>
      <c r="D5539" s="392" t="n"/>
      <c r="E5539" s="392" t="n"/>
      <c r="F5539" s="392" t="n"/>
      <c r="G5539" s="392" t="n">
        <v>20</v>
      </c>
      <c r="H5539" s="446">
        <f>H5538-G5539</f>
        <v/>
      </c>
      <c r="I5539" s="392" t="n"/>
      <c r="J5539" s="392" t="n"/>
      <c r="K5539" s="392" t="n"/>
      <c r="L5539" s="392" t="n"/>
      <c r="M5539" s="392" t="n"/>
    </row>
    <row r="5540">
      <c r="A5540" s="568" t="n">
        <v>46244</v>
      </c>
      <c r="B5540" s="392" t="n">
        <v>12810</v>
      </c>
      <c r="C5540" s="392" t="n">
        <v>89</v>
      </c>
      <c r="D5540" s="392" t="n"/>
      <c r="E5540" s="392" t="n"/>
      <c r="F5540" s="392" t="n"/>
      <c r="G5540" s="392" t="n">
        <v>20</v>
      </c>
      <c r="H5540" s="446">
        <f>H5539-G5540</f>
        <v/>
      </c>
      <c r="I5540" s="392" t="n"/>
      <c r="J5540" s="392" t="n"/>
      <c r="K5540" s="392" t="n"/>
      <c r="L5540" s="392" t="n"/>
      <c r="M5540" s="392" t="n"/>
    </row>
    <row r="5541">
      <c r="A5541" s="568" t="n">
        <v>46244</v>
      </c>
      <c r="B5541" s="392" t="n">
        <v>12812</v>
      </c>
      <c r="C5541" s="392" t="n">
        <v>87</v>
      </c>
      <c r="D5541" s="392" t="n"/>
      <c r="E5541" s="392" t="n"/>
      <c r="F5541" s="392" t="n"/>
      <c r="G5541" s="392" t="n">
        <v>30</v>
      </c>
      <c r="H5541" s="446">
        <f>H5540-G5541</f>
        <v/>
      </c>
      <c r="I5541" s="392" t="n"/>
      <c r="J5541" s="392" t="n"/>
      <c r="K5541" s="392" t="n"/>
      <c r="L5541" s="392" t="n"/>
      <c r="M5541" s="392" t="n"/>
    </row>
    <row r="5542">
      <c r="A5542" s="568" t="n">
        <v>46245</v>
      </c>
      <c r="B5542" s="392" t="n">
        <v>12813</v>
      </c>
      <c r="C5542" s="392" t="n">
        <v>82</v>
      </c>
      <c r="D5542" s="392" t="n"/>
      <c r="E5542" s="392" t="n"/>
      <c r="F5542" s="392" t="n"/>
      <c r="G5542" s="392" t="n">
        <v>150</v>
      </c>
      <c r="H5542" s="446">
        <f>H5541-G5542</f>
        <v/>
      </c>
      <c r="I5542" s="392" t="n"/>
      <c r="J5542" s="392" t="n"/>
      <c r="K5542" s="392" t="n"/>
      <c r="L5542" s="392" t="n"/>
      <c r="M5542" s="392" t="n"/>
    </row>
    <row r="5543">
      <c r="A5543" s="568" t="n">
        <v>46245</v>
      </c>
      <c r="B5543" s="392" t="n">
        <v>12814</v>
      </c>
      <c r="C5543" s="392" t="n">
        <v>89</v>
      </c>
      <c r="D5543" s="392" t="n"/>
      <c r="E5543" s="392" t="n"/>
      <c r="F5543" s="392" t="n"/>
      <c r="G5543" s="392" t="n">
        <v>100</v>
      </c>
      <c r="H5543" s="446">
        <f>H5542-G5543</f>
        <v/>
      </c>
      <c r="I5543" s="392" t="n"/>
      <c r="J5543" s="392" t="n"/>
      <c r="K5543" s="392" t="n"/>
      <c r="L5543" s="392" t="n"/>
      <c r="M5543" s="392" t="n"/>
    </row>
    <row r="5544">
      <c r="A5544" s="568" t="n">
        <v>46245</v>
      </c>
      <c r="B5544" s="392" t="n">
        <v>12815</v>
      </c>
      <c r="C5544" s="392" t="n">
        <v>90</v>
      </c>
      <c r="D5544" s="392" t="n"/>
      <c r="E5544" s="392" t="n"/>
      <c r="F5544" s="392" t="n"/>
      <c r="G5544" s="392" t="n">
        <v>20</v>
      </c>
      <c r="H5544" s="446">
        <f>H5543-G5544</f>
        <v/>
      </c>
      <c r="I5544" s="392" t="n"/>
      <c r="J5544" s="392" t="n"/>
      <c r="K5544" s="392" t="n"/>
      <c r="L5544" s="392" t="n"/>
      <c r="M5544" s="392" t="n"/>
    </row>
    <row r="5545">
      <c r="A5545" s="568" t="n">
        <v>46245</v>
      </c>
      <c r="B5545" s="392" t="n">
        <v>12816</v>
      </c>
      <c r="C5545" s="392" t="n">
        <v>90</v>
      </c>
      <c r="D5545" s="392" t="n"/>
      <c r="E5545" s="392" t="n"/>
      <c r="F5545" s="392" t="n"/>
      <c r="G5545" s="392" t="n">
        <v>40</v>
      </c>
      <c r="H5545" s="446">
        <f>H5544-G5545</f>
        <v/>
      </c>
      <c r="I5545" s="392" t="n"/>
      <c r="J5545" s="392" t="n"/>
      <c r="K5545" s="392" t="n"/>
      <c r="L5545" s="392" t="n"/>
      <c r="M5545" s="392" t="n"/>
    </row>
    <row r="5546">
      <c r="A5546" s="568" t="n">
        <v>46245</v>
      </c>
      <c r="B5546" s="392" t="n">
        <v>12817</v>
      </c>
      <c r="C5546" s="392" t="n">
        <v>84</v>
      </c>
      <c r="D5546" s="392" t="n"/>
      <c r="E5546" s="392" t="n"/>
      <c r="F5546" s="392" t="n"/>
      <c r="G5546" s="392" t="n">
        <v>15</v>
      </c>
      <c r="H5546" s="446">
        <f>H5545-G5546</f>
        <v/>
      </c>
      <c r="I5546" s="392" t="n"/>
      <c r="J5546" s="392" t="n"/>
      <c r="K5546" s="392" t="n"/>
      <c r="L5546" s="392" t="n"/>
      <c r="M5546" s="392" t="n"/>
    </row>
    <row r="5547">
      <c r="A5547" s="568" t="n">
        <v>46245</v>
      </c>
      <c r="B5547" s="392" t="n">
        <v>12818</v>
      </c>
      <c r="C5547" s="392" t="n">
        <v>84</v>
      </c>
      <c r="D5547" s="392" t="n"/>
      <c r="E5547" s="392" t="n"/>
      <c r="F5547" s="392" t="n"/>
      <c r="G5547" s="392" t="n">
        <v>15</v>
      </c>
      <c r="H5547" s="446">
        <f>H5546-G5547</f>
        <v/>
      </c>
      <c r="I5547" s="392" t="n"/>
      <c r="J5547" s="392" t="n"/>
      <c r="K5547" s="392" t="n"/>
      <c r="L5547" s="392" t="n"/>
      <c r="M5547" s="392" t="n"/>
    </row>
    <row r="5548">
      <c r="A5548" s="568" t="n">
        <v>46245</v>
      </c>
      <c r="B5548" s="392" t="n">
        <v>12821</v>
      </c>
      <c r="C5548" s="392" t="n">
        <v>82</v>
      </c>
      <c r="D5548" s="392" t="n"/>
      <c r="E5548" s="392" t="n"/>
      <c r="F5548" s="392" t="n"/>
      <c r="G5548" s="392" t="n">
        <v>100</v>
      </c>
      <c r="H5548" s="446">
        <f>H5547-G5548</f>
        <v/>
      </c>
      <c r="I5548" s="392" t="n"/>
      <c r="J5548" s="392" t="n"/>
      <c r="K5548" s="392" t="n"/>
      <c r="L5548" s="392" t="n"/>
      <c r="M5548" s="392" t="n"/>
    </row>
    <row r="5549">
      <c r="A5549" s="568" t="n">
        <v>46246</v>
      </c>
      <c r="B5549" s="392" t="n">
        <v>12822</v>
      </c>
      <c r="C5549" s="392" t="n">
        <v>82</v>
      </c>
      <c r="D5549" s="392" t="n"/>
      <c r="E5549" s="392" t="n"/>
      <c r="F5549" s="392" t="n"/>
      <c r="G5549" s="392" t="n">
        <v>50</v>
      </c>
      <c r="H5549" s="446">
        <f>H5548-G5549</f>
        <v/>
      </c>
      <c r="I5549" s="392" t="n"/>
      <c r="J5549" s="392" t="n"/>
      <c r="K5549" s="392" t="n"/>
      <c r="L5549" s="392" t="n"/>
      <c r="M5549" s="392" t="n"/>
    </row>
    <row r="5550">
      <c r="A5550" s="304" t="n">
        <v>46247</v>
      </c>
      <c r="B5550" s="401" t="n">
        <v>6009</v>
      </c>
      <c r="C5550" s="401" t="n"/>
      <c r="D5550" s="401" t="n"/>
      <c r="E5550" s="401" t="n"/>
      <c r="F5550" s="401" t="n">
        <v>1120</v>
      </c>
      <c r="G5550" s="401" t="n"/>
      <c r="H5550" s="322" t="n">
        <v>3300</v>
      </c>
      <c r="I5550" s="392" t="n"/>
      <c r="J5550" s="392" t="n"/>
      <c r="K5550" s="392" t="n"/>
      <c r="L5550" s="392" t="n"/>
      <c r="M5550" s="392" t="n"/>
    </row>
    <row r="5551">
      <c r="A5551" s="568" t="n">
        <v>46252</v>
      </c>
      <c r="B5551" s="392" t="n">
        <v>12823</v>
      </c>
      <c r="C5551" s="392" t="n">
        <v>82</v>
      </c>
      <c r="D5551" s="392" t="n"/>
      <c r="E5551" s="392" t="n"/>
      <c r="F5551" s="392" t="n"/>
      <c r="G5551" s="392" t="n">
        <v>100</v>
      </c>
      <c r="H5551" s="446">
        <f>H5550-G5551</f>
        <v/>
      </c>
      <c r="I5551" s="392" t="n"/>
      <c r="J5551" s="392" t="n"/>
      <c r="K5551" s="392" t="n"/>
      <c r="L5551" s="392" t="n"/>
      <c r="M5551" s="392" t="n"/>
    </row>
    <row r="5552">
      <c r="A5552" s="568" t="n">
        <v>46252</v>
      </c>
      <c r="B5552" s="392" t="n">
        <v>12825</v>
      </c>
      <c r="C5552" s="392" t="n">
        <v>84</v>
      </c>
      <c r="D5552" s="392" t="n"/>
      <c r="E5552" s="392" t="n"/>
      <c r="F5552" s="392" t="n"/>
      <c r="G5552" s="392" t="n">
        <v>20</v>
      </c>
      <c r="H5552" s="446">
        <f>H5551-G5552</f>
        <v/>
      </c>
      <c r="I5552" s="392" t="n"/>
      <c r="J5552" s="392" t="n"/>
      <c r="K5552" s="392" t="n"/>
      <c r="L5552" s="392" t="n"/>
      <c r="M5552" s="392" t="n"/>
    </row>
    <row r="5553">
      <c r="A5553" s="568" t="n">
        <v>46252</v>
      </c>
      <c r="B5553" s="392" t="n">
        <v>12826</v>
      </c>
      <c r="C5553" s="392" t="n">
        <v>82</v>
      </c>
      <c r="D5553" s="392" t="n"/>
      <c r="E5553" s="392" t="n"/>
      <c r="F5553" s="392" t="n"/>
      <c r="G5553" s="392" t="n">
        <v>100</v>
      </c>
      <c r="H5553" s="446">
        <f>H5552-G5553</f>
        <v/>
      </c>
      <c r="I5553" s="392" t="n"/>
      <c r="J5553" s="392" t="n"/>
      <c r="K5553" s="392" t="n"/>
      <c r="L5553" s="392" t="n"/>
      <c r="M5553" s="392" t="n"/>
    </row>
    <row r="5554">
      <c r="A5554" s="568" t="n">
        <v>46252</v>
      </c>
      <c r="B5554" s="392" t="n">
        <v>12829</v>
      </c>
      <c r="C5554" s="392" t="n">
        <v>84</v>
      </c>
      <c r="D5554" s="392" t="n"/>
      <c r="E5554" s="392" t="n"/>
      <c r="F5554" s="392" t="n"/>
      <c r="G5554" s="392" t="n">
        <v>5</v>
      </c>
      <c r="H5554" s="446">
        <f>H5553-G5554</f>
        <v/>
      </c>
      <c r="I5554" s="392" t="n"/>
      <c r="J5554" s="392" t="n"/>
      <c r="K5554" s="392" t="n"/>
      <c r="L5554" s="392" t="n"/>
      <c r="M5554" s="392" t="n"/>
    </row>
    <row r="5555">
      <c r="A5555" s="568" t="n">
        <v>46252</v>
      </c>
      <c r="B5555" s="392" t="n">
        <v>12830</v>
      </c>
      <c r="C5555" s="392" t="n">
        <v>84</v>
      </c>
      <c r="D5555" s="392" t="n"/>
      <c r="E5555" s="392" t="n"/>
      <c r="F5555" s="392" t="n"/>
      <c r="G5555" s="392" t="n">
        <v>15</v>
      </c>
      <c r="H5555" s="446">
        <f>H5554-G5555</f>
        <v/>
      </c>
      <c r="I5555" s="392" t="n"/>
      <c r="J5555" s="392" t="n"/>
      <c r="K5555" s="392" t="n"/>
      <c r="L5555" s="392" t="n"/>
      <c r="M5555" s="392" t="n"/>
    </row>
    <row r="5556">
      <c r="A5556" s="568" t="n">
        <v>46252</v>
      </c>
      <c r="B5556" s="392" t="n">
        <v>12831</v>
      </c>
      <c r="C5556" s="392" t="n">
        <v>82</v>
      </c>
      <c r="D5556" s="392" t="n"/>
      <c r="E5556" s="392" t="n"/>
      <c r="F5556" s="392" t="n"/>
      <c r="G5556" s="392" t="n">
        <v>50</v>
      </c>
      <c r="H5556" s="446">
        <f>H5555-G5556</f>
        <v/>
      </c>
      <c r="I5556" s="392" t="n"/>
      <c r="J5556" s="392" t="n"/>
      <c r="K5556" s="392" t="n"/>
      <c r="L5556" s="392" t="n"/>
      <c r="M5556" s="392" t="n"/>
    </row>
    <row r="5557">
      <c r="A5557" s="568" t="n">
        <v>46253</v>
      </c>
      <c r="B5557" s="392" t="n">
        <v>12832</v>
      </c>
      <c r="C5557" s="392" t="n">
        <v>90</v>
      </c>
      <c r="D5557" s="392" t="n"/>
      <c r="E5557" s="392" t="n"/>
      <c r="F5557" s="392" t="n"/>
      <c r="G5557" s="392" t="n">
        <v>8</v>
      </c>
      <c r="H5557" s="446">
        <f>H5556-G5557</f>
        <v/>
      </c>
      <c r="I5557" s="392" t="n"/>
      <c r="J5557" s="392" t="n"/>
      <c r="K5557" s="392" t="n"/>
      <c r="L5557" s="392" t="n"/>
      <c r="M5557" s="392" t="n"/>
    </row>
    <row r="5558">
      <c r="A5558" s="568" t="n">
        <v>46253</v>
      </c>
      <c r="B5558" s="392" t="n">
        <v>12832</v>
      </c>
      <c r="C5558" s="392" t="n">
        <v>84</v>
      </c>
      <c r="D5558" s="392" t="n"/>
      <c r="E5558" s="392" t="n"/>
      <c r="F5558" s="392" t="n"/>
      <c r="G5558" s="392" t="n">
        <v>28</v>
      </c>
      <c r="H5558" s="446">
        <f>H5557-G5558</f>
        <v/>
      </c>
      <c r="I5558" s="392" t="n"/>
      <c r="J5558" s="392" t="n"/>
      <c r="K5558" s="392" t="n"/>
      <c r="L5558" s="392" t="n"/>
      <c r="M5558" s="392" t="n"/>
    </row>
    <row r="5559">
      <c r="A5559" s="568" t="n">
        <v>46253</v>
      </c>
      <c r="B5559" s="392" t="n">
        <v>12836</v>
      </c>
      <c r="C5559" s="392" t="n">
        <v>83</v>
      </c>
      <c r="D5559" s="392" t="n"/>
      <c r="E5559" s="392" t="n"/>
      <c r="F5559" s="392" t="n"/>
      <c r="G5559" s="392" t="n">
        <v>30</v>
      </c>
      <c r="H5559" s="446">
        <f>H5558-G5559</f>
        <v/>
      </c>
      <c r="I5559" s="392" t="n"/>
      <c r="J5559" s="392" t="n"/>
      <c r="K5559" s="392" t="n"/>
      <c r="L5559" s="392" t="n"/>
      <c r="M5559" s="392" t="n"/>
    </row>
    <row r="5560">
      <c r="A5560" s="568" t="n">
        <v>46258</v>
      </c>
      <c r="B5560" s="392" t="n">
        <v>12837</v>
      </c>
      <c r="C5560" s="392" t="n">
        <v>89</v>
      </c>
      <c r="D5560" s="392" t="n"/>
      <c r="E5560" s="392" t="n"/>
      <c r="F5560" s="392" t="n"/>
      <c r="G5560" s="392" t="n">
        <v>20</v>
      </c>
      <c r="H5560" s="446">
        <f>H5559-G5560</f>
        <v/>
      </c>
      <c r="I5560" s="392" t="n"/>
      <c r="J5560" s="392" t="n"/>
      <c r="K5560" s="392" t="n"/>
      <c r="L5560" s="392" t="n"/>
      <c r="M5560" s="392" t="n"/>
    </row>
    <row r="5561">
      <c r="A5561" s="568" t="n">
        <v>46258</v>
      </c>
      <c r="B5561" s="392" t="n">
        <v>12838</v>
      </c>
      <c r="C5561" s="392" t="n">
        <v>84</v>
      </c>
      <c r="D5561" s="392" t="n"/>
      <c r="E5561" s="392" t="n"/>
      <c r="F5561" s="392" t="n"/>
      <c r="G5561" s="392" t="n">
        <v>20</v>
      </c>
      <c r="H5561" s="446">
        <f>H5560-G5561</f>
        <v/>
      </c>
      <c r="I5561" s="392" t="n"/>
      <c r="J5561" s="392" t="n"/>
      <c r="K5561" s="392" t="n"/>
      <c r="L5561" s="392" t="n"/>
      <c r="M5561" s="392" t="n"/>
    </row>
    <row r="5562">
      <c r="A5562" s="568" t="n">
        <v>46258</v>
      </c>
      <c r="B5562" s="392" t="n">
        <v>12840</v>
      </c>
      <c r="C5562" s="392" t="n">
        <v>84</v>
      </c>
      <c r="D5562" s="392" t="n"/>
      <c r="E5562" s="392" t="n"/>
      <c r="F5562" s="392" t="n"/>
      <c r="G5562" s="392" t="n">
        <v>20</v>
      </c>
      <c r="H5562" s="446">
        <f>H5561-G5562</f>
        <v/>
      </c>
      <c r="I5562" s="392" t="n"/>
      <c r="J5562" s="392" t="n"/>
      <c r="K5562" s="392" t="n"/>
      <c r="L5562" s="392" t="n"/>
      <c r="M5562" s="392" t="n"/>
    </row>
    <row r="5563">
      <c r="A5563" s="568" t="n">
        <v>46258</v>
      </c>
      <c r="B5563" s="392" t="n">
        <v>12841</v>
      </c>
      <c r="C5563" s="392" t="n">
        <v>82</v>
      </c>
      <c r="D5563" s="392" t="n"/>
      <c r="E5563" s="392" t="n"/>
      <c r="F5563" s="392" t="n"/>
      <c r="G5563" s="392" t="n">
        <v>100</v>
      </c>
      <c r="H5563" s="446">
        <f>H5562-G5563</f>
        <v/>
      </c>
      <c r="I5563" s="392" t="n"/>
      <c r="J5563" s="392" t="n"/>
      <c r="K5563" s="392" t="n"/>
      <c r="L5563" s="392" t="n"/>
      <c r="M5563" s="392" t="n"/>
    </row>
    <row r="5564">
      <c r="A5564" s="568" t="n">
        <v>46258</v>
      </c>
      <c r="B5564" s="392" t="n">
        <v>12842</v>
      </c>
      <c r="C5564" s="392" t="n">
        <v>90</v>
      </c>
      <c r="D5564" s="392" t="n"/>
      <c r="E5564" s="392" t="n"/>
      <c r="F5564" s="392" t="n"/>
      <c r="G5564" s="392" t="n">
        <v>40</v>
      </c>
      <c r="H5564" s="446">
        <f>H5563-G5564</f>
        <v/>
      </c>
      <c r="I5564" s="392" t="n"/>
      <c r="J5564" s="392" t="n"/>
      <c r="K5564" s="392" t="n"/>
      <c r="L5564" s="392" t="n"/>
      <c r="M5564" s="392" t="n"/>
    </row>
    <row r="5565">
      <c r="A5565" s="568" t="n">
        <v>46258</v>
      </c>
      <c r="B5565" s="392" t="n">
        <v>12843</v>
      </c>
      <c r="C5565" s="392" t="n">
        <v>84</v>
      </c>
      <c r="D5565" s="392" t="n"/>
      <c r="E5565" s="392" t="n"/>
      <c r="F5565" s="392" t="n"/>
      <c r="G5565" s="392" t="n">
        <v>60</v>
      </c>
      <c r="H5565" s="446">
        <f>H5564-G5565</f>
        <v/>
      </c>
      <c r="I5565" s="392" t="n"/>
      <c r="J5565" s="392" t="n"/>
      <c r="K5565" s="392" t="n"/>
      <c r="L5565" s="392" t="n"/>
      <c r="M5565" s="392" t="n"/>
    </row>
    <row r="5566">
      <c r="A5566" s="568" t="n">
        <v>46260</v>
      </c>
      <c r="B5566" s="392" t="n">
        <v>12844</v>
      </c>
      <c r="C5566" s="392" t="n">
        <v>90</v>
      </c>
      <c r="D5566" s="392" t="n"/>
      <c r="E5566" s="392" t="n"/>
      <c r="F5566" s="392" t="n"/>
      <c r="G5566" s="392" t="n">
        <v>20</v>
      </c>
      <c r="H5566" s="446">
        <f>H5565-G5566</f>
        <v/>
      </c>
      <c r="I5566" s="392" t="n"/>
      <c r="J5566" s="392" t="n"/>
      <c r="K5566" s="392" t="n"/>
      <c r="L5566" s="392" t="n"/>
      <c r="M5566" s="392" t="n"/>
    </row>
    <row r="5567">
      <c r="A5567" s="568" t="n">
        <v>46260</v>
      </c>
      <c r="B5567" s="392" t="n">
        <v>12845</v>
      </c>
      <c r="C5567" s="392" t="n">
        <v>84</v>
      </c>
      <c r="D5567" s="392" t="n"/>
      <c r="E5567" s="392" t="n"/>
      <c r="F5567" s="392" t="n"/>
      <c r="G5567" s="392" t="n">
        <v>20</v>
      </c>
      <c r="H5567" s="446">
        <f>H5566-G5567</f>
        <v/>
      </c>
      <c r="I5567" s="392" t="n"/>
      <c r="J5567" s="392" t="n"/>
      <c r="K5567" s="392" t="n"/>
      <c r="L5567" s="392" t="n"/>
      <c r="M5567" s="392" t="n"/>
    </row>
    <row r="5568">
      <c r="A5568" s="568" t="n">
        <v>46260</v>
      </c>
      <c r="B5568" s="392" t="n">
        <v>12848</v>
      </c>
      <c r="C5568" s="392" t="n">
        <v>84</v>
      </c>
      <c r="D5568" s="392" t="n"/>
      <c r="E5568" s="392" t="n"/>
      <c r="F5568" s="392" t="n"/>
      <c r="G5568" s="392" t="n">
        <v>10</v>
      </c>
      <c r="H5568" s="446">
        <f>H5567-G5568</f>
        <v/>
      </c>
      <c r="I5568" s="392" t="n"/>
      <c r="J5568" s="392" t="n"/>
      <c r="K5568" s="392" t="n"/>
      <c r="L5568" s="392" t="n"/>
      <c r="M5568" s="392" t="n"/>
    </row>
    <row r="5569">
      <c r="A5569" s="568" t="n">
        <v>46260</v>
      </c>
      <c r="B5569" s="392" t="n">
        <v>12850</v>
      </c>
      <c r="C5569" s="392" t="n">
        <v>89</v>
      </c>
      <c r="D5569" s="392" t="n"/>
      <c r="E5569" s="392" t="n"/>
      <c r="F5569" s="392" t="n"/>
      <c r="G5569" s="392" t="n">
        <v>50</v>
      </c>
      <c r="H5569" s="446">
        <f>H5568-G5569</f>
        <v/>
      </c>
      <c r="I5569" s="392" t="n"/>
      <c r="J5569" s="392" t="n"/>
      <c r="K5569" s="392" t="n"/>
      <c r="L5569" s="392" t="n"/>
      <c r="M5569" s="392" t="n"/>
    </row>
    <row r="5570">
      <c r="A5570" s="334" t="n">
        <v>46262</v>
      </c>
      <c r="B5570" s="401" t="n">
        <v>6132</v>
      </c>
      <c r="C5570" s="401" t="n"/>
      <c r="D5570" s="401" t="n"/>
      <c r="E5570" s="401" t="n"/>
      <c r="F5570" s="401" t="n">
        <v>1120</v>
      </c>
      <c r="G5570" s="401" t="n"/>
      <c r="H5570" s="322" t="n">
        <v>3704</v>
      </c>
      <c r="I5570" s="392" t="n"/>
      <c r="J5570" s="392" t="n"/>
      <c r="K5570" s="392" t="n"/>
      <c r="L5570" s="392" t="n"/>
      <c r="M5570" s="392" t="n"/>
    </row>
    <row r="5571" ht="15.75" customHeight="1" s="436" thickBot="1">
      <c r="A5571" s="414" t="n"/>
      <c r="H5571" s="390" t="n"/>
    </row>
    <row r="5572" ht="32.25" customHeight="1" s="436" thickBot="1">
      <c r="A5572" s="735" t="inlineStr">
        <is>
          <t>Setembro</t>
        </is>
      </c>
      <c r="B5572" s="697" t="n"/>
      <c r="C5572" s="697" t="n"/>
      <c r="D5572" s="697" t="n"/>
      <c r="E5572" s="697" t="n"/>
      <c r="F5572" s="697" t="n"/>
      <c r="G5572" s="697" t="n"/>
      <c r="H5572" s="697" t="n"/>
      <c r="I5572" s="697" t="n"/>
      <c r="J5572" s="697" t="n"/>
      <c r="K5572" s="697" t="n"/>
      <c r="L5572" s="697" t="n"/>
      <c r="M5572" s="698" t="n"/>
    </row>
    <row r="5573" ht="27" customHeight="1" s="436" thickBot="1">
      <c r="A5573" s="720" t="inlineStr">
        <is>
          <t xml:space="preserve"> FARINHA DE TRIGO TIPO: 1 - 25 KG</t>
        </is>
      </c>
      <c r="B5573" s="697" t="n"/>
      <c r="C5573" s="697" t="n"/>
      <c r="D5573" s="697" t="n"/>
      <c r="E5573" s="697" t="n"/>
      <c r="F5573" s="697" t="n"/>
      <c r="G5573" s="697" t="n"/>
      <c r="H5573" s="697" t="n"/>
      <c r="I5573" s="697" t="n"/>
      <c r="J5573" s="697" t="n"/>
      <c r="K5573" s="697" t="n"/>
      <c r="L5573" s="697" t="n"/>
      <c r="M5573" s="698" t="n"/>
    </row>
    <row r="5574">
      <c r="A5574" s="3" t="inlineStr">
        <is>
          <t>DATA</t>
        </is>
      </c>
      <c r="B5574" s="3" t="inlineStr">
        <is>
          <t>N.F.</t>
        </is>
      </c>
      <c r="C5574" s="3" t="inlineStr">
        <is>
          <t>TIPO</t>
        </is>
      </c>
      <c r="D5574" s="708" t="inlineStr">
        <is>
          <t>PREÇO UNITÁRIO</t>
        </is>
      </c>
      <c r="E5574" s="736" t="n"/>
      <c r="F5574" s="3" t="inlineStr">
        <is>
          <t>QUANTIDADE / KG</t>
        </is>
      </c>
      <c r="G5574" s="737" t="n"/>
      <c r="H5574" s="736" t="n"/>
      <c r="I5574" s="631" t="inlineStr">
        <is>
          <t>PREÇO</t>
        </is>
      </c>
      <c r="J5574" s="631" t="inlineStr">
        <is>
          <t>VALORES</t>
        </is>
      </c>
      <c r="K5574" s="737" t="n"/>
      <c r="L5574" s="736" t="n"/>
      <c r="M5574" s="738" t="n"/>
    </row>
    <row r="5575" ht="15.75" customHeight="1" s="436" thickBot="1">
      <c r="A5575" s="704" t="n"/>
      <c r="B5575" s="704" t="n"/>
      <c r="C5575" s="704" t="n"/>
      <c r="D5575" s="703" t="n"/>
      <c r="E5575" s="701" t="n"/>
      <c r="F5575" s="705" t="n"/>
      <c r="G5575" s="706" t="n"/>
      <c r="H5575" s="707" t="n"/>
      <c r="I5575" s="704" t="n"/>
      <c r="J5575" s="703" t="n"/>
      <c r="L5575" s="701" t="n"/>
      <c r="M5575" s="704" t="n"/>
    </row>
    <row r="5576" ht="15.75" customHeight="1" s="436" thickBot="1">
      <c r="A5576" s="704" t="n"/>
      <c r="B5576" s="704" t="n"/>
      <c r="C5576" s="704" t="n"/>
      <c r="D5576" s="705" t="n"/>
      <c r="E5576" s="707" t="n"/>
      <c r="F5576" s="3" t="inlineStr">
        <is>
          <t>ENTRADA</t>
        </is>
      </c>
      <c r="G5576" s="3" t="inlineStr">
        <is>
          <t>SAÍDA</t>
        </is>
      </c>
      <c r="H5576" s="640" t="n"/>
      <c r="I5576" s="633" t="inlineStr">
        <is>
          <t>MÉDIO</t>
        </is>
      </c>
      <c r="J5576" s="739" t="inlineStr">
        <is>
          <t>SALDO EM 30/11/2017</t>
        </is>
      </c>
      <c r="K5576" s="707" t="n"/>
      <c r="L5576" s="17" t="n"/>
      <c r="M5576" s="740" t="n"/>
    </row>
    <row r="5577" ht="15.75" customHeight="1" s="436" thickBot="1">
      <c r="A5577" s="695" t="n"/>
      <c r="B5577" s="695" t="n"/>
      <c r="C5577" s="695" t="n"/>
      <c r="D5577" s="3" t="inlineStr">
        <is>
          <t>C/ICMS</t>
        </is>
      </c>
      <c r="E5577" s="3" t="inlineStr">
        <is>
          <t>S/ICMS</t>
        </is>
      </c>
      <c r="F5577" s="695" t="n"/>
      <c r="G5577" s="695" t="n"/>
      <c r="H5577" s="361" t="inlineStr">
        <is>
          <t>Saldo em 31/08/2026</t>
        </is>
      </c>
      <c r="I5577" s="695" t="n"/>
      <c r="J5577" s="645" t="inlineStr">
        <is>
          <t>ENTRADA</t>
        </is>
      </c>
      <c r="K5577" s="633" t="inlineStr">
        <is>
          <t>SAÍDA / CMV</t>
        </is>
      </c>
      <c r="L5577" s="643" t="inlineStr">
        <is>
          <t>SALDO</t>
        </is>
      </c>
      <c r="M5577" s="392" t="n"/>
    </row>
    <row r="5578">
      <c r="A5578" s="392" t="n"/>
      <c r="B5578" s="392" t="n"/>
      <c r="C5578" s="392" t="n"/>
      <c r="D5578" s="392" t="n"/>
      <c r="E5578" s="392" t="n"/>
      <c r="F5578" s="392" t="n"/>
      <c r="G5578" s="392" t="n"/>
      <c r="H5578" s="446" t="n">
        <v>3704</v>
      </c>
      <c r="I5578" s="392" t="n"/>
      <c r="J5578" s="392" t="n"/>
      <c r="K5578" s="392" t="n"/>
      <c r="L5578" s="392" t="n"/>
      <c r="M5578" s="392" t="n"/>
    </row>
    <row r="5579">
      <c r="A5579" s="568" t="n">
        <v>46266</v>
      </c>
      <c r="B5579" s="392" t="n">
        <v>12853</v>
      </c>
      <c r="C5579" s="392" t="n">
        <v>87</v>
      </c>
      <c r="D5579" s="392" t="n"/>
      <c r="E5579" s="392" t="n"/>
      <c r="F5579" s="392" t="n"/>
      <c r="G5579" s="392" t="n">
        <v>30</v>
      </c>
      <c r="H5579" s="446">
        <f>H5578-G5579</f>
        <v/>
      </c>
      <c r="I5579" s="392" t="n"/>
      <c r="J5579" s="392" t="n"/>
      <c r="K5579" s="392" t="n"/>
      <c r="L5579" s="392" t="n"/>
      <c r="M5579" s="392" t="n"/>
    </row>
    <row r="5580">
      <c r="A5580" s="568" t="n">
        <v>46266</v>
      </c>
      <c r="B5580" s="392" t="n">
        <v>12854</v>
      </c>
      <c r="C5580" s="392" t="n">
        <v>82</v>
      </c>
      <c r="D5580" s="392" t="n"/>
      <c r="E5580" s="392" t="n"/>
      <c r="F5580" s="392" t="n"/>
      <c r="G5580" s="392" t="n">
        <v>15</v>
      </c>
      <c r="H5580" s="446">
        <f>H5579-G5580</f>
        <v/>
      </c>
      <c r="I5580" s="392" t="n"/>
      <c r="J5580" s="392" t="n"/>
      <c r="K5580" s="392" t="n"/>
      <c r="L5580" s="392" t="n"/>
      <c r="M5580" s="392" t="n"/>
    </row>
    <row r="5581">
      <c r="A5581" s="568" t="n">
        <v>46266</v>
      </c>
      <c r="B5581" s="392" t="n">
        <v>12855</v>
      </c>
      <c r="C5581" s="392" t="n">
        <v>82</v>
      </c>
      <c r="D5581" s="392" t="n"/>
      <c r="E5581" s="392" t="n"/>
      <c r="F5581" s="392" t="n"/>
      <c r="G5581" s="392" t="n">
        <v>10</v>
      </c>
      <c r="H5581" s="446">
        <f>H5580-G5581</f>
        <v/>
      </c>
      <c r="I5581" s="392" t="n"/>
      <c r="J5581" s="392" t="n"/>
      <c r="K5581" s="392" t="n"/>
      <c r="L5581" s="392" t="n"/>
      <c r="M5581" s="392" t="n"/>
    </row>
    <row r="5582">
      <c r="A5582" s="568" t="n">
        <v>46266</v>
      </c>
      <c r="B5582" s="392" t="n">
        <v>12856</v>
      </c>
      <c r="C5582" s="392" t="n">
        <v>82</v>
      </c>
      <c r="D5582" s="392" t="n"/>
      <c r="E5582" s="392" t="n"/>
      <c r="F5582" s="392" t="n"/>
      <c r="G5582" s="392" t="n">
        <v>100</v>
      </c>
      <c r="H5582" s="446">
        <f>H5581-G5582</f>
        <v/>
      </c>
      <c r="I5582" s="392" t="n"/>
      <c r="J5582" s="392" t="n"/>
      <c r="K5582" s="392" t="n"/>
      <c r="L5582" s="392" t="n"/>
      <c r="M5582" s="392" t="n"/>
    </row>
    <row r="5583">
      <c r="A5583" s="568" t="n">
        <v>46266</v>
      </c>
      <c r="B5583" s="392" t="n">
        <v>12857</v>
      </c>
      <c r="C5583" s="392" t="n">
        <v>84</v>
      </c>
      <c r="D5583" s="392" t="n"/>
      <c r="E5583" s="392" t="n"/>
      <c r="F5583" s="392" t="n"/>
      <c r="G5583" s="392" t="n">
        <v>30</v>
      </c>
      <c r="H5583" s="446">
        <f>H5582-G5583</f>
        <v/>
      </c>
      <c r="I5583" s="392" t="n"/>
      <c r="J5583" s="392" t="n"/>
      <c r="K5583" s="392" t="n"/>
      <c r="L5583" s="392" t="n"/>
      <c r="M5583" s="392" t="n"/>
    </row>
    <row r="5584">
      <c r="A5584" s="568" t="n">
        <v>46266</v>
      </c>
      <c r="B5584" s="392" t="n">
        <v>12859</v>
      </c>
      <c r="C5584" s="392" t="n">
        <v>89</v>
      </c>
      <c r="D5584" s="392" t="n"/>
      <c r="E5584" s="392" t="n"/>
      <c r="F5584" s="392" t="n"/>
      <c r="G5584" s="392" t="n">
        <v>20</v>
      </c>
      <c r="H5584" s="446">
        <f>H5583-G5584</f>
        <v/>
      </c>
      <c r="I5584" s="392" t="n"/>
      <c r="J5584" s="392" t="n"/>
      <c r="K5584" s="392" t="n"/>
      <c r="L5584" s="392" t="n"/>
      <c r="M5584" s="392" t="n"/>
    </row>
    <row r="5585">
      <c r="A5585" s="568" t="n">
        <v>46266</v>
      </c>
      <c r="B5585" s="392" t="n">
        <v>12860</v>
      </c>
      <c r="C5585" s="392" t="n">
        <v>82</v>
      </c>
      <c r="D5585" s="392" t="n"/>
      <c r="E5585" s="392" t="n"/>
      <c r="F5585" s="392" t="n"/>
      <c r="G5585" s="392" t="n">
        <v>200</v>
      </c>
      <c r="H5585" s="446">
        <f>H5584-G5585</f>
        <v/>
      </c>
      <c r="I5585" s="392" t="n"/>
      <c r="J5585" s="392" t="n"/>
      <c r="K5585" s="392" t="n"/>
      <c r="L5585" s="392" t="n"/>
      <c r="M5585" s="392" t="n"/>
    </row>
    <row r="5586">
      <c r="A5586" s="568" t="n">
        <v>46266</v>
      </c>
      <c r="B5586" s="392" t="n">
        <v>12861</v>
      </c>
      <c r="C5586" s="392" t="n">
        <v>90</v>
      </c>
      <c r="D5586" s="392" t="n"/>
      <c r="E5586" s="392" t="n"/>
      <c r="F5586" s="392" t="n"/>
      <c r="G5586" s="392" t="n">
        <v>20</v>
      </c>
      <c r="H5586" s="446">
        <f>H5585-G5586</f>
        <v/>
      </c>
      <c r="I5586" s="392" t="n"/>
      <c r="J5586" s="392" t="n"/>
      <c r="K5586" s="392" t="n"/>
      <c r="L5586" s="392" t="n"/>
      <c r="M5586" s="392" t="n"/>
    </row>
    <row r="5587">
      <c r="A5587" s="568" t="n">
        <v>46266</v>
      </c>
      <c r="B5587" s="392" t="n">
        <v>12862</v>
      </c>
      <c r="C5587" s="392" t="n">
        <v>89</v>
      </c>
      <c r="D5587" s="392" t="n"/>
      <c r="E5587" s="392" t="n"/>
      <c r="F5587" s="392" t="n"/>
      <c r="G5587" s="392" t="n">
        <v>20</v>
      </c>
      <c r="H5587" s="446">
        <f>H5586-G5587</f>
        <v/>
      </c>
      <c r="I5587" s="392" t="n"/>
      <c r="J5587" s="392" t="n"/>
      <c r="K5587" s="392" t="n"/>
      <c r="L5587" s="392" t="n"/>
      <c r="M5587" s="392" t="n"/>
    </row>
    <row r="5588">
      <c r="A5588" s="568" t="n">
        <v>46266</v>
      </c>
      <c r="B5588" s="392" t="n">
        <v>12863</v>
      </c>
      <c r="C5588" s="392" t="n">
        <v>84</v>
      </c>
      <c r="D5588" s="392" t="n"/>
      <c r="E5588" s="392" t="n"/>
      <c r="F5588" s="392" t="n"/>
      <c r="G5588" s="392" t="n">
        <v>4</v>
      </c>
      <c r="H5588" s="446">
        <f>H5587-G5588</f>
        <v/>
      </c>
      <c r="I5588" s="392" t="n"/>
      <c r="J5588" s="392" t="n"/>
      <c r="K5588" s="392" t="n"/>
      <c r="L5588" s="392" t="n"/>
      <c r="M5588" s="392" t="n"/>
    </row>
    <row r="5589">
      <c r="A5589" s="568" t="n">
        <v>46266</v>
      </c>
      <c r="B5589" s="392" t="n">
        <v>12864</v>
      </c>
      <c r="C5589" s="392" t="n">
        <v>84</v>
      </c>
      <c r="D5589" s="392" t="n"/>
      <c r="E5589" s="392" t="n"/>
      <c r="F5589" s="392" t="n"/>
      <c r="G5589" s="392" t="n">
        <v>15</v>
      </c>
      <c r="H5589" s="446">
        <f>H5588-G5589</f>
        <v/>
      </c>
      <c r="I5589" s="392" t="n"/>
      <c r="J5589" s="392" t="n"/>
      <c r="K5589" s="392" t="n"/>
      <c r="L5589" s="392" t="n"/>
      <c r="M5589" s="392" t="n"/>
    </row>
    <row r="5590">
      <c r="A5590" s="568" t="n">
        <v>46266</v>
      </c>
      <c r="B5590" s="392" t="n">
        <v>12865</v>
      </c>
      <c r="C5590" s="392" t="n">
        <v>90</v>
      </c>
      <c r="D5590" s="392" t="n"/>
      <c r="E5590" s="392" t="n"/>
      <c r="F5590" s="392" t="n"/>
      <c r="G5590" s="392" t="n">
        <v>10</v>
      </c>
      <c r="H5590" s="446">
        <f>H5589-G5590</f>
        <v/>
      </c>
      <c r="I5590" s="392" t="n"/>
      <c r="J5590" s="392" t="n"/>
      <c r="K5590" s="392" t="n"/>
      <c r="L5590" s="392" t="n"/>
      <c r="M5590" s="392" t="n"/>
    </row>
    <row r="5591">
      <c r="A5591" s="568" t="n">
        <v>46272</v>
      </c>
      <c r="B5591" s="392" t="n">
        <v>12869</v>
      </c>
      <c r="C5591" s="392" t="n">
        <v>82</v>
      </c>
      <c r="D5591" s="392" t="n"/>
      <c r="E5591" s="392" t="n"/>
      <c r="F5591" s="392" t="n"/>
      <c r="G5591" s="392" t="n">
        <v>100</v>
      </c>
      <c r="H5591" s="446">
        <f>H5590-G5591</f>
        <v/>
      </c>
      <c r="I5591" s="392" t="n"/>
      <c r="J5591" s="392" t="n"/>
      <c r="K5591" s="392" t="n"/>
      <c r="L5591" s="392" t="n"/>
      <c r="M5591" s="392" t="n"/>
    </row>
    <row r="5592">
      <c r="A5592" s="568" t="n">
        <v>46272</v>
      </c>
      <c r="B5592" s="392" t="n">
        <v>12870</v>
      </c>
      <c r="C5592" s="392" t="n">
        <v>84</v>
      </c>
      <c r="D5592" s="392" t="n"/>
      <c r="E5592" s="392" t="n"/>
      <c r="F5592" s="392" t="n"/>
      <c r="G5592" s="392" t="n">
        <v>40</v>
      </c>
      <c r="H5592" s="446">
        <f>H5591-G5592</f>
        <v/>
      </c>
      <c r="I5592" s="392" t="n"/>
      <c r="J5592" s="392" t="n"/>
      <c r="K5592" s="392" t="n"/>
      <c r="L5592" s="392" t="n"/>
      <c r="M5592" s="392" t="n"/>
    </row>
    <row r="5593">
      <c r="A5593" s="568" t="n">
        <v>46272</v>
      </c>
      <c r="B5593" s="392" t="n">
        <v>12871</v>
      </c>
      <c r="C5593" s="392" t="n">
        <v>84</v>
      </c>
      <c r="D5593" s="392" t="n"/>
      <c r="E5593" s="392" t="n"/>
      <c r="F5593" s="392" t="n"/>
      <c r="G5593" s="392" t="n">
        <v>20</v>
      </c>
      <c r="H5593" s="446">
        <f>H5592-G5593</f>
        <v/>
      </c>
      <c r="I5593" s="392" t="n"/>
      <c r="J5593" s="392" t="n"/>
      <c r="K5593" s="392" t="n"/>
      <c r="L5593" s="392" t="n"/>
      <c r="M5593" s="392" t="n"/>
    </row>
    <row r="5594">
      <c r="A5594" s="568" t="n">
        <v>46272</v>
      </c>
      <c r="B5594" s="392" t="n">
        <v>12872</v>
      </c>
      <c r="C5594" s="392" t="n">
        <v>82</v>
      </c>
      <c r="D5594" s="392" t="n"/>
      <c r="E5594" s="392" t="n"/>
      <c r="F5594" s="392" t="n"/>
      <c r="G5594" s="392" t="n">
        <v>150</v>
      </c>
      <c r="H5594" s="446">
        <f>H5593-G5594</f>
        <v/>
      </c>
      <c r="I5594" s="392" t="n"/>
      <c r="J5594" s="392" t="n"/>
      <c r="K5594" s="392" t="n"/>
      <c r="L5594" s="392" t="n"/>
      <c r="M5594" s="392" t="n"/>
    </row>
    <row r="5595">
      <c r="A5595" s="568" t="n">
        <v>46272</v>
      </c>
      <c r="B5595" s="392" t="n">
        <v>12873</v>
      </c>
      <c r="C5595" s="392" t="n">
        <v>82</v>
      </c>
      <c r="D5595" s="392" t="n"/>
      <c r="E5595" s="392" t="n"/>
      <c r="F5595" s="392" t="n"/>
      <c r="G5595" s="392" t="n">
        <v>10</v>
      </c>
      <c r="H5595" s="446">
        <f>H5594-G5595</f>
        <v/>
      </c>
      <c r="I5595" s="392" t="n"/>
      <c r="J5595" s="392" t="n"/>
      <c r="K5595" s="392" t="n"/>
      <c r="L5595" s="392" t="n"/>
      <c r="M5595" s="392" t="n"/>
    </row>
    <row r="5596">
      <c r="A5596" s="568" t="n">
        <v>46272</v>
      </c>
      <c r="B5596" s="392" t="n">
        <v>12874</v>
      </c>
      <c r="C5596" s="392" t="n">
        <v>89</v>
      </c>
      <c r="D5596" s="392" t="n"/>
      <c r="E5596" s="392" t="n"/>
      <c r="F5596" s="392" t="n"/>
      <c r="G5596" s="392" t="n">
        <v>20</v>
      </c>
      <c r="H5596" s="446">
        <f>H5595-G5596</f>
        <v/>
      </c>
      <c r="I5596" s="392" t="n"/>
      <c r="J5596" s="392" t="n"/>
      <c r="K5596" s="392" t="n"/>
      <c r="L5596" s="392" t="n"/>
      <c r="M5596" s="392" t="n"/>
    </row>
    <row r="5597">
      <c r="A5597" s="568" t="n">
        <v>46272</v>
      </c>
      <c r="B5597" s="392" t="n">
        <v>12875</v>
      </c>
      <c r="C5597" s="392" t="n">
        <v>84</v>
      </c>
      <c r="D5597" s="392" t="n"/>
      <c r="E5597" s="392" t="n"/>
      <c r="F5597" s="392" t="n"/>
      <c r="G5597" s="392" t="n">
        <v>20</v>
      </c>
      <c r="H5597" s="446">
        <f>H5596-G5597</f>
        <v/>
      </c>
      <c r="I5597" s="392" t="n"/>
      <c r="J5597" s="392" t="n"/>
      <c r="K5597" s="392" t="n"/>
      <c r="L5597" s="392" t="n"/>
      <c r="M5597" s="392" t="n"/>
    </row>
    <row r="5598">
      <c r="A5598" s="568" t="n">
        <v>46272</v>
      </c>
      <c r="B5598" s="392" t="n">
        <v>12876</v>
      </c>
      <c r="C5598" s="392" t="n">
        <v>90</v>
      </c>
      <c r="D5598" s="392" t="n"/>
      <c r="E5598" s="392" t="n"/>
      <c r="F5598" s="392" t="n"/>
      <c r="G5598" s="392" t="n">
        <v>40</v>
      </c>
      <c r="H5598" s="446">
        <f>H5597-G5598</f>
        <v/>
      </c>
      <c r="I5598" s="392" t="n"/>
      <c r="J5598" s="392" t="n"/>
      <c r="K5598" s="392" t="n"/>
      <c r="L5598" s="392" t="n"/>
      <c r="M5598" s="392" t="n"/>
    </row>
    <row r="5599">
      <c r="A5599" s="568" t="n">
        <v>46272</v>
      </c>
      <c r="B5599" s="392" t="n">
        <v>12877</v>
      </c>
      <c r="C5599" s="392" t="n">
        <v>81</v>
      </c>
      <c r="D5599" s="392" t="n"/>
      <c r="E5599" s="392" t="n"/>
      <c r="F5599" s="392" t="n"/>
      <c r="G5599" s="392" t="n">
        <v>20</v>
      </c>
      <c r="H5599" s="446">
        <f>H5598-G5599</f>
        <v/>
      </c>
      <c r="I5599" s="392" t="n"/>
      <c r="J5599" s="392" t="n"/>
      <c r="K5599" s="392" t="n"/>
      <c r="L5599" s="392" t="n"/>
      <c r="M5599" s="392" t="n"/>
    </row>
    <row r="5600">
      <c r="A5600" s="568" t="n">
        <v>46272</v>
      </c>
      <c r="B5600" s="392" t="n">
        <v>12878</v>
      </c>
      <c r="C5600" s="392" t="n">
        <v>84</v>
      </c>
      <c r="D5600" s="392" t="n"/>
      <c r="E5600" s="392" t="n"/>
      <c r="F5600" s="392" t="n"/>
      <c r="G5600" s="392" t="n">
        <v>15</v>
      </c>
      <c r="H5600" s="446">
        <f>H5599-G5600</f>
        <v/>
      </c>
      <c r="I5600" s="392" t="n"/>
      <c r="J5600" s="392" t="n"/>
      <c r="K5600" s="392" t="n"/>
      <c r="L5600" s="392" t="n"/>
      <c r="M5600" s="392" t="n"/>
    </row>
    <row r="5601">
      <c r="A5601" s="568" t="n">
        <v>46273</v>
      </c>
      <c r="B5601" s="392" t="n">
        <v>12878</v>
      </c>
      <c r="C5601" s="392" t="n">
        <v>82</v>
      </c>
      <c r="D5601" s="392" t="n"/>
      <c r="E5601" s="392" t="n"/>
      <c r="F5601" s="392" t="n"/>
      <c r="G5601" s="392" t="n">
        <v>50</v>
      </c>
      <c r="H5601" s="446">
        <f>H5600-G5601</f>
        <v/>
      </c>
      <c r="I5601" s="392" t="n"/>
      <c r="J5601" s="392" t="n"/>
      <c r="K5601" s="392" t="n"/>
      <c r="L5601" s="392" t="n"/>
      <c r="M5601" s="392" t="n"/>
    </row>
    <row r="5602">
      <c r="A5602" s="568" t="n">
        <v>46274</v>
      </c>
      <c r="B5602" s="392" t="n">
        <v>12882</v>
      </c>
      <c r="C5602" s="392" t="n">
        <v>84</v>
      </c>
      <c r="D5602" s="392" t="n"/>
      <c r="E5602" s="392" t="n"/>
      <c r="F5602" s="392" t="n"/>
      <c r="G5602" s="392" t="n">
        <v>10</v>
      </c>
      <c r="H5602" s="446">
        <f>H5601-G5602</f>
        <v/>
      </c>
      <c r="I5602" s="392" t="n"/>
      <c r="J5602" s="392" t="n"/>
      <c r="K5602" s="392" t="n"/>
      <c r="L5602" s="392" t="n"/>
      <c r="M5602" s="392" t="n"/>
    </row>
    <row r="5603">
      <c r="A5603" s="568" t="n">
        <v>46274</v>
      </c>
      <c r="B5603" s="392" t="n">
        <v>12883</v>
      </c>
      <c r="C5603" s="392" t="n">
        <v>84</v>
      </c>
      <c r="D5603" s="392" t="n"/>
      <c r="E5603" s="392" t="n"/>
      <c r="F5603" s="392" t="n"/>
      <c r="G5603" s="392" t="n">
        <v>25</v>
      </c>
      <c r="H5603" s="446">
        <f>H5602-G5603</f>
        <v/>
      </c>
      <c r="I5603" s="392" t="n"/>
      <c r="J5603" s="392" t="n"/>
      <c r="K5603" s="392" t="n"/>
      <c r="L5603" s="392" t="n"/>
      <c r="M5603" s="392" t="n"/>
    </row>
    <row r="5604">
      <c r="A5604" s="568" t="n">
        <v>46274</v>
      </c>
      <c r="B5604" s="392" t="n">
        <v>12884</v>
      </c>
      <c r="C5604" s="392" t="n">
        <v>60</v>
      </c>
      <c r="D5604" s="392" t="n"/>
      <c r="E5604" s="392" t="n"/>
      <c r="F5604" s="392" t="n"/>
      <c r="G5604" s="392" t="n">
        <v>84</v>
      </c>
      <c r="H5604" s="446">
        <f>H5603-G5604</f>
        <v/>
      </c>
      <c r="I5604" s="392" t="n"/>
      <c r="J5604" s="392" t="n"/>
      <c r="K5604" s="392" t="n"/>
      <c r="L5604" s="392" t="n"/>
      <c r="M5604" s="392" t="n"/>
    </row>
    <row r="5605">
      <c r="A5605" s="304" t="n">
        <v>46286</v>
      </c>
      <c r="B5605" s="401" t="n">
        <v>6362</v>
      </c>
      <c r="C5605" s="401" t="n"/>
      <c r="D5605" s="401" t="n"/>
      <c r="E5605" s="401" t="n"/>
      <c r="F5605" s="401" t="n">
        <v>1120</v>
      </c>
      <c r="G5605" s="401" t="n"/>
      <c r="H5605" s="322" t="n">
        <v>3746</v>
      </c>
      <c r="I5605" s="392" t="n"/>
      <c r="J5605" s="392" t="n"/>
      <c r="K5605" s="392" t="n"/>
      <c r="L5605" s="392" t="n"/>
      <c r="M5605" s="392" t="n"/>
    </row>
    <row r="5606">
      <c r="A5606" s="568" t="n">
        <v>46280</v>
      </c>
      <c r="B5606" s="392" t="n">
        <v>12887</v>
      </c>
      <c r="C5606" s="392" t="n">
        <v>82</v>
      </c>
      <c r="D5606" s="392" t="n"/>
      <c r="E5606" s="392" t="n"/>
      <c r="F5606" s="392" t="n"/>
      <c r="G5606" s="392" t="n">
        <v>60</v>
      </c>
      <c r="H5606" s="446">
        <f>H5605-G5606</f>
        <v/>
      </c>
      <c r="I5606" s="392" t="n"/>
      <c r="J5606" s="392" t="n"/>
      <c r="K5606" s="392" t="n"/>
      <c r="L5606" s="392" t="n"/>
      <c r="M5606" s="392" t="n"/>
    </row>
    <row r="5607">
      <c r="A5607" s="568" t="n">
        <v>46280</v>
      </c>
      <c r="B5607" s="392" t="n">
        <v>12888</v>
      </c>
      <c r="C5607" s="392" t="n">
        <v>84</v>
      </c>
      <c r="D5607" s="392" t="n"/>
      <c r="E5607" s="392" t="n"/>
      <c r="F5607" s="392" t="n"/>
      <c r="G5607" s="392" t="n">
        <v>20</v>
      </c>
      <c r="H5607" s="446">
        <f>H5606-G5607</f>
        <v/>
      </c>
      <c r="I5607" s="392" t="n"/>
      <c r="J5607" s="392" t="n"/>
      <c r="K5607" s="392" t="n"/>
      <c r="L5607" s="392" t="n"/>
      <c r="M5607" s="392" t="n"/>
    </row>
    <row r="5608">
      <c r="A5608" s="568" t="n">
        <v>46280</v>
      </c>
      <c r="B5608" s="392" t="n">
        <v>12889</v>
      </c>
      <c r="C5608" s="392" t="n">
        <v>89</v>
      </c>
      <c r="D5608" s="392" t="n"/>
      <c r="E5608" s="392" t="n"/>
      <c r="F5608" s="392" t="n"/>
      <c r="G5608" s="392" t="n">
        <v>20</v>
      </c>
      <c r="H5608" s="446">
        <f>H5607-G5608</f>
        <v/>
      </c>
      <c r="I5608" s="392" t="n"/>
      <c r="J5608" s="392" t="n"/>
      <c r="K5608" s="392" t="n"/>
      <c r="L5608" s="392" t="n"/>
      <c r="M5608" s="392" t="n"/>
    </row>
    <row r="5609">
      <c r="A5609" s="568" t="n">
        <v>46280</v>
      </c>
      <c r="B5609" s="392" t="n">
        <v>12890</v>
      </c>
      <c r="C5609" s="392" t="n">
        <v>90</v>
      </c>
      <c r="D5609" s="392" t="n"/>
      <c r="E5609" s="392" t="n"/>
      <c r="F5609" s="392" t="n"/>
      <c r="G5609" s="392" t="n">
        <v>20</v>
      </c>
      <c r="H5609" s="446">
        <f>H5608-G5609</f>
        <v/>
      </c>
      <c r="I5609" s="392" t="n"/>
      <c r="J5609" s="392" t="n"/>
      <c r="K5609" s="392" t="n"/>
      <c r="L5609" s="392" t="n"/>
      <c r="M5609" s="392" t="n"/>
    </row>
    <row r="5610">
      <c r="A5610" s="568" t="n">
        <v>46280</v>
      </c>
      <c r="B5610" s="392" t="n">
        <v>12892</v>
      </c>
      <c r="C5610" s="392" t="n">
        <v>89</v>
      </c>
      <c r="D5610" s="392" t="n"/>
      <c r="E5610" s="392" t="n"/>
      <c r="F5610" s="392" t="n"/>
      <c r="G5610" s="392" t="n">
        <v>50</v>
      </c>
      <c r="H5610" s="446">
        <f>H5609-G5610</f>
        <v/>
      </c>
      <c r="I5610" s="392" t="n"/>
      <c r="J5610" s="392" t="n"/>
      <c r="K5610" s="392" t="n"/>
      <c r="L5610" s="392" t="n"/>
      <c r="M5610" s="392" t="n"/>
    </row>
    <row r="5611">
      <c r="A5611" s="568" t="n">
        <v>46280</v>
      </c>
      <c r="B5611" s="392" t="n">
        <v>12894</v>
      </c>
      <c r="C5611" s="392" t="n">
        <v>84</v>
      </c>
      <c r="D5611" s="392" t="n"/>
      <c r="E5611" s="392" t="n"/>
      <c r="F5611" s="392" t="n"/>
      <c r="G5611" s="392" t="n">
        <v>15</v>
      </c>
      <c r="H5611" s="446">
        <f>H5610-G5611</f>
        <v/>
      </c>
      <c r="I5611" s="392" t="n"/>
      <c r="J5611" s="392" t="n"/>
      <c r="K5611" s="392" t="n"/>
      <c r="L5611" s="392" t="n"/>
      <c r="M5611" s="392" t="n"/>
    </row>
    <row r="5612">
      <c r="A5612" s="568" t="n">
        <v>46280</v>
      </c>
      <c r="B5612" s="392" t="n">
        <v>12895</v>
      </c>
      <c r="C5612" s="392" t="n">
        <v>84</v>
      </c>
      <c r="D5612" s="392" t="n"/>
      <c r="E5612" s="392" t="n"/>
      <c r="F5612" s="392" t="n"/>
      <c r="G5612" s="392" t="n">
        <v>10</v>
      </c>
      <c r="H5612" s="446">
        <f>H5611-G5612</f>
        <v/>
      </c>
      <c r="I5612" s="392" t="n"/>
      <c r="J5612" s="392" t="n"/>
      <c r="K5612" s="392" t="n"/>
      <c r="L5612" s="392" t="n"/>
      <c r="M5612" s="392" t="n"/>
    </row>
    <row r="5613">
      <c r="A5613" s="568" t="n">
        <v>46280</v>
      </c>
      <c r="B5613" s="392" t="n">
        <v>12897</v>
      </c>
      <c r="C5613" s="392" t="n">
        <v>84</v>
      </c>
      <c r="D5613" s="392" t="n"/>
      <c r="E5613" s="392" t="n"/>
      <c r="F5613" s="392" t="n"/>
      <c r="G5613" s="392" t="n">
        <v>20</v>
      </c>
      <c r="H5613" s="446">
        <f>H5612-G5613</f>
        <v/>
      </c>
      <c r="I5613" s="392" t="n"/>
      <c r="J5613" s="392" t="n"/>
      <c r="K5613" s="392" t="n"/>
      <c r="L5613" s="392" t="n"/>
      <c r="M5613" s="392" t="n"/>
    </row>
    <row r="5614">
      <c r="A5614" s="568" t="n">
        <v>46281</v>
      </c>
      <c r="B5614" s="392" t="n">
        <v>12898</v>
      </c>
      <c r="C5614" s="392" t="n">
        <v>82</v>
      </c>
      <c r="D5614" s="392" t="n"/>
      <c r="E5614" s="392" t="n"/>
      <c r="F5614" s="392" t="n"/>
      <c r="G5614" s="392" t="n">
        <v>35</v>
      </c>
      <c r="H5614" s="446">
        <f>H5613-G5614</f>
        <v/>
      </c>
      <c r="I5614" s="392" t="n"/>
      <c r="J5614" s="392" t="n"/>
      <c r="K5614" s="392" t="n"/>
      <c r="L5614" s="392" t="n"/>
      <c r="M5614" s="392" t="n"/>
    </row>
    <row r="5615">
      <c r="A5615" s="568" t="n">
        <v>46286</v>
      </c>
      <c r="B5615" s="392" t="n">
        <v>12899</v>
      </c>
      <c r="C5615" s="392" t="n">
        <v>84</v>
      </c>
      <c r="D5615" s="392" t="n"/>
      <c r="E5615" s="392" t="n"/>
      <c r="F5615" s="392" t="n"/>
      <c r="G5615" s="392" t="n">
        <v>5</v>
      </c>
      <c r="H5615" s="446">
        <f>H5614-G5615</f>
        <v/>
      </c>
      <c r="I5615" s="392" t="n"/>
      <c r="J5615" s="392" t="n"/>
      <c r="K5615" s="392" t="n"/>
      <c r="L5615" s="392" t="n"/>
      <c r="M5615" s="392" t="n"/>
    </row>
    <row r="5616">
      <c r="A5616" s="568" t="n">
        <v>46286</v>
      </c>
      <c r="B5616" s="392" t="n">
        <v>12901</v>
      </c>
      <c r="C5616" s="392" t="n">
        <v>84</v>
      </c>
      <c r="D5616" s="392" t="n"/>
      <c r="E5616" s="392" t="n"/>
      <c r="F5616" s="392" t="n"/>
      <c r="G5616" s="392" t="n">
        <v>20</v>
      </c>
      <c r="H5616" s="446">
        <f>H5615-G5616</f>
        <v/>
      </c>
      <c r="I5616" s="392" t="n"/>
      <c r="J5616" s="392" t="n"/>
      <c r="K5616" s="392" t="n"/>
      <c r="L5616" s="392" t="n"/>
      <c r="M5616" s="392" t="n"/>
    </row>
    <row r="5617">
      <c r="A5617" s="568" t="n">
        <v>46286</v>
      </c>
      <c r="B5617" s="392" t="n">
        <v>12902</v>
      </c>
      <c r="C5617" s="392" t="n">
        <v>84</v>
      </c>
      <c r="D5617" s="392" t="n"/>
      <c r="E5617" s="392" t="n"/>
      <c r="F5617" s="392" t="n"/>
      <c r="G5617" s="392" t="n">
        <v>20</v>
      </c>
      <c r="H5617" s="446">
        <f>H5616-G5617</f>
        <v/>
      </c>
      <c r="I5617" s="392" t="n"/>
      <c r="J5617" s="392" t="n"/>
      <c r="K5617" s="392" t="n"/>
      <c r="L5617" s="392" t="n"/>
      <c r="M5617" s="392" t="n"/>
    </row>
    <row r="5618">
      <c r="A5618" s="568" t="n">
        <v>46286</v>
      </c>
      <c r="B5618" s="392" t="n">
        <v>12905</v>
      </c>
      <c r="C5618" s="392" t="n">
        <v>84</v>
      </c>
      <c r="D5618" s="392" t="n"/>
      <c r="E5618" s="392" t="n"/>
      <c r="F5618" s="392" t="n"/>
      <c r="G5618" s="392" t="n">
        <v>30</v>
      </c>
      <c r="H5618" s="446">
        <f>H5617-G5618</f>
        <v/>
      </c>
      <c r="I5618" s="392" t="n"/>
      <c r="J5618" s="392" t="n"/>
      <c r="K5618" s="392" t="n"/>
      <c r="L5618" s="392" t="n"/>
      <c r="M5618" s="392" t="n"/>
    </row>
    <row r="5619">
      <c r="A5619" s="568" t="n">
        <v>46288</v>
      </c>
      <c r="B5619" s="392" t="n">
        <v>12908</v>
      </c>
      <c r="C5619" s="392" t="n">
        <v>84</v>
      </c>
      <c r="D5619" s="392" t="n"/>
      <c r="E5619" s="392" t="n"/>
      <c r="F5619" s="392" t="n"/>
      <c r="G5619" s="392" t="n">
        <v>60</v>
      </c>
      <c r="H5619" s="446">
        <f>H5618-G5619</f>
        <v/>
      </c>
      <c r="I5619" s="392" t="n"/>
      <c r="J5619" s="392" t="n"/>
      <c r="K5619" s="392" t="n"/>
      <c r="L5619" s="392" t="n"/>
      <c r="M5619" s="392" t="n"/>
    </row>
    <row r="5620">
      <c r="A5620" s="568" t="n">
        <v>46288</v>
      </c>
      <c r="B5620" s="392" t="n">
        <v>12909</v>
      </c>
      <c r="C5620" s="392" t="n">
        <v>89</v>
      </c>
      <c r="D5620" s="392" t="n"/>
      <c r="E5620" s="392" t="n"/>
      <c r="F5620" s="392" t="n"/>
      <c r="G5620" s="392" t="n">
        <v>50</v>
      </c>
      <c r="H5620" s="446">
        <f>H5619-G5620</f>
        <v/>
      </c>
      <c r="I5620" s="392" t="n"/>
      <c r="J5620" s="392" t="n"/>
      <c r="K5620" s="392" t="n"/>
      <c r="L5620" s="392" t="n"/>
      <c r="M5620" s="392" t="n"/>
    </row>
    <row r="5621">
      <c r="A5621" s="568" t="n">
        <v>46288</v>
      </c>
      <c r="B5621" s="392" t="n">
        <v>12910</v>
      </c>
      <c r="C5621" s="392" t="n">
        <v>89</v>
      </c>
      <c r="D5621" s="392" t="n"/>
      <c r="E5621" s="392" t="n"/>
      <c r="F5621" s="392" t="n"/>
      <c r="G5621" s="392" t="n">
        <v>70</v>
      </c>
      <c r="H5621" s="446">
        <f>H5620-G5621</f>
        <v/>
      </c>
      <c r="I5621" s="392" t="n"/>
      <c r="J5621" s="392" t="n"/>
      <c r="K5621" s="392" t="n"/>
      <c r="L5621" s="392" t="n"/>
      <c r="M5621" s="392" t="n"/>
    </row>
    <row r="5622">
      <c r="A5622" s="568" t="n">
        <v>46288</v>
      </c>
      <c r="B5622" s="392" t="n">
        <v>12911</v>
      </c>
      <c r="C5622" s="392" t="n">
        <v>90</v>
      </c>
      <c r="D5622" s="392" t="n"/>
      <c r="E5622" s="392" t="n"/>
      <c r="F5622" s="392" t="n"/>
      <c r="G5622" s="392" t="n">
        <v>20</v>
      </c>
      <c r="H5622" s="446">
        <f>H5621-G5622</f>
        <v/>
      </c>
      <c r="I5622" s="392" t="n"/>
      <c r="J5622" s="392" t="n"/>
      <c r="K5622" s="392" t="n"/>
      <c r="L5622" s="392" t="n"/>
      <c r="M5622" s="392" t="n"/>
    </row>
    <row r="5623">
      <c r="A5623" s="568" t="n">
        <v>46288</v>
      </c>
      <c r="B5623" s="392" t="n">
        <v>12912</v>
      </c>
      <c r="C5623" s="392" t="n">
        <v>90</v>
      </c>
      <c r="D5623" s="392" t="n"/>
      <c r="E5623" s="392" t="n"/>
      <c r="F5623" s="392" t="n"/>
      <c r="G5623" s="392" t="n">
        <v>50</v>
      </c>
      <c r="H5623" s="446">
        <f>H5622-G5623</f>
        <v/>
      </c>
      <c r="I5623" s="392" t="n"/>
      <c r="J5623" s="392" t="n"/>
      <c r="K5623" s="392" t="n"/>
      <c r="L5623" s="392" t="n"/>
      <c r="M5623" s="392" t="n"/>
    </row>
    <row r="5624">
      <c r="A5624" s="568" t="n">
        <v>46288</v>
      </c>
      <c r="B5624" s="392" t="n">
        <v>12913</v>
      </c>
      <c r="C5624" s="392" t="n">
        <v>89</v>
      </c>
      <c r="D5624" s="392" t="n"/>
      <c r="E5624" s="392" t="n"/>
      <c r="F5624" s="392" t="n"/>
      <c r="G5624" s="392" t="n">
        <v>20</v>
      </c>
      <c r="H5624" s="446">
        <f>H5623-G5624</f>
        <v/>
      </c>
      <c r="I5624" s="392" t="n"/>
      <c r="J5624" s="392" t="n"/>
      <c r="K5624" s="392" t="n"/>
      <c r="L5624" s="392" t="n"/>
      <c r="M5624" s="392" t="n"/>
    </row>
    <row r="5625">
      <c r="A5625" s="568" t="n">
        <v>46293</v>
      </c>
      <c r="B5625" s="392" t="n">
        <v>12915</v>
      </c>
      <c r="C5625" s="392" t="n">
        <v>82</v>
      </c>
      <c r="D5625" s="392" t="n"/>
      <c r="E5625" s="392" t="n"/>
      <c r="F5625" s="392" t="n"/>
      <c r="G5625" s="392" t="n">
        <v>50</v>
      </c>
      <c r="H5625" s="446">
        <f>H5624-G5625</f>
        <v/>
      </c>
      <c r="I5625" s="392" t="n"/>
      <c r="J5625" s="392" t="n"/>
      <c r="K5625" s="392" t="n"/>
      <c r="L5625" s="392" t="n"/>
      <c r="M5625" s="392" t="n"/>
    </row>
    <row r="5626">
      <c r="A5626" s="568" t="n">
        <v>46293</v>
      </c>
      <c r="B5626" s="392" t="n">
        <v>12916</v>
      </c>
      <c r="C5626" s="392" t="n">
        <v>84</v>
      </c>
      <c r="D5626" s="392" t="n"/>
      <c r="E5626" s="392" t="n"/>
      <c r="F5626" s="392" t="n"/>
      <c r="G5626" s="392" t="n">
        <v>20</v>
      </c>
      <c r="H5626" s="446">
        <f>H5625-G5626</f>
        <v/>
      </c>
      <c r="I5626" s="392" t="n"/>
      <c r="J5626" s="392" t="n"/>
      <c r="K5626" s="392" t="n"/>
      <c r="L5626" s="392" t="n"/>
      <c r="M5626" s="392" t="n"/>
    </row>
    <row r="5627">
      <c r="A5627" s="568" t="n">
        <v>46293</v>
      </c>
      <c r="B5627" s="392" t="n">
        <v>12917</v>
      </c>
      <c r="C5627" s="392" t="n">
        <v>89</v>
      </c>
      <c r="D5627" s="392" t="n"/>
      <c r="E5627" s="392" t="n"/>
      <c r="F5627" s="392" t="n"/>
      <c r="G5627" s="392" t="n">
        <v>20</v>
      </c>
      <c r="H5627" s="446">
        <f>H5626-G5627</f>
        <v/>
      </c>
      <c r="I5627" s="392" t="n"/>
      <c r="J5627" s="392" t="n"/>
      <c r="K5627" s="392" t="n"/>
      <c r="L5627" s="392" t="n"/>
      <c r="M5627" s="392" t="n"/>
    </row>
    <row r="5628">
      <c r="A5628" s="568" t="n">
        <v>46293</v>
      </c>
      <c r="B5628" s="392" t="n">
        <v>12922</v>
      </c>
      <c r="C5628" s="392" t="n">
        <v>84</v>
      </c>
      <c r="D5628" s="392" t="n"/>
      <c r="E5628" s="392" t="n"/>
      <c r="F5628" s="392" t="n"/>
      <c r="G5628" s="392" t="n">
        <v>10</v>
      </c>
      <c r="H5628" s="446">
        <f>H5627-G5628</f>
        <v/>
      </c>
      <c r="I5628" s="392" t="n"/>
      <c r="J5628" s="392" t="n"/>
      <c r="K5628" s="392" t="n"/>
      <c r="L5628" s="392" t="n"/>
      <c r="M5628" s="392" t="n"/>
    </row>
    <row r="5629">
      <c r="A5629" s="741" t="n">
        <v>46294</v>
      </c>
      <c r="B5629" s="742" t="n">
        <v>12930</v>
      </c>
      <c r="C5629" s="742" t="n">
        <v>85</v>
      </c>
      <c r="D5629" s="742" t="n"/>
      <c r="E5629" s="742" t="n"/>
      <c r="F5629" s="742" t="n"/>
      <c r="G5629" s="742" t="n">
        <v>20</v>
      </c>
      <c r="H5629" s="743">
        <f>H5628-G5629</f>
        <v/>
      </c>
      <c r="I5629" s="392" t="n"/>
      <c r="J5629" s="392" t="n"/>
      <c r="K5629" s="392" t="n"/>
      <c r="L5629" s="392" t="n"/>
      <c r="M5629" s="392" t="n"/>
    </row>
    <row r="5630">
      <c r="A5630" s="741" t="n">
        <v>46295</v>
      </c>
      <c r="B5630" s="742" t="n">
        <v>12931</v>
      </c>
      <c r="C5630" s="742" t="n">
        <v>88</v>
      </c>
      <c r="D5630" s="742" t="n"/>
      <c r="E5630" s="742" t="n"/>
      <c r="F5630" s="742" t="n"/>
      <c r="G5630" s="742" t="n">
        <v>15</v>
      </c>
      <c r="H5630" s="743">
        <f>H5629-G5630</f>
        <v/>
      </c>
      <c r="I5630" s="392" t="n"/>
      <c r="J5630" s="392" t="n"/>
      <c r="K5630" s="392" t="n"/>
      <c r="L5630" s="392" t="n"/>
      <c r="M5630" s="392" t="n"/>
    </row>
    <row r="5631">
      <c r="A5631" s="392" t="n"/>
      <c r="B5631" s="392" t="n"/>
      <c r="C5631" s="392" t="n"/>
      <c r="D5631" s="392" t="n"/>
      <c r="E5631" s="392" t="n"/>
      <c r="F5631" s="392" t="n"/>
      <c r="G5631" s="392" t="n"/>
      <c r="H5631" s="446">
        <f>H5630-G5631</f>
        <v/>
      </c>
      <c r="I5631" s="392" t="n"/>
      <c r="J5631" s="392" t="n"/>
      <c r="K5631" s="392" t="n"/>
      <c r="L5631" s="392" t="n"/>
      <c r="M5631" s="392" t="n"/>
    </row>
    <row r="5632">
      <c r="A5632" s="392" t="n"/>
      <c r="B5632" s="392" t="n"/>
      <c r="C5632" s="392" t="n"/>
      <c r="D5632" s="392" t="n"/>
      <c r="E5632" s="392" t="n"/>
      <c r="F5632" s="392" t="n"/>
      <c r="G5632" s="392" t="n"/>
      <c r="H5632" s="446">
        <f>H5631-G5632</f>
        <v/>
      </c>
      <c r="I5632" s="392" t="n"/>
      <c r="J5632" s="392" t="n"/>
      <c r="K5632" s="392" t="n"/>
      <c r="L5632" s="392" t="n"/>
      <c r="M5632" s="392" t="n"/>
    </row>
    <row r="5633">
      <c r="A5633" s="392" t="n"/>
      <c r="B5633" s="392" t="n"/>
      <c r="C5633" s="392" t="n"/>
      <c r="D5633" s="392" t="n"/>
      <c r="E5633" s="392" t="n"/>
      <c r="F5633" s="392" t="n"/>
      <c r="G5633" s="392" t="n"/>
      <c r="H5633" s="446">
        <f>H5632-G5633</f>
        <v/>
      </c>
      <c r="I5633" s="392" t="n"/>
      <c r="J5633" s="392" t="n"/>
      <c r="K5633" s="392" t="n"/>
      <c r="L5633" s="392" t="n"/>
      <c r="M5633" s="392" t="n"/>
    </row>
    <row r="5634">
      <c r="A5634" s="392" t="n"/>
      <c r="B5634" s="392" t="n"/>
      <c r="C5634" s="392" t="n"/>
      <c r="D5634" s="392" t="n"/>
      <c r="E5634" s="392" t="n"/>
      <c r="F5634" s="392" t="n"/>
      <c r="G5634" s="392" t="n"/>
      <c r="H5634" s="446">
        <f>H5633-G5634</f>
        <v/>
      </c>
      <c r="I5634" s="392" t="n"/>
      <c r="J5634" s="392" t="n"/>
      <c r="K5634" s="392" t="n"/>
      <c r="L5634" s="392" t="n"/>
      <c r="M5634" s="392" t="n"/>
    </row>
    <row r="5635">
      <c r="A5635" s="392" t="n"/>
      <c r="B5635" s="392" t="n"/>
      <c r="C5635" s="392" t="n"/>
      <c r="D5635" s="392" t="n"/>
      <c r="E5635" s="392" t="n"/>
      <c r="F5635" s="392" t="n"/>
      <c r="G5635" s="392" t="n"/>
      <c r="H5635" s="446">
        <f>H5634-G5635</f>
        <v/>
      </c>
      <c r="I5635" s="392" t="n"/>
      <c r="J5635" s="392" t="n"/>
      <c r="K5635" s="392" t="n"/>
      <c r="L5635" s="392" t="n"/>
      <c r="M5635" s="392" t="n"/>
    </row>
    <row r="5636">
      <c r="A5636" s="392" t="n"/>
      <c r="B5636" s="392" t="n"/>
      <c r="C5636" s="392" t="n"/>
      <c r="D5636" s="392" t="n"/>
      <c r="E5636" s="392" t="n"/>
      <c r="F5636" s="392" t="n"/>
      <c r="G5636" s="392" t="n"/>
      <c r="H5636" s="446">
        <f>H5635-G5636</f>
        <v/>
      </c>
      <c r="I5636" s="392" t="n"/>
      <c r="J5636" s="392" t="n"/>
      <c r="K5636" s="392" t="n"/>
      <c r="L5636" s="392" t="n"/>
      <c r="M5636" s="392" t="n"/>
    </row>
    <row r="5637">
      <c r="A5637" s="392" t="n"/>
      <c r="B5637" s="392" t="n"/>
      <c r="C5637" s="392" t="n"/>
      <c r="D5637" s="392" t="n"/>
      <c r="E5637" s="392" t="n"/>
      <c r="F5637" s="392" t="n"/>
      <c r="G5637" s="392" t="n"/>
      <c r="H5637" s="446">
        <f>H5636-G5637</f>
        <v/>
      </c>
      <c r="I5637" s="392" t="n"/>
      <c r="J5637" s="392" t="n"/>
      <c r="K5637" s="392" t="n"/>
      <c r="L5637" s="392" t="n"/>
      <c r="M5637" s="392" t="n"/>
    </row>
    <row r="5638">
      <c r="A5638" s="392" t="n"/>
      <c r="B5638" s="392" t="n"/>
      <c r="C5638" s="392" t="n"/>
      <c r="D5638" s="392" t="n"/>
      <c r="E5638" s="392" t="n"/>
      <c r="F5638" s="392" t="n"/>
      <c r="G5638" s="392" t="n"/>
      <c r="H5638" s="446">
        <f>H5637-G5638</f>
        <v/>
      </c>
      <c r="I5638" s="392" t="n"/>
      <c r="J5638" s="392" t="n"/>
      <c r="K5638" s="392" t="n"/>
      <c r="L5638" s="392" t="n"/>
      <c r="M5638" s="392" t="n"/>
    </row>
  </sheetData>
  <mergeCells count="1501">
    <mergeCell ref="C1453:C1456"/>
    <mergeCell ref="A2452:A2455"/>
    <mergeCell ref="M1806:M1808"/>
    <mergeCell ref="G1352:G1353"/>
    <mergeCell ref="F5473:F5474"/>
    <mergeCell ref="M4987:M4989"/>
    <mergeCell ref="A5160:M5160"/>
    <mergeCell ref="F3958:H3959"/>
    <mergeCell ref="I58:I59"/>
    <mergeCell ref="A2341:M2341"/>
    <mergeCell ref="B4201:B4204"/>
    <mergeCell ref="D1746:E1748"/>
    <mergeCell ref="A5161:M5161"/>
    <mergeCell ref="C3297:C3300"/>
    <mergeCell ref="A4892:M4892"/>
    <mergeCell ref="M5432:M5434"/>
    <mergeCell ref="M3193:M3195"/>
    <mergeCell ref="J1707:K1707"/>
    <mergeCell ref="C1049:C1052"/>
    <mergeCell ref="A3394:M3394"/>
    <mergeCell ref="C4:C7"/>
    <mergeCell ref="A4760:M4760"/>
    <mergeCell ref="J2761:K2761"/>
    <mergeCell ref="A2212:M2212"/>
    <mergeCell ref="D154:E156"/>
    <mergeCell ref="D5162:E5164"/>
    <mergeCell ref="F5036:F5037"/>
    <mergeCell ref="C1705:C1708"/>
    <mergeCell ref="B1399:B1402"/>
    <mergeCell ref="C3193:C3196"/>
    <mergeCell ref="A5385:M5385"/>
    <mergeCell ref="F3856:F3857"/>
    <mergeCell ref="F5247:F5248"/>
    <mergeCell ref="F3699:H3700"/>
    <mergeCell ref="B1453:B1456"/>
    <mergeCell ref="I1184:I1185"/>
    <mergeCell ref="A4200:M4200"/>
    <mergeCell ref="A4498:M4498"/>
    <mergeCell ref="G4396:G4397"/>
    <mergeCell ref="F3396:H3397"/>
    <mergeCell ref="F2515:F2516"/>
    <mergeCell ref="A3147:A3150"/>
    <mergeCell ref="I729:I730"/>
    <mergeCell ref="B4601:B4604"/>
    <mergeCell ref="M1746:M1748"/>
    <mergeCell ref="I5432:I5433"/>
    <mergeCell ref="I3910:I3911"/>
    <mergeCell ref="D2452:E2454"/>
    <mergeCell ref="A4201:A4204"/>
    <mergeCell ref="F5389:F5390"/>
    <mergeCell ref="F572:H573"/>
    <mergeCell ref="J5576:K5576"/>
    <mergeCell ref="B88:B91"/>
    <mergeCell ref="C4722:C4725"/>
    <mergeCell ref="G5350:G5351"/>
    <mergeCell ref="A5289:A5292"/>
    <mergeCell ref="A2101:M2101"/>
    <mergeCell ref="J3147:L3148"/>
    <mergeCell ref="A1551:M1551"/>
    <mergeCell ref="J4989:K4989"/>
    <mergeCell ref="J4201:L4202"/>
    <mergeCell ref="I5574:I5575"/>
    <mergeCell ref="J4636:L4637"/>
    <mergeCell ref="B4357:B4360"/>
    <mergeCell ref="F3912:F3913"/>
    <mergeCell ref="D983:E985"/>
    <mergeCell ref="I3658:I3659"/>
    <mergeCell ref="A4677:A4680"/>
    <mergeCell ref="M729:M731"/>
    <mergeCell ref="C1806:C1809"/>
    <mergeCell ref="A2154:M2154"/>
    <mergeCell ref="C5075:C5078"/>
    <mergeCell ref="F2276:H2277"/>
    <mergeCell ref="A2881:M2881"/>
    <mergeCell ref="I1554:I1555"/>
    <mergeCell ref="M3910:M3912"/>
    <mergeCell ref="A1998:M1998"/>
    <mergeCell ref="A1399:A1402"/>
    <mergeCell ref="A3486:M3486"/>
    <mergeCell ref="B3193:B3196"/>
    <mergeCell ref="M1182:M1184"/>
    <mergeCell ref="A3697:M3697"/>
    <mergeCell ref="G4679:G4680"/>
    <mergeCell ref="G1493:G1494"/>
    <mergeCell ref="F1552:H1553"/>
    <mergeCell ref="C860:C863"/>
    <mergeCell ref="J620:L621"/>
    <mergeCell ref="D4636:E4638"/>
    <mergeCell ref="F4396:F4397"/>
    <mergeCell ref="J1401:K1401"/>
    <mergeCell ref="G2577:G2578"/>
    <mergeCell ref="A5245:A5248"/>
    <mergeCell ref="C5432:C5435"/>
    <mergeCell ref="B154:B157"/>
    <mergeCell ref="I527:I528"/>
    <mergeCell ref="F2638:H2639"/>
    <mergeCell ref="F2936:H2937"/>
    <mergeCell ref="A2513:A2516"/>
    <mergeCell ref="A88:A91"/>
    <mergeCell ref="A4077:M4077"/>
    <mergeCell ref="I4450:I4451"/>
    <mergeCell ref="I2936:I2937"/>
    <mergeCell ref="J5245:L5246"/>
    <mergeCell ref="D419:E421"/>
    <mergeCell ref="A56:A59"/>
    <mergeCell ref="A5387:A5390"/>
    <mergeCell ref="A4601:A4604"/>
    <mergeCell ref="A4357:A4360"/>
    <mergeCell ref="F3752:H3753"/>
    <mergeCell ref="M1399:M1401"/>
    <mergeCell ref="F2991:H2992"/>
    <mergeCell ref="A619:M619"/>
    <mergeCell ref="J1453:L1454"/>
    <mergeCell ref="I3452:I3453"/>
    <mergeCell ref="J56:L57"/>
    <mergeCell ref="I4812:I4813"/>
    <mergeCell ref="J5389:K5389"/>
    <mergeCell ref="J5387:L5388"/>
    <mergeCell ref="J4601:L4602"/>
    <mergeCell ref="I3752:I3753"/>
    <mergeCell ref="I2991:I2992"/>
    <mergeCell ref="F4679:F4680"/>
    <mergeCell ref="F250:H251"/>
    <mergeCell ref="J4357:L4358"/>
    <mergeCell ref="F1493:F1494"/>
    <mergeCell ref="M2513:M2515"/>
    <mergeCell ref="A2450:M2450"/>
    <mergeCell ref="A154:A157"/>
    <mergeCell ref="D2276:E2278"/>
    <mergeCell ref="J1493:K1493"/>
    <mergeCell ref="I250:I251"/>
    <mergeCell ref="A3342:A3345"/>
    <mergeCell ref="J3912:K3912"/>
    <mergeCell ref="M113:M115"/>
    <mergeCell ref="M4026:M4028"/>
    <mergeCell ref="G3701:G3702"/>
    <mergeCell ref="B5523:B5526"/>
    <mergeCell ref="I5164:I5165"/>
    <mergeCell ref="D791:E793"/>
    <mergeCell ref="C729:C732"/>
    <mergeCell ref="F5121:F5122"/>
    <mergeCell ref="G421:G422"/>
    <mergeCell ref="D4304:E4306"/>
    <mergeCell ref="A1804:M1804"/>
    <mergeCell ref="C3699:C3702"/>
    <mergeCell ref="G1605:G1606"/>
    <mergeCell ref="G5247:G5248"/>
    <mergeCell ref="M2991:M2993"/>
    <mergeCell ref="A53:M53"/>
    <mergeCell ref="F930:H931"/>
    <mergeCell ref="J3754:K3754"/>
    <mergeCell ref="F3450:H3451"/>
    <mergeCell ref="A1871:A1874"/>
    <mergeCell ref="A47:L47"/>
    <mergeCell ref="A676:M676"/>
    <mergeCell ref="G574:G575"/>
    <mergeCell ref="B4394:B4397"/>
    <mergeCell ref="C4601:C4604"/>
    <mergeCell ref="D5387:E5389"/>
    <mergeCell ref="A5521:M5521"/>
    <mergeCell ref="C3752:C3755"/>
    <mergeCell ref="M467:M469"/>
    <mergeCell ref="F4115:F4116"/>
    <mergeCell ref="C572:C575"/>
    <mergeCell ref="F351:H352"/>
    <mergeCell ref="C5574:C5577"/>
    <mergeCell ref="A525:A528"/>
    <mergeCell ref="G932:G933"/>
    <mergeCell ref="B3807:B3810"/>
    <mergeCell ref="G3344:G3345"/>
    <mergeCell ref="A1124:A1127"/>
    <mergeCell ref="D3193:E3195"/>
    <mergeCell ref="I2050:I2051"/>
    <mergeCell ref="F4764:F4765"/>
    <mergeCell ref="I862:I863"/>
    <mergeCell ref="J3656:L3657"/>
    <mergeCell ref="A5523:A5526"/>
    <mergeCell ref="A4635:M4635"/>
    <mergeCell ref="D4:E6"/>
    <mergeCell ref="M4762:M4764"/>
    <mergeCell ref="A3909:M3909"/>
    <mergeCell ref="A1451:M1451"/>
    <mergeCell ref="J90:K90"/>
    <mergeCell ref="F421:F422"/>
    <mergeCell ref="F1605:F1606"/>
    <mergeCell ref="A3448:M3448"/>
    <mergeCell ref="J1124:L1125"/>
    <mergeCell ref="F574:F575"/>
    <mergeCell ref="J421:K421"/>
    <mergeCell ref="D5034:E5036"/>
    <mergeCell ref="M3596:M3598"/>
    <mergeCell ref="B5245:B5248"/>
    <mergeCell ref="A4394:A4397"/>
    <mergeCell ref="B1603:B1606"/>
    <mergeCell ref="C2759:C2762"/>
    <mergeCell ref="F4201:H4202"/>
    <mergeCell ref="I5576:I5577"/>
    <mergeCell ref="B3752:B3755"/>
    <mergeCell ref="C1297:C1300"/>
    <mergeCell ref="J1808:K1808"/>
    <mergeCell ref="J5119:L5120"/>
    <mergeCell ref="J2694:L2695"/>
    <mergeCell ref="I4201:I4202"/>
    <mergeCell ref="J4394:L4395"/>
    <mergeCell ref="A4113:A4116"/>
    <mergeCell ref="A3546:M3546"/>
    <mergeCell ref="B294:B297"/>
    <mergeCell ref="A620:A623"/>
    <mergeCell ref="J5164:K5164"/>
    <mergeCell ref="D860:E862"/>
    <mergeCell ref="G469:G470"/>
    <mergeCell ref="B4078:B4081"/>
    <mergeCell ref="A3243:M3243"/>
    <mergeCell ref="I4893:I4894"/>
    <mergeCell ref="F793:F794"/>
    <mergeCell ref="F1399:H1400"/>
    <mergeCell ref="J4113:L4114"/>
    <mergeCell ref="D5075:E5077"/>
    <mergeCell ref="J1554:K1554"/>
    <mergeCell ref="A54:M54"/>
    <mergeCell ref="C4987:C4990"/>
    <mergeCell ref="I1399:I1400"/>
    <mergeCell ref="A1603:A1606"/>
    <mergeCell ref="I2819:I2820"/>
    <mergeCell ref="J4764:K4764"/>
    <mergeCell ref="A3093:A3096"/>
    <mergeCell ref="F88:H89"/>
    <mergeCell ref="B3488:B3491"/>
    <mergeCell ref="D5574:E5576"/>
    <mergeCell ref="I5245:I5246"/>
    <mergeCell ref="I4161:I4162"/>
    <mergeCell ref="C2396:C2399"/>
    <mergeCell ref="F4450:F4451"/>
    <mergeCell ref="A3752:A3755"/>
    <mergeCell ref="I5247:I5248"/>
    <mergeCell ref="F5387:H5388"/>
    <mergeCell ref="F4601:H4602"/>
    <mergeCell ref="I2513:I2514"/>
    <mergeCell ref="I88:I89"/>
    <mergeCell ref="F4357:H4358"/>
    <mergeCell ref="J3093:L3094"/>
    <mergeCell ref="D4201:E4203"/>
    <mergeCell ref="A2100:M2100"/>
    <mergeCell ref="I90:I91"/>
    <mergeCell ref="F4203:F4204"/>
    <mergeCell ref="A4499:M4499"/>
    <mergeCell ref="A4810:A4813"/>
    <mergeCell ref="I3147:I3148"/>
    <mergeCell ref="A4675:M4675"/>
    <mergeCell ref="D5471:E5473"/>
    <mergeCell ref="D4113:E4115"/>
    <mergeCell ref="D1655:E1657"/>
    <mergeCell ref="A4078:A4081"/>
    <mergeCell ref="M4893:M4895"/>
    <mergeCell ref="M4159:M4161"/>
    <mergeCell ref="G5525:G5526"/>
    <mergeCell ref="M5245:M5247"/>
    <mergeCell ref="A1181:M1181"/>
    <mergeCell ref="J932:K932"/>
    <mergeCell ref="A3193:A3196"/>
    <mergeCell ref="F2104:F2105"/>
    <mergeCell ref="A5430:M5430"/>
    <mergeCell ref="D2638:E2640"/>
    <mergeCell ref="J3752:L3753"/>
    <mergeCell ref="M2819:M2821"/>
    <mergeCell ref="F3490:F3491"/>
    <mergeCell ref="A4302:M4302"/>
    <mergeCell ref="A4600:M4600"/>
    <mergeCell ref="J4548:K4548"/>
    <mergeCell ref="A86:M86"/>
    <mergeCell ref="A3488:A3491"/>
    <mergeCell ref="A2758:M2758"/>
    <mergeCell ref="A1997:M1997"/>
    <mergeCell ref="B2396:B2399"/>
    <mergeCell ref="I2158:I2159"/>
    <mergeCell ref="A1705:A1708"/>
    <mergeCell ref="I1126:I1127"/>
    <mergeCell ref="I3342:I3343"/>
    <mergeCell ref="J3490:K3490"/>
    <mergeCell ref="A3654:M3654"/>
    <mergeCell ref="C88:C91"/>
    <mergeCell ref="A5034:A5037"/>
    <mergeCell ref="D3752:E3754"/>
    <mergeCell ref="A4448:A4451"/>
    <mergeCell ref="C3147:C3150"/>
    <mergeCell ref="D572:E574"/>
    <mergeCell ref="C3910:C3913"/>
    <mergeCell ref="D3297:E3299"/>
    <mergeCell ref="I1871:I1872"/>
    <mergeCell ref="G1808:G1809"/>
    <mergeCell ref="I1873:I1874"/>
    <mergeCell ref="A5073:M5073"/>
    <mergeCell ref="D294:E296"/>
    <mergeCell ref="F3656:H3657"/>
    <mergeCell ref="J4448:L4449"/>
    <mergeCell ref="I2515:I2516"/>
    <mergeCell ref="D4078:E4080"/>
    <mergeCell ref="I5387:I5388"/>
    <mergeCell ref="F1124:H1125"/>
    <mergeCell ref="M3396:M3398"/>
    <mergeCell ref="F5523:H5524"/>
    <mergeCell ref="G1707:G1708"/>
    <mergeCell ref="A1806:A1809"/>
    <mergeCell ref="B3854:B3857"/>
    <mergeCell ref="I4679:I4680"/>
    <mergeCell ref="G4306:G4307"/>
    <mergeCell ref="I2882:I2883"/>
    <mergeCell ref="B2936:B2939"/>
    <mergeCell ref="M1297:M1299"/>
    <mergeCell ref="F5119:H5120"/>
    <mergeCell ref="A1653:M1653"/>
    <mergeCell ref="I2884:I2885"/>
    <mergeCell ref="J1946:L1947"/>
    <mergeCell ref="F4394:H4395"/>
    <mergeCell ref="G2821:G2822"/>
    <mergeCell ref="A1654:M1654"/>
    <mergeCell ref="F1352:F1353"/>
    <mergeCell ref="D4448:E4450"/>
    <mergeCell ref="C2513:C2516"/>
    <mergeCell ref="F1808:F1809"/>
    <mergeCell ref="G5389:G5390"/>
    <mergeCell ref="I4394:I4395"/>
    <mergeCell ref="M1350:M1352"/>
    <mergeCell ref="F4113:H4114"/>
    <mergeCell ref="B3297:B3300"/>
    <mergeCell ref="G2104:G2105"/>
    <mergeCell ref="D677:E679"/>
    <mergeCell ref="I5471:I5472"/>
    <mergeCell ref="I4113:I4114"/>
    <mergeCell ref="B467:B470"/>
    <mergeCell ref="C2991:C2994"/>
    <mergeCell ref="F1554:F1555"/>
    <mergeCell ref="G731:G732"/>
    <mergeCell ref="J252:K252"/>
    <mergeCell ref="D1491:E1493"/>
    <mergeCell ref="J3398:K3398"/>
    <mergeCell ref="F1126:F1127"/>
    <mergeCell ref="J525:L526"/>
    <mergeCell ref="J4161:K4161"/>
    <mergeCell ref="C154:C157"/>
    <mergeCell ref="A2102:A2105"/>
    <mergeCell ref="D2396:E2398"/>
    <mergeCell ref="J3856:K3856"/>
    <mergeCell ref="J3854:L3855"/>
    <mergeCell ref="I4764:I4765"/>
    <mergeCell ref="F3093:H3094"/>
    <mergeCell ref="F1455:F1456"/>
    <mergeCell ref="B235:L235"/>
    <mergeCell ref="B3547:B3550"/>
    <mergeCell ref="G58:G59"/>
    <mergeCell ref="J2515:K2515"/>
    <mergeCell ref="B2513:B2516"/>
    <mergeCell ref="I1182:I1183"/>
    <mergeCell ref="I421:I422"/>
    <mergeCell ref="G3246:G3247"/>
    <mergeCell ref="J1455:K1455"/>
    <mergeCell ref="I1605:I1606"/>
    <mergeCell ref="B4722:B4725"/>
    <mergeCell ref="I3093:I3094"/>
    <mergeCell ref="J2102:L2103"/>
    <mergeCell ref="D4394:E4396"/>
    <mergeCell ref="C1871:C1874"/>
    <mergeCell ref="A3297:A3300"/>
    <mergeCell ref="B419:B422"/>
    <mergeCell ref="J4812:K4812"/>
    <mergeCell ref="C5471:C5474"/>
    <mergeCell ref="C4762:C4765"/>
    <mergeCell ref="F4078:H4079"/>
    <mergeCell ref="J729:L730"/>
    <mergeCell ref="A467:A470"/>
    <mergeCell ref="J1352:K1352"/>
    <mergeCell ref="J88:L89"/>
    <mergeCell ref="D2048:E2050"/>
    <mergeCell ref="I4810:I4811"/>
    <mergeCell ref="J3297:L3298"/>
    <mergeCell ref="A4545:M4545"/>
    <mergeCell ref="B1806:B1809"/>
    <mergeCell ref="I932:I933"/>
    <mergeCell ref="D4159:E4161"/>
    <mergeCell ref="I5162:I5163"/>
    <mergeCell ref="I4078:I4079"/>
    <mergeCell ref="A4851:M4851"/>
    <mergeCell ref="B4677:B4680"/>
    <mergeCell ref="M3450:M3452"/>
    <mergeCell ref="J469:K469"/>
    <mergeCell ref="G4161:G4162"/>
    <mergeCell ref="A2451:M2451"/>
    <mergeCell ref="B4:B7"/>
    <mergeCell ref="A1550:M1550"/>
    <mergeCell ref="A2880:M2880"/>
    <mergeCell ref="A3852:M3852"/>
    <mergeCell ref="A3091:M3091"/>
    <mergeCell ref="F2577:F2578"/>
    <mergeCell ref="A1602:M1602"/>
    <mergeCell ref="D2819:E2821"/>
    <mergeCell ref="B1705:B1708"/>
    <mergeCell ref="C1182:C1185"/>
    <mergeCell ref="G1948:G1949"/>
    <mergeCell ref="J3193:L3194"/>
    <mergeCell ref="A3092:M3092"/>
    <mergeCell ref="I4306:I4307"/>
    <mergeCell ref="F3246:F3247"/>
    <mergeCell ref="G5434:G5435"/>
    <mergeCell ref="B5034:B5037"/>
    <mergeCell ref="A4722:A4725"/>
    <mergeCell ref="M4810:M4812"/>
    <mergeCell ref="A350:M350"/>
    <mergeCell ref="A982:M982"/>
    <mergeCell ref="F4448:H4449"/>
    <mergeCell ref="J1126:K1126"/>
    <mergeCell ref="J5350:K5350"/>
    <mergeCell ref="I252:I253"/>
    <mergeCell ref="J1399:L1400"/>
    <mergeCell ref="B4762:B4765"/>
    <mergeCell ref="I5034:I5035"/>
    <mergeCell ref="I4448:I4449"/>
    <mergeCell ref="F5350:F5351"/>
    <mergeCell ref="M5162:M5164"/>
    <mergeCell ref="C4113:C4116"/>
    <mergeCell ref="J2513:L2514"/>
    <mergeCell ref="G5200:G5201"/>
    <mergeCell ref="M1124:M1126"/>
    <mergeCell ref="A2818:M2818"/>
    <mergeCell ref="J4679:K4679"/>
    <mergeCell ref="C620:C623"/>
    <mergeCell ref="J1806:L1807"/>
    <mergeCell ref="B5075:B5078"/>
    <mergeCell ref="F1946:H1947"/>
    <mergeCell ref="D4893:E4895"/>
    <mergeCell ref="B525:B528"/>
    <mergeCell ref="B4159:B4162"/>
    <mergeCell ref="A3:M3"/>
    <mergeCell ref="G2345:G2346"/>
    <mergeCell ref="G3398:G3399"/>
    <mergeCell ref="M4448:M4450"/>
    <mergeCell ref="F5434:F5435"/>
    <mergeCell ref="A1552:A1555"/>
    <mergeCell ref="G2216:G2217"/>
    <mergeCell ref="J860:L861"/>
    <mergeCell ref="A791:A794"/>
    <mergeCell ref="C1399:C1402"/>
    <mergeCell ref="I1946:I1947"/>
    <mergeCell ref="B729:B732"/>
    <mergeCell ref="J1948:K1948"/>
    <mergeCell ref="I4548:I4549"/>
    <mergeCell ref="C2343:C2346"/>
    <mergeCell ref="J5434:K5434"/>
    <mergeCell ref="M2694:M2696"/>
    <mergeCell ref="B5432:B5435"/>
    <mergeCell ref="D3547:E3549"/>
    <mergeCell ref="C4159:C4162"/>
    <mergeCell ref="I3490:I3491"/>
    <mergeCell ref="G2398:G2399"/>
    <mergeCell ref="G2696:G2697"/>
    <mergeCell ref="C5245:C5248"/>
    <mergeCell ref="D4601:E4603"/>
    <mergeCell ref="J2882:L2883"/>
    <mergeCell ref="F5576:F5577"/>
    <mergeCell ref="B791:B794"/>
    <mergeCell ref="G115:G116"/>
    <mergeCell ref="J2938:K2938"/>
    <mergeCell ref="G3452:G3453"/>
    <mergeCell ref="F3049:F3050"/>
    <mergeCell ref="G4812:G4813"/>
    <mergeCell ref="J154:L155"/>
    <mergeCell ref="A1744:M1744"/>
    <mergeCell ref="B5574:B5577"/>
    <mergeCell ref="M3047:M3049"/>
    <mergeCell ref="M1946:M1948"/>
    <mergeCell ref="C4810:C4813"/>
    <mergeCell ref="F3344:F3345"/>
    <mergeCell ref="I1746:I1747"/>
    <mergeCell ref="A5346:M5346"/>
    <mergeCell ref="I985:I986"/>
    <mergeCell ref="F525:H526"/>
    <mergeCell ref="D4357:E4359"/>
    <mergeCell ref="F3854:H3855"/>
    <mergeCell ref="F983:H984"/>
    <mergeCell ref="I2048:I2049"/>
    <mergeCell ref="A3698:M3698"/>
    <mergeCell ref="F2345:F2346"/>
    <mergeCell ref="J5077:K5077"/>
    <mergeCell ref="A4303:M4303"/>
    <mergeCell ref="M1999:M2001"/>
    <mergeCell ref="I4203:I4204"/>
    <mergeCell ref="A5243:M5243"/>
    <mergeCell ref="J2345:K2345"/>
    <mergeCell ref="B2343:B2346"/>
    <mergeCell ref="F2102:H2103"/>
    <mergeCell ref="J2216:K2216"/>
    <mergeCell ref="A2819:A2822"/>
    <mergeCell ref="A293:M293"/>
    <mergeCell ref="A3595:M3595"/>
    <mergeCell ref="A111:M111"/>
    <mergeCell ref="A4024:M4024"/>
    <mergeCell ref="A5117:M5117"/>
    <mergeCell ref="F115:F116"/>
    <mergeCell ref="I2102:I2103"/>
    <mergeCell ref="D3342:E3344"/>
    <mergeCell ref="F729:H730"/>
    <mergeCell ref="G1299:G1300"/>
    <mergeCell ref="C5034:C5037"/>
    <mergeCell ref="A5574:A5577"/>
    <mergeCell ref="C3396:C3399"/>
    <mergeCell ref="F3297:H3298"/>
    <mergeCell ref="J115:K115"/>
    <mergeCell ref="B113:B116"/>
    <mergeCell ref="B1297:B1300"/>
    <mergeCell ref="A5470:M5470"/>
    <mergeCell ref="B4810:B4813"/>
    <mergeCell ref="F4502:F4503"/>
    <mergeCell ref="I1657:I1658"/>
    <mergeCell ref="D1871:E1873"/>
    <mergeCell ref="J3452:K3452"/>
    <mergeCell ref="A3956:M3956"/>
    <mergeCell ref="C2048:C2051"/>
    <mergeCell ref="J5574:L5575"/>
    <mergeCell ref="F932:F933"/>
    <mergeCell ref="A3807:A3810"/>
    <mergeCell ref="J3049:K3049"/>
    <mergeCell ref="M2102:M2104"/>
    <mergeCell ref="I353:I354"/>
    <mergeCell ref="D525:E527"/>
    <mergeCell ref="A2637:M2637"/>
    <mergeCell ref="F4855:F4856"/>
    <mergeCell ref="A3242:M3242"/>
    <mergeCell ref="J5200:K5200"/>
    <mergeCell ref="B4987:B4990"/>
    <mergeCell ref="F4548:F4549"/>
    <mergeCell ref="C1350:C1353"/>
    <mergeCell ref="M3488:M3490"/>
    <mergeCell ref="J3807:L3808"/>
    <mergeCell ref="J4078:L4079"/>
    <mergeCell ref="J5348:L5349"/>
    <mergeCell ref="I3398:I3399"/>
    <mergeCell ref="M56:M58"/>
    <mergeCell ref="I793:I794"/>
    <mergeCell ref="M4546:M4548"/>
    <mergeCell ref="F1453:H1454"/>
    <mergeCell ref="G4548:G4549"/>
    <mergeCell ref="F1299:F1300"/>
    <mergeCell ref="M3656:M3658"/>
    <mergeCell ref="G4855:G4856"/>
    <mergeCell ref="A5386:M5386"/>
    <mergeCell ref="B3396:B3399"/>
    <mergeCell ref="A113:A116"/>
    <mergeCell ref="A1297:A1300"/>
    <mergeCell ref="C3488:C3491"/>
    <mergeCell ref="I1453:I1454"/>
    <mergeCell ref="J58:K58"/>
    <mergeCell ref="J574:K574"/>
    <mergeCell ref="A4932:A4935"/>
    <mergeCell ref="F2513:H2514"/>
    <mergeCell ref="M2343:M2345"/>
    <mergeCell ref="I296:I297"/>
    <mergeCell ref="G4603:G4604"/>
    <mergeCell ref="J1603:L1604"/>
    <mergeCell ref="D3656:E3658"/>
    <mergeCell ref="G4895:G4896"/>
    <mergeCell ref="F860:H861"/>
    <mergeCell ref="D3807:E3809"/>
    <mergeCell ref="A153:M153"/>
    <mergeCell ref="C5348:C5351"/>
    <mergeCell ref="A4987:A4990"/>
    <mergeCell ref="I3195:I3196"/>
    <mergeCell ref="B1655:B1658"/>
    <mergeCell ref="A3340:M3340"/>
    <mergeCell ref="G5077:G5078"/>
    <mergeCell ref="A4393:M4393"/>
    <mergeCell ref="B1350:B1353"/>
    <mergeCell ref="C677:C680"/>
    <mergeCell ref="J2104:K2104"/>
    <mergeCell ref="F3193:H3194"/>
    <mergeCell ref="A4720:M4720"/>
    <mergeCell ref="G6:G7"/>
    <mergeCell ref="F154:H155"/>
    <mergeCell ref="C2102:C2105"/>
    <mergeCell ref="G1657:G1658"/>
    <mergeCell ref="I1552:I1553"/>
    <mergeCell ref="J2001:K2001"/>
    <mergeCell ref="F2454:F2455"/>
    <mergeCell ref="D2694:E2696"/>
    <mergeCell ref="F5034:H5035"/>
    <mergeCell ref="B3910:B3913"/>
    <mergeCell ref="D1603:E1605"/>
    <mergeCell ref="J2396:L2397"/>
    <mergeCell ref="D1297:E1299"/>
    <mergeCell ref="I4762:I4763"/>
    <mergeCell ref="D4932:E4934"/>
    <mergeCell ref="F4895:F4896"/>
    <mergeCell ref="C113:C116"/>
    <mergeCell ref="G5291:G5292"/>
    <mergeCell ref="A1490:M1490"/>
    <mergeCell ref="A5471:A5474"/>
    <mergeCell ref="F985:F986"/>
    <mergeCell ref="J3195:K3195"/>
    <mergeCell ref="J4895:K4895"/>
    <mergeCell ref="M1552:M1554"/>
    <mergeCell ref="M2882:M2884"/>
    <mergeCell ref="A4500:A4503"/>
    <mergeCell ref="B677:B680"/>
    <mergeCell ref="M3854:M3856"/>
    <mergeCell ref="J985:K985"/>
    <mergeCell ref="I1350:I1351"/>
    <mergeCell ref="A2692:M2692"/>
    <mergeCell ref="J5471:L5472"/>
    <mergeCell ref="G2158:G2159"/>
    <mergeCell ref="B5348:B5351"/>
    <mergeCell ref="A45:E45"/>
    <mergeCell ref="I5525:I5526"/>
    <mergeCell ref="F5432:H5433"/>
    <mergeCell ref="F4306:F4307"/>
    <mergeCell ref="J2821:K2821"/>
    <mergeCell ref="G5164:G5165"/>
    <mergeCell ref="A5118:M5118"/>
    <mergeCell ref="A2395:M2395"/>
    <mergeCell ref="I2216:I2217"/>
    <mergeCell ref="J4500:L4501"/>
    <mergeCell ref="A2693:M2693"/>
    <mergeCell ref="B2819:B2822"/>
    <mergeCell ref="D1705:E1707"/>
    <mergeCell ref="A4392:M4392"/>
    <mergeCell ref="A3910:A3913"/>
    <mergeCell ref="F2821:F2822"/>
    <mergeCell ref="C5162:C5165"/>
    <mergeCell ref="A1182:A1185"/>
    <mergeCell ref="I2278:I2279"/>
    <mergeCell ref="A3806:M3806"/>
    <mergeCell ref="B3450:B3453"/>
    <mergeCell ref="A3805:M3805"/>
    <mergeCell ref="A4076:M4076"/>
    <mergeCell ref="F5574:H5575"/>
    <mergeCell ref="F1051:F1052"/>
    <mergeCell ref="A2156:A2159"/>
    <mergeCell ref="A5287:M5287"/>
    <mergeCell ref="I791:I792"/>
    <mergeCell ref="A1048:M1048"/>
    <mergeCell ref="G2515:G2516"/>
    <mergeCell ref="I2577:I2578"/>
    <mergeCell ref="B3147:B3150"/>
    <mergeCell ref="A3046:M3046"/>
    <mergeCell ref="F5291:F5292"/>
    <mergeCell ref="C2214:C2217"/>
    <mergeCell ref="M620:M622"/>
    <mergeCell ref="J3910:L3911"/>
    <mergeCell ref="M1049:M1051"/>
    <mergeCell ref="J1182:L1183"/>
    <mergeCell ref="A3191:M3191"/>
    <mergeCell ref="I1236:I1237"/>
    <mergeCell ref="A2047:M2047"/>
    <mergeCell ref="A351:A354"/>
    <mergeCell ref="A4246:M4246"/>
    <mergeCell ref="A1704:M1704"/>
    <mergeCell ref="J4724:K4724"/>
    <mergeCell ref="F3807:H3808"/>
    <mergeCell ref="I3049:I3050"/>
    <mergeCell ref="I3656:I3657"/>
    <mergeCell ref="A4158:M4158"/>
    <mergeCell ref="F353:F354"/>
    <mergeCell ref="B2991:B2994"/>
    <mergeCell ref="F2158:F2159"/>
    <mergeCell ref="A5348:A5351"/>
    <mergeCell ref="F5164:F5165"/>
    <mergeCell ref="B1946:B1949"/>
    <mergeCell ref="I5200:I5201"/>
    <mergeCell ref="J793:K793"/>
    <mergeCell ref="J351:L352"/>
    <mergeCell ref="M2575:M2577"/>
    <mergeCell ref="I5077:I5078"/>
    <mergeCell ref="J3095:K3095"/>
    <mergeCell ref="A236:L236"/>
    <mergeCell ref="G2884:G2885"/>
    <mergeCell ref="I2343:I2344"/>
    <mergeCell ref="B5162:B5165"/>
    <mergeCell ref="D729:E731"/>
    <mergeCell ref="A4634:M4634"/>
    <mergeCell ref="M1236:M1238"/>
    <mergeCell ref="I2345:I2346"/>
    <mergeCell ref="D3488:E3490"/>
    <mergeCell ref="D1999:E2001"/>
    <mergeCell ref="M1453:M1455"/>
    <mergeCell ref="C1946:C1949"/>
    <mergeCell ref="M4722:M4724"/>
    <mergeCell ref="D5432:E5434"/>
    <mergeCell ref="C1552:C1555"/>
    <mergeCell ref="F1873:F1874"/>
    <mergeCell ref="F4638:F4639"/>
    <mergeCell ref="A2989:M2989"/>
    <mergeCell ref="C791:C794"/>
    <mergeCell ref="C2882:C2885"/>
    <mergeCell ref="A5572:M5572"/>
    <mergeCell ref="F113:H114"/>
    <mergeCell ref="B2214:B2217"/>
    <mergeCell ref="F1603:H1604"/>
    <mergeCell ref="F5245:H5246"/>
    <mergeCell ref="J4638:K4638"/>
    <mergeCell ref="B1871:B1874"/>
    <mergeCell ref="C3342:C3345"/>
    <mergeCell ref="A1745:M1745"/>
    <mergeCell ref="I3299:I3300"/>
    <mergeCell ref="C1236:C1239"/>
    <mergeCell ref="I113:I114"/>
    <mergeCell ref="G2938:G2939"/>
    <mergeCell ref="A3146:M3146"/>
    <mergeCell ref="A4199:M4199"/>
    <mergeCell ref="I1297:I1298"/>
    <mergeCell ref="M5348:M5350"/>
    <mergeCell ref="C1999:C2002"/>
    <mergeCell ref="I115:I116"/>
    <mergeCell ref="I1603:I1604"/>
    <mergeCell ref="I2575:I2576"/>
    <mergeCell ref="A2991:A2994"/>
    <mergeCell ref="J1051:K1051"/>
    <mergeCell ref="I4115:I4116"/>
    <mergeCell ref="I4502:I4503"/>
    <mergeCell ref="D1399:E1401"/>
    <mergeCell ref="J2991:L2992"/>
    <mergeCell ref="C4893:C4896"/>
    <mergeCell ref="A4245:M4245"/>
    <mergeCell ref="D5348:E5350"/>
    <mergeCell ref="C525:C528"/>
    <mergeCell ref="B2882:B2885"/>
    <mergeCell ref="A2274:M2274"/>
    <mergeCell ref="J4677:L4678"/>
    <mergeCell ref="J2577:K2577"/>
    <mergeCell ref="J2158:K2158"/>
    <mergeCell ref="A5032:M5032"/>
    <mergeCell ref="A2574:M2574"/>
    <mergeCell ref="A1601:M1601"/>
    <mergeCell ref="J467:L468"/>
    <mergeCell ref="G1184:G1185"/>
    <mergeCell ref="J4:L5"/>
    <mergeCell ref="A4636:A4639"/>
    <mergeCell ref="B3342:B3345"/>
    <mergeCell ref="J3246:K3246"/>
    <mergeCell ref="A4304:A4307"/>
    <mergeCell ref="I3396:I3397"/>
    <mergeCell ref="D2513:E2515"/>
    <mergeCell ref="B1999:B2002"/>
    <mergeCell ref="J1705:L1706"/>
    <mergeCell ref="A4762:A4765"/>
    <mergeCell ref="M3958:M3960"/>
    <mergeCell ref="A2046:M2046"/>
    <mergeCell ref="D113:E115"/>
    <mergeCell ref="B56:B59"/>
    <mergeCell ref="I2761:I2762"/>
    <mergeCell ref="J5034:L5035"/>
    <mergeCell ref="C3450:C3453"/>
    <mergeCell ref="I1299:I1300"/>
    <mergeCell ref="J1873:K1873"/>
    <mergeCell ref="J4304:L4305"/>
    <mergeCell ref="A419:A422"/>
    <mergeCell ref="I3246:I3247"/>
    <mergeCell ref="J5473:K5473"/>
    <mergeCell ref="B5471:B5474"/>
    <mergeCell ref="G3809:G3810"/>
    <mergeCell ref="J3547:L3548"/>
    <mergeCell ref="J4762:L4763"/>
    <mergeCell ref="M3244:M3246"/>
    <mergeCell ref="I1655:I1656"/>
    <mergeCell ref="J419:L420"/>
    <mergeCell ref="D467:E469"/>
    <mergeCell ref="I4500:I4501"/>
    <mergeCell ref="F3398:F3399"/>
    <mergeCell ref="F2216:F2217"/>
    <mergeCell ref="F4161:F4162"/>
    <mergeCell ref="F1184:F1185"/>
    <mergeCell ref="C5523:C5526"/>
    <mergeCell ref="A4355:M4355"/>
    <mergeCell ref="F156:F157"/>
    <mergeCell ref="J5075:L5076"/>
    <mergeCell ref="A2276:A2279"/>
    <mergeCell ref="M2214:M2216"/>
    <mergeCell ref="F3910:H3911"/>
    <mergeCell ref="G252:G253"/>
    <mergeCell ref="F2396:H2397"/>
    <mergeCell ref="J1184:K1184"/>
    <mergeCell ref="A4356:M4356"/>
    <mergeCell ref="F1182:H1183"/>
    <mergeCell ref="A4546:A4549"/>
    <mergeCell ref="I4853:I4854"/>
    <mergeCell ref="M572:M574"/>
    <mergeCell ref="I4855:I4856"/>
    <mergeCell ref="C3547:C3550"/>
    <mergeCell ref="A1869:M1869"/>
    <mergeCell ref="G3149:G3150"/>
    <mergeCell ref="F4812:F4813"/>
    <mergeCell ref="G3754:G3755"/>
    <mergeCell ref="M4500:M4502"/>
    <mergeCell ref="J2276:L2277"/>
    <mergeCell ref="G2993:G2994"/>
    <mergeCell ref="J5432:L5433"/>
    <mergeCell ref="A930:A933"/>
    <mergeCell ref="A5469:M5469"/>
    <mergeCell ref="A1870:M1870"/>
    <mergeCell ref="F1657:F1658"/>
    <mergeCell ref="I2156:I2157"/>
    <mergeCell ref="I2454:I2455"/>
    <mergeCell ref="A3957:M3957"/>
    <mergeCell ref="D3596:E3598"/>
    <mergeCell ref="J791:L792"/>
    <mergeCell ref="I4724:I4725"/>
    <mergeCell ref="A3395:M3395"/>
    <mergeCell ref="I4895:I4896"/>
    <mergeCell ref="A524:M524"/>
    <mergeCell ref="I679:I680"/>
    <mergeCell ref="F5200:F5201"/>
    <mergeCell ref="A2343:A2346"/>
    <mergeCell ref="D2882:E2884"/>
    <mergeCell ref="I5348:I5349"/>
    <mergeCell ref="A2394:M2394"/>
    <mergeCell ref="A4159:A4162"/>
    <mergeCell ref="M2156:M2158"/>
    <mergeCell ref="I1124:I1125"/>
    <mergeCell ref="A3296:M3296"/>
    <mergeCell ref="I6:I7"/>
    <mergeCell ref="A4809:M4809"/>
    <mergeCell ref="J2343:L2344"/>
    <mergeCell ref="A3295:M3295"/>
    <mergeCell ref="F2993:F2994"/>
    <mergeCell ref="J4028:K4028"/>
    <mergeCell ref="A1453:A1456"/>
    <mergeCell ref="I3450:I3451"/>
    <mergeCell ref="J4159:L4160"/>
    <mergeCell ref="B4636:B4639"/>
    <mergeCell ref="F2398:F2399"/>
    <mergeCell ref="J5247:K5247"/>
    <mergeCell ref="F2696:F2697"/>
    <mergeCell ref="A466:M466"/>
    <mergeCell ref="G4934:G4935"/>
    <mergeCell ref="M5198:M5200"/>
    <mergeCell ref="G1748:G1749"/>
    <mergeCell ref="J4502:K4502"/>
    <mergeCell ref="A3655:M3655"/>
    <mergeCell ref="I1051:I1052"/>
    <mergeCell ref="A3192:M3192"/>
    <mergeCell ref="J2819:L2820"/>
    <mergeCell ref="J113:L114"/>
    <mergeCell ref="M250:M252"/>
    <mergeCell ref="C4932:C4935"/>
    <mergeCell ref="I2452:I2453"/>
    <mergeCell ref="M2396:M2398"/>
    <mergeCell ref="I3809:I3810"/>
    <mergeCell ref="C1746:C1749"/>
    <mergeCell ref="G4203:G4204"/>
    <mergeCell ref="I5291:I5292"/>
    <mergeCell ref="J4810:L4811"/>
    <mergeCell ref="B1049:B1052"/>
    <mergeCell ref="B3596:B3599"/>
    <mergeCell ref="F467:H468"/>
    <mergeCell ref="F5162:H5163"/>
    <mergeCell ref="C4500:C4503"/>
    <mergeCell ref="F4:H5"/>
    <mergeCell ref="A983:A986"/>
    <mergeCell ref="I351:I352"/>
    <mergeCell ref="J4855:K4855"/>
    <mergeCell ref="A2636:M2636"/>
    <mergeCell ref="A2934:M2934"/>
    <mergeCell ref="A4447:M4447"/>
    <mergeCell ref="D5245:E5247"/>
    <mergeCell ref="B2759:B2762"/>
    <mergeCell ref="A3396:A3399"/>
    <mergeCell ref="M2452:M2454"/>
    <mergeCell ref="G1401:G1402"/>
    <mergeCell ref="J2640:K2640"/>
    <mergeCell ref="G4249:G4250"/>
    <mergeCell ref="F3547:H3548"/>
    <mergeCell ref="A1296:M1296"/>
    <mergeCell ref="F4762:H4763"/>
    <mergeCell ref="J3701:K3701"/>
    <mergeCell ref="B46:L46"/>
    <mergeCell ref="I4636:I4637"/>
    <mergeCell ref="F2938:F2939"/>
    <mergeCell ref="D3147:E3149"/>
    <mergeCell ref="G2001:G2002"/>
    <mergeCell ref="M351:M353"/>
    <mergeCell ref="I4638:I4639"/>
    <mergeCell ref="J3396:L3397"/>
    <mergeCell ref="C2575:C2578"/>
    <mergeCell ref="I3149:I3150"/>
    <mergeCell ref="C2156:C2159"/>
    <mergeCell ref="F419:H420"/>
    <mergeCell ref="B4932:B4935"/>
    <mergeCell ref="B1746:B1749"/>
    <mergeCell ref="G353:G354"/>
    <mergeCell ref="A859:M859"/>
    <mergeCell ref="A294:A297"/>
    <mergeCell ref="D930:E932"/>
    <mergeCell ref="A3596:A3599"/>
    <mergeCell ref="A1945:M1945"/>
    <mergeCell ref="I5121:I5122"/>
    <mergeCell ref="A5431:M5431"/>
    <mergeCell ref="B2048:B2051"/>
    <mergeCell ref="I419:I420"/>
    <mergeCell ref="I4359:I4360"/>
    <mergeCell ref="C351:C354"/>
    <mergeCell ref="M5523:M5525"/>
    <mergeCell ref="A1655:A1658"/>
    <mergeCell ref="J5525:K5525"/>
    <mergeCell ref="C3656:C3659"/>
    <mergeCell ref="J1297:L1298"/>
    <mergeCell ref="F5077:F5078"/>
    <mergeCell ref="F5075:H5076"/>
    <mergeCell ref="A1350:A1353"/>
    <mergeCell ref="F4677:H4678"/>
    <mergeCell ref="M4636:M4638"/>
    <mergeCell ref="G1554:G1555"/>
    <mergeCell ref="A4852:M4852"/>
    <mergeCell ref="C1124:C1127"/>
    <mergeCell ref="M2936:M2938"/>
    <mergeCell ref="J1655:L1656"/>
    <mergeCell ref="J2278:K2278"/>
    <mergeCell ref="M3147:M3149"/>
    <mergeCell ref="I4677:I4678"/>
    <mergeCell ref="J1350:L1351"/>
    <mergeCell ref="D5523:E5525"/>
    <mergeCell ref="M419:M421"/>
    <mergeCell ref="F791:H792"/>
    <mergeCell ref="G4028:G4029"/>
    <mergeCell ref="G296:G297"/>
    <mergeCell ref="B2575:B2578"/>
    <mergeCell ref="F4304:H4305"/>
    <mergeCell ref="J2454:K2454"/>
    <mergeCell ref="M5289:M5291"/>
    <mergeCell ref="G4359:G4360"/>
    <mergeCell ref="I56:I57"/>
    <mergeCell ref="A4446:M4446"/>
    <mergeCell ref="I4601:I4602"/>
    <mergeCell ref="J4853:L4854"/>
    <mergeCell ref="C4026:C4029"/>
    <mergeCell ref="D4762:E4764"/>
    <mergeCell ref="I4304:I4305"/>
    <mergeCell ref="G3658:G3659"/>
    <mergeCell ref="M4677:M4679"/>
    <mergeCell ref="F4724:F4725"/>
    <mergeCell ref="C2452:C2455"/>
    <mergeCell ref="J353:K353"/>
    <mergeCell ref="M4247:M4249"/>
    <mergeCell ref="G3960:G3961"/>
    <mergeCell ref="F5471:H5472"/>
    <mergeCell ref="I4603:I4604"/>
    <mergeCell ref="D5289:E5291"/>
    <mergeCell ref="F679:F680"/>
    <mergeCell ref="M2276:M2278"/>
    <mergeCell ref="I4357:I4358"/>
    <mergeCell ref="C4677:C4680"/>
    <mergeCell ref="C3958:C3961"/>
    <mergeCell ref="G527:G528"/>
    <mergeCell ref="J679:K679"/>
    <mergeCell ref="J677:L678"/>
    <mergeCell ref="C467:C470"/>
    <mergeCell ref="M791:M793"/>
    <mergeCell ref="G5036:G5037"/>
    <mergeCell ref="A1:M1"/>
    <mergeCell ref="F4159:H4160"/>
    <mergeCell ref="A728:M728"/>
    <mergeCell ref="D4987:E4989"/>
    <mergeCell ref="M4304:M4306"/>
    <mergeCell ref="J4306:K4306"/>
    <mergeCell ref="M88:M90"/>
    <mergeCell ref="D4247:E4249"/>
    <mergeCell ref="D2156:E2158"/>
    <mergeCell ref="A571:M571"/>
    <mergeCell ref="C4853:C4856"/>
    <mergeCell ref="A5573:M5573"/>
    <mergeCell ref="G1126:G1127"/>
    <mergeCell ref="F6:F7"/>
    <mergeCell ref="I4159:I4160"/>
    <mergeCell ref="F4359:F4360"/>
    <mergeCell ref="M5387:M5389"/>
    <mergeCell ref="B1491:B1494"/>
    <mergeCell ref="F2819:H2820"/>
    <mergeCell ref="I154:I155"/>
    <mergeCell ref="B4026:B4029"/>
    <mergeCell ref="M4357:M4359"/>
    <mergeCell ref="J6:K6"/>
    <mergeCell ref="I156:I157"/>
    <mergeCell ref="F4810:H4811"/>
    <mergeCell ref="A4986:M4986"/>
    <mergeCell ref="A5197:M5197"/>
    <mergeCell ref="I2276:I2277"/>
    <mergeCell ref="C2638:C2641"/>
    <mergeCell ref="C2936:C2939"/>
    <mergeCell ref="A3341:M3341"/>
    <mergeCell ref="M860:M862"/>
    <mergeCell ref="A2575:A2578"/>
    <mergeCell ref="J5291:K5291"/>
    <mergeCell ref="J3450:L3451"/>
    <mergeCell ref="I4546:I4547"/>
    <mergeCell ref="A3045:M3045"/>
    <mergeCell ref="A5288:M5288"/>
    <mergeCell ref="C419:C422"/>
    <mergeCell ref="A1397:M1397"/>
    <mergeCell ref="J3960:K3960"/>
    <mergeCell ref="B3958:B3961"/>
    <mergeCell ref="D250:E252"/>
    <mergeCell ref="I930:I931"/>
    <mergeCell ref="A1703:M1703"/>
    <mergeCell ref="J2575:L2576"/>
    <mergeCell ref="A1398:M1398"/>
    <mergeCell ref="A677:A680"/>
    <mergeCell ref="A4157:M4157"/>
    <mergeCell ref="A5347:M5347"/>
    <mergeCell ref="M4:M6"/>
    <mergeCell ref="F2884:F2885"/>
    <mergeCell ref="A5162:A5165"/>
    <mergeCell ref="F1705:H1706"/>
    <mergeCell ref="F2343:H2344"/>
    <mergeCell ref="A3545:M3545"/>
    <mergeCell ref="G2278:G2279"/>
    <mergeCell ref="I983:I984"/>
    <mergeCell ref="M5034:M5036"/>
    <mergeCell ref="A3547:A3550"/>
    <mergeCell ref="B1552:B1555"/>
    <mergeCell ref="A1491:A1494"/>
    <mergeCell ref="I860:I861"/>
    <mergeCell ref="M1871:M1873"/>
    <mergeCell ref="A2817:M2817"/>
    <mergeCell ref="D1182:E1184"/>
    <mergeCell ref="A4931:M4931"/>
    <mergeCell ref="A2214:A2217"/>
    <mergeCell ref="C2276:C2279"/>
    <mergeCell ref="I5523:I5524"/>
    <mergeCell ref="A4599:M4599"/>
    <mergeCell ref="M930:M932"/>
    <mergeCell ref="J5162:L5163"/>
    <mergeCell ref="B2638:B2641"/>
    <mergeCell ref="A112:M112"/>
    <mergeCell ref="I4026:I4027"/>
    <mergeCell ref="A4025:M4025"/>
    <mergeCell ref="C4546:C4549"/>
    <mergeCell ref="B3699:B3702"/>
    <mergeCell ref="F2694:H2695"/>
    <mergeCell ref="A572:A575"/>
    <mergeCell ref="I4028:I4029"/>
    <mergeCell ref="D3910:E3912"/>
    <mergeCell ref="J3244:L3245"/>
    <mergeCell ref="G1238:G1239"/>
    <mergeCell ref="F1297:H1298"/>
    <mergeCell ref="G3049:G3050"/>
    <mergeCell ref="A5119:A5122"/>
    <mergeCell ref="D351:E353"/>
    <mergeCell ref="A2694:A2697"/>
    <mergeCell ref="J3598:K3598"/>
    <mergeCell ref="I3754:I3755"/>
    <mergeCell ref="I2993:I2994"/>
    <mergeCell ref="D4810:E4812"/>
    <mergeCell ref="C930:C933"/>
    <mergeCell ref="F5525:F5526"/>
    <mergeCell ref="I2398:I2399"/>
    <mergeCell ref="I2696:I2697"/>
    <mergeCell ref="G2050:G2051"/>
    <mergeCell ref="B572:B575"/>
    <mergeCell ref="F1655:H1656"/>
    <mergeCell ref="M3699:M3701"/>
    <mergeCell ref="G862:G863"/>
    <mergeCell ref="F1350:H1351"/>
    <mergeCell ref="F469:F470"/>
    <mergeCell ref="I3596:I3597"/>
    <mergeCell ref="M5075:M5077"/>
    <mergeCell ref="F1806:H1807"/>
    <mergeCell ref="B4500:B4503"/>
    <mergeCell ref="J4203:K4203"/>
    <mergeCell ref="I3598:I3599"/>
    <mergeCell ref="A3047:A3050"/>
    <mergeCell ref="B250:B253"/>
    <mergeCell ref="I5473:I5474"/>
    <mergeCell ref="A1946:A1949"/>
    <mergeCell ref="J3344:K3344"/>
    <mergeCell ref="M5574:M5576"/>
    <mergeCell ref="B2276:B2279"/>
    <mergeCell ref="M4394:M4396"/>
    <mergeCell ref="D1124:E1126"/>
    <mergeCell ref="F4853:H4854"/>
    <mergeCell ref="J3047:L3048"/>
    <mergeCell ref="C250:C253"/>
    <mergeCell ref="A1999:A2002"/>
    <mergeCell ref="J2884:K2884"/>
    <mergeCell ref="D4026:E4028"/>
    <mergeCell ref="I2638:I2639"/>
    <mergeCell ref="F1238:F1239"/>
    <mergeCell ref="M4201:M4203"/>
    <mergeCell ref="F2001:F2002"/>
    <mergeCell ref="I2640:I2641"/>
    <mergeCell ref="M4113:M4115"/>
    <mergeCell ref="A3594:M3594"/>
    <mergeCell ref="J3342:L3343"/>
    <mergeCell ref="A110:M110"/>
    <mergeCell ref="M1655:M1657"/>
    <mergeCell ref="C2819:C2822"/>
    <mergeCell ref="J1238:K1238"/>
    <mergeCell ref="B1236:B1239"/>
    <mergeCell ref="G4080:G4081"/>
    <mergeCell ref="F2048:H2049"/>
    <mergeCell ref="G4115:G4116"/>
    <mergeCell ref="J1999:L2000"/>
    <mergeCell ref="G4502:G4503"/>
    <mergeCell ref="A5198:A5201"/>
    <mergeCell ref="I1748:I1749"/>
    <mergeCell ref="I2938:I2939"/>
    <mergeCell ref="D4677:E4679"/>
    <mergeCell ref="B351:B354"/>
    <mergeCell ref="F294:H295"/>
    <mergeCell ref="J1871:L1872"/>
    <mergeCell ref="G622:G623"/>
    <mergeCell ref="B860:B863"/>
    <mergeCell ref="M2638:M2640"/>
    <mergeCell ref="M4853:M4855"/>
    <mergeCell ref="F3095:F3096"/>
    <mergeCell ref="I294:I295"/>
    <mergeCell ref="B5198:B5201"/>
    <mergeCell ref="D3047:E3049"/>
    <mergeCell ref="D1350:E1352"/>
    <mergeCell ref="D1946:E1948"/>
    <mergeCell ref="B4893:B4896"/>
    <mergeCell ref="F1948:F1949"/>
    <mergeCell ref="A3908:M3908"/>
    <mergeCell ref="M3093:M3095"/>
    <mergeCell ref="D1552:E1554"/>
    <mergeCell ref="F252:F253"/>
    <mergeCell ref="G2761:G2762"/>
    <mergeCell ref="M3752:M3754"/>
    <mergeCell ref="J156:K156"/>
    <mergeCell ref="I3193:I3194"/>
    <mergeCell ref="A4721:M4721"/>
    <mergeCell ref="G3095:G3096"/>
    <mergeCell ref="D88:E90"/>
    <mergeCell ref="F3488:H3489"/>
    <mergeCell ref="G3549:G3550"/>
    <mergeCell ref="A3751:M3751"/>
    <mergeCell ref="D2936:E2938"/>
    <mergeCell ref="M3297:M3299"/>
    <mergeCell ref="A3450:A3453"/>
    <mergeCell ref="J4396:K4396"/>
    <mergeCell ref="A3750:M3750"/>
    <mergeCell ref="D4853:E4855"/>
    <mergeCell ref="A1236:A1239"/>
    <mergeCell ref="F3149:F3150"/>
    <mergeCell ref="F3147:H3148"/>
    <mergeCell ref="F4080:F4081"/>
    <mergeCell ref="G5576:G5577"/>
    <mergeCell ref="I4247:I4248"/>
    <mergeCell ref="F3754:F3755"/>
    <mergeCell ref="I4249:I4250"/>
    <mergeCell ref="M294:M296"/>
    <mergeCell ref="J296:K296"/>
    <mergeCell ref="D3396:E3398"/>
    <mergeCell ref="F2575:H2576"/>
    <mergeCell ref="C4304:C4307"/>
    <mergeCell ref="M4078:M4080"/>
    <mergeCell ref="J4080:K4080"/>
    <mergeCell ref="B2452:B2455"/>
    <mergeCell ref="J1657:K1657"/>
    <mergeCell ref="F296:F297"/>
    <mergeCell ref="D2991:E2993"/>
    <mergeCell ref="J4722:L4723"/>
    <mergeCell ref="C294:C297"/>
    <mergeCell ref="C3596:C3599"/>
    <mergeCell ref="J622:K622"/>
    <mergeCell ref="J4546:L4547"/>
    <mergeCell ref="C4201:C4204"/>
    <mergeCell ref="F677:H678"/>
    <mergeCell ref="C1655:C1658"/>
    <mergeCell ref="F1707:F1708"/>
    <mergeCell ref="I5350:I5351"/>
    <mergeCell ref="C5289:C5292"/>
    <mergeCell ref="G4989:G4990"/>
    <mergeCell ref="A4761:M4761"/>
    <mergeCell ref="A87:M87"/>
    <mergeCell ref="J930:L931"/>
    <mergeCell ref="F5348:H5349"/>
    <mergeCell ref="F2761:F2762"/>
    <mergeCell ref="I677:I678"/>
    <mergeCell ref="A418:M418"/>
    <mergeCell ref="F3549:F3550"/>
    <mergeCell ref="F1491:H1492"/>
    <mergeCell ref="D2102:E2104"/>
    <mergeCell ref="F2214:H2215"/>
    <mergeCell ref="A2396:A2399"/>
    <mergeCell ref="I1948:I1949"/>
    <mergeCell ref="I1491:I1492"/>
    <mergeCell ref="B4304:B4307"/>
    <mergeCell ref="I5434:I5435"/>
    <mergeCell ref="G2454:G2455"/>
    <mergeCell ref="J2993:K2993"/>
    <mergeCell ref="A4808:M4808"/>
    <mergeCell ref="I1493:I1494"/>
    <mergeCell ref="D3450:E3452"/>
    <mergeCell ref="J5121:K5121"/>
    <mergeCell ref="J2398:K2398"/>
    <mergeCell ref="J2696:K2696"/>
    <mergeCell ref="D56:E58"/>
    <mergeCell ref="J5523:L5524"/>
    <mergeCell ref="M677:M679"/>
    <mergeCell ref="A2155:M2155"/>
    <mergeCell ref="G679:G680"/>
    <mergeCell ref="G985:G986"/>
    <mergeCell ref="I2694:I2695"/>
    <mergeCell ref="F4989:F4990"/>
    <mergeCell ref="I3958:I3959"/>
    <mergeCell ref="D5198:E5200"/>
    <mergeCell ref="C56:C59"/>
    <mergeCell ref="M1491:M1493"/>
    <mergeCell ref="C5387:C5390"/>
    <mergeCell ref="I3960:I3961"/>
    <mergeCell ref="D2343:E2345"/>
    <mergeCell ref="F3047:H3048"/>
    <mergeCell ref="C4357:C4360"/>
    <mergeCell ref="F2882:H2883"/>
    <mergeCell ref="A3487:M3487"/>
    <mergeCell ref="B620:B623"/>
    <mergeCell ref="I3344:I3345"/>
    <mergeCell ref="J4249:K4249"/>
    <mergeCell ref="J2452:L2453"/>
    <mergeCell ref="B4247:B4250"/>
    <mergeCell ref="A2882:A2885"/>
    <mergeCell ref="A85:M85"/>
    <mergeCell ref="B5289:B5292"/>
    <mergeCell ref="I3047:I3048"/>
    <mergeCell ref="C1491:C1494"/>
    <mergeCell ref="F3342:H3343"/>
    <mergeCell ref="A3854:A3857"/>
    <mergeCell ref="A2757:M2757"/>
    <mergeCell ref="A5522:M5522"/>
    <mergeCell ref="F1401:F1402"/>
    <mergeCell ref="M5119:M5121"/>
    <mergeCell ref="F1999:H2000"/>
    <mergeCell ref="F4249:F4250"/>
    <mergeCell ref="F3244:H3245"/>
    <mergeCell ref="J5036:K5036"/>
    <mergeCell ref="G3299:G3300"/>
    <mergeCell ref="G3912:G3913"/>
    <mergeCell ref="J1605:K1605"/>
    <mergeCell ref="A2990:M2990"/>
    <mergeCell ref="J3549:K3549"/>
    <mergeCell ref="I3699:I3700"/>
    <mergeCell ref="F4603:F4604"/>
    <mergeCell ref="F1871:H1872"/>
    <mergeCell ref="G1051:G1052"/>
    <mergeCell ref="B2156:B2159"/>
    <mergeCell ref="J983:L984"/>
    <mergeCell ref="I3701:I3702"/>
    <mergeCell ref="I3244:I3245"/>
    <mergeCell ref="A1746:A1749"/>
    <mergeCell ref="A4930:M4930"/>
    <mergeCell ref="M2048:M2050"/>
    <mergeCell ref="I2214:I2215"/>
    <mergeCell ref="J4603:K4603"/>
    <mergeCell ref="G4724:G4725"/>
    <mergeCell ref="F4934:F4935"/>
    <mergeCell ref="F1748:F1749"/>
    <mergeCell ref="D4546:E4548"/>
    <mergeCell ref="B5387:B5390"/>
    <mergeCell ref="I572:I573"/>
    <mergeCell ref="B3656:B3659"/>
    <mergeCell ref="J4934:K4934"/>
    <mergeCell ref="J4932:L4933"/>
    <mergeCell ref="A1944:M1944"/>
    <mergeCell ref="I3297:I3298"/>
    <mergeCell ref="I574:I575"/>
    <mergeCell ref="J1748:K1748"/>
    <mergeCell ref="J1746:L1747"/>
    <mergeCell ref="I5119:I5120"/>
    <mergeCell ref="A1049:A1052"/>
    <mergeCell ref="B1124:B1127"/>
    <mergeCell ref="A4:A7"/>
    <mergeCell ref="J2048:L2049"/>
    <mergeCell ref="F4500:H4501"/>
    <mergeCell ref="I467:I468"/>
    <mergeCell ref="F731:F732"/>
    <mergeCell ref="M4601:M4603"/>
    <mergeCell ref="I469:I470"/>
    <mergeCell ref="A4544:M4544"/>
    <mergeCell ref="A3145:M3145"/>
    <mergeCell ref="D3854:E3856"/>
    <mergeCell ref="J1049:L1050"/>
    <mergeCell ref="F3299:F3300"/>
    <mergeCell ref="J294:L295"/>
    <mergeCell ref="D3093:E3095"/>
    <mergeCell ref="A4111:M4111"/>
    <mergeCell ref="J3596:L3597"/>
    <mergeCell ref="J731:K731"/>
    <mergeCell ref="J5289:L5290"/>
    <mergeCell ref="A2759:A2762"/>
    <mergeCell ref="G4638:G4639"/>
    <mergeCell ref="I4396:I4397"/>
    <mergeCell ref="F4028:F4029"/>
    <mergeCell ref="A4247:A4250"/>
    <mergeCell ref="A4112:M4112"/>
    <mergeCell ref="F1236:H1237"/>
    <mergeCell ref="B2694:B2697"/>
    <mergeCell ref="F4722:H4723"/>
    <mergeCell ref="F58:F59"/>
    <mergeCell ref="F56:H57"/>
    <mergeCell ref="F4546:H4547"/>
    <mergeCell ref="G5121:G5122"/>
    <mergeCell ref="I1401:I1402"/>
    <mergeCell ref="F3658:F3659"/>
    <mergeCell ref="J2759:L2760"/>
    <mergeCell ref="I3488:I3489"/>
    <mergeCell ref="J4247:L4248"/>
    <mergeCell ref="J2156:L2157"/>
    <mergeCell ref="I1999:I2000"/>
    <mergeCell ref="A3656:A3659"/>
    <mergeCell ref="I1238:I1239"/>
    <mergeCell ref="I1455:I1456"/>
    <mergeCell ref="C5119:C5122"/>
    <mergeCell ref="I2001:I2002"/>
    <mergeCell ref="J3488:L3489"/>
    <mergeCell ref="C2694:C2697"/>
    <mergeCell ref="C4394:C4397"/>
    <mergeCell ref="F3960:F3961"/>
    <mergeCell ref="B4113:B4116"/>
    <mergeCell ref="A249:M249"/>
    <mergeCell ref="F5198:H5199"/>
    <mergeCell ref="A2342:M2342"/>
    <mergeCell ref="F4893:H4894"/>
    <mergeCell ref="D620:E622"/>
    <mergeCell ref="G3195:G3196"/>
    <mergeCell ref="D1049:E1051"/>
    <mergeCell ref="A3853:M3853"/>
    <mergeCell ref="A5075:A5078"/>
    <mergeCell ref="C3807:C3810"/>
    <mergeCell ref="C4078:C4081"/>
    <mergeCell ref="A5244:M5244"/>
    <mergeCell ref="I5198:I5199"/>
    <mergeCell ref="C3047:C3050"/>
    <mergeCell ref="M3547:M3549"/>
    <mergeCell ref="A2512:M2512"/>
    <mergeCell ref="A860:A863"/>
    <mergeCell ref="A2213:M2213"/>
    <mergeCell ref="A1452:M1452"/>
    <mergeCell ref="G4764:G4765"/>
    <mergeCell ref="I3095:I3096"/>
    <mergeCell ref="A5432:A5435"/>
    <mergeCell ref="B1182:B1185"/>
    <mergeCell ref="C4247:C4250"/>
    <mergeCell ref="A4026:A4029"/>
    <mergeCell ref="J4987:L4988"/>
    <mergeCell ref="F3701:F3702"/>
    <mergeCell ref="A1349:M1349"/>
    <mergeCell ref="G4450:G4451"/>
    <mergeCell ref="J3299:K3299"/>
    <mergeCell ref="I2396:I2397"/>
    <mergeCell ref="D1236:E1238"/>
    <mergeCell ref="G90:G91"/>
    <mergeCell ref="B5119:B5122"/>
    <mergeCell ref="F3598:F3599"/>
    <mergeCell ref="D1453:E1455"/>
    <mergeCell ref="C1603:C1606"/>
    <mergeCell ref="D4722:E4724"/>
    <mergeCell ref="A4985:M4985"/>
    <mergeCell ref="J1491:L1492"/>
    <mergeCell ref="J4026:L4027"/>
    <mergeCell ref="A5196:M5196"/>
    <mergeCell ref="I4080:I4081"/>
    <mergeCell ref="A4891:M4891"/>
    <mergeCell ref="J4359:K4359"/>
    <mergeCell ref="F3195:F3196"/>
    <mergeCell ref="A3958:A3961"/>
    <mergeCell ref="C5198:C5201"/>
    <mergeCell ref="F2452:H2453"/>
    <mergeCell ref="J4115:K4115"/>
    <mergeCell ref="J3658:K3658"/>
    <mergeCell ref="I622:I623"/>
    <mergeCell ref="B3047:B3050"/>
    <mergeCell ref="D1806:E1808"/>
    <mergeCell ref="A4853:A4856"/>
    <mergeCell ref="A5033:M5033"/>
    <mergeCell ref="J3958:L3959"/>
    <mergeCell ref="F2278:F2279"/>
    <mergeCell ref="A3244:A3247"/>
    <mergeCell ref="M154:M156"/>
    <mergeCell ref="F527:F528"/>
    <mergeCell ref="G793:G794"/>
    <mergeCell ref="A1123:M1123"/>
    <mergeCell ref="M3342:M3344"/>
    <mergeCell ref="G3490:G3491"/>
    <mergeCell ref="G156:G157"/>
    <mergeCell ref="I525:I526"/>
    <mergeCell ref="J527:K527"/>
    <mergeCell ref="I5036:I5037"/>
    <mergeCell ref="A2638:A2641"/>
    <mergeCell ref="A2936:A2939"/>
    <mergeCell ref="A729:A732"/>
    <mergeCell ref="B4853:B4856"/>
    <mergeCell ref="I3854:I3855"/>
    <mergeCell ref="F90:F91"/>
    <mergeCell ref="A2511:M2511"/>
    <mergeCell ref="A3699:A3702"/>
    <mergeCell ref="I3549:I3550"/>
    <mergeCell ref="F2640:F2641"/>
    <mergeCell ref="I3856:I3857"/>
    <mergeCell ref="D2575:E2577"/>
    <mergeCell ref="F4636:H4637"/>
    <mergeCell ref="B4448:B4451"/>
    <mergeCell ref="B3093:B3096"/>
    <mergeCell ref="F1746:H1747"/>
    <mergeCell ref="M5471:M5473"/>
    <mergeCell ref="G1873:G1874"/>
    <mergeCell ref="J2638:L2639"/>
    <mergeCell ref="J1299:K1299"/>
    <mergeCell ref="J2936:L2937"/>
    <mergeCell ref="F3452:F3453"/>
    <mergeCell ref="J3699:L3700"/>
    <mergeCell ref="A4676:M4676"/>
    <mergeCell ref="A1805:M1805"/>
    <mergeCell ref="A2048:A2051"/>
    <mergeCell ref="F862:F863"/>
    <mergeCell ref="M525:M527"/>
    <mergeCell ref="D3958:E3960"/>
    <mergeCell ref="C4448:C4451"/>
    <mergeCell ref="F620:H621"/>
    <mergeCell ref="J2214:L2215"/>
    <mergeCell ref="F1049:H1050"/>
    <mergeCell ref="M983:M985"/>
    <mergeCell ref="F3596:H3597"/>
    <mergeCell ref="A234:E234"/>
    <mergeCell ref="A2275:M2275"/>
    <mergeCell ref="A2573:M2573"/>
    <mergeCell ref="A1489:M1489"/>
    <mergeCell ref="I1352:I1353"/>
    <mergeCell ref="F5289:H5290"/>
    <mergeCell ref="I1808:I1809"/>
    <mergeCell ref="J572:L573"/>
    <mergeCell ref="A2:M2"/>
    <mergeCell ref="I620:I621"/>
    <mergeCell ref="I1049:I1050"/>
    <mergeCell ref="I4989:I4990"/>
    <mergeCell ref="A790:M790"/>
    <mergeCell ref="D3244:E3246"/>
    <mergeCell ref="I3807:I3808"/>
    <mergeCell ref="I5289:I5290"/>
    <mergeCell ref="F2759:H2760"/>
    <mergeCell ref="A2935:M2935"/>
    <mergeCell ref="F4247:H4248"/>
    <mergeCell ref="F2156:H2157"/>
    <mergeCell ref="I1707:I1708"/>
    <mergeCell ref="D3699:E3701"/>
    <mergeCell ref="C3244:C3247"/>
    <mergeCell ref="I2759:I2760"/>
    <mergeCell ref="D5119:E5121"/>
    <mergeCell ref="B4546:B4549"/>
    <mergeCell ref="C4636:C4639"/>
    <mergeCell ref="F3809:F3810"/>
    <mergeCell ref="J1552:L1553"/>
    <mergeCell ref="D2214:E2216"/>
    <mergeCell ref="F4932:H4933"/>
    <mergeCell ref="I3547:I3548"/>
    <mergeCell ref="J4450:K4450"/>
    <mergeCell ref="M3807:M3809"/>
    <mergeCell ref="J3809:K3809"/>
    <mergeCell ref="A5074:M5074"/>
    <mergeCell ref="G3598:G3599"/>
    <mergeCell ref="B930:B933"/>
    <mergeCell ref="I2821:I2822"/>
    <mergeCell ref="I4722:I4723"/>
    <mergeCell ref="F622:F623"/>
    <mergeCell ref="J1236:L1237"/>
    <mergeCell ref="G5473:G5474"/>
    <mergeCell ref="F2050:F2051"/>
    <mergeCell ref="I5389:I5390"/>
    <mergeCell ref="I4932:I4933"/>
    <mergeCell ref="D4500:E4502"/>
    <mergeCell ref="M1705:M1707"/>
    <mergeCell ref="I4934:I4935"/>
    <mergeCell ref="A4893:A4896"/>
    <mergeCell ref="M2759:M2761"/>
    <mergeCell ref="J2050:K2050"/>
    <mergeCell ref="F4987:H4988"/>
    <mergeCell ref="B983:B986"/>
    <mergeCell ref="J862:K862"/>
    <mergeCell ref="A250:A253"/>
    <mergeCell ref="I1806:I1807"/>
    <mergeCell ref="I2104:I2105"/>
    <mergeCell ref="I5075:I5076"/>
    <mergeCell ref="J5198:L5199"/>
    <mergeCell ref="I4987:I4988"/>
    <mergeCell ref="G2640:G2641"/>
    <mergeCell ref="B2102:B2105"/>
    <mergeCell ref="M1603:M1605"/>
    <mergeCell ref="J4893:L4894"/>
    <mergeCell ref="C3854:C3857"/>
    <mergeCell ref="B3244:B3247"/>
    <mergeCell ref="F4026:H4027"/>
    <mergeCell ref="C3093:C3096"/>
    <mergeCell ref="C983:C986"/>
    <mergeCell ref="I4:I5"/>
    <mergeCell ref="G1455:G1456"/>
    <mergeCell ref="M4932:M4934"/>
    <mergeCell ref="J250:L251"/>
    <mergeCell ref="I731:I732"/>
    <mergeCell ref="A929:M929"/>
    <mergeCell ref="A3449:M3449"/>
    <mergeCell ref="D2759:E2761"/>
    <mergeCell ref="A1235:M1235"/>
    <mergeCell ref="G3856:G3857"/>
    <mergeCell ref="J3149:K3149"/>
    <mergeCell ref="I3912:I3913"/>
    <mergeCell ref="I1705:I1706"/>
    <mergeCell ref="A55:M55"/>
  </mergeCells>
  <printOptions horizontalCentered="1"/>
  <pageMargins left="0.03937007874015748" right="0.03937007874015748" top="0.03937007874015748" bottom="0.03937007874015748" header="0.03937007874015748" footer="0.03937007874015748"/>
  <pageSetup orientation="landscape" paperSize="9" scale="95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M4001"/>
  <sheetViews>
    <sheetView topLeftCell="A3896" workbookViewId="0">
      <selection activeCell="J3893" sqref="J3893"/>
    </sheetView>
  </sheetViews>
  <sheetFormatPr baseColWidth="8" defaultRowHeight="15"/>
  <cols>
    <col width="11" customWidth="1" style="436" min="1" max="1"/>
    <col width="9.140625" customWidth="1" style="436" min="2" max="2"/>
    <col width="5.7109375" customWidth="1" style="436" min="3" max="3"/>
    <col width="7.7109375" customWidth="1" style="436" min="4" max="4"/>
    <col width="7.85546875" customWidth="1" style="436" min="5" max="5"/>
    <col width="9.7109375" customWidth="1" style="436" min="6" max="6"/>
    <col width="12.140625" customWidth="1" style="436" min="7" max="7"/>
    <col width="20.5703125" customWidth="1" style="436" min="8" max="8"/>
    <col width="7.85546875" customWidth="1" style="436" min="9" max="9"/>
    <col width="16.140625" customWidth="1" style="436" min="10" max="10"/>
    <col width="17.140625" customWidth="1" style="436" min="11" max="11"/>
    <col width="27.85546875" customWidth="1" style="436" min="12" max="12"/>
    <col width="5.140625" customWidth="1" style="436" min="13" max="13"/>
  </cols>
  <sheetData>
    <row r="1" ht="29.25" customHeight="1" s="436" thickBot="1">
      <c r="A1" s="696" t="inlineStr">
        <is>
          <t>PLANILHA CONTROLE DE ESTOQUE</t>
        </is>
      </c>
      <c r="B1" s="697" t="n"/>
      <c r="C1" s="697" t="n"/>
      <c r="D1" s="697" t="n"/>
      <c r="E1" s="697" t="n"/>
      <c r="F1" s="697" t="n"/>
      <c r="G1" s="697" t="n"/>
      <c r="H1" s="697" t="n"/>
      <c r="I1" s="697" t="n"/>
      <c r="J1" s="697" t="n"/>
      <c r="K1" s="697" t="n"/>
      <c r="L1" s="698" t="n"/>
    </row>
    <row r="2" ht="21.75" customHeight="1" s="436" thickBot="1">
      <c r="A2" s="744" t="inlineStr">
        <is>
          <t xml:space="preserve">021 - DENISE FURTADO DE SOUZA - ME </t>
        </is>
      </c>
      <c r="B2" s="737" t="n"/>
      <c r="C2" s="737" t="n"/>
      <c r="D2" s="737" t="n"/>
      <c r="E2" s="737" t="n"/>
      <c r="F2" s="737" t="n"/>
      <c r="G2" s="737" t="n"/>
      <c r="H2" s="737" t="n"/>
      <c r="I2" s="737" t="n"/>
      <c r="J2" s="737" t="n"/>
      <c r="K2" s="737" t="n"/>
      <c r="L2" s="736" t="n"/>
    </row>
    <row r="3" ht="27" customHeight="1" s="436" thickBot="1">
      <c r="A3" s="745" t="inlineStr">
        <is>
          <t xml:space="preserve">  PRÉ MISTURA - 25 KG</t>
        </is>
      </c>
      <c r="B3" s="737" t="n"/>
      <c r="C3" s="737" t="n"/>
      <c r="D3" s="737" t="n"/>
      <c r="E3" s="737" t="n"/>
      <c r="F3" s="737" t="n"/>
      <c r="G3" s="737" t="n"/>
      <c r="H3" s="737" t="n"/>
      <c r="I3" s="737" t="n"/>
      <c r="J3" s="737" t="n"/>
      <c r="K3" s="737" t="n"/>
      <c r="L3" s="736" t="n"/>
    </row>
    <row r="4" ht="13.7" customHeight="1" s="436">
      <c r="A4" s="746" t="inlineStr">
        <is>
          <t>DATA</t>
        </is>
      </c>
      <c r="B4" s="3" t="inlineStr">
        <is>
          <t>N.F.</t>
        </is>
      </c>
      <c r="C4" s="3" t="inlineStr">
        <is>
          <t>TIPO</t>
        </is>
      </c>
      <c r="D4" s="3" t="inlineStr">
        <is>
          <t>PREÇO UNITÁRIO</t>
        </is>
      </c>
      <c r="E4" s="736" t="n"/>
      <c r="F4" s="3" t="inlineStr">
        <is>
          <t>QUANTIDADE / KG</t>
        </is>
      </c>
      <c r="G4" s="737" t="n"/>
      <c r="H4" s="736" t="n"/>
      <c r="I4" s="631" t="inlineStr">
        <is>
          <t>PREÇO</t>
        </is>
      </c>
      <c r="J4" s="631" t="inlineStr">
        <is>
          <t>VALORES</t>
        </is>
      </c>
      <c r="K4" s="737" t="n"/>
      <c r="L4" s="736" t="n"/>
    </row>
    <row r="5" ht="13.7" customHeight="1" s="436" thickBot="1">
      <c r="A5" s="703" t="n"/>
      <c r="B5" s="704" t="n"/>
      <c r="C5" s="704" t="n"/>
      <c r="D5" s="703" t="n"/>
      <c r="E5" s="701" t="n"/>
      <c r="F5" s="705" t="n"/>
      <c r="G5" s="706" t="n"/>
      <c r="H5" s="707" t="n"/>
      <c r="I5" s="704" t="n"/>
      <c r="J5" s="703" t="n"/>
      <c r="L5" s="701" t="n"/>
    </row>
    <row r="6" ht="13.7" customHeight="1" s="436" thickBot="1">
      <c r="A6" s="703" t="n"/>
      <c r="B6" s="704" t="n"/>
      <c r="C6" s="704" t="n"/>
      <c r="D6" s="705" t="n"/>
      <c r="E6" s="707" t="n"/>
      <c r="F6" s="3" t="inlineStr">
        <is>
          <t>ENTRADA</t>
        </is>
      </c>
      <c r="G6" s="3" t="inlineStr">
        <is>
          <t>SAÍDA</t>
        </is>
      </c>
      <c r="H6" s="640" t="inlineStr">
        <is>
          <t>SALDO EM 30/12/2017</t>
        </is>
      </c>
      <c r="I6" s="633" t="inlineStr">
        <is>
          <t>MÉDIO</t>
        </is>
      </c>
      <c r="J6" s="652" t="inlineStr">
        <is>
          <t>SALDO EM 30/12/2017</t>
        </is>
      </c>
      <c r="K6" s="706" t="n"/>
      <c r="L6" s="17" t="n"/>
    </row>
    <row r="7" ht="13.7" customHeight="1" s="436" thickBot="1">
      <c r="A7" s="705" t="n"/>
      <c r="B7" s="695" t="n"/>
      <c r="C7" s="695" t="n"/>
      <c r="D7" s="3" t="inlineStr">
        <is>
          <t>C/ICMS</t>
        </is>
      </c>
      <c r="E7" s="3" t="inlineStr">
        <is>
          <t>S/ICMS</t>
        </is>
      </c>
      <c r="F7" s="695" t="n"/>
      <c r="G7" s="695" t="n"/>
      <c r="H7" s="18" t="n"/>
      <c r="I7" s="695" t="n"/>
      <c r="J7" s="645" t="inlineStr">
        <is>
          <t>ENTRADA</t>
        </is>
      </c>
      <c r="K7" s="633" t="inlineStr">
        <is>
          <t>SAÍDA / CMV</t>
        </is>
      </c>
      <c r="L7" s="633" t="inlineStr">
        <is>
          <t>SALDO</t>
        </is>
      </c>
    </row>
    <row r="8">
      <c r="A8" s="48" t="n"/>
      <c r="B8" s="49" t="n"/>
      <c r="C8" s="49" t="n"/>
      <c r="D8" s="71" t="n"/>
      <c r="E8" s="71" t="n"/>
      <c r="F8" s="55" t="n"/>
      <c r="G8" s="55" t="n">
        <v>0</v>
      </c>
      <c r="H8" s="55" t="n">
        <v>920</v>
      </c>
      <c r="I8" s="71" t="n"/>
      <c r="J8" s="747">
        <f>F8*I8</f>
        <v/>
      </c>
      <c r="K8" s="747" t="n">
        <v>0</v>
      </c>
      <c r="L8" s="748">
        <f>J8-K8</f>
        <v/>
      </c>
      <c r="M8" s="114" t="n"/>
    </row>
    <row r="9">
      <c r="A9" s="48" t="n">
        <v>43101</v>
      </c>
      <c r="B9" s="49" t="inlineStr">
        <is>
          <t>5470</t>
        </is>
      </c>
      <c r="C9" s="50" t="n"/>
      <c r="D9" s="51" t="n">
        <v>42</v>
      </c>
      <c r="E9" s="51" t="n"/>
      <c r="F9" s="52" t="n"/>
      <c r="G9" s="52" t="n">
        <v>100</v>
      </c>
      <c r="H9" s="55">
        <f>H8-G9</f>
        <v/>
      </c>
      <c r="I9" s="51" t="n"/>
      <c r="J9" s="749" t="n"/>
      <c r="K9" s="749">
        <f>G9*D9</f>
        <v/>
      </c>
      <c r="L9" s="748" t="n"/>
      <c r="M9" s="114" t="n"/>
    </row>
    <row r="10">
      <c r="A10" s="48" t="n">
        <v>43102</v>
      </c>
      <c r="B10" s="49" t="inlineStr">
        <is>
          <t>5471</t>
        </is>
      </c>
      <c r="C10" s="50" t="n"/>
      <c r="D10" s="51" t="n">
        <v>45</v>
      </c>
      <c r="E10" s="51" t="n"/>
      <c r="F10" s="52" t="n"/>
      <c r="G10" s="52" t="n">
        <v>100</v>
      </c>
      <c r="H10" s="55">
        <f>H9-G10</f>
        <v/>
      </c>
      <c r="I10" s="51" t="n"/>
      <c r="J10" s="749" t="n"/>
      <c r="K10" s="749">
        <f>G10*D10</f>
        <v/>
      </c>
      <c r="L10" s="748" t="n"/>
      <c r="M10" s="114" t="n"/>
    </row>
    <row r="11">
      <c r="A11" s="48" t="n">
        <v>43102</v>
      </c>
      <c r="B11" s="49" t="inlineStr">
        <is>
          <t>5473</t>
        </is>
      </c>
      <c r="C11" s="49" t="n"/>
      <c r="D11" s="71" t="n">
        <v>40</v>
      </c>
      <c r="E11" s="71" t="n"/>
      <c r="F11" s="55" t="n"/>
      <c r="G11" s="55" t="n">
        <v>10</v>
      </c>
      <c r="H11" s="55">
        <f>H10-G11</f>
        <v/>
      </c>
      <c r="I11" s="71" t="n"/>
      <c r="J11" s="749" t="n"/>
      <c r="K11" s="749">
        <f>G11*D11</f>
        <v/>
      </c>
      <c r="L11" s="748" t="n"/>
      <c r="M11" s="114" t="n"/>
    </row>
    <row r="12">
      <c r="A12" s="48" t="n">
        <v>43103</v>
      </c>
      <c r="B12" s="49" t="inlineStr">
        <is>
          <t>5475</t>
        </is>
      </c>
      <c r="C12" s="50" t="n"/>
      <c r="D12" s="51" t="n">
        <v>40</v>
      </c>
      <c r="E12" s="51" t="n"/>
      <c r="F12" s="52" t="n"/>
      <c r="G12" s="52" t="n">
        <v>20</v>
      </c>
      <c r="H12" s="55">
        <f>H11-G12</f>
        <v/>
      </c>
      <c r="I12" s="51" t="n"/>
      <c r="J12" s="749" t="n"/>
      <c r="K12" s="749">
        <f>G12*D12</f>
        <v/>
      </c>
      <c r="L12" s="748" t="n"/>
      <c r="M12" s="114" t="n"/>
    </row>
    <row r="13">
      <c r="A13" s="48" t="n">
        <v>43103</v>
      </c>
      <c r="B13" s="49" t="inlineStr">
        <is>
          <t>5478</t>
        </is>
      </c>
      <c r="C13" s="50" t="n"/>
      <c r="D13" s="51" t="n">
        <v>43</v>
      </c>
      <c r="E13" s="51" t="n"/>
      <c r="F13" s="52" t="n"/>
      <c r="G13" s="52" t="n">
        <v>30</v>
      </c>
      <c r="H13" s="55">
        <f>H12-G13</f>
        <v/>
      </c>
      <c r="I13" s="51" t="n"/>
      <c r="J13" s="749" t="n"/>
      <c r="K13" s="749">
        <f>G13*D13</f>
        <v/>
      </c>
      <c r="L13" s="748" t="n"/>
      <c r="M13" s="114" t="n"/>
    </row>
    <row r="14">
      <c r="A14" s="48" t="n">
        <v>43103</v>
      </c>
      <c r="B14" s="49" t="inlineStr">
        <is>
          <t>5479</t>
        </is>
      </c>
      <c r="C14" s="50" t="n"/>
      <c r="D14" s="51" t="n">
        <v>43</v>
      </c>
      <c r="E14" s="51" t="n"/>
      <c r="F14" s="52" t="n"/>
      <c r="G14" s="52" t="n">
        <v>10</v>
      </c>
      <c r="H14" s="55">
        <f>H13-G14</f>
        <v/>
      </c>
      <c r="I14" s="51" t="n"/>
      <c r="J14" s="749" t="n"/>
      <c r="K14" s="749">
        <f>G14*D14</f>
        <v/>
      </c>
      <c r="L14" s="748" t="n"/>
      <c r="M14" s="114" t="n"/>
    </row>
    <row r="15">
      <c r="A15" s="48" t="n">
        <v>43103</v>
      </c>
      <c r="B15" s="49" t="inlineStr">
        <is>
          <t>5481</t>
        </is>
      </c>
      <c r="C15" s="50" t="n"/>
      <c r="D15" s="51" t="n">
        <v>43</v>
      </c>
      <c r="E15" s="51" t="n"/>
      <c r="F15" s="52" t="n"/>
      <c r="G15" s="52" t="n">
        <v>30</v>
      </c>
      <c r="H15" s="55">
        <f>H14-G15</f>
        <v/>
      </c>
      <c r="I15" s="51" t="n"/>
      <c r="J15" s="749" t="n"/>
      <c r="K15" s="749">
        <f>G15*D15</f>
        <v/>
      </c>
      <c r="L15" s="748" t="n"/>
      <c r="M15" s="114" t="n"/>
    </row>
    <row r="16">
      <c r="A16" s="48" t="n">
        <v>43106</v>
      </c>
      <c r="B16" s="49" t="inlineStr">
        <is>
          <t>5482</t>
        </is>
      </c>
      <c r="C16" s="50" t="n"/>
      <c r="D16" s="51" t="n">
        <v>43</v>
      </c>
      <c r="E16" s="51" t="n"/>
      <c r="F16" s="52" t="n"/>
      <c r="G16" s="52" t="n">
        <v>30</v>
      </c>
      <c r="H16" s="55">
        <f>H15-G16</f>
        <v/>
      </c>
      <c r="I16" s="51" t="n"/>
      <c r="J16" s="749" t="n"/>
      <c r="K16" s="749">
        <f>G16*D16</f>
        <v/>
      </c>
      <c r="L16" s="748" t="n"/>
      <c r="M16" s="114" t="n"/>
    </row>
    <row r="17">
      <c r="A17" s="48" t="n">
        <v>43106</v>
      </c>
      <c r="B17" s="49" t="inlineStr">
        <is>
          <t>5483</t>
        </is>
      </c>
      <c r="C17" s="50" t="n"/>
      <c r="D17" s="51" t="n">
        <v>43</v>
      </c>
      <c r="E17" s="51" t="n"/>
      <c r="F17" s="52" t="n"/>
      <c r="G17" s="52" t="n">
        <v>20</v>
      </c>
      <c r="H17" s="55">
        <f>H16-G17</f>
        <v/>
      </c>
      <c r="I17" s="51" t="n"/>
      <c r="J17" s="749" t="n"/>
      <c r="K17" s="749">
        <f>G17*D17</f>
        <v/>
      </c>
      <c r="L17" s="748" t="n"/>
      <c r="M17" s="114" t="n"/>
    </row>
    <row r="18">
      <c r="A18" s="48" t="n">
        <v>43108</v>
      </c>
      <c r="B18" s="49" t="inlineStr">
        <is>
          <t>5489</t>
        </is>
      </c>
      <c r="C18" s="50" t="n"/>
      <c r="D18" s="51" t="n">
        <v>41</v>
      </c>
      <c r="E18" s="51" t="n"/>
      <c r="F18" s="52" t="n"/>
      <c r="G18" s="52" t="n">
        <v>30</v>
      </c>
      <c r="H18" s="55">
        <f>H17-G18</f>
        <v/>
      </c>
      <c r="I18" s="51" t="n"/>
      <c r="J18" s="749" t="n"/>
      <c r="K18" s="749">
        <f>G18*D18</f>
        <v/>
      </c>
      <c r="L18" s="748" t="n"/>
      <c r="M18" s="114" t="n"/>
    </row>
    <row r="19">
      <c r="A19" s="48" t="n">
        <v>43108</v>
      </c>
      <c r="B19" s="49" t="inlineStr">
        <is>
          <t>5486</t>
        </is>
      </c>
      <c r="C19" s="50" t="n"/>
      <c r="D19" s="51" t="n">
        <v>43</v>
      </c>
      <c r="E19" s="51" t="n"/>
      <c r="F19" s="52" t="n"/>
      <c r="G19" s="52" t="n">
        <v>30</v>
      </c>
      <c r="H19" s="55">
        <f>H18-G19</f>
        <v/>
      </c>
      <c r="I19" s="51" t="n"/>
      <c r="J19" s="749" t="n"/>
      <c r="K19" s="749">
        <f>G19*D19</f>
        <v/>
      </c>
      <c r="L19" s="748" t="n"/>
      <c r="M19" s="114" t="n"/>
    </row>
    <row r="20">
      <c r="A20" s="86" t="n">
        <v>43109</v>
      </c>
      <c r="B20" s="49" t="inlineStr">
        <is>
          <t>5491</t>
        </is>
      </c>
      <c r="C20" s="50" t="n"/>
      <c r="D20" s="51" t="n">
        <v>42</v>
      </c>
      <c r="E20" s="51" t="n"/>
      <c r="F20" s="52" t="n"/>
      <c r="G20" s="52" t="n">
        <v>25</v>
      </c>
      <c r="H20" s="55">
        <f>H19-G20</f>
        <v/>
      </c>
      <c r="I20" s="51" t="n"/>
      <c r="J20" s="749" t="n"/>
      <c r="K20" s="749">
        <f>G20*D20</f>
        <v/>
      </c>
      <c r="L20" s="748" t="n"/>
      <c r="M20" s="114" t="n"/>
    </row>
    <row r="21">
      <c r="A21" s="48" t="n">
        <v>43109</v>
      </c>
      <c r="B21" s="49" t="inlineStr">
        <is>
          <t>5492</t>
        </is>
      </c>
      <c r="C21" s="50" t="n"/>
      <c r="D21" s="51" t="n">
        <v>40</v>
      </c>
      <c r="E21" s="51" t="n"/>
      <c r="F21" s="52" t="n"/>
      <c r="G21" s="52" t="n">
        <v>20</v>
      </c>
      <c r="H21" s="55">
        <f>H20-G21</f>
        <v/>
      </c>
      <c r="I21" s="51" t="n"/>
      <c r="J21" s="749" t="n"/>
      <c r="K21" s="749">
        <f>G21*D21</f>
        <v/>
      </c>
      <c r="L21" s="748" t="n"/>
      <c r="M21" s="114" t="n"/>
    </row>
    <row r="22">
      <c r="A22" s="48" t="n">
        <v>43110</v>
      </c>
      <c r="B22" s="49" t="inlineStr">
        <is>
          <t>5493</t>
        </is>
      </c>
      <c r="C22" s="50" t="n"/>
      <c r="D22" s="51" t="n">
        <v>38</v>
      </c>
      <c r="E22" s="51" t="n"/>
      <c r="F22" s="52" t="n"/>
      <c r="G22" s="52" t="n">
        <v>100</v>
      </c>
      <c r="H22" s="55">
        <f>H21-G22</f>
        <v/>
      </c>
      <c r="I22" s="51" t="n"/>
      <c r="J22" s="749" t="n"/>
      <c r="K22" s="749">
        <f>G22*D22</f>
        <v/>
      </c>
      <c r="L22" s="748" t="n"/>
      <c r="M22" s="114" t="n"/>
    </row>
    <row r="23" ht="17.25" customHeight="1" s="436">
      <c r="A23" s="48" t="n">
        <v>43115</v>
      </c>
      <c r="B23" s="49" t="inlineStr">
        <is>
          <t>5501</t>
        </is>
      </c>
      <c r="C23" s="50" t="n"/>
      <c r="D23" s="51" t="n">
        <v>40</v>
      </c>
      <c r="E23" s="51" t="n"/>
      <c r="F23" s="52" t="n"/>
      <c r="G23" s="52" t="n">
        <v>20</v>
      </c>
      <c r="H23" s="87">
        <f>H22-G23</f>
        <v/>
      </c>
      <c r="I23" s="51" t="n"/>
      <c r="J23" s="749" t="n"/>
      <c r="K23" s="749">
        <f>G23*D23</f>
        <v/>
      </c>
      <c r="L23" s="748" t="n"/>
      <c r="M23" s="114" t="n"/>
    </row>
    <row r="24" ht="17.25" customHeight="1" s="436">
      <c r="A24" s="48" t="n">
        <v>43115</v>
      </c>
      <c r="B24" s="49" t="inlineStr">
        <is>
          <t>5498</t>
        </is>
      </c>
      <c r="C24" s="50" t="n"/>
      <c r="D24" s="51" t="n">
        <v>42</v>
      </c>
      <c r="E24" s="51" t="n"/>
      <c r="F24" s="52" t="n"/>
      <c r="G24" s="52" t="n">
        <v>55</v>
      </c>
      <c r="H24" s="87">
        <f>H23-G24</f>
        <v/>
      </c>
      <c r="I24" s="51" t="n"/>
      <c r="J24" s="749" t="n"/>
      <c r="K24" s="749">
        <f>G24*D24</f>
        <v/>
      </c>
      <c r="L24" s="748" t="n"/>
      <c r="M24" s="114" t="n"/>
    </row>
    <row r="25" ht="17.25" customHeight="1" s="436">
      <c r="A25" s="48" t="n">
        <v>43115</v>
      </c>
      <c r="B25" s="49" t="inlineStr">
        <is>
          <t>5503</t>
        </is>
      </c>
      <c r="C25" s="50" t="n"/>
      <c r="D25" s="51" t="n">
        <v>42</v>
      </c>
      <c r="E25" s="51" t="n"/>
      <c r="F25" s="52" t="n"/>
      <c r="G25" s="52" t="n">
        <v>30</v>
      </c>
      <c r="H25" s="87">
        <f>H24-G25</f>
        <v/>
      </c>
      <c r="I25" s="51" t="n"/>
      <c r="J25" s="749" t="n"/>
      <c r="K25" s="749">
        <f>G25*D25</f>
        <v/>
      </c>
      <c r="L25" s="748" t="n"/>
      <c r="M25" s="114" t="n"/>
    </row>
    <row r="26" ht="17.25" customHeight="1" s="436">
      <c r="A26" s="48" t="n">
        <v>43116</v>
      </c>
      <c r="B26" s="49" t="inlineStr">
        <is>
          <t>5508</t>
        </is>
      </c>
      <c r="C26" s="50" t="n"/>
      <c r="D26" s="51" t="n">
        <v>42</v>
      </c>
      <c r="E26" s="51" t="n"/>
      <c r="F26" s="52" t="n"/>
      <c r="G26" s="52" t="n">
        <v>20</v>
      </c>
      <c r="H26" s="87">
        <f>H25-G26</f>
        <v/>
      </c>
      <c r="I26" s="51" t="n"/>
      <c r="J26" s="749" t="n"/>
      <c r="K26" s="749">
        <f>G26*D26</f>
        <v/>
      </c>
      <c r="L26" s="748" t="n"/>
      <c r="M26" s="114" t="n"/>
    </row>
    <row r="27" ht="17.25" customHeight="1" s="436">
      <c r="A27" s="48" t="n">
        <v>43116</v>
      </c>
      <c r="B27" s="49" t="inlineStr">
        <is>
          <t>5505</t>
        </is>
      </c>
      <c r="C27" s="50" t="n"/>
      <c r="D27" s="51" t="n">
        <v>40</v>
      </c>
      <c r="E27" s="51" t="n"/>
      <c r="F27" s="52" t="n"/>
      <c r="G27" s="52" t="n">
        <v>20</v>
      </c>
      <c r="H27" s="87">
        <f>H26-G27</f>
        <v/>
      </c>
      <c r="I27" s="51" t="n"/>
      <c r="J27" s="749" t="n"/>
      <c r="K27" s="749">
        <f>G27*D27</f>
        <v/>
      </c>
      <c r="L27" s="748" t="n"/>
      <c r="M27" s="114" t="n"/>
    </row>
    <row r="28" ht="17.25" customHeight="1" s="436">
      <c r="A28" s="48" t="n">
        <v>43116</v>
      </c>
      <c r="B28" s="49" t="inlineStr">
        <is>
          <t>5504</t>
        </is>
      </c>
      <c r="C28" s="50" t="n"/>
      <c r="D28" s="51" t="n">
        <v>40</v>
      </c>
      <c r="E28" s="51" t="n"/>
      <c r="F28" s="52" t="n"/>
      <c r="G28" s="52" t="n">
        <v>20</v>
      </c>
      <c r="H28" s="87">
        <f>H27-G28</f>
        <v/>
      </c>
      <c r="I28" s="51" t="n"/>
      <c r="J28" s="749" t="n"/>
      <c r="K28" s="749">
        <f>G28*D28</f>
        <v/>
      </c>
      <c r="L28" s="748" t="n"/>
      <c r="M28" s="114" t="n"/>
    </row>
    <row r="29" ht="17.25" customHeight="1" s="436">
      <c r="A29" s="48" t="n">
        <v>43117</v>
      </c>
      <c r="B29" s="49" t="inlineStr">
        <is>
          <t>5521</t>
        </is>
      </c>
      <c r="C29" s="50" t="n"/>
      <c r="D29" s="51" t="n">
        <v>40</v>
      </c>
      <c r="E29" s="51" t="n"/>
      <c r="F29" s="52" t="n"/>
      <c r="G29" s="52" t="n">
        <v>10</v>
      </c>
      <c r="H29" s="87">
        <f>H28-G29</f>
        <v/>
      </c>
      <c r="I29" s="51" t="n"/>
      <c r="J29" s="749" t="n"/>
      <c r="K29" s="749">
        <f>G29*D29</f>
        <v/>
      </c>
      <c r="L29" s="748" t="n"/>
      <c r="M29" s="114" t="n"/>
    </row>
    <row r="30" ht="17.25" customHeight="1" s="436">
      <c r="A30" s="48" t="n">
        <v>43117</v>
      </c>
      <c r="B30" s="49" t="inlineStr">
        <is>
          <t>5514</t>
        </is>
      </c>
      <c r="C30" s="50" t="n"/>
      <c r="D30" s="51" t="n">
        <v>40</v>
      </c>
      <c r="E30" s="51" t="n"/>
      <c r="F30" s="52" t="n"/>
      <c r="G30" s="52" t="n">
        <v>50</v>
      </c>
      <c r="H30" s="87">
        <f>H29-G30</f>
        <v/>
      </c>
      <c r="I30" s="51" t="n"/>
      <c r="J30" s="749" t="n"/>
      <c r="K30" s="749">
        <f>G30*D30</f>
        <v/>
      </c>
      <c r="L30" s="748" t="n"/>
      <c r="M30" s="114" t="n"/>
    </row>
    <row r="31" ht="17.25" customHeight="1" s="436">
      <c r="A31" s="48" t="n">
        <v>43117</v>
      </c>
      <c r="B31" s="49" t="inlineStr">
        <is>
          <t>5519</t>
        </is>
      </c>
      <c r="C31" s="50" t="n"/>
      <c r="D31" s="51" t="n">
        <v>40</v>
      </c>
      <c r="E31" s="51" t="n"/>
      <c r="F31" s="52" t="n"/>
      <c r="G31" s="52" t="n">
        <v>20</v>
      </c>
      <c r="H31" s="87">
        <f>H30-G31</f>
        <v/>
      </c>
      <c r="I31" s="51" t="n"/>
      <c r="J31" s="749" t="n"/>
      <c r="K31" s="749">
        <f>G31*D31</f>
        <v/>
      </c>
      <c r="L31" s="748" t="n"/>
      <c r="M31" s="114" t="n"/>
    </row>
    <row r="32" ht="17.25" customHeight="1" s="436">
      <c r="A32" s="48" t="n">
        <v>43129</v>
      </c>
      <c r="B32" s="49" t="inlineStr">
        <is>
          <t>5540</t>
        </is>
      </c>
      <c r="C32" s="50" t="n"/>
      <c r="D32" s="51" t="n">
        <v>43</v>
      </c>
      <c r="E32" s="51" t="n"/>
      <c r="F32" s="52" t="n"/>
      <c r="G32" s="52" t="n">
        <v>10</v>
      </c>
      <c r="H32" s="87">
        <f>H31-G32</f>
        <v/>
      </c>
      <c r="I32" s="51" t="n"/>
      <c r="J32" s="749" t="n"/>
      <c r="K32" s="749">
        <f>G32*D32</f>
        <v/>
      </c>
      <c r="L32" s="748" t="n"/>
      <c r="M32" s="114" t="n"/>
    </row>
    <row r="33" ht="17.25" customHeight="1" s="436">
      <c r="A33" s="92" t="n">
        <v>43130</v>
      </c>
      <c r="B33" s="93" t="inlineStr">
        <is>
          <t>83573</t>
        </is>
      </c>
      <c r="C33" s="96" t="n"/>
      <c r="D33" s="97" t="n">
        <v>31.4</v>
      </c>
      <c r="E33" s="97" t="n"/>
      <c r="F33" s="98" t="n">
        <v>900</v>
      </c>
      <c r="G33" s="98" t="n"/>
      <c r="H33" s="100">
        <f>H32+F33</f>
        <v/>
      </c>
      <c r="I33" s="51" t="n"/>
      <c r="J33" s="749" t="n"/>
      <c r="K33" s="749" t="n"/>
      <c r="L33" s="748" t="n"/>
      <c r="M33" s="114" t="n"/>
    </row>
    <row r="34" ht="17.25" customHeight="1" s="436">
      <c r="A34" s="48" t="n">
        <v>43131</v>
      </c>
      <c r="B34" s="49" t="inlineStr">
        <is>
          <t>5547</t>
        </is>
      </c>
      <c r="C34" s="50" t="n"/>
      <c r="D34" s="51" t="n">
        <v>39</v>
      </c>
      <c r="E34" s="51" t="n"/>
      <c r="F34" s="52" t="n"/>
      <c r="G34" s="52" t="n">
        <v>100</v>
      </c>
      <c r="H34" s="87">
        <f>H33-G34</f>
        <v/>
      </c>
      <c r="I34" s="51" t="n"/>
      <c r="J34" s="749" t="n"/>
      <c r="K34" s="749" t="n"/>
      <c r="L34" s="748" t="n"/>
      <c r="M34" s="114" t="n"/>
    </row>
    <row r="35" ht="17.25" customHeight="1" s="436">
      <c r="A35" s="48" t="n">
        <v>43131</v>
      </c>
      <c r="B35" s="49" t="inlineStr">
        <is>
          <t>5550</t>
        </is>
      </c>
      <c r="C35" s="50" t="n"/>
      <c r="D35" s="51" t="n">
        <v>42</v>
      </c>
      <c r="E35" s="51" t="n"/>
      <c r="F35" s="52" t="n"/>
      <c r="G35" s="52" t="n">
        <v>60</v>
      </c>
      <c r="H35" s="87">
        <f>H34-G35</f>
        <v/>
      </c>
      <c r="I35" s="51" t="n"/>
      <c r="J35" s="749" t="n"/>
      <c r="K35" s="749" t="n"/>
      <c r="L35" s="748" t="n"/>
      <c r="M35" s="114" t="n"/>
    </row>
    <row r="36" ht="17.25" customHeight="1" s="436">
      <c r="A36" s="92" t="n">
        <v>43131</v>
      </c>
      <c r="B36" s="93" t="inlineStr">
        <is>
          <t>5552</t>
        </is>
      </c>
      <c r="C36" s="96" t="n"/>
      <c r="D36" s="97" t="n">
        <v>42</v>
      </c>
      <c r="E36" s="97" t="n"/>
      <c r="F36" s="98" t="n"/>
      <c r="G36" s="98" t="n">
        <v>50</v>
      </c>
      <c r="H36" s="100">
        <f>H35-G36</f>
        <v/>
      </c>
      <c r="I36" s="51" t="n"/>
      <c r="J36" s="749" t="n"/>
      <c r="K36" s="749" t="n"/>
      <c r="L36" s="748" t="n"/>
      <c r="M36" s="114" t="n"/>
    </row>
    <row r="37" ht="17.25" customHeight="1" s="436">
      <c r="A37" s="92" t="n"/>
      <c r="B37" s="103" t="n"/>
      <c r="C37" s="96" t="n"/>
      <c r="D37" s="97" t="n"/>
      <c r="E37" s="97" t="n"/>
      <c r="F37" s="98" t="n"/>
      <c r="G37" s="98" t="n"/>
      <c r="H37" s="100">
        <f>H36-G37</f>
        <v/>
      </c>
      <c r="I37" s="51" t="n"/>
      <c r="J37" s="749" t="n"/>
      <c r="K37" s="749" t="n"/>
      <c r="L37" s="748" t="n"/>
      <c r="M37" s="114" t="n"/>
    </row>
    <row r="38" ht="17.25" customHeight="1" s="436">
      <c r="A38" s="48" t="n">
        <v>43132</v>
      </c>
      <c r="B38" s="49" t="inlineStr">
        <is>
          <t>5554</t>
        </is>
      </c>
      <c r="C38" s="50" t="n"/>
      <c r="D38" s="51" t="n">
        <v>42</v>
      </c>
      <c r="E38" s="51" t="n"/>
      <c r="F38" s="52" t="n"/>
      <c r="G38" s="52" t="n">
        <v>40</v>
      </c>
      <c r="H38" s="87">
        <f>H37-G38</f>
        <v/>
      </c>
      <c r="I38" s="51" t="n"/>
      <c r="J38" s="749" t="n"/>
      <c r="K38" s="749" t="n"/>
      <c r="L38" s="748" t="n"/>
      <c r="M38" s="114" t="n"/>
    </row>
    <row r="39" ht="17.25" customHeight="1" s="436">
      <c r="A39" s="48" t="n">
        <v>43132</v>
      </c>
      <c r="B39" s="49" t="inlineStr">
        <is>
          <t>5555</t>
        </is>
      </c>
      <c r="C39" s="50" t="n"/>
      <c r="D39" s="51" t="n">
        <v>40</v>
      </c>
      <c r="E39" s="51" t="n"/>
      <c r="F39" s="52" t="n"/>
      <c r="G39" s="52" t="n">
        <v>40</v>
      </c>
      <c r="H39" s="87">
        <f>H38-G39</f>
        <v/>
      </c>
      <c r="I39" s="51" t="n"/>
      <c r="J39" s="749" t="n"/>
      <c r="K39" s="749" t="n"/>
      <c r="L39" s="748" t="n"/>
      <c r="M39" s="114" t="n"/>
    </row>
    <row r="40" ht="17.25" customHeight="1" s="436">
      <c r="A40" s="48" t="n">
        <v>43136</v>
      </c>
      <c r="B40" s="49" t="inlineStr">
        <is>
          <t>5560</t>
        </is>
      </c>
      <c r="C40" s="50" t="n"/>
      <c r="D40" s="51" t="n">
        <v>40</v>
      </c>
      <c r="E40" s="51" t="n"/>
      <c r="F40" s="52" t="n"/>
      <c r="G40" s="52" t="n">
        <v>30</v>
      </c>
      <c r="H40" s="87">
        <f>H39-G40</f>
        <v/>
      </c>
      <c r="I40" s="51" t="n"/>
      <c r="J40" s="749" t="n"/>
      <c r="K40" s="749" t="n"/>
      <c r="L40" s="748" t="n"/>
      <c r="M40" s="114" t="n"/>
    </row>
    <row r="41" ht="17.25" customHeight="1" s="436">
      <c r="A41" s="48" t="n">
        <v>43136</v>
      </c>
      <c r="B41" s="49" t="inlineStr">
        <is>
          <t>5561</t>
        </is>
      </c>
      <c r="C41" s="50" t="n"/>
      <c r="D41" s="51" t="n">
        <v>41</v>
      </c>
      <c r="E41" s="51" t="n"/>
      <c r="F41" s="52" t="n"/>
      <c r="G41" s="52" t="n">
        <v>50</v>
      </c>
      <c r="H41" s="87">
        <f>H40-G41</f>
        <v/>
      </c>
      <c r="I41" s="51" t="n"/>
      <c r="J41" s="749" t="n"/>
      <c r="K41" s="749" t="n"/>
      <c r="L41" s="748" t="n"/>
      <c r="M41" s="114" t="n"/>
    </row>
    <row r="42" ht="17.25" customHeight="1" s="436">
      <c r="A42" s="48" t="n">
        <v>43137</v>
      </c>
      <c r="B42" s="49" t="inlineStr">
        <is>
          <t>5563</t>
        </is>
      </c>
      <c r="C42" s="50" t="n"/>
      <c r="D42" s="51" t="n">
        <v>35</v>
      </c>
      <c r="E42" s="51" t="n"/>
      <c r="F42" s="52" t="n"/>
      <c r="G42" s="52" t="n">
        <v>10</v>
      </c>
      <c r="H42" s="87">
        <f>H41-G42</f>
        <v/>
      </c>
      <c r="I42" s="51" t="n"/>
      <c r="J42" s="749" t="n"/>
      <c r="K42" s="749" t="n"/>
      <c r="L42" s="748" t="n"/>
      <c r="M42" s="114" t="n"/>
    </row>
    <row r="43" ht="17.25" customHeight="1" s="436">
      <c r="A43" s="48" t="n">
        <v>43137</v>
      </c>
      <c r="B43" s="49" t="inlineStr">
        <is>
          <t>5568</t>
        </is>
      </c>
      <c r="C43" s="50" t="n"/>
      <c r="D43" s="51" t="n">
        <v>40</v>
      </c>
      <c r="E43" s="51" t="n"/>
      <c r="F43" s="52" t="n"/>
      <c r="G43" s="52" t="n">
        <v>60</v>
      </c>
      <c r="H43" s="87">
        <f>H42-G43</f>
        <v/>
      </c>
      <c r="I43" s="51" t="n"/>
      <c r="J43" s="749" t="n"/>
      <c r="K43" s="749" t="n"/>
      <c r="L43" s="748" t="n"/>
      <c r="M43" s="114" t="n"/>
    </row>
    <row r="44" ht="17.25" customHeight="1" s="436">
      <c r="A44" s="48" t="n">
        <v>43137</v>
      </c>
      <c r="B44" s="49" t="inlineStr">
        <is>
          <t>5569</t>
        </is>
      </c>
      <c r="C44" s="50" t="n"/>
      <c r="D44" s="51" t="n">
        <v>42</v>
      </c>
      <c r="E44" s="51" t="n"/>
      <c r="F44" s="52" t="n"/>
      <c r="G44" s="52" t="n">
        <v>30</v>
      </c>
      <c r="H44" s="87">
        <f>H43-G44</f>
        <v/>
      </c>
      <c r="I44" s="51" t="n"/>
      <c r="J44" s="749" t="n"/>
      <c r="K44" s="749" t="n"/>
      <c r="L44" s="748" t="n"/>
      <c r="M44" s="114" t="n"/>
    </row>
    <row r="45" ht="17.25" customHeight="1" s="436">
      <c r="A45" s="48" t="n">
        <v>43137</v>
      </c>
      <c r="B45" s="49" t="inlineStr">
        <is>
          <t>5570</t>
        </is>
      </c>
      <c r="C45" s="50" t="n"/>
      <c r="D45" s="51" t="n">
        <v>41.75</v>
      </c>
      <c r="E45" s="51" t="n"/>
      <c r="F45" s="52" t="n"/>
      <c r="G45" s="52" t="n">
        <v>40</v>
      </c>
      <c r="H45" s="87">
        <f>H44-G45</f>
        <v/>
      </c>
      <c r="I45" s="51" t="n"/>
      <c r="J45" s="749" t="n"/>
      <c r="K45" s="749" t="n"/>
      <c r="L45" s="748" t="n"/>
      <c r="M45" s="114" t="n"/>
    </row>
    <row r="46" ht="17.25" customHeight="1" s="436">
      <c r="A46" s="48" t="n">
        <v>43144</v>
      </c>
      <c r="B46" s="49" t="inlineStr">
        <is>
          <t>5575</t>
        </is>
      </c>
      <c r="C46" s="50" t="n"/>
      <c r="D46" s="51" t="n">
        <v>40</v>
      </c>
      <c r="E46" s="51" t="n"/>
      <c r="F46" s="52" t="n"/>
      <c r="G46" s="52" t="n">
        <v>60</v>
      </c>
      <c r="H46" s="87">
        <f>H45-G46</f>
        <v/>
      </c>
      <c r="I46" s="51" t="n"/>
      <c r="J46" s="749" t="n"/>
      <c r="K46" s="749" t="n"/>
      <c r="L46" s="748" t="n"/>
      <c r="M46" s="114" t="n"/>
    </row>
    <row r="47" ht="17.25" customHeight="1" s="436">
      <c r="A47" s="48" t="n">
        <v>43144</v>
      </c>
      <c r="B47" s="49" t="inlineStr">
        <is>
          <t>5576</t>
        </is>
      </c>
      <c r="C47" s="50" t="n"/>
      <c r="D47" s="51" t="n">
        <v>35</v>
      </c>
      <c r="E47" s="51" t="n"/>
      <c r="F47" s="52" t="n"/>
      <c r="G47" s="52" t="n">
        <v>10</v>
      </c>
      <c r="H47" s="87">
        <f>H46-G47</f>
        <v/>
      </c>
      <c r="I47" s="51" t="n"/>
      <c r="J47" s="749" t="n"/>
      <c r="K47" s="749" t="n"/>
      <c r="L47" s="748" t="n"/>
      <c r="M47" s="114" t="n"/>
    </row>
    <row r="48" ht="17.25" customHeight="1" s="436">
      <c r="A48" s="48" t="n">
        <v>43144</v>
      </c>
      <c r="B48" s="49" t="inlineStr">
        <is>
          <t>5577</t>
        </is>
      </c>
      <c r="C48" s="50" t="n"/>
      <c r="D48" s="51" t="n">
        <v>43</v>
      </c>
      <c r="E48" s="51" t="n"/>
      <c r="F48" s="52" t="n"/>
      <c r="G48" s="52" t="n">
        <v>10</v>
      </c>
      <c r="H48" s="87">
        <f>H47-G48</f>
        <v/>
      </c>
      <c r="I48" s="51" t="n"/>
      <c r="J48" s="749" t="n"/>
      <c r="K48" s="749" t="n"/>
      <c r="L48" s="748" t="n"/>
      <c r="M48" s="114" t="n"/>
    </row>
    <row r="49" ht="17.25" customHeight="1" s="436">
      <c r="A49" s="48" t="n">
        <v>43150</v>
      </c>
      <c r="B49" s="49" t="inlineStr">
        <is>
          <t>5581</t>
        </is>
      </c>
      <c r="C49" s="50" t="n"/>
      <c r="D49" s="51" t="n">
        <v>40</v>
      </c>
      <c r="E49" s="51" t="n"/>
      <c r="F49" s="52" t="n"/>
      <c r="G49" s="52" t="n">
        <v>15</v>
      </c>
      <c r="H49" s="87">
        <f>H48-G49</f>
        <v/>
      </c>
      <c r="I49" s="51" t="n"/>
      <c r="J49" s="749" t="n"/>
      <c r="K49" s="749" t="n"/>
      <c r="L49" s="748" t="n"/>
      <c r="M49" s="114" t="n"/>
    </row>
    <row r="50" ht="17.25" customHeight="1" s="436">
      <c r="A50" s="48" t="n">
        <v>43150</v>
      </c>
      <c r="B50" s="49" t="inlineStr">
        <is>
          <t>5585</t>
        </is>
      </c>
      <c r="C50" s="50" t="n"/>
      <c r="D50" s="51" t="n">
        <v>42</v>
      </c>
      <c r="E50" s="51" t="n"/>
      <c r="F50" s="52" t="n"/>
      <c r="G50" s="52" t="n">
        <v>20</v>
      </c>
      <c r="H50" s="87">
        <f>H49-G50</f>
        <v/>
      </c>
      <c r="I50" s="51" t="n"/>
      <c r="J50" s="749" t="n"/>
      <c r="K50" s="749" t="n"/>
      <c r="L50" s="748" t="n"/>
      <c r="M50" s="114" t="n"/>
    </row>
    <row r="51" ht="17.25" customHeight="1" s="436">
      <c r="A51" s="48" t="n">
        <v>43150</v>
      </c>
      <c r="B51" s="49" t="inlineStr">
        <is>
          <t>5591</t>
        </is>
      </c>
      <c r="C51" s="50" t="n"/>
      <c r="D51" s="51" t="n">
        <v>40</v>
      </c>
      <c r="E51" s="51" t="n"/>
      <c r="F51" s="52" t="n"/>
      <c r="G51" s="52" t="n">
        <v>60</v>
      </c>
      <c r="H51" s="87">
        <f>H50-G51</f>
        <v/>
      </c>
      <c r="I51" s="51" t="n"/>
      <c r="J51" s="749" t="n"/>
      <c r="K51" s="749" t="n"/>
      <c r="L51" s="748" t="n"/>
      <c r="M51" s="114" t="n"/>
    </row>
    <row r="52" ht="17.25" customHeight="1" s="436">
      <c r="A52" s="48" t="n">
        <v>43158</v>
      </c>
      <c r="B52" s="49" t="inlineStr">
        <is>
          <t>5602</t>
        </is>
      </c>
      <c r="C52" s="50" t="n"/>
      <c r="D52" s="51" t="n">
        <v>42</v>
      </c>
      <c r="E52" s="51" t="n"/>
      <c r="F52" s="52" t="n"/>
      <c r="G52" s="52" t="n">
        <v>40</v>
      </c>
      <c r="H52" s="87">
        <f>H51-G52</f>
        <v/>
      </c>
      <c r="I52" s="51" t="n"/>
      <c r="J52" s="749" t="n"/>
      <c r="K52" s="749" t="n"/>
      <c r="L52" s="748" t="n"/>
      <c r="M52" s="114" t="n"/>
    </row>
    <row r="53" ht="17.25" customHeight="1" s="436">
      <c r="A53" s="48" t="n"/>
      <c r="B53" s="49" t="n"/>
      <c r="C53" s="50" t="n"/>
      <c r="D53" s="51" t="n"/>
      <c r="E53" s="51" t="n"/>
      <c r="F53" s="52" t="n"/>
      <c r="G53" s="52" t="n"/>
      <c r="H53" s="87">
        <f>H52-G53</f>
        <v/>
      </c>
      <c r="I53" s="51" t="n"/>
      <c r="J53" s="749" t="n"/>
      <c r="K53" s="749" t="n"/>
      <c r="L53" s="748" t="n"/>
      <c r="M53" s="114" t="n"/>
    </row>
    <row r="54" ht="17.25" customHeight="1" s="436">
      <c r="A54" s="48" t="n"/>
      <c r="B54" s="49" t="n"/>
      <c r="C54" s="50" t="n"/>
      <c r="D54" s="51" t="n"/>
      <c r="E54" s="51" t="n"/>
      <c r="F54" s="52" t="n"/>
      <c r="G54" s="52" t="n"/>
      <c r="H54" s="87">
        <f>H53-G54</f>
        <v/>
      </c>
      <c r="I54" s="51" t="n"/>
      <c r="J54" s="749" t="n"/>
      <c r="K54" s="749" t="n"/>
      <c r="L54" s="748" t="n"/>
      <c r="M54" s="114" t="n"/>
    </row>
    <row r="55" ht="17.25" customHeight="1" s="436">
      <c r="A55" s="48" t="n"/>
      <c r="B55" s="49" t="n"/>
      <c r="C55" s="50" t="n"/>
      <c r="D55" s="51" t="n"/>
      <c r="E55" s="51" t="n"/>
      <c r="F55" s="52" t="n"/>
      <c r="G55" s="52" t="n"/>
      <c r="H55" s="87">
        <f>H54-G55</f>
        <v/>
      </c>
      <c r="I55" s="51" t="n"/>
      <c r="J55" s="749" t="n"/>
      <c r="K55" s="749" t="n"/>
      <c r="L55" s="748" t="n"/>
      <c r="M55" s="114" t="n"/>
    </row>
    <row r="56" ht="17.25" customHeight="1" s="436">
      <c r="A56" s="48" t="n"/>
      <c r="B56" s="49" t="n"/>
      <c r="C56" s="50" t="n"/>
      <c r="D56" s="51" t="n"/>
      <c r="E56" s="51" t="n"/>
      <c r="F56" s="52" t="n"/>
      <c r="G56" s="52" t="n"/>
      <c r="H56" s="87" t="n"/>
      <c r="I56" s="51" t="n"/>
      <c r="J56" s="749" t="n"/>
      <c r="K56" s="749" t="n"/>
      <c r="L56" s="748" t="n"/>
      <c r="M56" s="114" t="n"/>
    </row>
    <row r="57" ht="17.25" customHeight="1" s="436">
      <c r="A57" s="48" t="n"/>
      <c r="B57" s="49" t="n"/>
      <c r="C57" s="50" t="n"/>
      <c r="D57" s="51" t="n"/>
      <c r="E57" s="51" t="n"/>
      <c r="F57" s="52" t="n"/>
      <c r="G57" s="52" t="n"/>
      <c r="H57" s="87" t="n"/>
      <c r="I57" s="51" t="n"/>
      <c r="J57" s="749" t="n"/>
      <c r="K57" s="749" t="n"/>
      <c r="L57" s="748" t="n"/>
      <c r="M57" s="114" t="n"/>
    </row>
    <row r="58" ht="17.25" customHeight="1" s="436">
      <c r="A58" s="48" t="n"/>
      <c r="B58" s="49" t="n"/>
      <c r="C58" s="50" t="n"/>
      <c r="D58" s="51" t="n"/>
      <c r="E58" s="51" t="n"/>
      <c r="F58" s="52" t="n"/>
      <c r="G58" s="52" t="n"/>
      <c r="H58" s="87" t="n"/>
      <c r="I58" s="51" t="n"/>
      <c r="J58" s="749" t="n"/>
      <c r="K58" s="749" t="n"/>
      <c r="L58" s="748" t="n"/>
      <c r="M58" s="114" t="n"/>
    </row>
    <row r="59" ht="17.25" customHeight="1" s="436">
      <c r="A59" s="48" t="n"/>
      <c r="B59" s="49" t="n"/>
      <c r="C59" s="50" t="n"/>
      <c r="D59" s="51" t="n"/>
      <c r="E59" s="51" t="n"/>
      <c r="F59" s="52" t="n"/>
      <c r="G59" s="52" t="n"/>
      <c r="H59" s="87" t="n"/>
      <c r="I59" s="51" t="n"/>
      <c r="J59" s="749" t="n"/>
      <c r="K59" s="749" t="n"/>
      <c r="L59" s="748" t="n"/>
      <c r="M59" s="114" t="n"/>
    </row>
    <row r="60" ht="17.25" customHeight="1" s="436">
      <c r="A60" s="48" t="n"/>
      <c r="B60" s="49" t="n"/>
      <c r="C60" s="50" t="n"/>
      <c r="D60" s="51" t="n"/>
      <c r="E60" s="51" t="n"/>
      <c r="F60" s="52" t="n"/>
      <c r="G60" s="52" t="n"/>
      <c r="H60" s="87" t="n"/>
      <c r="I60" s="51" t="n"/>
      <c r="J60" s="749" t="n"/>
      <c r="K60" s="749" t="n"/>
      <c r="L60" s="750" t="n"/>
      <c r="M60" s="114" t="n"/>
    </row>
    <row r="61" ht="15.75" customHeight="1" s="436">
      <c r="A61" s="751" t="inlineStr">
        <is>
          <t>TOTAL DO MÊS DE DEZEMBRO / 2017</t>
        </is>
      </c>
      <c r="B61" s="715" t="n"/>
      <c r="C61" s="715" t="n"/>
      <c r="D61" s="715" t="n"/>
      <c r="E61" s="716" t="n"/>
      <c r="F61" s="56">
        <f>SUM(F8:F60)+H7</f>
        <v/>
      </c>
      <c r="G61" s="56">
        <f>SUM(G8:G60)</f>
        <v/>
      </c>
      <c r="H61" s="56" t="n"/>
      <c r="I61" s="57" t="n"/>
      <c r="J61" s="752">
        <f>SUM(J8:J60)</f>
        <v/>
      </c>
      <c r="K61" s="752">
        <f>SUM(K8:K60)</f>
        <v/>
      </c>
      <c r="L61" s="753" t="n"/>
      <c r="M61" s="114" t="n"/>
    </row>
    <row r="62" ht="15.75" customHeight="1" s="436">
      <c r="A62" s="68" t="n"/>
      <c r="B62" s="723" t="n"/>
      <c r="C62" s="715" t="n"/>
      <c r="D62" s="715" t="n"/>
      <c r="E62" s="715" t="n"/>
      <c r="F62" s="715" t="n"/>
      <c r="G62" s="715" t="n"/>
      <c r="H62" s="715" t="n"/>
      <c r="I62" s="715" t="n"/>
      <c r="J62" s="715" t="n"/>
      <c r="K62" s="715" t="n"/>
      <c r="L62" s="724" t="n"/>
      <c r="M62" s="114" t="n"/>
    </row>
    <row r="63" ht="15.75" customHeight="1" s="436" thickBot="1">
      <c r="A63" s="725" t="inlineStr">
        <is>
          <t xml:space="preserve">O  PREÇO MÉDIO DO DIA = SALDO ATUAL DO DIA DIVIDIDO PELO SALDO ANTERIOR DO DIA </t>
        </is>
      </c>
      <c r="B63" s="719" t="n"/>
      <c r="C63" s="719" t="n"/>
      <c r="D63" s="719" t="n"/>
      <c r="E63" s="719" t="n"/>
      <c r="F63" s="719" t="n"/>
      <c r="G63" s="719" t="n"/>
      <c r="H63" s="719" t="n"/>
      <c r="I63" s="719" t="n"/>
      <c r="J63" s="719" t="n"/>
      <c r="K63" s="719" t="n"/>
      <c r="L63" s="726" t="n"/>
      <c r="M63" s="114" t="n"/>
    </row>
    <row r="64">
      <c r="A64" s="76" t="n"/>
      <c r="B64" s="76" t="n"/>
      <c r="C64" s="76" t="n"/>
      <c r="D64" s="76" t="n"/>
      <c r="E64" s="76" t="n"/>
      <c r="F64" s="76" t="n"/>
      <c r="G64" s="76" t="n"/>
      <c r="H64" s="76" t="n"/>
      <c r="I64" s="76" t="n"/>
      <c r="J64" s="76" t="n"/>
      <c r="K64" s="76" t="n"/>
      <c r="L64" s="76" t="n"/>
      <c r="M64" s="114" t="n"/>
    </row>
    <row r="65">
      <c r="A65" s="76" t="n"/>
      <c r="B65" s="76" t="n"/>
      <c r="C65" s="76" t="n"/>
      <c r="D65" s="76" t="n"/>
      <c r="E65" s="76" t="n"/>
      <c r="F65" s="76" t="n"/>
      <c r="G65" s="76" t="n"/>
      <c r="H65" s="76" t="n"/>
      <c r="I65" s="76" t="n"/>
      <c r="J65" s="76" t="n"/>
      <c r="K65" s="76" t="n"/>
      <c r="L65" s="76" t="n"/>
      <c r="M65" s="114" t="n"/>
    </row>
    <row r="66">
      <c r="A66" s="76" t="n"/>
      <c r="B66" s="76" t="n"/>
      <c r="C66" s="116" t="inlineStr">
        <is>
          <t>S</t>
        </is>
      </c>
      <c r="D66" s="76" t="n"/>
      <c r="E66" s="76" t="n"/>
      <c r="F66" s="76" t="n"/>
      <c r="G66" s="76" t="n"/>
      <c r="H66" s="76" t="n"/>
      <c r="I66" s="76" t="n"/>
      <c r="J66" s="76" t="n"/>
      <c r="K66" s="76" t="n"/>
      <c r="L66" s="76" t="n"/>
      <c r="M66" s="114" t="n"/>
    </row>
    <row r="67" ht="15.75" customHeight="1" s="436" thickBot="1">
      <c r="A67" s="76" t="n"/>
      <c r="B67" s="76" t="n"/>
      <c r="C67" s="76" t="n"/>
      <c r="D67" s="76" t="n"/>
      <c r="E67" s="76" t="n"/>
      <c r="F67" s="76" t="n"/>
      <c r="G67" s="76" t="n"/>
      <c r="H67" s="76" t="n"/>
      <c r="I67" s="76" t="n"/>
      <c r="J67" s="76" t="n"/>
      <c r="K67" s="76" t="n"/>
      <c r="L67" s="76" t="n"/>
      <c r="M67" s="114" t="n"/>
    </row>
    <row r="68" ht="29.25" customHeight="1" s="436" thickBot="1">
      <c r="A68" s="696" t="inlineStr">
        <is>
          <t>PLANILHA CONTROLE DE ESTOQUE</t>
        </is>
      </c>
      <c r="B68" s="697" t="n"/>
      <c r="C68" s="697" t="n"/>
      <c r="D68" s="697" t="n"/>
      <c r="E68" s="697" t="n"/>
      <c r="F68" s="697" t="n"/>
      <c r="G68" s="697" t="n"/>
      <c r="H68" s="697" t="n"/>
      <c r="I68" s="697" t="n"/>
      <c r="J68" s="697" t="n"/>
      <c r="K68" s="697" t="n"/>
      <c r="L68" s="698" t="n"/>
      <c r="M68" s="114" t="n"/>
    </row>
    <row r="69" ht="21.75" customHeight="1" s="436" thickBot="1">
      <c r="A69" s="744" t="inlineStr">
        <is>
          <t xml:space="preserve">021 - DENISE FURTADO DE SOUZA - ME </t>
        </is>
      </c>
      <c r="B69" s="737" t="n"/>
      <c r="C69" s="737" t="n"/>
      <c r="D69" s="737" t="n"/>
      <c r="E69" s="737" t="n"/>
      <c r="F69" s="737" t="n"/>
      <c r="G69" s="737" t="n"/>
      <c r="H69" s="737" t="n"/>
      <c r="I69" s="737" t="n"/>
      <c r="J69" s="737" t="n"/>
      <c r="K69" s="737" t="n"/>
      <c r="L69" s="736" t="n"/>
      <c r="M69" s="114" t="n"/>
    </row>
    <row r="70" ht="24" customHeight="1" s="436" thickBot="1">
      <c r="A70" s="745" t="inlineStr">
        <is>
          <t xml:space="preserve">  PRÉ MISTURA - 25 KG</t>
        </is>
      </c>
      <c r="B70" s="737" t="n"/>
      <c r="C70" s="737" t="n"/>
      <c r="D70" s="737" t="n"/>
      <c r="E70" s="737" t="n"/>
      <c r="F70" s="737" t="n"/>
      <c r="G70" s="737" t="n"/>
      <c r="H70" s="737" t="n"/>
      <c r="I70" s="737" t="n"/>
      <c r="J70" s="737" t="n"/>
      <c r="K70" s="737" t="n"/>
      <c r="L70" s="736" t="n"/>
      <c r="M70" s="114" t="n"/>
    </row>
    <row r="71">
      <c r="A71" s="746" t="inlineStr">
        <is>
          <t>DATA</t>
        </is>
      </c>
      <c r="B71" s="3" t="inlineStr">
        <is>
          <t>N.F.</t>
        </is>
      </c>
      <c r="C71" s="3" t="inlineStr">
        <is>
          <t>TIPO</t>
        </is>
      </c>
      <c r="D71" s="3" t="inlineStr">
        <is>
          <t>PREÇO UNITÁRIO</t>
        </is>
      </c>
      <c r="E71" s="736" t="n"/>
      <c r="F71" s="3" t="inlineStr">
        <is>
          <t>QUANTIDADE / KG</t>
        </is>
      </c>
      <c r="G71" s="737" t="n"/>
      <c r="H71" s="736" t="n"/>
      <c r="I71" s="631" t="inlineStr">
        <is>
          <t>PREÇO</t>
        </is>
      </c>
      <c r="J71" s="631" t="inlineStr">
        <is>
          <t>VALORES</t>
        </is>
      </c>
      <c r="K71" s="737" t="n"/>
      <c r="L71" s="736" t="n"/>
      <c r="M71" s="114" t="n"/>
    </row>
    <row r="72" ht="15.75" customHeight="1" s="436" thickBot="1">
      <c r="A72" s="703" t="n"/>
      <c r="B72" s="704" t="n"/>
      <c r="C72" s="704" t="n"/>
      <c r="D72" s="703" t="n"/>
      <c r="E72" s="701" t="n"/>
      <c r="F72" s="705" t="n"/>
      <c r="G72" s="706" t="n"/>
      <c r="H72" s="707" t="n"/>
      <c r="I72" s="704" t="n"/>
      <c r="J72" s="703" t="n"/>
      <c r="L72" s="701" t="n"/>
      <c r="M72" s="114" t="n"/>
    </row>
    <row r="73" ht="15.75" customHeight="1" s="436" thickBot="1">
      <c r="A73" s="703" t="n"/>
      <c r="B73" s="704" t="n"/>
      <c r="C73" s="704" t="n"/>
      <c r="D73" s="705" t="n"/>
      <c r="E73" s="707" t="n"/>
      <c r="F73" s="3" t="inlineStr">
        <is>
          <t>ENTRADA</t>
        </is>
      </c>
      <c r="G73" s="3" t="inlineStr">
        <is>
          <t>SAÍDA</t>
        </is>
      </c>
      <c r="H73" s="640" t="inlineStr">
        <is>
          <t>SALDO EM 30/12/2017</t>
        </is>
      </c>
      <c r="I73" s="633" t="inlineStr">
        <is>
          <t>MÉDIO</t>
        </is>
      </c>
      <c r="J73" s="652" t="inlineStr">
        <is>
          <t>SALDO EM 30/12/2017</t>
        </is>
      </c>
      <c r="K73" s="706" t="n"/>
      <c r="L73" s="17" t="n"/>
      <c r="M73" s="114" t="n"/>
    </row>
    <row r="74" ht="15.75" customHeight="1" s="436" thickBot="1">
      <c r="A74" s="705" t="n"/>
      <c r="B74" s="695" t="n"/>
      <c r="C74" s="695" t="n"/>
      <c r="D74" s="3" t="inlineStr">
        <is>
          <t>C/ICMS</t>
        </is>
      </c>
      <c r="E74" s="3" t="inlineStr">
        <is>
          <t>S/ICMS</t>
        </is>
      </c>
      <c r="F74" s="695" t="n"/>
      <c r="G74" s="695" t="n"/>
      <c r="H74" s="18" t="n"/>
      <c r="I74" s="695" t="n"/>
      <c r="J74" s="645" t="inlineStr">
        <is>
          <t>ENTRADA</t>
        </is>
      </c>
      <c r="K74" s="633" t="inlineStr">
        <is>
          <t>SAÍDA / CMV</t>
        </is>
      </c>
      <c r="L74" s="633" t="inlineStr">
        <is>
          <t>SALDO</t>
        </is>
      </c>
      <c r="M74" s="114" t="n"/>
    </row>
    <row r="75">
      <c r="A75" s="48" t="n"/>
      <c r="B75" s="49" t="n"/>
      <c r="C75" s="49" t="n"/>
      <c r="D75" s="71" t="n"/>
      <c r="E75" s="71" t="n"/>
      <c r="F75" s="55" t="n"/>
      <c r="G75" s="55" t="n">
        <v>0</v>
      </c>
      <c r="H75" s="55" t="n"/>
      <c r="I75" s="71" t="n"/>
      <c r="J75" s="747">
        <f>F75*I75</f>
        <v/>
      </c>
      <c r="K75" s="747" t="n">
        <v>0</v>
      </c>
      <c r="L75" s="748">
        <f>J75-K75</f>
        <v/>
      </c>
      <c r="M75" s="114" t="n"/>
    </row>
    <row r="76">
      <c r="A76" s="92" t="n">
        <v>43160</v>
      </c>
      <c r="B76" s="93" t="n"/>
      <c r="C76" s="96" t="n"/>
      <c r="D76" s="97" t="n"/>
      <c r="E76" s="97" t="n"/>
      <c r="F76" s="98" t="n"/>
      <c r="G76" s="98" t="n"/>
      <c r="H76" s="95" t="n">
        <v>285</v>
      </c>
      <c r="I76" s="51" t="n"/>
      <c r="J76" s="749" t="n"/>
      <c r="K76" s="749">
        <f>G76*D76</f>
        <v/>
      </c>
      <c r="L76" s="748" t="n"/>
      <c r="M76" s="114" t="n"/>
    </row>
    <row r="77">
      <c r="A77" s="48" t="n">
        <v>43165</v>
      </c>
      <c r="B77" s="49" t="inlineStr">
        <is>
          <t>5615</t>
        </is>
      </c>
      <c r="C77" s="50" t="n"/>
      <c r="D77" s="51" t="n">
        <v>42</v>
      </c>
      <c r="E77" s="51" t="n"/>
      <c r="F77" s="52" t="n"/>
      <c r="G77" s="52" t="n">
        <v>25</v>
      </c>
      <c r="H77" s="115">
        <f>H76-G77</f>
        <v/>
      </c>
      <c r="I77" s="51" t="n"/>
      <c r="J77" s="749" t="n"/>
      <c r="K77" s="749">
        <f>G77*D77</f>
        <v/>
      </c>
      <c r="L77" s="748" t="n"/>
      <c r="M77" s="114" t="n"/>
    </row>
    <row r="78">
      <c r="A78" s="48" t="n">
        <v>43166</v>
      </c>
      <c r="B78" s="49" t="inlineStr">
        <is>
          <t>5621</t>
        </is>
      </c>
      <c r="C78" s="49" t="n"/>
      <c r="D78" s="71" t="n">
        <v>40</v>
      </c>
      <c r="E78" s="71" t="n"/>
      <c r="F78" s="55" t="n"/>
      <c r="G78" s="55" t="n">
        <v>10</v>
      </c>
      <c r="H78" s="115">
        <f>H77-G78</f>
        <v/>
      </c>
      <c r="I78" s="71" t="n"/>
      <c r="J78" s="749" t="n"/>
      <c r="K78" s="749">
        <f>G78*D78</f>
        <v/>
      </c>
      <c r="L78" s="748" t="n"/>
      <c r="M78" s="114" t="n"/>
    </row>
    <row r="79">
      <c r="A79" s="48" t="n">
        <v>43172</v>
      </c>
      <c r="B79" s="49" t="inlineStr">
        <is>
          <t>5628</t>
        </is>
      </c>
      <c r="C79" s="49" t="n"/>
      <c r="D79" s="71" t="n">
        <v>40</v>
      </c>
      <c r="E79" s="71" t="n"/>
      <c r="F79" s="55" t="n"/>
      <c r="G79" s="55" t="n">
        <v>20</v>
      </c>
      <c r="H79" s="115">
        <f>H78-G79</f>
        <v/>
      </c>
      <c r="I79" s="71" t="n"/>
      <c r="J79" s="749" t="n"/>
      <c r="K79" s="749" t="n"/>
      <c r="L79" s="748" t="n"/>
      <c r="M79" s="114" t="n"/>
    </row>
    <row r="80">
      <c r="A80" s="48" t="n">
        <v>43172</v>
      </c>
      <c r="B80" s="49" t="inlineStr">
        <is>
          <t>5629</t>
        </is>
      </c>
      <c r="C80" s="49" t="n"/>
      <c r="D80" s="71" t="n">
        <v>40</v>
      </c>
      <c r="E80" s="71" t="n"/>
      <c r="F80" s="55" t="n"/>
      <c r="G80" s="55" t="n">
        <v>10</v>
      </c>
      <c r="H80" s="115">
        <f>H79-G80</f>
        <v/>
      </c>
      <c r="I80" s="71" t="n"/>
      <c r="J80" s="749" t="n"/>
      <c r="K80" s="749" t="n"/>
      <c r="L80" s="748" t="n"/>
      <c r="M80" s="114" t="n"/>
    </row>
    <row r="81">
      <c r="A81" s="48" t="n">
        <v>43172</v>
      </c>
      <c r="B81" s="49" t="inlineStr">
        <is>
          <t>5631</t>
        </is>
      </c>
      <c r="C81" s="49" t="n"/>
      <c r="D81" s="71" t="n">
        <v>41.86</v>
      </c>
      <c r="E81" s="71" t="n"/>
      <c r="F81" s="55" t="n"/>
      <c r="G81" s="55" t="n">
        <v>70</v>
      </c>
      <c r="H81" s="115">
        <f>H80-G81</f>
        <v/>
      </c>
      <c r="I81" s="71" t="n"/>
      <c r="J81" s="749" t="n"/>
      <c r="K81" s="749" t="n"/>
      <c r="L81" s="748" t="n"/>
      <c r="M81" s="114" t="n"/>
    </row>
    <row r="82">
      <c r="A82" s="48" t="n">
        <v>43172</v>
      </c>
      <c r="B82" s="49" t="inlineStr">
        <is>
          <t>5634</t>
        </is>
      </c>
      <c r="C82" s="49" t="n"/>
      <c r="D82" s="71" t="n">
        <v>40</v>
      </c>
      <c r="E82" s="71" t="n"/>
      <c r="F82" s="55" t="n"/>
      <c r="G82" s="55" t="n">
        <v>20</v>
      </c>
      <c r="H82" s="115">
        <f>H81-G82</f>
        <v/>
      </c>
      <c r="I82" s="117" t="n"/>
      <c r="J82" s="749" t="n"/>
      <c r="K82" s="749" t="n"/>
      <c r="L82" s="748" t="n"/>
      <c r="M82" s="114" t="n"/>
    </row>
    <row r="83">
      <c r="A83" s="48" t="n">
        <v>43174</v>
      </c>
      <c r="B83" s="49" t="inlineStr">
        <is>
          <t>5637</t>
        </is>
      </c>
      <c r="C83" s="49" t="n"/>
      <c r="D83" s="71" t="n">
        <v>43</v>
      </c>
      <c r="E83" s="71" t="n"/>
      <c r="F83" s="55" t="n"/>
      <c r="G83" s="55" t="n">
        <v>30</v>
      </c>
      <c r="H83" s="115">
        <f>H82-G83</f>
        <v/>
      </c>
      <c r="I83" s="71" t="n"/>
      <c r="J83" s="749" t="n"/>
      <c r="K83" s="749" t="n"/>
      <c r="L83" s="748" t="n"/>
      <c r="M83" s="114" t="n"/>
    </row>
    <row r="84">
      <c r="A84" s="48" t="n">
        <v>43176</v>
      </c>
      <c r="B84" s="49" t="inlineStr">
        <is>
          <t>5641</t>
        </is>
      </c>
      <c r="C84" s="49" t="n"/>
      <c r="D84" s="71" t="n">
        <v>40</v>
      </c>
      <c r="E84" s="71" t="n"/>
      <c r="F84" s="55" t="n"/>
      <c r="G84" s="55" t="n">
        <v>40</v>
      </c>
      <c r="H84" s="115">
        <f>H83-G84</f>
        <v/>
      </c>
      <c r="I84" s="71" t="n"/>
      <c r="J84" s="749" t="n"/>
      <c r="K84" s="749" t="n"/>
      <c r="L84" s="748" t="n"/>
      <c r="M84" s="114" t="n"/>
    </row>
    <row r="85">
      <c r="A85" s="48" t="n">
        <v>43180</v>
      </c>
      <c r="B85" s="49" t="inlineStr">
        <is>
          <t>5642</t>
        </is>
      </c>
      <c r="C85" s="49" t="n"/>
      <c r="D85" s="71" t="n">
        <v>35</v>
      </c>
      <c r="E85" s="71" t="n"/>
      <c r="F85" s="55" t="n"/>
      <c r="G85" s="55" t="n">
        <v>20</v>
      </c>
      <c r="H85" s="115">
        <f>H84-G85</f>
        <v/>
      </c>
      <c r="I85" s="71" t="n"/>
      <c r="J85" s="749" t="n"/>
      <c r="K85" s="749" t="n"/>
      <c r="L85" s="748" t="n"/>
      <c r="M85" s="114" t="n"/>
    </row>
    <row r="86">
      <c r="A86" s="48" t="n">
        <v>43180</v>
      </c>
      <c r="B86" s="49" t="inlineStr">
        <is>
          <t>5644</t>
        </is>
      </c>
      <c r="C86" s="49" t="n"/>
      <c r="D86" s="71" t="n">
        <v>42</v>
      </c>
      <c r="E86" s="71" t="n"/>
      <c r="F86" s="55" t="n"/>
      <c r="G86" s="55" t="n">
        <v>20</v>
      </c>
      <c r="H86" s="115">
        <f>H85-G86</f>
        <v/>
      </c>
      <c r="I86" s="71" t="n"/>
      <c r="J86" s="749" t="n"/>
      <c r="K86" s="749" t="n"/>
      <c r="L86" s="748" t="n"/>
      <c r="M86" s="114" t="n"/>
    </row>
    <row r="87">
      <c r="A87" s="48" t="n">
        <v>43180</v>
      </c>
      <c r="B87" s="49" t="inlineStr">
        <is>
          <t>5645</t>
        </is>
      </c>
      <c r="C87" s="49" t="n"/>
      <c r="D87" s="71" t="n">
        <v>40</v>
      </c>
      <c r="E87" s="71" t="n"/>
      <c r="F87" s="55" t="n"/>
      <c r="G87" s="55" t="n">
        <v>10</v>
      </c>
      <c r="H87" s="115">
        <f>H86-G87</f>
        <v/>
      </c>
      <c r="I87" s="71" t="n"/>
      <c r="J87" s="749" t="n"/>
      <c r="K87" s="749" t="n"/>
      <c r="L87" s="748" t="n"/>
      <c r="M87" s="114" t="n"/>
    </row>
    <row r="88">
      <c r="A88" s="92" t="n">
        <v>43175</v>
      </c>
      <c r="B88" s="93" t="inlineStr">
        <is>
          <t>87114</t>
        </is>
      </c>
      <c r="C88" s="93" t="n"/>
      <c r="D88" s="94" t="n">
        <v>31.9</v>
      </c>
      <c r="E88" s="94" t="n"/>
      <c r="F88" s="95" t="n">
        <v>640</v>
      </c>
      <c r="G88" s="95" t="n"/>
      <c r="H88" s="118" t="n">
        <v>650</v>
      </c>
      <c r="I88" s="71" t="n"/>
      <c r="J88" s="749" t="n"/>
      <c r="K88" s="749" t="n"/>
      <c r="L88" s="748" t="n"/>
      <c r="M88" s="114" t="n"/>
    </row>
    <row r="89">
      <c r="A89" s="48" t="n">
        <v>43180</v>
      </c>
      <c r="B89" s="49" t="inlineStr">
        <is>
          <t>5646</t>
        </is>
      </c>
      <c r="C89" s="49" t="n"/>
      <c r="D89" s="71" t="n">
        <v>35</v>
      </c>
      <c r="E89" s="71" t="n"/>
      <c r="F89" s="55" t="n"/>
      <c r="G89" s="55" t="n">
        <v>30</v>
      </c>
      <c r="H89" s="115">
        <f>H88-G89</f>
        <v/>
      </c>
      <c r="I89" s="71" t="n"/>
      <c r="J89" s="749" t="n"/>
      <c r="K89" s="749" t="n"/>
      <c r="L89" s="748" t="n"/>
      <c r="M89" s="114" t="n"/>
    </row>
    <row r="90">
      <c r="A90" s="48" t="n">
        <v>43185</v>
      </c>
      <c r="B90" s="49" t="inlineStr">
        <is>
          <t>5650</t>
        </is>
      </c>
      <c r="C90" s="49" t="n"/>
      <c r="D90" s="71" t="n">
        <v>42.1</v>
      </c>
      <c r="E90" s="71" t="n"/>
      <c r="F90" s="55" t="n"/>
      <c r="G90" s="55" t="n">
        <v>22</v>
      </c>
      <c r="H90" s="115">
        <f>H89-G90</f>
        <v/>
      </c>
      <c r="I90" s="71" t="n"/>
      <c r="J90" s="749" t="n"/>
      <c r="K90" s="749" t="n"/>
      <c r="L90" s="748" t="n"/>
      <c r="M90" s="114" t="n"/>
    </row>
    <row r="91">
      <c r="A91" s="48" t="n">
        <v>43185</v>
      </c>
      <c r="B91" s="49" t="inlineStr">
        <is>
          <t>5651</t>
        </is>
      </c>
      <c r="C91" s="49" t="n"/>
      <c r="D91" s="71" t="n">
        <v>35</v>
      </c>
      <c r="E91" s="71" t="n"/>
      <c r="F91" s="55" t="n"/>
      <c r="G91" s="55" t="n">
        <v>20</v>
      </c>
      <c r="H91" s="115">
        <f>H90-G91</f>
        <v/>
      </c>
      <c r="I91" s="71" t="n"/>
      <c r="J91" s="749" t="n"/>
      <c r="K91" s="749" t="n"/>
      <c r="L91" s="748" t="n"/>
      <c r="M91" s="114" t="n"/>
    </row>
    <row r="92">
      <c r="A92" s="48" t="n">
        <v>43185</v>
      </c>
      <c r="B92" s="49" t="inlineStr">
        <is>
          <t>5653</t>
        </is>
      </c>
      <c r="C92" s="49" t="n"/>
      <c r="D92" s="71" t="n">
        <v>35</v>
      </c>
      <c r="E92" s="71" t="n"/>
      <c r="F92" s="55" t="n"/>
      <c r="G92" s="55" t="n">
        <v>30</v>
      </c>
      <c r="H92" s="115">
        <f>H91-G92</f>
        <v/>
      </c>
      <c r="I92" s="71" t="n"/>
      <c r="J92" s="749" t="n"/>
      <c r="K92" s="749" t="n"/>
      <c r="L92" s="748" t="n"/>
      <c r="M92" s="114" t="n"/>
    </row>
    <row r="93">
      <c r="A93" s="48" t="n">
        <v>43185</v>
      </c>
      <c r="B93" s="49" t="inlineStr">
        <is>
          <t>5654</t>
        </is>
      </c>
      <c r="C93" s="49" t="n"/>
      <c r="D93" s="71" t="n">
        <v>35</v>
      </c>
      <c r="E93" s="71" t="n"/>
      <c r="F93" s="55" t="n"/>
      <c r="G93" s="55" t="n">
        <v>20</v>
      </c>
      <c r="H93" s="115">
        <f>H92-G93</f>
        <v/>
      </c>
      <c r="I93" s="71" t="n"/>
      <c r="J93" s="749" t="n"/>
      <c r="K93" s="749" t="n"/>
      <c r="L93" s="748" t="n"/>
      <c r="M93" s="114" t="n"/>
    </row>
    <row r="94">
      <c r="A94" s="48" t="n">
        <v>43185</v>
      </c>
      <c r="B94" s="49" t="inlineStr">
        <is>
          <t>5655</t>
        </is>
      </c>
      <c r="C94" s="49" t="n"/>
      <c r="D94" s="71" t="n">
        <v>40</v>
      </c>
      <c r="E94" s="71" t="n"/>
      <c r="F94" s="55" t="n"/>
      <c r="G94" s="55" t="n">
        <v>30</v>
      </c>
      <c r="H94" s="115">
        <f>H93-G94</f>
        <v/>
      </c>
      <c r="I94" s="71" t="n"/>
      <c r="J94" s="749" t="n"/>
      <c r="K94" s="749" t="n"/>
      <c r="L94" s="748" t="n"/>
      <c r="M94" s="114" t="n"/>
    </row>
    <row r="95">
      <c r="A95" s="48" t="n">
        <v>43185</v>
      </c>
      <c r="B95" s="49" t="inlineStr">
        <is>
          <t>5656</t>
        </is>
      </c>
      <c r="C95" s="49" t="n"/>
      <c r="D95" s="71" t="n">
        <v>35</v>
      </c>
      <c r="E95" s="71" t="n"/>
      <c r="F95" s="55" t="n"/>
      <c r="G95" s="55" t="n">
        <v>10</v>
      </c>
      <c r="H95" s="115">
        <f>H94-G95</f>
        <v/>
      </c>
      <c r="I95" s="71" t="n"/>
      <c r="J95" s="749" t="n"/>
      <c r="K95" s="749" t="n"/>
      <c r="L95" s="748" t="n"/>
      <c r="M95" s="114" t="n"/>
    </row>
    <row r="96">
      <c r="A96" s="48" t="n"/>
      <c r="B96" s="49" t="n"/>
      <c r="C96" s="49" t="n"/>
      <c r="D96" s="71" t="n"/>
      <c r="E96" s="71" t="n"/>
      <c r="F96" s="55" t="n"/>
      <c r="G96" s="55" t="n"/>
      <c r="H96" s="115">
        <f>H95-G96</f>
        <v/>
      </c>
      <c r="I96" s="71" t="n"/>
      <c r="J96" s="749" t="n"/>
      <c r="K96" s="749" t="n"/>
      <c r="L96" s="748" t="n"/>
      <c r="M96" s="114" t="n"/>
    </row>
    <row r="97">
      <c r="A97" s="48" t="n"/>
      <c r="B97" s="49" t="n"/>
      <c r="C97" s="49" t="n"/>
      <c r="D97" s="71" t="n"/>
      <c r="E97" s="71" t="n"/>
      <c r="F97" s="55" t="n"/>
      <c r="G97" s="55" t="n"/>
      <c r="H97" s="115">
        <f>H96-G97</f>
        <v/>
      </c>
      <c r="I97" s="71" t="n"/>
      <c r="J97" s="749" t="n"/>
      <c r="K97" s="749" t="n"/>
      <c r="L97" s="748" t="n"/>
      <c r="M97" s="114" t="n"/>
    </row>
    <row r="98">
      <c r="A98" s="48" t="n"/>
      <c r="B98" s="49" t="n"/>
      <c r="C98" s="49" t="n"/>
      <c r="D98" s="71" t="n"/>
      <c r="E98" s="71" t="n"/>
      <c r="F98" s="55" t="n"/>
      <c r="G98" s="55" t="n"/>
      <c r="H98" s="115">
        <f>H97-G98</f>
        <v/>
      </c>
      <c r="I98" s="71" t="n"/>
      <c r="J98" s="749" t="n"/>
      <c r="K98" s="749" t="n"/>
      <c r="L98" s="748" t="n"/>
      <c r="M98" s="114" t="n"/>
    </row>
    <row r="99">
      <c r="A99" s="48" t="n"/>
      <c r="B99" s="49" t="n"/>
      <c r="C99" s="50" t="n"/>
      <c r="D99" s="51" t="n"/>
      <c r="E99" s="51" t="n"/>
      <c r="F99" s="52" t="n"/>
      <c r="G99" s="52" t="n"/>
      <c r="H99" s="115">
        <f>H98-G99</f>
        <v/>
      </c>
      <c r="I99" s="51" t="n"/>
      <c r="J99" s="749" t="n"/>
      <c r="K99" s="749">
        <f>G99*D99</f>
        <v/>
      </c>
      <c r="L99" s="748" t="n"/>
      <c r="M99" s="114" t="n"/>
    </row>
    <row r="100">
      <c r="A100" s="48" t="n"/>
      <c r="B100" s="49" t="n"/>
      <c r="C100" s="50" t="n"/>
      <c r="D100" s="51" t="n"/>
      <c r="E100" s="51" t="n"/>
      <c r="F100" s="52" t="n"/>
      <c r="G100" s="52" t="n"/>
      <c r="H100" s="115">
        <f>H99-G100</f>
        <v/>
      </c>
      <c r="I100" s="51" t="n"/>
      <c r="J100" s="749" t="n"/>
      <c r="K100" s="749">
        <f>G100*D100</f>
        <v/>
      </c>
      <c r="L100" s="748" t="n"/>
      <c r="M100" s="114" t="n"/>
    </row>
    <row r="101">
      <c r="A101" s="48" t="n"/>
      <c r="B101" s="49" t="n"/>
      <c r="C101" s="50" t="n"/>
      <c r="D101" s="51" t="n"/>
      <c r="E101" s="51" t="n"/>
      <c r="F101" s="52" t="n"/>
      <c r="G101" s="52" t="n"/>
      <c r="H101" s="115">
        <f>H100-G101</f>
        <v/>
      </c>
      <c r="I101" s="51" t="n"/>
      <c r="J101" s="749" t="n"/>
      <c r="K101" s="749">
        <f>G101*D101</f>
        <v/>
      </c>
      <c r="L101" s="748" t="n"/>
      <c r="M101" s="114" t="n"/>
    </row>
    <row r="102">
      <c r="A102" s="48" t="n"/>
      <c r="B102" s="49" t="n"/>
      <c r="C102" s="50" t="n"/>
      <c r="D102" s="51" t="n"/>
      <c r="E102" s="51" t="n"/>
      <c r="F102" s="52" t="n"/>
      <c r="G102" s="52" t="n"/>
      <c r="H102" s="115">
        <f>H101-G102</f>
        <v/>
      </c>
      <c r="I102" s="51" t="n"/>
      <c r="J102" s="749" t="n"/>
      <c r="K102" s="749">
        <f>G102*D102</f>
        <v/>
      </c>
      <c r="L102" s="748" t="n"/>
      <c r="M102" s="114" t="n"/>
    </row>
    <row r="103">
      <c r="A103" s="48" t="n"/>
      <c r="B103" s="49" t="n"/>
      <c r="C103" s="50" t="n"/>
      <c r="D103" s="51" t="n"/>
      <c r="E103" s="51" t="n"/>
      <c r="F103" s="52" t="n"/>
      <c r="G103" s="52" t="n"/>
      <c r="H103" s="115">
        <f>H102-G103</f>
        <v/>
      </c>
      <c r="I103" s="51" t="n"/>
      <c r="J103" s="749" t="n"/>
      <c r="K103" s="749">
        <f>G103*D103</f>
        <v/>
      </c>
      <c r="L103" s="748" t="n"/>
      <c r="M103" s="114" t="n"/>
    </row>
    <row r="104">
      <c r="A104" s="76" t="n"/>
      <c r="B104" s="76" t="n"/>
      <c r="C104" s="76" t="n"/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6" t="n"/>
      <c r="M104" s="114" t="n"/>
    </row>
    <row r="105">
      <c r="A105" s="76" t="n"/>
      <c r="B105" s="76" t="n"/>
      <c r="C105" s="76" t="n"/>
      <c r="D105" s="76" t="n"/>
      <c r="E105" s="76" t="n"/>
      <c r="F105" s="76" t="n"/>
      <c r="G105" s="76" t="n"/>
      <c r="H105" s="76" t="n"/>
      <c r="I105" s="76" t="n"/>
      <c r="J105" s="76" t="n"/>
      <c r="K105" s="76" t="n"/>
      <c r="L105" s="76" t="n"/>
      <c r="M105" s="114" t="n"/>
    </row>
    <row r="106">
      <c r="A106" s="76" t="n"/>
      <c r="B106" s="76" t="n"/>
      <c r="C106" s="76" t="n"/>
      <c r="D106" s="76" t="n"/>
      <c r="E106" s="76" t="n"/>
      <c r="F106" s="76" t="n"/>
      <c r="G106" s="76" t="n"/>
      <c r="H106" s="76" t="n"/>
      <c r="I106" s="76" t="n"/>
      <c r="J106" s="76" t="n"/>
      <c r="K106" s="76" t="n"/>
      <c r="L106" s="76" t="n"/>
      <c r="M106" s="114" t="n"/>
    </row>
    <row r="107" ht="15.75" customHeight="1" s="436" thickBot="1">
      <c r="A107" s="76" t="n"/>
      <c r="B107" s="76" t="n"/>
      <c r="C107" s="76" t="n"/>
      <c r="D107" s="76" t="n"/>
      <c r="E107" s="76" t="n"/>
      <c r="F107" s="76" t="n"/>
      <c r="G107" s="76" t="n"/>
      <c r="H107" s="76" t="n"/>
      <c r="I107" s="76" t="n"/>
      <c r="J107" s="76" t="n"/>
      <c r="K107" s="76" t="n"/>
      <c r="L107" s="76" t="n"/>
      <c r="M107" s="114" t="n"/>
    </row>
    <row r="108" ht="29.25" customHeight="1" s="436" thickBot="1">
      <c r="A108" s="696" t="inlineStr">
        <is>
          <t>PLANILHA CONTROLE DE ESTOQUE</t>
        </is>
      </c>
      <c r="B108" s="697" t="n"/>
      <c r="C108" s="697" t="n"/>
      <c r="D108" s="697" t="n"/>
      <c r="E108" s="697" t="n"/>
      <c r="F108" s="697" t="n"/>
      <c r="G108" s="697" t="n"/>
      <c r="H108" s="697" t="n"/>
      <c r="I108" s="697" t="n"/>
      <c r="J108" s="697" t="n"/>
      <c r="K108" s="697" t="n"/>
      <c r="L108" s="698" t="n"/>
      <c r="M108" s="114" t="n"/>
    </row>
    <row r="109" ht="21.75" customHeight="1" s="436" thickBot="1">
      <c r="A109" s="744" t="inlineStr">
        <is>
          <t xml:space="preserve">021 - DENISE FURTADO DE SOUZA - ME </t>
        </is>
      </c>
      <c r="B109" s="737" t="n"/>
      <c r="C109" s="737" t="n"/>
      <c r="D109" s="737" t="n"/>
      <c r="E109" s="737" t="n"/>
      <c r="F109" s="737" t="n"/>
      <c r="G109" s="737" t="n"/>
      <c r="H109" s="737" t="n"/>
      <c r="I109" s="737" t="n"/>
      <c r="J109" s="737" t="n"/>
      <c r="K109" s="737" t="n"/>
      <c r="L109" s="736" t="n"/>
      <c r="M109" s="114" t="n"/>
    </row>
    <row r="110" ht="24" customHeight="1" s="436" thickBot="1">
      <c r="A110" s="745" t="inlineStr">
        <is>
          <t xml:space="preserve">  PRÉ MISTURA - 25 KG</t>
        </is>
      </c>
      <c r="B110" s="737" t="n"/>
      <c r="C110" s="737" t="n"/>
      <c r="D110" s="737" t="n"/>
      <c r="E110" s="737" t="n"/>
      <c r="F110" s="737" t="n"/>
      <c r="G110" s="737" t="n"/>
      <c r="H110" s="737" t="n"/>
      <c r="I110" s="737" t="n"/>
      <c r="J110" s="737" t="n"/>
      <c r="K110" s="737" t="n"/>
      <c r="L110" s="736" t="n"/>
      <c r="M110" s="114" t="n"/>
    </row>
    <row r="111">
      <c r="A111" s="746" t="inlineStr">
        <is>
          <t>DATA</t>
        </is>
      </c>
      <c r="B111" s="3" t="inlineStr">
        <is>
          <t>N.F.</t>
        </is>
      </c>
      <c r="C111" s="3" t="inlineStr">
        <is>
          <t>TIPO</t>
        </is>
      </c>
      <c r="D111" s="3" t="inlineStr">
        <is>
          <t>PREÇO UNITÁRIO</t>
        </is>
      </c>
      <c r="E111" s="736" t="n"/>
      <c r="F111" s="3" t="inlineStr">
        <is>
          <t>QUANTIDADE / KG</t>
        </is>
      </c>
      <c r="G111" s="737" t="n"/>
      <c r="H111" s="736" t="n"/>
      <c r="I111" s="631" t="inlineStr">
        <is>
          <t>PREÇO</t>
        </is>
      </c>
      <c r="J111" s="631" t="inlineStr">
        <is>
          <t>VALORES</t>
        </is>
      </c>
      <c r="K111" s="737" t="n"/>
      <c r="L111" s="736" t="n"/>
      <c r="M111" s="114" t="n"/>
    </row>
    <row r="112" ht="15.75" customHeight="1" s="436" thickBot="1">
      <c r="A112" s="703" t="n"/>
      <c r="B112" s="704" t="n"/>
      <c r="C112" s="704" t="n"/>
      <c r="D112" s="703" t="n"/>
      <c r="E112" s="701" t="n"/>
      <c r="F112" s="705" t="n"/>
      <c r="G112" s="706" t="n"/>
      <c r="H112" s="707" t="n"/>
      <c r="I112" s="704" t="n"/>
      <c r="J112" s="703" t="n"/>
      <c r="L112" s="701" t="n"/>
      <c r="M112" s="114" t="n"/>
    </row>
    <row r="113" ht="15.75" customHeight="1" s="436" thickBot="1">
      <c r="A113" s="703" t="n"/>
      <c r="B113" s="704" t="n"/>
      <c r="C113" s="704" t="n"/>
      <c r="D113" s="705" t="n"/>
      <c r="E113" s="707" t="n"/>
      <c r="F113" s="3" t="inlineStr">
        <is>
          <t>ENTRADA</t>
        </is>
      </c>
      <c r="G113" s="3" t="inlineStr">
        <is>
          <t>SAÍDA</t>
        </is>
      </c>
      <c r="H113" s="640" t="inlineStr">
        <is>
          <t>SALDO EM 31/03/2018</t>
        </is>
      </c>
      <c r="I113" s="633" t="inlineStr">
        <is>
          <t>MÉDIO</t>
        </is>
      </c>
      <c r="J113" s="652" t="inlineStr">
        <is>
          <t>SALDO EM 30/12/2017</t>
        </is>
      </c>
      <c r="K113" s="706" t="n"/>
      <c r="L113" s="17" t="n"/>
      <c r="M113" s="114" t="n"/>
    </row>
    <row r="114" ht="15.75" customHeight="1" s="436" thickBot="1">
      <c r="A114" s="705" t="n"/>
      <c r="B114" s="695" t="n"/>
      <c r="C114" s="695" t="n"/>
      <c r="D114" s="3" t="inlineStr">
        <is>
          <t>C/ICMS</t>
        </is>
      </c>
      <c r="E114" s="3" t="inlineStr">
        <is>
          <t>S/ICMS</t>
        </is>
      </c>
      <c r="F114" s="695" t="n"/>
      <c r="G114" s="695" t="n"/>
      <c r="H114" s="18" t="n"/>
      <c r="I114" s="695" t="n"/>
      <c r="J114" s="645" t="inlineStr">
        <is>
          <t>ENTRADA</t>
        </is>
      </c>
      <c r="K114" s="633" t="inlineStr">
        <is>
          <t>SAÍDA / CMV</t>
        </is>
      </c>
      <c r="L114" s="633" t="inlineStr">
        <is>
          <t>SALDO</t>
        </is>
      </c>
      <c r="M114" s="114" t="n"/>
    </row>
    <row r="115">
      <c r="A115" s="48" t="n"/>
      <c r="B115" s="49" t="n"/>
      <c r="C115" s="49" t="n"/>
      <c r="D115" s="71" t="n"/>
      <c r="E115" s="71" t="n"/>
      <c r="F115" s="55" t="n"/>
      <c r="G115" s="55" t="n">
        <v>0</v>
      </c>
      <c r="H115" s="55" t="n"/>
      <c r="I115" s="71" t="n"/>
      <c r="J115" s="747">
        <f>F115*I115</f>
        <v/>
      </c>
      <c r="K115" s="747" t="n">
        <v>0</v>
      </c>
      <c r="L115" s="748">
        <f>J115-K115</f>
        <v/>
      </c>
      <c r="M115" s="114" t="n"/>
    </row>
    <row r="116">
      <c r="A116" s="92" t="n">
        <v>43191</v>
      </c>
      <c r="B116" s="93" t="n"/>
      <c r="C116" s="96" t="n"/>
      <c r="D116" s="97" t="n"/>
      <c r="E116" s="97" t="n"/>
      <c r="F116" s="98" t="n"/>
      <c r="G116" s="98" t="n"/>
      <c r="H116" s="95" t="n">
        <v>488</v>
      </c>
      <c r="I116" s="51" t="n"/>
      <c r="J116" s="749" t="n"/>
      <c r="K116" s="749">
        <f>G116*D116</f>
        <v/>
      </c>
      <c r="L116" s="748" t="n"/>
      <c r="M116" s="114" t="n"/>
    </row>
    <row r="117">
      <c r="A117" s="48" t="n">
        <v>43192</v>
      </c>
      <c r="B117" s="49" t="inlineStr">
        <is>
          <t>5665</t>
        </is>
      </c>
      <c r="C117" s="50" t="n"/>
      <c r="D117" s="51" t="n">
        <v>35</v>
      </c>
      <c r="E117" s="51" t="n"/>
      <c r="F117" s="52" t="n"/>
      <c r="G117" s="52" t="n">
        <v>35</v>
      </c>
      <c r="H117" s="115">
        <f>H116-G117</f>
        <v/>
      </c>
      <c r="I117" s="51" t="n"/>
      <c r="J117" s="749" t="n"/>
      <c r="K117" s="749">
        <f>G117*D117</f>
        <v/>
      </c>
      <c r="L117" s="748" t="n"/>
      <c r="M117" s="114" t="n"/>
    </row>
    <row r="118">
      <c r="A118" s="48" t="n">
        <v>43200</v>
      </c>
      <c r="B118" s="49" t="inlineStr">
        <is>
          <t>5678</t>
        </is>
      </c>
      <c r="C118" s="49" t="n"/>
      <c r="D118" s="71" t="n">
        <v>40</v>
      </c>
      <c r="E118" s="71" t="n"/>
      <c r="F118" s="55" t="n"/>
      <c r="G118" s="55" t="n">
        <v>20</v>
      </c>
      <c r="H118" s="115">
        <f>H117-G118</f>
        <v/>
      </c>
      <c r="I118" s="71" t="n"/>
      <c r="J118" s="749" t="n"/>
      <c r="K118" s="749">
        <f>G118*D118</f>
        <v/>
      </c>
      <c r="L118" s="748" t="n"/>
      <c r="M118" s="114" t="n"/>
    </row>
    <row r="119">
      <c r="A119" s="48" t="n">
        <v>43200</v>
      </c>
      <c r="B119" s="49" t="inlineStr">
        <is>
          <t>5679</t>
        </is>
      </c>
      <c r="C119" s="49" t="n"/>
      <c r="D119" s="71" t="n">
        <v>41.57</v>
      </c>
      <c r="E119" s="71" t="n"/>
      <c r="F119" s="55" t="n"/>
      <c r="G119" s="55" t="n">
        <v>70</v>
      </c>
      <c r="H119" s="115">
        <f>H118-G119</f>
        <v/>
      </c>
      <c r="I119" s="71" t="n"/>
      <c r="J119" s="749" t="n"/>
      <c r="K119" s="749" t="n"/>
      <c r="L119" s="748" t="n"/>
      <c r="M119" s="114" t="n"/>
    </row>
    <row r="120">
      <c r="A120" s="48" t="n">
        <v>43200</v>
      </c>
      <c r="B120" s="49" t="inlineStr">
        <is>
          <t>5680</t>
        </is>
      </c>
      <c r="C120" s="49" t="n"/>
      <c r="D120" s="71" t="n">
        <v>42</v>
      </c>
      <c r="E120" s="71" t="n"/>
      <c r="F120" s="55" t="n"/>
      <c r="G120" s="55" t="n">
        <v>55</v>
      </c>
      <c r="H120" s="115">
        <f>H119-G120</f>
        <v/>
      </c>
      <c r="I120" s="71" t="n"/>
      <c r="J120" s="749" t="n"/>
      <c r="K120" s="749" t="n"/>
      <c r="L120" s="748" t="n"/>
      <c r="M120" s="114" t="n"/>
    </row>
    <row r="121">
      <c r="A121" s="48" t="n">
        <v>43207</v>
      </c>
      <c r="B121" s="49" t="inlineStr">
        <is>
          <t>5691</t>
        </is>
      </c>
      <c r="C121" s="49" t="n"/>
      <c r="D121" s="71" t="n">
        <v>40</v>
      </c>
      <c r="E121" s="71" t="n"/>
      <c r="F121" s="55" t="n"/>
      <c r="G121" s="55" t="n">
        <v>20</v>
      </c>
      <c r="H121" s="115">
        <f>H120-G121</f>
        <v/>
      </c>
      <c r="I121" s="71" t="n"/>
      <c r="J121" s="749" t="n"/>
      <c r="K121" s="749" t="n"/>
      <c r="L121" s="748" t="n"/>
      <c r="M121" s="114" t="n"/>
    </row>
    <row r="122">
      <c r="A122" s="48" t="n">
        <v>43207</v>
      </c>
      <c r="B122" s="49" t="inlineStr">
        <is>
          <t>5694</t>
        </is>
      </c>
      <c r="C122" s="49" t="n"/>
      <c r="D122" s="71" t="n">
        <v>40</v>
      </c>
      <c r="E122" s="71" t="n"/>
      <c r="F122" s="55" t="n"/>
      <c r="G122" s="55" t="n">
        <v>10</v>
      </c>
      <c r="H122" s="115">
        <f>H121-G122</f>
        <v/>
      </c>
      <c r="I122" s="71" t="n"/>
      <c r="J122" s="749" t="n"/>
      <c r="K122" s="749" t="n"/>
      <c r="L122" s="748" t="n"/>
      <c r="M122" s="114" t="n"/>
    </row>
    <row r="123">
      <c r="A123" s="48" t="n">
        <v>43207</v>
      </c>
      <c r="B123" s="49" t="inlineStr">
        <is>
          <t>5695</t>
        </is>
      </c>
      <c r="C123" s="49" t="n"/>
      <c r="D123" s="71" t="n">
        <v>40</v>
      </c>
      <c r="E123" s="71" t="n"/>
      <c r="F123" s="55" t="n"/>
      <c r="G123" s="55" t="n">
        <v>30</v>
      </c>
      <c r="H123" s="115">
        <f>H122-G123</f>
        <v/>
      </c>
      <c r="I123" s="71" t="n"/>
      <c r="J123" s="749" t="n"/>
      <c r="K123" s="749" t="n"/>
      <c r="L123" s="748" t="n"/>
      <c r="M123" s="114" t="n"/>
    </row>
    <row r="124">
      <c r="A124" s="48" t="n">
        <v>43212</v>
      </c>
      <c r="B124" s="49" t="inlineStr">
        <is>
          <t>5701</t>
        </is>
      </c>
      <c r="C124" s="49" t="n"/>
      <c r="D124" s="71" t="n">
        <v>40</v>
      </c>
      <c r="E124" s="71" t="n"/>
      <c r="F124" s="55" t="n"/>
      <c r="G124" s="55" t="n">
        <v>20</v>
      </c>
      <c r="H124" s="115">
        <f>H123-G124</f>
        <v/>
      </c>
      <c r="I124" s="71" t="n"/>
      <c r="J124" s="749" t="n"/>
      <c r="K124" s="749" t="n"/>
      <c r="L124" s="748" t="n"/>
      <c r="M124" s="114" t="n"/>
    </row>
    <row r="125">
      <c r="A125" s="48" t="n">
        <v>43212</v>
      </c>
      <c r="B125" s="49" t="inlineStr">
        <is>
          <t>5704</t>
        </is>
      </c>
      <c r="C125" s="49" t="n"/>
      <c r="D125" s="71" t="n">
        <v>43</v>
      </c>
      <c r="E125" s="71" t="n"/>
      <c r="F125" s="55" t="n"/>
      <c r="G125" s="55" t="n">
        <v>25</v>
      </c>
      <c r="H125" s="115">
        <f>H124-G125</f>
        <v/>
      </c>
      <c r="I125" s="71" t="n"/>
      <c r="J125" s="749" t="n"/>
      <c r="K125" s="749" t="n"/>
      <c r="L125" s="748" t="n"/>
      <c r="M125" s="114" t="n"/>
    </row>
    <row r="126">
      <c r="A126" s="48" t="n">
        <v>43212</v>
      </c>
      <c r="B126" s="49" t="inlineStr">
        <is>
          <t>5705</t>
        </is>
      </c>
      <c r="C126" s="49" t="n"/>
      <c r="D126" s="71" t="n">
        <v>40</v>
      </c>
      <c r="E126" s="71" t="n"/>
      <c r="F126" s="55" t="n"/>
      <c r="G126" s="55" t="n">
        <v>20</v>
      </c>
      <c r="H126" s="115">
        <f>H125-G126</f>
        <v/>
      </c>
      <c r="I126" s="71" t="n"/>
      <c r="J126" s="749" t="n"/>
      <c r="K126" s="749" t="n"/>
      <c r="L126" s="748" t="n"/>
      <c r="M126" s="114" t="n"/>
    </row>
    <row r="127">
      <c r="A127" s="48" t="n">
        <v>43214</v>
      </c>
      <c r="B127" s="49" t="inlineStr">
        <is>
          <t>5708</t>
        </is>
      </c>
      <c r="C127" s="49" t="n"/>
      <c r="D127" s="71" t="n">
        <v>43.5</v>
      </c>
      <c r="E127" s="71" t="n"/>
      <c r="F127" s="55" t="n"/>
      <c r="G127" s="55" t="n">
        <v>40</v>
      </c>
      <c r="H127" s="115">
        <f>H126-G127</f>
        <v/>
      </c>
      <c r="I127" s="71" t="n"/>
      <c r="J127" s="749" t="n"/>
      <c r="K127" s="749" t="n"/>
      <c r="L127" s="748" t="n"/>
      <c r="M127" s="114" t="n"/>
    </row>
    <row r="128">
      <c r="A128" s="92" t="n">
        <v>43211</v>
      </c>
      <c r="B128" s="93" t="inlineStr">
        <is>
          <t>90070</t>
        </is>
      </c>
      <c r="C128" s="93" t="n"/>
      <c r="D128" s="94" t="n">
        <v>34.3</v>
      </c>
      <c r="E128" s="94" t="n"/>
      <c r="F128" s="95" t="n">
        <v>700</v>
      </c>
      <c r="G128" s="95" t="n"/>
      <c r="H128" s="118" t="n">
        <v>843</v>
      </c>
      <c r="I128" s="71" t="n"/>
      <c r="J128" s="749" t="n"/>
      <c r="K128" s="749" t="n"/>
      <c r="L128" s="748" t="n"/>
      <c r="M128" s="114" t="n"/>
    </row>
    <row r="129">
      <c r="A129" s="48" t="n">
        <v>43216</v>
      </c>
      <c r="B129" s="49" t="inlineStr">
        <is>
          <t>5711</t>
        </is>
      </c>
      <c r="C129" s="49" t="n"/>
      <c r="D129" s="71" t="n">
        <v>44.28</v>
      </c>
      <c r="E129" s="71" t="n"/>
      <c r="F129" s="55" t="n"/>
      <c r="G129" s="55" t="n">
        <v>22</v>
      </c>
      <c r="H129" s="115">
        <f>H128-G129</f>
        <v/>
      </c>
      <c r="I129" s="71" t="n"/>
      <c r="J129" s="749" t="n"/>
      <c r="K129" s="749" t="n"/>
      <c r="L129" s="748" t="n"/>
      <c r="M129" s="114" t="n"/>
    </row>
    <row r="130">
      <c r="A130" s="48" t="n">
        <v>43216</v>
      </c>
      <c r="B130" s="49" t="inlineStr">
        <is>
          <t>5716</t>
        </is>
      </c>
      <c r="C130" s="49" t="n"/>
      <c r="D130" s="71" t="n">
        <v>43.57</v>
      </c>
      <c r="E130" s="71" t="n"/>
      <c r="F130" s="55" t="n"/>
      <c r="G130" s="55" t="n">
        <v>70</v>
      </c>
      <c r="H130" s="115">
        <f>H129-G130</f>
        <v/>
      </c>
      <c r="I130" s="71" t="n"/>
      <c r="J130" s="749" t="n"/>
      <c r="K130" s="749" t="n"/>
      <c r="L130" s="748" t="n"/>
      <c r="M130" s="114" t="n"/>
    </row>
    <row r="131">
      <c r="A131" s="48" t="n"/>
      <c r="B131" s="49" t="n"/>
      <c r="C131" s="49" t="n"/>
      <c r="D131" s="71" t="n"/>
      <c r="E131" s="71" t="n"/>
      <c r="F131" s="55" t="n"/>
      <c r="G131" s="55" t="n"/>
      <c r="H131" s="115">
        <f>H130-G131</f>
        <v/>
      </c>
      <c r="I131" s="71" t="n"/>
      <c r="J131" s="749" t="n"/>
      <c r="K131" s="749" t="n"/>
      <c r="L131" s="748" t="n"/>
      <c r="M131" s="114" t="n"/>
    </row>
    <row r="132">
      <c r="A132" s="92" t="n"/>
      <c r="B132" s="93" t="n"/>
      <c r="C132" s="93" t="n"/>
      <c r="D132" s="94" t="n"/>
      <c r="E132" s="94" t="n"/>
      <c r="F132" s="95" t="n"/>
      <c r="G132" s="95" t="n"/>
      <c r="H132" s="115">
        <f>H131-G132</f>
        <v/>
      </c>
      <c r="I132" s="71" t="n"/>
      <c r="J132" s="749" t="n"/>
      <c r="K132" s="749" t="n"/>
      <c r="L132" s="748" t="n"/>
      <c r="M132" s="114" t="n"/>
    </row>
    <row r="133">
      <c r="A133" s="92" t="n"/>
      <c r="B133" s="93" t="n"/>
      <c r="C133" s="93" t="n"/>
      <c r="D133" s="94" t="n"/>
      <c r="E133" s="94" t="n"/>
      <c r="F133" s="95" t="n"/>
      <c r="G133" s="95" t="n"/>
      <c r="H133" s="115">
        <f>H132-G133</f>
        <v/>
      </c>
      <c r="I133" s="71" t="n"/>
      <c r="J133" s="749" t="n"/>
      <c r="K133" s="749" t="n"/>
      <c r="L133" s="748" t="n"/>
      <c r="M133" s="114" t="n"/>
    </row>
    <row r="134">
      <c r="A134" s="92" t="n"/>
      <c r="B134" s="93" t="n"/>
      <c r="C134" s="93" t="n"/>
      <c r="D134" s="94" t="n"/>
      <c r="E134" s="94" t="n"/>
      <c r="F134" s="95" t="n"/>
      <c r="G134" s="95" t="n"/>
      <c r="H134" s="115">
        <f>H133-G134</f>
        <v/>
      </c>
      <c r="I134" s="71" t="n"/>
      <c r="J134" s="749" t="n"/>
      <c r="K134" s="749" t="n"/>
      <c r="L134" s="748" t="n"/>
      <c r="M134" s="114" t="n"/>
    </row>
    <row r="135">
      <c r="A135" s="48" t="n"/>
      <c r="B135" s="49" t="n"/>
      <c r="C135" s="49" t="n"/>
      <c r="D135" s="71" t="n"/>
      <c r="E135" s="71" t="n"/>
      <c r="F135" s="55" t="n"/>
      <c r="G135" s="55" t="n"/>
      <c r="H135" s="115">
        <f>H134-G135</f>
        <v/>
      </c>
      <c r="I135" s="117" t="n"/>
      <c r="J135" s="749" t="n"/>
      <c r="K135" s="749" t="n"/>
      <c r="L135" s="748" t="n"/>
      <c r="M135" s="114" t="n"/>
    </row>
    <row r="136">
      <c r="A136" s="76" t="n"/>
      <c r="B136" s="76" t="n"/>
      <c r="C136" s="76" t="n"/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6" t="n"/>
      <c r="M136" s="114" t="n"/>
    </row>
    <row r="137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  <c r="J137" s="76" t="n"/>
      <c r="K137" s="76" t="n"/>
      <c r="L137" s="76" t="n"/>
      <c r="M137" s="114" t="n"/>
    </row>
    <row r="138">
      <c r="A138" s="76" t="n"/>
      <c r="B138" s="76" t="n"/>
      <c r="C138" s="76" t="n"/>
      <c r="D138" s="76" t="n"/>
      <c r="E138" s="76" t="n"/>
      <c r="F138" s="76" t="n"/>
      <c r="G138" s="76" t="n"/>
      <c r="H138" s="76" t="n"/>
      <c r="I138" s="76" t="n"/>
      <c r="J138" s="76" t="n"/>
      <c r="K138" s="76" t="n"/>
      <c r="L138" s="76" t="n"/>
      <c r="M138" s="114" t="n"/>
    </row>
    <row r="139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  <c r="J139" s="76" t="n"/>
      <c r="K139" s="76" t="n"/>
      <c r="L139" s="76" t="n"/>
      <c r="M139" s="114" t="n"/>
    </row>
    <row r="140">
      <c r="A140" s="76" t="n"/>
      <c r="B140" s="76" t="n"/>
      <c r="C140" s="76" t="n"/>
      <c r="D140" s="76" t="n"/>
      <c r="E140" s="76" t="n"/>
      <c r="F140" s="76" t="n"/>
      <c r="G140" s="76" t="n"/>
      <c r="H140" s="76" t="n"/>
      <c r="I140" s="76" t="n"/>
      <c r="J140" s="76" t="n"/>
      <c r="K140" s="76" t="n"/>
      <c r="L140" s="76" t="n"/>
      <c r="M140" s="114" t="n"/>
    </row>
    <row r="141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  <c r="J141" s="76" t="n"/>
      <c r="K141" s="76" t="n"/>
      <c r="L141" s="76" t="n"/>
      <c r="M141" s="114" t="n"/>
    </row>
    <row r="142">
      <c r="A142" s="76" t="n"/>
      <c r="B142" s="76" t="n"/>
      <c r="C142" s="76" t="n"/>
      <c r="D142" s="76" t="n"/>
      <c r="E142" s="76" t="n"/>
      <c r="F142" s="76" t="n"/>
      <c r="G142" s="76" t="n"/>
      <c r="H142" s="76" t="n"/>
      <c r="I142" s="76" t="n"/>
      <c r="J142" s="76" t="n"/>
      <c r="K142" s="76" t="n"/>
      <c r="L142" s="76" t="n"/>
      <c r="M142" s="114" t="n"/>
    </row>
    <row r="143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  <c r="J143" s="76" t="n"/>
      <c r="K143" s="76" t="n"/>
      <c r="L143" s="76" t="n"/>
      <c r="M143" s="114" t="n"/>
    </row>
    <row r="144">
      <c r="A144" s="76" t="n"/>
      <c r="B144" s="76" t="n"/>
      <c r="C144" s="76" t="n"/>
      <c r="D144" s="76" t="n"/>
      <c r="E144" s="76" t="n"/>
      <c r="F144" s="76" t="n"/>
      <c r="G144" s="76" t="n"/>
      <c r="H144" s="76" t="n"/>
      <c r="I144" s="76" t="n"/>
      <c r="J144" s="76" t="n"/>
      <c r="K144" s="76" t="n"/>
      <c r="L144" s="76" t="n"/>
      <c r="M144" s="114" t="n"/>
    </row>
    <row r="145" ht="15.75" customHeight="1" s="436" thickBot="1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  <c r="J145" s="76" t="n"/>
      <c r="K145" s="76" t="n"/>
      <c r="L145" s="76" t="n"/>
      <c r="M145" s="114" t="n"/>
    </row>
    <row r="146" ht="29.25" customHeight="1" s="436" thickBot="1">
      <c r="A146" s="696" t="inlineStr">
        <is>
          <t>PLANILHA CONTROLE DE ESTOQUE</t>
        </is>
      </c>
      <c r="B146" s="697" t="n"/>
      <c r="C146" s="697" t="n"/>
      <c r="D146" s="697" t="n"/>
      <c r="E146" s="697" t="n"/>
      <c r="F146" s="697" t="n"/>
      <c r="G146" s="697" t="n"/>
      <c r="H146" s="697" t="n"/>
      <c r="I146" s="697" t="n"/>
      <c r="J146" s="697" t="n"/>
      <c r="K146" s="697" t="n"/>
      <c r="L146" s="698" t="n"/>
      <c r="M146" s="114" t="n"/>
    </row>
    <row r="147" ht="21.75" customHeight="1" s="436" thickBot="1">
      <c r="A147" s="744" t="inlineStr">
        <is>
          <t xml:space="preserve">021 - DENISE FURTADO DE SOUZA - ME </t>
        </is>
      </c>
      <c r="B147" s="737" t="n"/>
      <c r="C147" s="737" t="n"/>
      <c r="D147" s="737" t="n"/>
      <c r="E147" s="737" t="n"/>
      <c r="F147" s="737" t="n"/>
      <c r="G147" s="737" t="n"/>
      <c r="H147" s="737" t="n"/>
      <c r="I147" s="737" t="n"/>
      <c r="J147" s="737" t="n"/>
      <c r="K147" s="737" t="n"/>
      <c r="L147" s="736" t="n"/>
      <c r="M147" s="114" t="n"/>
    </row>
    <row r="148" ht="24" customHeight="1" s="436" thickBot="1">
      <c r="A148" s="745" t="inlineStr">
        <is>
          <t xml:space="preserve">  PRÉ MISTURA - 25 KG</t>
        </is>
      </c>
      <c r="B148" s="737" t="n"/>
      <c r="C148" s="737" t="n"/>
      <c r="D148" s="737" t="n"/>
      <c r="E148" s="737" t="n"/>
      <c r="F148" s="737" t="n"/>
      <c r="G148" s="737" t="n"/>
      <c r="H148" s="737" t="n"/>
      <c r="I148" s="737" t="n"/>
      <c r="J148" s="737" t="n"/>
      <c r="K148" s="737" t="n"/>
      <c r="L148" s="736" t="n"/>
      <c r="M148" s="114" t="n"/>
    </row>
    <row r="149">
      <c r="A149" s="746" t="inlineStr">
        <is>
          <t>DATA</t>
        </is>
      </c>
      <c r="B149" s="3" t="inlineStr">
        <is>
          <t>N.F.</t>
        </is>
      </c>
      <c r="C149" s="3" t="inlineStr">
        <is>
          <t>TIPO</t>
        </is>
      </c>
      <c r="D149" s="3" t="inlineStr">
        <is>
          <t>PREÇO UNITÁRIO</t>
        </is>
      </c>
      <c r="E149" s="736" t="n"/>
      <c r="F149" s="3" t="inlineStr">
        <is>
          <t>QUANTIDADE / KG</t>
        </is>
      </c>
      <c r="G149" s="737" t="n"/>
      <c r="H149" s="736" t="n"/>
      <c r="I149" s="631" t="inlineStr">
        <is>
          <t>PREÇO</t>
        </is>
      </c>
      <c r="J149" s="631" t="inlineStr">
        <is>
          <t>VALORES</t>
        </is>
      </c>
      <c r="K149" s="737" t="n"/>
      <c r="L149" s="736" t="n"/>
      <c r="M149" s="114" t="n"/>
    </row>
    <row r="150" ht="15.75" customHeight="1" s="436" thickBot="1">
      <c r="A150" s="703" t="n"/>
      <c r="B150" s="704" t="n"/>
      <c r="C150" s="704" t="n"/>
      <c r="D150" s="703" t="n"/>
      <c r="E150" s="701" t="n"/>
      <c r="F150" s="705" t="n"/>
      <c r="G150" s="706" t="n"/>
      <c r="H150" s="707" t="n"/>
      <c r="I150" s="704" t="n"/>
      <c r="J150" s="703" t="n"/>
      <c r="L150" s="701" t="n"/>
      <c r="M150" s="114" t="n"/>
    </row>
    <row r="151" ht="15.75" customHeight="1" s="436" thickBot="1">
      <c r="A151" s="703" t="n"/>
      <c r="B151" s="704" t="n"/>
      <c r="C151" s="704" t="n"/>
      <c r="D151" s="705" t="n"/>
      <c r="E151" s="707" t="n"/>
      <c r="F151" s="3" t="inlineStr">
        <is>
          <t>ENTRADA</t>
        </is>
      </c>
      <c r="G151" s="3" t="inlineStr">
        <is>
          <t>SAÍDA</t>
        </is>
      </c>
      <c r="H151" s="640" t="inlineStr">
        <is>
          <t>SALDO EM 30/04/2018</t>
        </is>
      </c>
      <c r="I151" s="633" t="inlineStr">
        <is>
          <t>MÉDIO</t>
        </is>
      </c>
      <c r="J151" s="652" t="inlineStr">
        <is>
          <t>SALDO EM 30/12/2017</t>
        </is>
      </c>
      <c r="K151" s="706" t="n"/>
      <c r="L151" s="17" t="n"/>
      <c r="M151" s="114" t="n"/>
    </row>
    <row r="152" ht="15.75" customHeight="1" s="436" thickBot="1">
      <c r="A152" s="705" t="n"/>
      <c r="B152" s="695" t="n"/>
      <c r="C152" s="695" t="n"/>
      <c r="D152" s="3" t="inlineStr">
        <is>
          <t>C/ICMS</t>
        </is>
      </c>
      <c r="E152" s="3" t="inlineStr">
        <is>
          <t>S/ICMS</t>
        </is>
      </c>
      <c r="F152" s="695" t="n"/>
      <c r="G152" s="695" t="n"/>
      <c r="H152" s="18" t="n"/>
      <c r="I152" s="695" t="n"/>
      <c r="J152" s="645" t="inlineStr">
        <is>
          <t>ENTRADA</t>
        </is>
      </c>
      <c r="K152" s="633" t="inlineStr">
        <is>
          <t>SAÍDA / CMV</t>
        </is>
      </c>
      <c r="L152" s="633" t="inlineStr">
        <is>
          <t>SALDO</t>
        </is>
      </c>
      <c r="M152" s="114" t="n"/>
    </row>
    <row r="153">
      <c r="A153" s="48" t="n"/>
      <c r="B153" s="49" t="n"/>
      <c r="C153" s="49" t="n"/>
      <c r="D153" s="71" t="n"/>
      <c r="E153" s="71" t="n"/>
      <c r="F153" s="55" t="n"/>
      <c r="G153" s="55" t="n">
        <v>0</v>
      </c>
      <c r="H153" s="55" t="n"/>
      <c r="I153" s="71" t="n"/>
      <c r="J153" s="747">
        <f>F153*I153</f>
        <v/>
      </c>
      <c r="K153" s="747" t="n">
        <v>0</v>
      </c>
      <c r="L153" s="748">
        <f>J153-K153</f>
        <v/>
      </c>
      <c r="M153" s="114" t="n"/>
    </row>
    <row r="154">
      <c r="A154" s="92" t="n">
        <v>43221</v>
      </c>
      <c r="B154" s="93" t="n"/>
      <c r="C154" s="96" t="n"/>
      <c r="D154" s="97" t="n"/>
      <c r="E154" s="97" t="n"/>
      <c r="F154" s="98" t="n"/>
      <c r="G154" s="98" t="n"/>
      <c r="H154" s="95" t="n">
        <v>751</v>
      </c>
      <c r="I154" s="51" t="n"/>
      <c r="J154" s="749" t="n"/>
      <c r="K154" s="749">
        <f>G154*D154</f>
        <v/>
      </c>
      <c r="L154" s="748" t="n"/>
      <c r="M154" s="114" t="n"/>
    </row>
    <row r="155">
      <c r="A155" s="48" t="n">
        <v>43221</v>
      </c>
      <c r="B155" s="49" t="inlineStr">
        <is>
          <t>5719</t>
        </is>
      </c>
      <c r="C155" s="50" t="n"/>
      <c r="D155" s="51" t="n">
        <v>40</v>
      </c>
      <c r="E155" s="51" t="n"/>
      <c r="F155" s="52" t="n"/>
      <c r="G155" s="52" t="n">
        <v>20</v>
      </c>
      <c r="H155" s="115">
        <f>H154-G155</f>
        <v/>
      </c>
      <c r="I155" s="51" t="n"/>
      <c r="J155" s="749" t="n"/>
      <c r="K155" s="749">
        <f>G155*D155</f>
        <v/>
      </c>
      <c r="L155" s="748" t="n"/>
      <c r="M155" s="114" t="n"/>
    </row>
    <row r="156">
      <c r="A156" s="48" t="n">
        <v>43221</v>
      </c>
      <c r="B156" s="49" t="inlineStr">
        <is>
          <t>5720</t>
        </is>
      </c>
      <c r="C156" s="49" t="n"/>
      <c r="D156" s="71" t="n">
        <v>43</v>
      </c>
      <c r="E156" s="71" t="n"/>
      <c r="F156" s="55" t="n"/>
      <c r="G156" s="55" t="n">
        <v>30</v>
      </c>
      <c r="H156" s="115">
        <f>H155-G156</f>
        <v/>
      </c>
      <c r="I156" s="71" t="n"/>
      <c r="J156" s="749" t="n"/>
      <c r="K156" s="749">
        <f>G156*D156</f>
        <v/>
      </c>
      <c r="L156" s="748" t="n"/>
      <c r="M156" s="114" t="n"/>
    </row>
    <row r="157">
      <c r="A157" s="48" t="n">
        <v>43221</v>
      </c>
      <c r="B157" s="49" t="inlineStr">
        <is>
          <t>5722</t>
        </is>
      </c>
      <c r="C157" s="49" t="n"/>
      <c r="D157" s="71" t="n">
        <v>35</v>
      </c>
      <c r="E157" s="71" t="n"/>
      <c r="F157" s="55" t="n"/>
      <c r="G157" s="55" t="n">
        <v>20</v>
      </c>
      <c r="H157" s="115">
        <f>H156-G157</f>
        <v/>
      </c>
      <c r="I157" s="71" t="n"/>
      <c r="J157" s="749" t="n"/>
      <c r="K157" s="749" t="n"/>
      <c r="L157" s="748" t="n"/>
      <c r="M157" s="114" t="n"/>
    </row>
    <row r="158">
      <c r="A158" s="48" t="n">
        <v>43221</v>
      </c>
      <c r="B158" s="49" t="inlineStr">
        <is>
          <t>5723</t>
        </is>
      </c>
      <c r="C158" s="49" t="n"/>
      <c r="D158" s="71" t="n">
        <v>35</v>
      </c>
      <c r="E158" s="71" t="n"/>
      <c r="F158" s="55" t="n"/>
      <c r="G158" s="55" t="n">
        <v>20</v>
      </c>
      <c r="H158" s="115">
        <f>H157-G158</f>
        <v/>
      </c>
      <c r="I158" s="71" t="n"/>
      <c r="J158" s="749" t="n"/>
      <c r="K158" s="749" t="n"/>
      <c r="L158" s="748" t="n"/>
      <c r="M158" s="114" t="n"/>
    </row>
    <row r="159">
      <c r="A159" s="48" t="n">
        <v>43224</v>
      </c>
      <c r="B159" s="49" t="inlineStr">
        <is>
          <t>5724</t>
        </is>
      </c>
      <c r="C159" s="49" t="n"/>
      <c r="D159" s="71" t="n">
        <v>44</v>
      </c>
      <c r="E159" s="71" t="n"/>
      <c r="F159" s="55" t="n"/>
      <c r="G159" s="55" t="n">
        <v>35</v>
      </c>
      <c r="H159" s="115">
        <f>H158-G159</f>
        <v/>
      </c>
      <c r="I159" s="71" t="n"/>
      <c r="J159" s="749" t="n"/>
      <c r="K159" s="749" t="n"/>
      <c r="L159" s="748" t="n"/>
      <c r="M159" s="114" t="n"/>
    </row>
    <row r="160">
      <c r="A160" s="48" t="n">
        <v>43228</v>
      </c>
      <c r="B160" s="49" t="inlineStr">
        <is>
          <t>5730</t>
        </is>
      </c>
      <c r="C160" s="49" t="n"/>
      <c r="D160" s="71" t="n">
        <v>35</v>
      </c>
      <c r="E160" s="71" t="n"/>
      <c r="F160" s="55" t="n"/>
      <c r="G160" s="55" t="n">
        <v>30</v>
      </c>
      <c r="H160" s="115">
        <f>H159-G160</f>
        <v/>
      </c>
      <c r="I160" s="71" t="n"/>
      <c r="J160" s="749" t="n"/>
      <c r="K160" s="749" t="n"/>
      <c r="L160" s="748" t="n"/>
      <c r="M160" s="114" t="n"/>
    </row>
    <row r="161">
      <c r="A161" s="48" t="n">
        <v>43234</v>
      </c>
      <c r="B161" s="49" t="inlineStr">
        <is>
          <t>5743</t>
        </is>
      </c>
      <c r="C161" s="49" t="n"/>
      <c r="D161" s="71" t="n">
        <v>40</v>
      </c>
      <c r="E161" s="71" t="n"/>
      <c r="F161" s="55" t="n"/>
      <c r="G161" s="55" t="n">
        <v>20</v>
      </c>
      <c r="H161" s="115">
        <f>H160-G161</f>
        <v/>
      </c>
      <c r="I161" s="71" t="n"/>
      <c r="J161" s="749" t="n"/>
      <c r="K161" s="749" t="n"/>
      <c r="L161" s="748" t="n"/>
      <c r="M161" s="114" t="n"/>
    </row>
    <row r="162">
      <c r="A162" s="48" t="n">
        <v>43235</v>
      </c>
      <c r="B162" s="49" t="inlineStr">
        <is>
          <t>5745</t>
        </is>
      </c>
      <c r="C162" s="49" t="n"/>
      <c r="D162" s="71" t="n">
        <v>46.4</v>
      </c>
      <c r="E162" s="71" t="n"/>
      <c r="F162" s="55" t="n"/>
      <c r="G162" s="55" t="n">
        <v>25</v>
      </c>
      <c r="H162" s="115">
        <f>H161-G162</f>
        <v/>
      </c>
      <c r="I162" s="71" t="n"/>
      <c r="J162" s="749" t="n"/>
      <c r="K162" s="749" t="n"/>
      <c r="L162" s="748" t="n"/>
      <c r="M162" s="114" t="n"/>
    </row>
    <row r="163">
      <c r="A163" s="48" t="n">
        <v>43236</v>
      </c>
      <c r="B163" s="49" t="inlineStr">
        <is>
          <t>5749</t>
        </is>
      </c>
      <c r="C163" s="49" t="n"/>
      <c r="D163" s="71" t="n">
        <v>40</v>
      </c>
      <c r="E163" s="71" t="n"/>
      <c r="F163" s="55" t="n"/>
      <c r="G163" s="55" t="n">
        <v>30</v>
      </c>
      <c r="H163" s="115">
        <f>H162-G163</f>
        <v/>
      </c>
      <c r="I163" s="71" t="n"/>
      <c r="J163" s="749" t="n"/>
      <c r="K163" s="749" t="n"/>
      <c r="L163" s="748" t="n"/>
      <c r="M163" s="114" t="n"/>
    </row>
    <row r="164">
      <c r="A164" s="92" t="n">
        <v>43236</v>
      </c>
      <c r="B164" s="93" t="inlineStr">
        <is>
          <t>91889</t>
        </is>
      </c>
      <c r="C164" s="93" t="n"/>
      <c r="D164" s="94" t="n">
        <v>38.8</v>
      </c>
      <c r="E164" s="94" t="n"/>
      <c r="F164" s="95" t="n">
        <v>1000</v>
      </c>
      <c r="G164" s="95" t="n"/>
      <c r="H164" s="118" t="n">
        <v>1521</v>
      </c>
      <c r="I164" s="71" t="n"/>
      <c r="J164" s="749" t="n"/>
      <c r="K164" s="749" t="n"/>
      <c r="L164" s="748" t="n"/>
      <c r="M164" s="114" t="n"/>
    </row>
    <row r="165">
      <c r="A165" s="48" t="n">
        <v>43249</v>
      </c>
      <c r="B165" s="49" t="inlineStr">
        <is>
          <t>5772</t>
        </is>
      </c>
      <c r="C165" s="49" t="n"/>
      <c r="D165" s="71" t="n">
        <v>40</v>
      </c>
      <c r="E165" s="71" t="n"/>
      <c r="F165" s="55" t="n"/>
      <c r="G165" s="55" t="n">
        <v>30</v>
      </c>
      <c r="H165" s="115">
        <f>H164-G165</f>
        <v/>
      </c>
      <c r="I165" s="71" t="n"/>
      <c r="J165" s="749" t="n"/>
      <c r="K165" s="749" t="n"/>
      <c r="L165" s="748" t="n"/>
      <c r="M165" s="114" t="n"/>
    </row>
    <row r="166">
      <c r="A166" s="48" t="n">
        <v>43249</v>
      </c>
      <c r="B166" s="49" t="inlineStr">
        <is>
          <t>5773</t>
        </is>
      </c>
      <c r="C166" s="49" t="n"/>
      <c r="D166" s="71" t="n">
        <v>40</v>
      </c>
      <c r="E166" s="71" t="n"/>
      <c r="F166" s="55" t="n"/>
      <c r="G166" s="55" t="n">
        <v>20</v>
      </c>
      <c r="H166" s="115">
        <f>H165-G166</f>
        <v/>
      </c>
      <c r="I166" s="71" t="n"/>
      <c r="J166" s="749" t="n"/>
      <c r="K166" s="749" t="n"/>
      <c r="L166" s="748" t="n"/>
      <c r="M166" s="114" t="n"/>
    </row>
    <row r="167">
      <c r="A167" s="48" t="n">
        <v>43249</v>
      </c>
      <c r="B167" s="49" t="inlineStr">
        <is>
          <t>5774</t>
        </is>
      </c>
      <c r="C167" s="49" t="n"/>
      <c r="D167" s="71" t="n">
        <v>45</v>
      </c>
      <c r="E167" s="71" t="n"/>
      <c r="F167" s="55" t="n"/>
      <c r="G167" s="55" t="n">
        <v>40</v>
      </c>
      <c r="H167" s="115">
        <f>H166-G167</f>
        <v/>
      </c>
      <c r="I167" s="71" t="n"/>
      <c r="J167" s="749" t="n"/>
      <c r="K167" s="749" t="n"/>
      <c r="L167" s="748" t="n"/>
      <c r="M167" s="114" t="n"/>
    </row>
    <row r="168">
      <c r="A168" s="48" t="n">
        <v>43249</v>
      </c>
      <c r="B168" s="49" t="inlineStr">
        <is>
          <t>5775</t>
        </is>
      </c>
      <c r="C168" s="49" t="n"/>
      <c r="D168" s="71" t="n">
        <v>40</v>
      </c>
      <c r="E168" s="71" t="n"/>
      <c r="F168" s="55" t="n"/>
      <c r="G168" s="55" t="n">
        <v>30</v>
      </c>
      <c r="H168" s="115">
        <f>H167-G168</f>
        <v/>
      </c>
      <c r="I168" s="71" t="n"/>
      <c r="J168" s="749" t="n"/>
      <c r="K168" s="749" t="n"/>
      <c r="L168" s="748" t="n"/>
      <c r="M168" s="114" t="n"/>
    </row>
    <row r="169">
      <c r="A169" s="48" t="n">
        <v>43250</v>
      </c>
      <c r="B169" s="49" t="inlineStr">
        <is>
          <t>5778</t>
        </is>
      </c>
      <c r="C169" s="49" t="n"/>
      <c r="D169" s="71" t="n">
        <v>49.8</v>
      </c>
      <c r="E169" s="71" t="n"/>
      <c r="F169" s="55" t="n"/>
      <c r="G169" s="55" t="n">
        <v>50</v>
      </c>
      <c r="H169" s="115">
        <f>H168-G169</f>
        <v/>
      </c>
      <c r="I169" s="71" t="n"/>
      <c r="J169" s="749" t="n"/>
      <c r="K169" s="749" t="n"/>
      <c r="L169" s="748" t="n"/>
      <c r="M169" s="114" t="n"/>
    </row>
    <row r="170">
      <c r="A170" s="48" t="n">
        <v>43250</v>
      </c>
      <c r="B170" s="49" t="inlineStr">
        <is>
          <t>5779</t>
        </is>
      </c>
      <c r="C170" s="49" t="n"/>
      <c r="D170" s="71" t="n">
        <v>40</v>
      </c>
      <c r="E170" s="71" t="n"/>
      <c r="F170" s="55" t="n"/>
      <c r="G170" s="55" t="n">
        <v>50</v>
      </c>
      <c r="H170" s="115">
        <f>H169-G170</f>
        <v/>
      </c>
      <c r="I170" s="71" t="n"/>
      <c r="J170" s="749" t="n"/>
      <c r="K170" s="749" t="n"/>
      <c r="L170" s="748" t="n"/>
      <c r="M170" s="114" t="n"/>
    </row>
    <row r="171">
      <c r="A171" s="48" t="n"/>
      <c r="B171" s="49" t="inlineStr">
        <is>
          <t>5712</t>
        </is>
      </c>
      <c r="C171" s="49" t="n"/>
      <c r="D171" s="71" t="n">
        <v>47</v>
      </c>
      <c r="E171" s="71" t="n"/>
      <c r="F171" s="55" t="n"/>
      <c r="G171" s="55" t="n"/>
      <c r="H171" s="115">
        <f>H170-G171</f>
        <v/>
      </c>
      <c r="I171" s="71" t="n"/>
      <c r="J171" s="749" t="n"/>
      <c r="K171" s="749" t="n"/>
      <c r="L171" s="748" t="n"/>
      <c r="M171" s="114" t="n"/>
    </row>
    <row r="172">
      <c r="A172" s="48" t="n"/>
      <c r="B172" s="49" t="inlineStr">
        <is>
          <t>5713</t>
        </is>
      </c>
      <c r="C172" s="49" t="n"/>
      <c r="D172" s="71" t="n">
        <v>48</v>
      </c>
      <c r="E172" s="71" t="n"/>
      <c r="F172" s="55" t="n"/>
      <c r="G172" s="55" t="n"/>
      <c r="H172" s="115">
        <f>H171-G172</f>
        <v/>
      </c>
      <c r="I172" s="71" t="n"/>
      <c r="J172" s="749" t="n"/>
      <c r="K172" s="749" t="n"/>
      <c r="L172" s="748" t="n"/>
      <c r="M172" s="114" t="n"/>
    </row>
    <row r="173" ht="13.7" customHeight="1" s="436">
      <c r="A173" s="48" t="n"/>
      <c r="B173" s="49" t="inlineStr">
        <is>
          <t>5714</t>
        </is>
      </c>
      <c r="C173" s="49" t="n"/>
      <c r="D173" s="71" t="n">
        <v>49</v>
      </c>
      <c r="E173" s="71" t="n"/>
      <c r="F173" s="55" t="n"/>
      <c r="G173" s="55" t="n"/>
      <c r="H173" s="115">
        <f>H172-G173</f>
        <v/>
      </c>
      <c r="I173" s="71" t="n"/>
      <c r="J173" s="749" t="n"/>
      <c r="K173" s="749" t="n"/>
      <c r="L173" s="748" t="n"/>
      <c r="M173" s="114" t="n"/>
    </row>
    <row r="174" ht="13.7" customHeight="1" s="436">
      <c r="A174" s="48" t="n"/>
      <c r="B174" s="49" t="inlineStr">
        <is>
          <t>5715</t>
        </is>
      </c>
      <c r="C174" s="49" t="n"/>
      <c r="D174" s="71" t="n">
        <v>50</v>
      </c>
      <c r="E174" s="71" t="n"/>
      <c r="F174" s="55" t="n"/>
      <c r="G174" s="55" t="n"/>
      <c r="H174" s="115">
        <f>H173-G174</f>
        <v/>
      </c>
      <c r="I174" s="71" t="n"/>
      <c r="J174" s="749" t="n"/>
      <c r="K174" s="749" t="n"/>
      <c r="L174" s="748" t="n"/>
      <c r="M174" s="114" t="n"/>
    </row>
    <row r="175" ht="13.7" customHeight="1" s="436">
      <c r="A175" s="48" t="n"/>
      <c r="B175" s="49" t="inlineStr">
        <is>
          <t>5716</t>
        </is>
      </c>
      <c r="C175" s="49" t="n"/>
      <c r="D175" s="71" t="n">
        <v>51</v>
      </c>
      <c r="E175" s="71" t="n"/>
      <c r="F175" s="55" t="n"/>
      <c r="G175" s="55" t="n"/>
      <c r="H175" s="115">
        <f>H174-G175</f>
        <v/>
      </c>
      <c r="I175" s="71" t="n"/>
      <c r="J175" s="749" t="n"/>
      <c r="K175" s="749" t="n"/>
      <c r="L175" s="748" t="n"/>
      <c r="M175" s="114" t="n"/>
    </row>
    <row r="176" ht="13.7" customHeight="1" s="436">
      <c r="A176" s="76" t="n"/>
      <c r="B176" s="76" t="n"/>
      <c r="C176" s="76" t="n"/>
      <c r="D176" s="76" t="n"/>
      <c r="E176" s="76" t="n"/>
      <c r="F176" s="76" t="n"/>
      <c r="G176" s="76" t="n"/>
      <c r="H176" s="76" t="n"/>
      <c r="I176" s="76" t="n"/>
      <c r="J176" s="76" t="n"/>
      <c r="K176" s="76" t="n"/>
      <c r="L176" s="76" t="n"/>
      <c r="M176" s="114" t="n"/>
    </row>
    <row r="177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  <c r="J177" s="76" t="n"/>
      <c r="K177" s="76" t="n"/>
      <c r="L177" s="76" t="n"/>
      <c r="M177" s="114" t="n"/>
    </row>
    <row r="178">
      <c r="A178" s="76" t="n"/>
      <c r="B178" s="76" t="n"/>
      <c r="C178" s="76" t="n"/>
      <c r="D178" s="76" t="n"/>
      <c r="E178" s="76" t="n"/>
      <c r="F178" s="76" t="n"/>
      <c r="G178" s="76" t="n"/>
      <c r="H178" s="76" t="n"/>
      <c r="I178" s="76" t="n"/>
      <c r="J178" s="76" t="n"/>
      <c r="K178" s="76" t="n"/>
      <c r="L178" s="76" t="n"/>
      <c r="M178" s="114" t="n"/>
    </row>
    <row r="179" ht="15.75" customHeight="1" s="436" thickBot="1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  <c r="J179" s="76" t="n"/>
      <c r="K179" s="76" t="n"/>
      <c r="L179" s="76" t="n"/>
      <c r="M179" s="114" t="n"/>
    </row>
    <row r="180" ht="29.25" customHeight="1" s="436" thickBot="1">
      <c r="A180" s="696" t="inlineStr">
        <is>
          <t>PLANILHA CONTROLE DE ESTOQUE</t>
        </is>
      </c>
      <c r="B180" s="697" t="n"/>
      <c r="C180" s="697" t="n"/>
      <c r="D180" s="697" t="n"/>
      <c r="E180" s="697" t="n"/>
      <c r="F180" s="697" t="n"/>
      <c r="G180" s="697" t="n"/>
      <c r="H180" s="697" t="n"/>
      <c r="I180" s="697" t="n"/>
      <c r="J180" s="697" t="n"/>
      <c r="K180" s="697" t="n"/>
      <c r="L180" s="698" t="n"/>
      <c r="M180" s="114" t="n"/>
    </row>
    <row r="181" ht="21.75" customHeight="1" s="436" thickBot="1">
      <c r="A181" s="744" t="inlineStr">
        <is>
          <t xml:space="preserve">021 - DENISE FURTADO DE SOUZA - ME </t>
        </is>
      </c>
      <c r="B181" s="737" t="n"/>
      <c r="C181" s="737" t="n"/>
      <c r="D181" s="737" t="n"/>
      <c r="E181" s="737" t="n"/>
      <c r="F181" s="737" t="n"/>
      <c r="G181" s="737" t="n"/>
      <c r="H181" s="737" t="n"/>
      <c r="I181" s="737" t="n"/>
      <c r="J181" s="737" t="n"/>
      <c r="K181" s="737" t="n"/>
      <c r="L181" s="736" t="n"/>
      <c r="M181" s="114" t="n"/>
    </row>
    <row r="182" ht="24" customHeight="1" s="436" thickBot="1">
      <c r="A182" s="745" t="inlineStr">
        <is>
          <t xml:space="preserve">  PRÉ MISTURA - 25 KG</t>
        </is>
      </c>
      <c r="B182" s="737" t="n"/>
      <c r="C182" s="737" t="n"/>
      <c r="D182" s="737" t="n"/>
      <c r="E182" s="737" t="n"/>
      <c r="F182" s="737" t="n"/>
      <c r="G182" s="737" t="n"/>
      <c r="H182" s="737" t="n"/>
      <c r="I182" s="737" t="n"/>
      <c r="J182" s="737" t="n"/>
      <c r="K182" s="737" t="n"/>
      <c r="L182" s="736" t="n"/>
      <c r="M182" s="114" t="n"/>
    </row>
    <row r="183">
      <c r="A183" s="746" t="inlineStr">
        <is>
          <t>DATA</t>
        </is>
      </c>
      <c r="B183" s="3" t="inlineStr">
        <is>
          <t>N.F.</t>
        </is>
      </c>
      <c r="C183" s="3" t="inlineStr">
        <is>
          <t>TIPO</t>
        </is>
      </c>
      <c r="D183" s="3" t="inlineStr">
        <is>
          <t>PREÇO UNITÁRIO</t>
        </is>
      </c>
      <c r="E183" s="736" t="n"/>
      <c r="F183" s="3" t="inlineStr">
        <is>
          <t>QUANTIDADE / KG</t>
        </is>
      </c>
      <c r="G183" s="737" t="n"/>
      <c r="H183" s="736" t="n"/>
      <c r="I183" s="631" t="inlineStr">
        <is>
          <t>PREÇO</t>
        </is>
      </c>
      <c r="J183" s="631" t="inlineStr">
        <is>
          <t>VALORES</t>
        </is>
      </c>
      <c r="K183" s="737" t="n"/>
      <c r="L183" s="736" t="n"/>
      <c r="M183" s="114" t="n"/>
    </row>
    <row r="184" ht="15.75" customHeight="1" s="436" thickBot="1">
      <c r="A184" s="703" t="n"/>
      <c r="B184" s="704" t="n"/>
      <c r="C184" s="704" t="n"/>
      <c r="D184" s="703" t="n"/>
      <c r="E184" s="701" t="n"/>
      <c r="F184" s="705" t="n"/>
      <c r="G184" s="706" t="n"/>
      <c r="H184" s="707" t="n"/>
      <c r="I184" s="704" t="n"/>
      <c r="J184" s="703" t="n"/>
      <c r="L184" s="701" t="n"/>
      <c r="M184" s="114" t="n"/>
    </row>
    <row r="185" ht="15.75" customHeight="1" s="436" thickBot="1">
      <c r="A185" s="703" t="n"/>
      <c r="B185" s="704" t="n"/>
      <c r="C185" s="704" t="n"/>
      <c r="D185" s="705" t="n"/>
      <c r="E185" s="707" t="n"/>
      <c r="F185" s="3" t="inlineStr">
        <is>
          <t>ENTRADA</t>
        </is>
      </c>
      <c r="G185" s="3" t="inlineStr">
        <is>
          <t>SAÍDA</t>
        </is>
      </c>
      <c r="H185" s="640" t="inlineStr">
        <is>
          <t>SALDO EM 30/04/2018</t>
        </is>
      </c>
      <c r="I185" s="633" t="inlineStr">
        <is>
          <t>MÉDIO</t>
        </is>
      </c>
      <c r="J185" s="652" t="inlineStr">
        <is>
          <t>SALDO EM 30/12/2017</t>
        </is>
      </c>
      <c r="K185" s="706" t="n"/>
      <c r="L185" s="17" t="n"/>
      <c r="M185" s="114" t="n"/>
    </row>
    <row r="186" ht="15.75" customHeight="1" s="436" thickBot="1">
      <c r="A186" s="705" t="n"/>
      <c r="B186" s="695" t="n"/>
      <c r="C186" s="695" t="n"/>
      <c r="D186" s="3" t="inlineStr">
        <is>
          <t>C/ICMS</t>
        </is>
      </c>
      <c r="E186" s="3" t="inlineStr">
        <is>
          <t>S/ICMS</t>
        </is>
      </c>
      <c r="F186" s="695" t="n"/>
      <c r="G186" s="695" t="n"/>
      <c r="H186" s="18" t="inlineStr">
        <is>
          <t>SALDO EM 30/05/208</t>
        </is>
      </c>
      <c r="I186" s="695" t="n"/>
      <c r="J186" s="645" t="inlineStr">
        <is>
          <t>ENTRADA</t>
        </is>
      </c>
      <c r="K186" s="633" t="inlineStr">
        <is>
          <t>SAÍDA / CMV</t>
        </is>
      </c>
      <c r="L186" s="633" t="inlineStr">
        <is>
          <t>SALDO</t>
        </is>
      </c>
      <c r="M186" s="114" t="n"/>
    </row>
    <row r="187">
      <c r="A187" s="48" t="n"/>
      <c r="B187" s="49" t="n"/>
      <c r="C187" s="49" t="n"/>
      <c r="D187" s="71" t="n"/>
      <c r="E187" s="71" t="n"/>
      <c r="F187" s="55" t="n"/>
      <c r="G187" s="55" t="n">
        <v>0</v>
      </c>
      <c r="H187" s="55" t="n"/>
      <c r="I187" s="71" t="n"/>
      <c r="J187" s="747">
        <f>F187*I187</f>
        <v/>
      </c>
      <c r="K187" s="747" t="n">
        <v>0</v>
      </c>
      <c r="L187" s="748">
        <f>J187-K187</f>
        <v/>
      </c>
      <c r="M187" s="114" t="n"/>
    </row>
    <row r="188">
      <c r="A188" s="92" t="n">
        <v>43252</v>
      </c>
      <c r="B188" s="93" t="n"/>
      <c r="C188" s="96" t="n"/>
      <c r="D188" s="97" t="n"/>
      <c r="E188" s="97" t="n"/>
      <c r="F188" s="98" t="n"/>
      <c r="G188" s="98" t="n"/>
      <c r="H188" s="95" t="n">
        <v>1301</v>
      </c>
      <c r="I188" s="51" t="n"/>
      <c r="J188" s="749" t="n"/>
      <c r="K188" s="749">
        <f>G188*D188</f>
        <v/>
      </c>
      <c r="L188" s="748" t="n"/>
      <c r="M188" s="114" t="n"/>
    </row>
    <row r="189">
      <c r="A189" s="48" t="n">
        <v>43254</v>
      </c>
      <c r="B189" s="49" t="inlineStr">
        <is>
          <t>5780</t>
        </is>
      </c>
      <c r="C189" s="50" t="n"/>
      <c r="D189" s="51" t="n">
        <v>40</v>
      </c>
      <c r="E189" s="51" t="n"/>
      <c r="F189" s="52" t="n"/>
      <c r="G189" s="52" t="n">
        <v>100</v>
      </c>
      <c r="H189" s="115">
        <f>H188-G189</f>
        <v/>
      </c>
      <c r="I189" s="51" t="n"/>
      <c r="J189" s="749" t="n"/>
      <c r="K189" s="749">
        <f>G189*D189</f>
        <v/>
      </c>
      <c r="L189" s="748" t="n"/>
      <c r="M189" s="114" t="n"/>
    </row>
    <row r="190">
      <c r="A190" s="48" t="n">
        <v>43256</v>
      </c>
      <c r="B190" s="49" t="inlineStr">
        <is>
          <t>5784</t>
        </is>
      </c>
      <c r="C190" s="49" t="n"/>
      <c r="D190" s="71" t="n">
        <v>42</v>
      </c>
      <c r="E190" s="71" t="n"/>
      <c r="F190" s="55" t="n"/>
      <c r="G190" s="55" t="n">
        <v>30</v>
      </c>
      <c r="H190" s="115">
        <f>H189-G190</f>
        <v/>
      </c>
      <c r="I190" s="71" t="n"/>
      <c r="J190" s="749" t="n"/>
      <c r="K190" s="749">
        <f>G190*D190</f>
        <v/>
      </c>
      <c r="L190" s="748" t="n"/>
      <c r="M190" s="114" t="n"/>
    </row>
    <row r="191">
      <c r="A191" s="48" t="n">
        <v>43256</v>
      </c>
      <c r="B191" s="49" t="inlineStr">
        <is>
          <t>5790</t>
        </is>
      </c>
      <c r="C191" s="49" t="n"/>
      <c r="D191" s="71" t="n">
        <v>45</v>
      </c>
      <c r="E191" s="71" t="n"/>
      <c r="F191" s="55" t="n"/>
      <c r="G191" s="55" t="n">
        <v>40</v>
      </c>
      <c r="H191" s="115">
        <f>H190-G191</f>
        <v/>
      </c>
      <c r="I191" s="71" t="n"/>
      <c r="J191" s="749" t="n"/>
      <c r="K191" s="749" t="n"/>
      <c r="L191" s="748" t="n"/>
      <c r="M191" s="114" t="n"/>
    </row>
    <row r="192" ht="17.25" customHeight="1" s="436">
      <c r="A192" s="48" t="n">
        <v>43262</v>
      </c>
      <c r="B192" s="49" t="inlineStr">
        <is>
          <t>5794</t>
        </is>
      </c>
      <c r="C192" s="49" t="n"/>
      <c r="D192" s="71" t="n">
        <v>45</v>
      </c>
      <c r="E192" s="71" t="n"/>
      <c r="F192" s="55" t="n"/>
      <c r="G192" s="87" t="n">
        <v>40</v>
      </c>
      <c r="H192" s="115">
        <f>H191-G192</f>
        <v/>
      </c>
      <c r="I192" s="71" t="n"/>
      <c r="J192" s="749" t="n"/>
      <c r="K192" s="749" t="n"/>
      <c r="L192" s="748" t="n"/>
      <c r="M192" s="114" t="n"/>
    </row>
    <row r="193">
      <c r="A193" s="48" t="n">
        <v>43262</v>
      </c>
      <c r="B193" s="49" t="inlineStr">
        <is>
          <t>5799</t>
        </is>
      </c>
      <c r="C193" s="49" t="n"/>
      <c r="D193" s="71" t="n">
        <v>50</v>
      </c>
      <c r="E193" s="71" t="n"/>
      <c r="F193" s="55" t="n"/>
      <c r="G193" s="55" t="n">
        <v>60</v>
      </c>
      <c r="H193" s="115">
        <f>H192-G193</f>
        <v/>
      </c>
      <c r="I193" s="71" t="n"/>
      <c r="J193" s="749" t="n"/>
      <c r="K193" s="749" t="n"/>
      <c r="L193" s="748" t="n"/>
      <c r="M193" s="114" t="n"/>
    </row>
    <row r="194">
      <c r="A194" s="48" t="n">
        <v>43262</v>
      </c>
      <c r="B194" s="49" t="inlineStr">
        <is>
          <t>5800</t>
        </is>
      </c>
      <c r="C194" s="49" t="n"/>
      <c r="D194" s="71" t="n">
        <v>45</v>
      </c>
      <c r="E194" s="71" t="n"/>
      <c r="F194" s="55" t="n"/>
      <c r="G194" s="55" t="n">
        <v>25</v>
      </c>
      <c r="H194" s="115">
        <f>H193-G194</f>
        <v/>
      </c>
      <c r="I194" s="71" t="n"/>
      <c r="J194" s="749" t="n"/>
      <c r="K194" s="749" t="n"/>
      <c r="L194" s="748" t="n"/>
      <c r="M194" s="114" t="n"/>
    </row>
    <row r="195">
      <c r="A195" s="48" t="n">
        <v>43269</v>
      </c>
      <c r="B195" s="49" t="inlineStr">
        <is>
          <t>5807</t>
        </is>
      </c>
      <c r="C195" s="49" t="n"/>
      <c r="D195" s="71" t="n">
        <v>45</v>
      </c>
      <c r="E195" s="71" t="n"/>
      <c r="F195" s="55" t="n"/>
      <c r="G195" s="55" t="n">
        <v>30</v>
      </c>
      <c r="H195" s="115">
        <f>H194-G195</f>
        <v/>
      </c>
      <c r="I195" s="71" t="n"/>
      <c r="J195" s="749" t="n"/>
      <c r="K195" s="749" t="n"/>
      <c r="L195" s="748" t="n"/>
      <c r="M195" s="114" t="n"/>
    </row>
    <row r="196">
      <c r="A196" s="48" t="n">
        <v>43271</v>
      </c>
      <c r="B196" s="49" t="inlineStr">
        <is>
          <t>5811</t>
        </is>
      </c>
      <c r="C196" s="49" t="n"/>
      <c r="D196" s="71" t="n">
        <v>45</v>
      </c>
      <c r="E196" s="71" t="n"/>
      <c r="F196" s="55" t="n"/>
      <c r="G196" s="55" t="n">
        <v>30</v>
      </c>
      <c r="H196" s="115">
        <f>H195-G196</f>
        <v/>
      </c>
      <c r="I196" s="71" t="n"/>
      <c r="J196" s="749" t="n"/>
      <c r="K196" s="749" t="n"/>
      <c r="L196" s="748" t="n"/>
      <c r="M196" s="114" t="n"/>
    </row>
    <row r="197">
      <c r="A197" s="48" t="n">
        <v>43271</v>
      </c>
      <c r="B197" s="49" t="inlineStr">
        <is>
          <t>5812</t>
        </is>
      </c>
      <c r="C197" s="49" t="n"/>
      <c r="D197" s="71" t="n">
        <v>40</v>
      </c>
      <c r="E197" s="71" t="n"/>
      <c r="F197" s="55" t="n"/>
      <c r="G197" s="55" t="n">
        <v>20</v>
      </c>
      <c r="H197" s="115">
        <f>H196-G197</f>
        <v/>
      </c>
      <c r="I197" s="71" t="n"/>
      <c r="J197" s="749" t="n"/>
      <c r="K197" s="749" t="n"/>
      <c r="L197" s="748" t="n"/>
      <c r="M197" s="114" t="n"/>
    </row>
    <row r="198">
      <c r="A198" s="48" t="n">
        <v>43276</v>
      </c>
      <c r="B198" s="49" t="inlineStr">
        <is>
          <t>5822</t>
        </is>
      </c>
      <c r="C198" s="49" t="n"/>
      <c r="D198" s="71" t="n">
        <v>56</v>
      </c>
      <c r="E198" s="71" t="n"/>
      <c r="F198" s="55" t="n"/>
      <c r="G198" s="55" t="n">
        <v>25</v>
      </c>
      <c r="H198" s="115">
        <f>H197-G198</f>
        <v/>
      </c>
      <c r="I198" s="71" t="n"/>
      <c r="J198" s="749" t="n"/>
      <c r="K198" s="749" t="n"/>
      <c r="L198" s="748" t="n"/>
      <c r="M198" s="114" t="n"/>
    </row>
    <row r="199">
      <c r="A199" s="48" t="n">
        <v>43276</v>
      </c>
      <c r="B199" s="49" t="inlineStr">
        <is>
          <t>5823</t>
        </is>
      </c>
      <c r="C199" s="49" t="n"/>
      <c r="D199" s="71" t="n">
        <v>45</v>
      </c>
      <c r="E199" s="71" t="n"/>
      <c r="F199" s="55" t="n"/>
      <c r="G199" s="55" t="n">
        <v>10</v>
      </c>
      <c r="H199" s="115">
        <f>H198-G199</f>
        <v/>
      </c>
      <c r="I199" s="71" t="n"/>
      <c r="J199" s="749" t="n"/>
      <c r="K199" s="749" t="n"/>
      <c r="L199" s="748" t="n"/>
      <c r="M199" s="114" t="n"/>
    </row>
    <row r="200">
      <c r="A200" s="48" t="n">
        <v>43276</v>
      </c>
      <c r="B200" s="49" t="inlineStr">
        <is>
          <t>5825</t>
        </is>
      </c>
      <c r="C200" s="49" t="n"/>
      <c r="D200" s="71" t="n">
        <v>44</v>
      </c>
      <c r="E200" s="71" t="n"/>
      <c r="F200" s="55" t="n"/>
      <c r="G200" s="55" t="n">
        <v>20</v>
      </c>
      <c r="H200" s="115">
        <f>H199-G200</f>
        <v/>
      </c>
      <c r="I200" s="71" t="n"/>
      <c r="J200" s="749" t="n"/>
      <c r="K200" s="749" t="n"/>
      <c r="L200" s="748" t="n"/>
      <c r="M200" s="114" t="n"/>
    </row>
    <row r="201">
      <c r="A201" s="48" t="n">
        <v>43276</v>
      </c>
      <c r="B201" s="49" t="inlineStr">
        <is>
          <t>5828</t>
        </is>
      </c>
      <c r="C201" s="49" t="n"/>
      <c r="D201" s="71" t="n">
        <v>45</v>
      </c>
      <c r="E201" s="71" t="n"/>
      <c r="F201" s="55" t="n"/>
      <c r="G201" s="55" t="n">
        <v>30</v>
      </c>
      <c r="H201" s="115">
        <f>H200-G201</f>
        <v/>
      </c>
      <c r="I201" s="71" t="n"/>
      <c r="J201" s="749" t="n"/>
      <c r="K201" s="749" t="n"/>
      <c r="L201" s="748" t="n"/>
      <c r="M201" s="114" t="n"/>
    </row>
    <row r="202">
      <c r="A202" s="48" t="n">
        <v>43276</v>
      </c>
      <c r="B202" s="49" t="inlineStr">
        <is>
          <t>5830</t>
        </is>
      </c>
      <c r="C202" s="49" t="n"/>
      <c r="D202" s="71" t="n">
        <v>45</v>
      </c>
      <c r="E202" s="71" t="n"/>
      <c r="F202" s="55" t="n"/>
      <c r="G202" s="55" t="n">
        <v>10</v>
      </c>
      <c r="H202" s="115">
        <f>H201-G202</f>
        <v/>
      </c>
      <c r="I202" s="71" t="n"/>
      <c r="J202" s="749" t="n"/>
      <c r="K202" s="749" t="n"/>
      <c r="L202" s="748" t="n"/>
      <c r="M202" s="114" t="n"/>
    </row>
    <row r="203">
      <c r="A203" s="92" t="n">
        <v>43278</v>
      </c>
      <c r="B203" s="93" t="inlineStr">
        <is>
          <t>94500</t>
        </is>
      </c>
      <c r="C203" s="93" t="n"/>
      <c r="D203" s="94" t="n">
        <v>43.4</v>
      </c>
      <c r="E203" s="94" t="n"/>
      <c r="F203" s="95" t="n">
        <v>1100</v>
      </c>
      <c r="G203" s="95" t="n"/>
      <c r="H203" s="118" t="n">
        <v>1931</v>
      </c>
      <c r="I203" s="71" t="n"/>
      <c r="J203" s="749" t="n"/>
      <c r="K203" s="749" t="n"/>
      <c r="L203" s="748" t="n"/>
      <c r="M203" s="114" t="n"/>
    </row>
    <row r="204">
      <c r="A204" s="48" t="n"/>
      <c r="B204" s="49" t="n"/>
      <c r="C204" s="49" t="n"/>
      <c r="D204" s="71" t="n">
        <v>47</v>
      </c>
      <c r="E204" s="71" t="n"/>
      <c r="F204" s="55" t="n"/>
      <c r="G204" s="55" t="n"/>
      <c r="H204" s="115">
        <f>H203-G204</f>
        <v/>
      </c>
      <c r="I204" s="71" t="n"/>
      <c r="J204" s="749" t="n"/>
      <c r="K204" s="749" t="n"/>
      <c r="L204" s="748" t="n"/>
      <c r="M204" s="114" t="n"/>
    </row>
    <row r="205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  <c r="J205" s="76" t="n"/>
      <c r="K205" s="76" t="n"/>
      <c r="L205" s="76" t="n"/>
      <c r="M205" s="114" t="n"/>
    </row>
    <row r="206">
      <c r="A206" s="76" t="n"/>
      <c r="B206" s="76" t="n"/>
      <c r="C206" s="76" t="n"/>
      <c r="D206" s="76" t="n"/>
      <c r="E206" s="76" t="n"/>
      <c r="F206" s="76" t="n"/>
      <c r="G206" s="76" t="n"/>
      <c r="H206" s="76" t="n"/>
      <c r="I206" s="76" t="n"/>
      <c r="J206" s="76" t="n"/>
      <c r="K206" s="76" t="n"/>
      <c r="L206" s="76" t="n"/>
      <c r="M206" s="114" t="n"/>
    </row>
    <row r="207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  <c r="J207" s="76" t="n"/>
      <c r="K207" s="76" t="n"/>
      <c r="L207" s="76" t="n"/>
      <c r="M207" s="114" t="n"/>
    </row>
    <row r="208" ht="15.75" customHeight="1" s="436" thickBot="1">
      <c r="A208" s="76" t="n"/>
      <c r="B208" s="76" t="n"/>
      <c r="C208" s="76" t="n"/>
      <c r="D208" s="76" t="n"/>
      <c r="E208" s="76" t="n"/>
      <c r="F208" s="76" t="n"/>
      <c r="G208" s="76" t="n"/>
      <c r="H208" s="76" t="n"/>
      <c r="I208" s="76" t="n"/>
      <c r="J208" s="76" t="n"/>
      <c r="K208" s="76" t="n"/>
      <c r="L208" s="76" t="n"/>
      <c r="M208" s="114" t="n"/>
    </row>
    <row r="209" ht="29.25" customHeight="1" s="436" thickBot="1">
      <c r="A209" s="696" t="inlineStr">
        <is>
          <t>PLANILHA CONTROLE DE ESTOQUE</t>
        </is>
      </c>
      <c r="B209" s="697" t="n"/>
      <c r="C209" s="697" t="n"/>
      <c r="D209" s="697" t="n"/>
      <c r="E209" s="697" t="n"/>
      <c r="F209" s="697" t="n"/>
      <c r="G209" s="697" t="n"/>
      <c r="H209" s="697" t="n"/>
      <c r="I209" s="697" t="n"/>
      <c r="J209" s="697" t="n"/>
      <c r="K209" s="697" t="n"/>
      <c r="L209" s="698" t="n"/>
      <c r="M209" s="114" t="n"/>
    </row>
    <row r="210" ht="21.75" customHeight="1" s="436" thickBot="1">
      <c r="A210" s="744" t="inlineStr">
        <is>
          <t xml:space="preserve">021 - DENISE FURTADO DE SOUZA - ME </t>
        </is>
      </c>
      <c r="B210" s="737" t="n"/>
      <c r="C210" s="737" t="n"/>
      <c r="D210" s="737" t="n"/>
      <c r="E210" s="737" t="n"/>
      <c r="F210" s="737" t="n"/>
      <c r="G210" s="737" t="n"/>
      <c r="H210" s="737" t="n"/>
      <c r="I210" s="737" t="n"/>
      <c r="J210" s="737" t="n"/>
      <c r="K210" s="737" t="n"/>
      <c r="L210" s="736" t="n"/>
      <c r="M210" s="114" t="n"/>
    </row>
    <row r="211" ht="24" customHeight="1" s="436" thickBot="1">
      <c r="A211" s="745" t="inlineStr">
        <is>
          <t xml:space="preserve">  PRÉ MISTURA - 25 KG</t>
        </is>
      </c>
      <c r="B211" s="737" t="n"/>
      <c r="C211" s="737" t="n"/>
      <c r="D211" s="737" t="n"/>
      <c r="E211" s="737" t="n"/>
      <c r="F211" s="737" t="n"/>
      <c r="G211" s="737" t="n"/>
      <c r="H211" s="737" t="n"/>
      <c r="I211" s="737" t="n"/>
      <c r="J211" s="737" t="n"/>
      <c r="K211" s="737" t="n"/>
      <c r="L211" s="736" t="n"/>
      <c r="M211" s="114" t="n"/>
    </row>
    <row r="212">
      <c r="A212" s="746" t="inlineStr">
        <is>
          <t>DATA</t>
        </is>
      </c>
      <c r="B212" s="3" t="inlineStr">
        <is>
          <t>N.F.</t>
        </is>
      </c>
      <c r="C212" s="3" t="inlineStr">
        <is>
          <t>TIPO</t>
        </is>
      </c>
      <c r="D212" s="3" t="inlineStr">
        <is>
          <t>PREÇO UNITÁRIO</t>
        </is>
      </c>
      <c r="E212" s="736" t="n"/>
      <c r="F212" s="3" t="inlineStr">
        <is>
          <t>QUANTIDADE / KG</t>
        </is>
      </c>
      <c r="G212" s="737" t="n"/>
      <c r="H212" s="736" t="n"/>
      <c r="I212" s="631" t="inlineStr">
        <is>
          <t>PREÇO</t>
        </is>
      </c>
      <c r="J212" s="631" t="inlineStr">
        <is>
          <t>VALORES</t>
        </is>
      </c>
      <c r="K212" s="737" t="n"/>
      <c r="L212" s="736" t="n"/>
      <c r="M212" s="114" t="n"/>
    </row>
    <row r="213" ht="15.75" customHeight="1" s="436" thickBot="1">
      <c r="A213" s="703" t="n"/>
      <c r="B213" s="704" t="n"/>
      <c r="C213" s="704" t="n"/>
      <c r="D213" s="703" t="n"/>
      <c r="E213" s="701" t="n"/>
      <c r="F213" s="705" t="n"/>
      <c r="G213" s="706" t="n"/>
      <c r="H213" s="707" t="n"/>
      <c r="I213" s="704" t="n"/>
      <c r="J213" s="703" t="n"/>
      <c r="L213" s="701" t="n"/>
      <c r="M213" s="114" t="n"/>
    </row>
    <row r="214" ht="15.75" customHeight="1" s="436" thickBot="1">
      <c r="A214" s="703" t="n"/>
      <c r="B214" s="704" t="n"/>
      <c r="C214" s="704" t="n"/>
      <c r="D214" s="705" t="n"/>
      <c r="E214" s="707" t="n"/>
      <c r="F214" s="3" t="inlineStr">
        <is>
          <t>ENTRADA</t>
        </is>
      </c>
      <c r="G214" s="3" t="inlineStr">
        <is>
          <t>SAÍDA</t>
        </is>
      </c>
      <c r="H214" s="640" t="n"/>
      <c r="I214" s="633" t="inlineStr">
        <is>
          <t>MÉDIO</t>
        </is>
      </c>
      <c r="J214" s="652" t="inlineStr">
        <is>
          <t>SALDO EM 30/12/2017</t>
        </is>
      </c>
      <c r="K214" s="706" t="n"/>
      <c r="L214" s="17" t="n"/>
      <c r="M214" s="114" t="n"/>
    </row>
    <row r="215" ht="15.75" customHeight="1" s="436" thickBot="1">
      <c r="A215" s="705" t="n"/>
      <c r="B215" s="695" t="n"/>
      <c r="C215" s="695" t="n"/>
      <c r="D215" s="3" t="inlineStr">
        <is>
          <t>C/ICMS</t>
        </is>
      </c>
      <c r="E215" s="3" t="inlineStr">
        <is>
          <t>S/ICMS</t>
        </is>
      </c>
      <c r="F215" s="695" t="n"/>
      <c r="G215" s="695" t="n"/>
      <c r="H215" s="18" t="inlineStr">
        <is>
          <t>SALDO EM 30/06/2018</t>
        </is>
      </c>
      <c r="I215" s="695" t="n"/>
      <c r="J215" s="645" t="inlineStr">
        <is>
          <t>ENTRADA</t>
        </is>
      </c>
      <c r="K215" s="633" t="inlineStr">
        <is>
          <t>SAÍDA / CMV</t>
        </is>
      </c>
      <c r="L215" s="633" t="inlineStr">
        <is>
          <t>SALDO</t>
        </is>
      </c>
      <c r="M215" s="114" t="n"/>
    </row>
    <row r="216">
      <c r="A216" s="48" t="n"/>
      <c r="B216" s="49" t="n"/>
      <c r="C216" s="49" t="n"/>
      <c r="D216" s="71" t="n"/>
      <c r="E216" s="71" t="n"/>
      <c r="F216" s="55" t="n"/>
      <c r="G216" s="55" t="n">
        <v>0</v>
      </c>
      <c r="H216" s="55" t="n"/>
      <c r="I216" s="71" t="n"/>
      <c r="J216" s="747">
        <f>F216*I216</f>
        <v/>
      </c>
      <c r="K216" s="747" t="n">
        <v>0</v>
      </c>
      <c r="L216" s="748">
        <f>J216-K216</f>
        <v/>
      </c>
      <c r="M216" s="114" t="n"/>
    </row>
    <row r="217">
      <c r="A217" s="92" t="n">
        <v>43282</v>
      </c>
      <c r="B217" s="93" t="n"/>
      <c r="C217" s="96" t="n"/>
      <c r="D217" s="97" t="n"/>
      <c r="E217" s="97" t="n"/>
      <c r="F217" s="98" t="n"/>
      <c r="G217" s="98" t="n"/>
      <c r="H217" s="95" t="n">
        <v>1931</v>
      </c>
      <c r="I217" s="51" t="n"/>
      <c r="J217" s="749" t="n"/>
      <c r="K217" s="749">
        <f>G217*D217</f>
        <v/>
      </c>
      <c r="L217" s="748" t="n"/>
      <c r="M217" s="114" t="n"/>
    </row>
    <row r="218">
      <c r="A218" s="48" t="n">
        <v>43284</v>
      </c>
      <c r="B218" s="49" t="inlineStr">
        <is>
          <t>5831</t>
        </is>
      </c>
      <c r="C218" s="50" t="n"/>
      <c r="D218" s="51" t="n">
        <v>45</v>
      </c>
      <c r="E218" s="51" t="n"/>
      <c r="F218" s="52" t="n"/>
      <c r="G218" s="52" t="n">
        <v>50</v>
      </c>
      <c r="H218" s="115">
        <f>H217-G218</f>
        <v/>
      </c>
      <c r="I218" s="51" t="n"/>
      <c r="J218" s="749" t="n"/>
      <c r="K218" s="749">
        <f>G218*D218</f>
        <v/>
      </c>
      <c r="L218" s="748" t="n"/>
      <c r="M218" s="114" t="n"/>
    </row>
    <row r="219">
      <c r="A219" s="48" t="n">
        <v>43284</v>
      </c>
      <c r="B219" s="49" t="inlineStr">
        <is>
          <t>5832</t>
        </is>
      </c>
      <c r="C219" s="49" t="n"/>
      <c r="D219" s="71" t="n">
        <v>55</v>
      </c>
      <c r="E219" s="71" t="n"/>
      <c r="F219" s="55" t="n"/>
      <c r="G219" s="55" t="n">
        <v>50</v>
      </c>
      <c r="H219" s="115">
        <f>H218-G219</f>
        <v/>
      </c>
      <c r="I219" s="71" t="n"/>
      <c r="J219" s="749" t="n"/>
      <c r="K219" s="749">
        <f>G219*D219</f>
        <v/>
      </c>
      <c r="L219" s="748" t="n"/>
      <c r="M219" s="114" t="n"/>
    </row>
    <row r="220">
      <c r="A220" s="48" t="n">
        <v>43284</v>
      </c>
      <c r="B220" s="49" t="inlineStr">
        <is>
          <t>5837</t>
        </is>
      </c>
      <c r="C220" s="49" t="n"/>
      <c r="D220" s="71" t="n">
        <v>45</v>
      </c>
      <c r="E220" s="71" t="n"/>
      <c r="F220" s="55" t="n"/>
      <c r="G220" s="55" t="n">
        <v>20</v>
      </c>
      <c r="H220" s="115">
        <f>H219-G220</f>
        <v/>
      </c>
      <c r="I220" s="71" t="n"/>
      <c r="J220" s="749" t="n"/>
      <c r="K220" s="749" t="n"/>
      <c r="L220" s="748" t="n"/>
      <c r="M220" s="114" t="n"/>
    </row>
    <row r="221" ht="17.25" customHeight="1" s="436">
      <c r="A221" s="48" t="n">
        <v>43284</v>
      </c>
      <c r="B221" s="49" t="inlineStr">
        <is>
          <t>5838</t>
        </is>
      </c>
      <c r="C221" s="49" t="n"/>
      <c r="D221" s="71" t="n">
        <v>45</v>
      </c>
      <c r="E221" s="71" t="n"/>
      <c r="F221" s="55" t="n"/>
      <c r="G221" s="87" t="n">
        <v>10</v>
      </c>
      <c r="H221" s="115">
        <f>H220-G221</f>
        <v/>
      </c>
      <c r="I221" s="71" t="n"/>
      <c r="J221" s="749" t="n"/>
      <c r="K221" s="749" t="n"/>
      <c r="L221" s="748" t="n"/>
      <c r="M221" s="114" t="n"/>
    </row>
    <row r="222">
      <c r="A222" s="48" t="n">
        <v>43284</v>
      </c>
      <c r="B222" s="49" t="inlineStr">
        <is>
          <t>5839</t>
        </is>
      </c>
      <c r="C222" s="49" t="n"/>
      <c r="D222" s="71" t="n">
        <v>45</v>
      </c>
      <c r="E222" s="71" t="n"/>
      <c r="F222" s="55" t="n"/>
      <c r="G222" s="55" t="n">
        <v>15</v>
      </c>
      <c r="H222" s="115">
        <f>H221-G222</f>
        <v/>
      </c>
      <c r="I222" s="71" t="n"/>
      <c r="J222" s="749" t="n"/>
      <c r="K222" s="749" t="n"/>
      <c r="L222" s="748" t="n"/>
      <c r="M222" s="114" t="n"/>
    </row>
    <row r="223">
      <c r="A223" s="48" t="n">
        <v>43285</v>
      </c>
      <c r="B223" s="49" t="inlineStr">
        <is>
          <t>5842</t>
        </is>
      </c>
      <c r="C223" s="49" t="n"/>
      <c r="D223" s="71" t="n">
        <v>54</v>
      </c>
      <c r="E223" s="71" t="n"/>
      <c r="F223" s="55" t="n"/>
      <c r="G223" s="55" t="n">
        <v>30</v>
      </c>
      <c r="H223" s="115">
        <f>H222-G223</f>
        <v/>
      </c>
      <c r="I223" s="71" t="n"/>
      <c r="J223" s="749" t="n"/>
      <c r="K223" s="749" t="n"/>
      <c r="L223" s="748" t="n"/>
      <c r="M223" s="114" t="n"/>
    </row>
    <row r="224">
      <c r="A224" s="48" t="n">
        <v>43285</v>
      </c>
      <c r="B224" s="49" t="inlineStr">
        <is>
          <t>5843</t>
        </is>
      </c>
      <c r="C224" s="49" t="n"/>
      <c r="D224" s="71" t="n">
        <v>45</v>
      </c>
      <c r="E224" s="71" t="n"/>
      <c r="F224" s="55" t="n"/>
      <c r="G224" s="55" t="n">
        <v>30</v>
      </c>
      <c r="H224" s="115">
        <f>H223-G224</f>
        <v/>
      </c>
      <c r="I224" s="71" t="n"/>
      <c r="J224" s="749" t="n"/>
      <c r="K224" s="749" t="n"/>
      <c r="L224" s="748" t="n"/>
      <c r="M224" s="114" t="n"/>
    </row>
    <row r="225">
      <c r="A225" s="48" t="n">
        <v>43291</v>
      </c>
      <c r="B225" s="49" t="inlineStr">
        <is>
          <t>5852</t>
        </is>
      </c>
      <c r="C225" s="49" t="n"/>
      <c r="D225" s="71" t="n">
        <v>45</v>
      </c>
      <c r="E225" s="71" t="n"/>
      <c r="F225" s="55" t="n"/>
      <c r="G225" s="55" t="n">
        <v>60</v>
      </c>
      <c r="H225" s="115">
        <f>H224-G225</f>
        <v/>
      </c>
      <c r="I225" s="71" t="n"/>
      <c r="J225" s="749" t="n"/>
      <c r="K225" s="749" t="n"/>
      <c r="L225" s="748" t="n"/>
      <c r="M225" s="114" t="n"/>
    </row>
    <row r="226">
      <c r="A226" s="48" t="n">
        <v>43291</v>
      </c>
      <c r="B226" s="49" t="inlineStr">
        <is>
          <t>5847</t>
        </is>
      </c>
      <c r="C226" s="49" t="n"/>
      <c r="D226" s="71" t="n">
        <v>45</v>
      </c>
      <c r="E226" s="71" t="n"/>
      <c r="F226" s="55" t="n"/>
      <c r="G226" s="55" t="n">
        <v>30</v>
      </c>
      <c r="H226" s="115">
        <f>H225-G226</f>
        <v/>
      </c>
      <c r="I226" s="71" t="n"/>
      <c r="J226" s="749" t="n"/>
      <c r="K226" s="749" t="n"/>
      <c r="L226" s="748" t="n"/>
      <c r="M226" s="114" t="n"/>
    </row>
    <row r="227">
      <c r="A227" s="48" t="n">
        <v>43291</v>
      </c>
      <c r="B227" s="49" t="inlineStr">
        <is>
          <t>5849</t>
        </is>
      </c>
      <c r="C227" s="49" t="n"/>
      <c r="D227" s="71" t="n">
        <v>54.2</v>
      </c>
      <c r="E227" s="71" t="n"/>
      <c r="F227" s="55" t="n"/>
      <c r="G227" s="55" t="n">
        <v>50</v>
      </c>
      <c r="H227" s="115">
        <f>H226-G227</f>
        <v/>
      </c>
      <c r="I227" s="71" t="n"/>
      <c r="J227" s="749" t="n"/>
      <c r="K227" s="749" t="n"/>
      <c r="L227" s="748" t="n"/>
      <c r="M227" s="114" t="n"/>
    </row>
    <row r="228">
      <c r="A228" s="48" t="n">
        <v>43292</v>
      </c>
      <c r="B228" s="49" t="inlineStr">
        <is>
          <t>5857</t>
        </is>
      </c>
      <c r="C228" s="49" t="n"/>
      <c r="D228" s="71" t="n">
        <v>50</v>
      </c>
      <c r="E228" s="71" t="n"/>
      <c r="F228" s="55" t="n"/>
      <c r="G228" s="55" t="n">
        <v>20</v>
      </c>
      <c r="H228" s="115">
        <f>H227-G228</f>
        <v/>
      </c>
      <c r="I228" s="71" t="n"/>
      <c r="J228" s="749" t="n"/>
      <c r="K228" s="749" t="n"/>
      <c r="L228" s="748" t="n"/>
      <c r="M228" s="114" t="n"/>
    </row>
    <row r="229">
      <c r="A229" s="48" t="n">
        <v>43292</v>
      </c>
      <c r="B229" s="49" t="inlineStr">
        <is>
          <t>5859</t>
        </is>
      </c>
      <c r="C229" s="49" t="n"/>
      <c r="D229" s="71" t="n">
        <v>50</v>
      </c>
      <c r="E229" s="71" t="n"/>
      <c r="F229" s="55" t="n"/>
      <c r="G229" s="55" t="n">
        <v>20</v>
      </c>
      <c r="H229" s="115">
        <f>H228-G229</f>
        <v/>
      </c>
      <c r="I229" s="71" t="n"/>
      <c r="J229" s="749" t="n"/>
      <c r="K229" s="749" t="n"/>
      <c r="L229" s="748" t="n"/>
      <c r="M229" s="114" t="n"/>
    </row>
    <row r="230">
      <c r="A230" s="48" t="n">
        <v>43297</v>
      </c>
      <c r="B230" s="49" t="inlineStr">
        <is>
          <t>5868</t>
        </is>
      </c>
      <c r="C230" s="49" t="n"/>
      <c r="D230" s="71" t="n">
        <v>45</v>
      </c>
      <c r="E230" s="71" t="n"/>
      <c r="F230" s="55" t="n"/>
      <c r="G230" s="55" t="n">
        <v>20</v>
      </c>
      <c r="H230" s="115">
        <f>H229-G230</f>
        <v/>
      </c>
      <c r="I230" s="71" t="n"/>
      <c r="J230" s="749" t="n"/>
      <c r="K230" s="749" t="n"/>
      <c r="L230" s="748" t="n"/>
      <c r="M230" s="114" t="n"/>
    </row>
    <row r="231">
      <c r="A231" s="48" t="n">
        <v>43297</v>
      </c>
      <c r="B231" s="49" t="inlineStr">
        <is>
          <t>5869</t>
        </is>
      </c>
      <c r="C231" s="49" t="n"/>
      <c r="D231" s="71" t="n">
        <v>50</v>
      </c>
      <c r="E231" s="71" t="n"/>
      <c r="F231" s="55" t="n"/>
      <c r="G231" s="55" t="n">
        <v>30</v>
      </c>
      <c r="H231" s="115">
        <f>H230-G231</f>
        <v/>
      </c>
      <c r="I231" s="71" t="n"/>
      <c r="J231" s="749" t="n"/>
      <c r="K231" s="749" t="n"/>
      <c r="L231" s="748" t="n"/>
      <c r="M231" s="114" t="n"/>
    </row>
    <row r="232">
      <c r="A232" s="48" t="n">
        <v>43297</v>
      </c>
      <c r="B232" s="49" t="inlineStr">
        <is>
          <t>5873</t>
        </is>
      </c>
      <c r="C232" s="49" t="n"/>
      <c r="D232" s="71" t="n">
        <v>50</v>
      </c>
      <c r="E232" s="71" t="n"/>
      <c r="F232" s="55" t="n"/>
      <c r="G232" s="55" t="n">
        <v>50</v>
      </c>
      <c r="H232" s="115">
        <f>H231-G232</f>
        <v/>
      </c>
      <c r="I232" s="71" t="n"/>
      <c r="J232" s="749" t="n"/>
      <c r="K232" s="749" t="n"/>
      <c r="L232" s="748" t="n"/>
      <c r="M232" s="114" t="n"/>
    </row>
    <row r="233">
      <c r="A233" s="48" t="n">
        <v>43297</v>
      </c>
      <c r="B233" s="49" t="inlineStr">
        <is>
          <t>5874</t>
        </is>
      </c>
      <c r="C233" s="49" t="n"/>
      <c r="D233" s="71" t="n">
        <v>54</v>
      </c>
      <c r="E233" s="71" t="n"/>
      <c r="F233" s="55" t="n"/>
      <c r="G233" s="55" t="n">
        <v>30</v>
      </c>
      <c r="H233" s="115">
        <f>H232-G233</f>
        <v/>
      </c>
      <c r="I233" s="71" t="n"/>
      <c r="J233" s="749" t="n"/>
      <c r="K233" s="749" t="n"/>
      <c r="L233" s="748" t="n"/>
      <c r="M233" s="114" t="n"/>
    </row>
    <row r="234">
      <c r="A234" s="48" t="n">
        <v>43298</v>
      </c>
      <c r="B234" s="49" t="inlineStr">
        <is>
          <t>5875</t>
        </is>
      </c>
      <c r="C234" s="49" t="n"/>
      <c r="D234" s="71" t="n">
        <v>50</v>
      </c>
      <c r="E234" s="71" t="n"/>
      <c r="F234" s="55" t="n"/>
      <c r="G234" s="55" t="n">
        <v>132</v>
      </c>
      <c r="H234" s="115">
        <f>H233-G234</f>
        <v/>
      </c>
      <c r="I234" s="71" t="n"/>
      <c r="J234" s="749" t="n"/>
      <c r="K234" s="749" t="n"/>
      <c r="L234" s="748" t="n"/>
      <c r="M234" s="114" t="n"/>
    </row>
    <row r="235">
      <c r="A235" s="48" t="n">
        <v>43299</v>
      </c>
      <c r="B235" s="49" t="inlineStr">
        <is>
          <t>5877</t>
        </is>
      </c>
      <c r="C235" s="49" t="n"/>
      <c r="D235" s="71" t="n">
        <v>45</v>
      </c>
      <c r="E235" s="71" t="n"/>
      <c r="F235" s="55" t="n"/>
      <c r="G235" s="55" t="n">
        <v>30</v>
      </c>
      <c r="H235" s="115">
        <f>H234-G235</f>
        <v/>
      </c>
      <c r="I235" s="71" t="n"/>
      <c r="J235" s="749" t="n"/>
      <c r="K235" s="749" t="n"/>
      <c r="L235" s="748" t="n"/>
      <c r="M235" s="114" t="n"/>
    </row>
    <row r="236">
      <c r="A236" s="48" t="n">
        <v>43299</v>
      </c>
      <c r="B236" s="49" t="inlineStr">
        <is>
          <t>5878</t>
        </is>
      </c>
      <c r="C236" s="49" t="n"/>
      <c r="D236" s="71" t="n">
        <v>54</v>
      </c>
      <c r="E236" s="71" t="n"/>
      <c r="F236" s="55" t="n"/>
      <c r="G236" s="55" t="n">
        <v>20</v>
      </c>
      <c r="H236" s="115">
        <f>H235-G236</f>
        <v/>
      </c>
      <c r="I236" s="71" t="n"/>
      <c r="J236" s="749" t="n"/>
      <c r="K236" s="749" t="n"/>
      <c r="L236" s="748" t="n"/>
      <c r="M236" s="114" t="n"/>
    </row>
    <row r="237">
      <c r="A237" s="48" t="n">
        <v>43304</v>
      </c>
      <c r="B237" s="49" t="inlineStr">
        <is>
          <t>5883</t>
        </is>
      </c>
      <c r="C237" s="49" t="n"/>
      <c r="D237" s="71" t="n">
        <v>50</v>
      </c>
      <c r="E237" s="71" t="n"/>
      <c r="F237" s="55" t="n"/>
      <c r="G237" s="55" t="n">
        <v>20</v>
      </c>
      <c r="H237" s="115">
        <f>H236-G237</f>
        <v/>
      </c>
      <c r="I237" s="71" t="n"/>
      <c r="J237" s="749" t="n"/>
      <c r="K237" s="749" t="n"/>
      <c r="L237" s="748" t="n"/>
      <c r="M237" s="114" t="n"/>
    </row>
    <row r="238">
      <c r="A238" s="48" t="n">
        <v>43304</v>
      </c>
      <c r="B238" s="49" t="inlineStr">
        <is>
          <t>5884</t>
        </is>
      </c>
      <c r="C238" s="49" t="n"/>
      <c r="D238" s="71" t="n">
        <v>47</v>
      </c>
      <c r="E238" s="71" t="n"/>
      <c r="F238" s="55" t="n"/>
      <c r="G238" s="55" t="n">
        <v>20</v>
      </c>
      <c r="H238" s="115">
        <f>H237-G238</f>
        <v/>
      </c>
      <c r="I238" s="71" t="n"/>
      <c r="J238" s="749" t="n"/>
      <c r="K238" s="749" t="n"/>
      <c r="L238" s="748" t="n"/>
      <c r="M238" s="114" t="n"/>
    </row>
    <row r="239">
      <c r="A239" s="48" t="n">
        <v>43304</v>
      </c>
      <c r="B239" s="49" t="inlineStr">
        <is>
          <t>5886</t>
        </is>
      </c>
      <c r="C239" s="49" t="n"/>
      <c r="D239" s="71" t="n">
        <v>45</v>
      </c>
      <c r="E239" s="71" t="n"/>
      <c r="F239" s="55" t="n"/>
      <c r="G239" s="55" t="n">
        <v>25</v>
      </c>
      <c r="H239" s="115">
        <f>H238-G239</f>
        <v/>
      </c>
      <c r="I239" s="71" t="n"/>
      <c r="J239" s="749" t="n"/>
      <c r="K239" s="749" t="n"/>
      <c r="L239" s="748" t="n"/>
      <c r="M239" s="114" t="n"/>
    </row>
    <row r="240">
      <c r="A240" s="48" t="n">
        <v>43304</v>
      </c>
      <c r="B240" s="49" t="inlineStr">
        <is>
          <t>5887</t>
        </is>
      </c>
      <c r="C240" s="49" t="n"/>
      <c r="D240" s="71" t="n">
        <v>50</v>
      </c>
      <c r="E240" s="71" t="n"/>
      <c r="F240" s="55" t="n"/>
      <c r="G240" s="55" t="n">
        <v>60</v>
      </c>
      <c r="H240" s="115">
        <f>H239-G240</f>
        <v/>
      </c>
      <c r="I240" s="71" t="n"/>
      <c r="J240" s="749" t="n"/>
      <c r="K240" s="749" t="n"/>
      <c r="L240" s="748" t="n"/>
      <c r="M240" s="114" t="n"/>
    </row>
    <row r="241">
      <c r="A241" s="48" t="n">
        <v>43306</v>
      </c>
      <c r="B241" s="49" t="inlineStr">
        <is>
          <t>5891</t>
        </is>
      </c>
      <c r="C241" s="49" t="n"/>
      <c r="D241" s="71" t="n">
        <v>50</v>
      </c>
      <c r="E241" s="71" t="n"/>
      <c r="F241" s="55" t="n"/>
      <c r="G241" s="55" t="n">
        <v>50</v>
      </c>
      <c r="H241" s="115">
        <f>H240-G241</f>
        <v/>
      </c>
      <c r="I241" s="71" t="n"/>
      <c r="J241" s="749" t="n"/>
      <c r="K241" s="749" t="n"/>
      <c r="L241" s="748" t="n"/>
      <c r="M241" s="114" t="n"/>
    </row>
    <row r="242">
      <c r="A242" s="48" t="n">
        <v>43306</v>
      </c>
      <c r="B242" s="49" t="inlineStr">
        <is>
          <t>5895</t>
        </is>
      </c>
      <c r="C242" s="49" t="n"/>
      <c r="D242" s="71" t="n">
        <v>57</v>
      </c>
      <c r="E242" s="71" t="n"/>
      <c r="F242" s="55" t="n"/>
      <c r="G242" s="55" t="n">
        <v>40</v>
      </c>
      <c r="H242" s="115">
        <f>H241-G242</f>
        <v/>
      </c>
      <c r="I242" s="71" t="n"/>
      <c r="J242" s="749" t="n"/>
      <c r="K242" s="749" t="n"/>
      <c r="L242" s="748" t="n"/>
      <c r="M242" s="114" t="n"/>
    </row>
    <row r="243">
      <c r="A243" s="48" t="n">
        <v>43306</v>
      </c>
      <c r="B243" s="49" t="inlineStr">
        <is>
          <t>5896</t>
        </is>
      </c>
      <c r="C243" s="49" t="n"/>
      <c r="D243" s="71" t="n">
        <v>50</v>
      </c>
      <c r="E243" s="71" t="n"/>
      <c r="F243" s="55" t="n"/>
      <c r="G243" s="55" t="n">
        <v>20</v>
      </c>
      <c r="H243" s="115">
        <f>H242-G243</f>
        <v/>
      </c>
      <c r="I243" s="71" t="n"/>
      <c r="J243" s="749" t="n"/>
      <c r="K243" s="749" t="n"/>
      <c r="L243" s="748" t="n"/>
      <c r="M243" s="114" t="n"/>
    </row>
    <row r="244">
      <c r="A244" s="48" t="n">
        <v>43311</v>
      </c>
      <c r="B244" s="49" t="inlineStr">
        <is>
          <t>5899</t>
        </is>
      </c>
      <c r="C244" s="49" t="n"/>
      <c r="D244" s="71" t="n">
        <v>50</v>
      </c>
      <c r="E244" s="71" t="n"/>
      <c r="F244" s="55" t="n"/>
      <c r="G244" s="55" t="n">
        <v>30</v>
      </c>
      <c r="H244" s="115">
        <f>H243-G244</f>
        <v/>
      </c>
      <c r="I244" s="71" t="n"/>
      <c r="J244" s="749" t="n"/>
      <c r="K244" s="749" t="n"/>
      <c r="L244" s="748" t="n"/>
      <c r="M244" s="114" t="n"/>
    </row>
    <row r="245">
      <c r="A245" s="48" t="n">
        <v>43311</v>
      </c>
      <c r="B245" s="49" t="inlineStr">
        <is>
          <t>5903</t>
        </is>
      </c>
      <c r="C245" s="49" t="n"/>
      <c r="D245" s="71" t="n">
        <v>56</v>
      </c>
      <c r="E245" s="71" t="n"/>
      <c r="F245" s="55" t="n"/>
      <c r="G245" s="55" t="n">
        <v>60</v>
      </c>
      <c r="H245" s="115">
        <f>H244-G245</f>
        <v/>
      </c>
      <c r="I245" s="71" t="n"/>
      <c r="J245" s="749" t="n"/>
      <c r="K245" s="749" t="n"/>
      <c r="L245" s="748" t="n"/>
      <c r="M245" s="114" t="n"/>
    </row>
    <row r="246">
      <c r="A246" s="48" t="n">
        <v>43311</v>
      </c>
      <c r="B246" s="49" t="inlineStr">
        <is>
          <t>5904</t>
        </is>
      </c>
      <c r="C246" s="49" t="n"/>
      <c r="D246" s="71" t="n">
        <v>54</v>
      </c>
      <c r="E246" s="71" t="n"/>
      <c r="F246" s="55" t="n"/>
      <c r="G246" s="55" t="n">
        <v>15</v>
      </c>
      <c r="H246" s="115">
        <f>H245-G246</f>
        <v/>
      </c>
      <c r="I246" s="71" t="n"/>
      <c r="J246" s="749" t="n"/>
      <c r="K246" s="749" t="n"/>
      <c r="L246" s="748" t="n"/>
      <c r="M246" s="114" t="n"/>
    </row>
    <row r="247">
      <c r="A247" s="48" t="n">
        <v>43311</v>
      </c>
      <c r="B247" s="49" t="inlineStr">
        <is>
          <t>5905</t>
        </is>
      </c>
      <c r="C247" s="49" t="n"/>
      <c r="D247" s="71" t="n">
        <v>54</v>
      </c>
      <c r="E247" s="71" t="n"/>
      <c r="F247" s="55" t="n"/>
      <c r="G247" s="55" t="n">
        <v>30</v>
      </c>
      <c r="H247" s="115">
        <f>H246-G247</f>
        <v/>
      </c>
      <c r="I247" s="71" t="n"/>
      <c r="J247" s="749" t="n"/>
      <c r="K247" s="749" t="n"/>
      <c r="L247" s="748" t="n"/>
      <c r="M247" s="114" t="n"/>
    </row>
    <row r="248">
      <c r="A248" s="48" t="n">
        <v>43312</v>
      </c>
      <c r="B248" s="49" t="inlineStr">
        <is>
          <t>5906</t>
        </is>
      </c>
      <c r="C248" s="49" t="n"/>
      <c r="D248" s="71" t="n">
        <v>50</v>
      </c>
      <c r="E248" s="71" t="n"/>
      <c r="F248" s="55" t="n"/>
      <c r="G248" s="55" t="n"/>
      <c r="H248" s="115">
        <f>H247-G248</f>
        <v/>
      </c>
      <c r="I248" s="71" t="inlineStr">
        <is>
          <t>nota cancelada</t>
        </is>
      </c>
      <c r="J248" s="749" t="n"/>
      <c r="K248" s="749" t="inlineStr">
        <is>
          <t>nota cancelada</t>
        </is>
      </c>
      <c r="L248" s="748" t="n"/>
      <c r="M248" s="114" t="n"/>
    </row>
    <row r="249">
      <c r="A249" s="48" t="n">
        <v>43312</v>
      </c>
      <c r="B249" s="49" t="inlineStr">
        <is>
          <t>5907</t>
        </is>
      </c>
      <c r="C249" s="49" t="n"/>
      <c r="D249" s="71" t="n">
        <v>50</v>
      </c>
      <c r="E249" s="71" t="n"/>
      <c r="F249" s="55" t="n"/>
      <c r="G249" s="55" t="n">
        <v>60</v>
      </c>
      <c r="H249" s="115">
        <f>H248-G249</f>
        <v/>
      </c>
      <c r="I249" s="71" t="n"/>
      <c r="J249" s="749" t="n"/>
      <c r="K249" s="749" t="n"/>
      <c r="L249" s="748" t="n"/>
      <c r="M249" s="114" t="n"/>
    </row>
    <row r="250">
      <c r="A250" s="48" t="n"/>
      <c r="B250" s="49" t="n"/>
      <c r="C250" s="49" t="n"/>
      <c r="D250" s="71" t="n"/>
      <c r="E250" s="71" t="n"/>
      <c r="F250" s="55" t="n"/>
      <c r="G250" s="55" t="n"/>
      <c r="H250" s="115">
        <f>H249-G250</f>
        <v/>
      </c>
      <c r="I250" s="71" t="n"/>
      <c r="J250" s="749" t="n"/>
      <c r="K250" s="749" t="n"/>
      <c r="L250" s="748" t="n"/>
      <c r="M250" s="114" t="n"/>
    </row>
    <row r="251">
      <c r="A251" s="48" t="n"/>
      <c r="B251" s="49" t="n"/>
      <c r="C251" s="49" t="n"/>
      <c r="D251" s="71" t="n"/>
      <c r="E251" s="71" t="n"/>
      <c r="F251" s="55" t="n"/>
      <c r="G251" s="55" t="n"/>
      <c r="H251" s="115">
        <f>H250-G251</f>
        <v/>
      </c>
      <c r="I251" s="71" t="n"/>
      <c r="J251" s="749" t="n"/>
      <c r="K251" s="749" t="n"/>
      <c r="L251" s="748" t="n"/>
      <c r="M251" s="114" t="n"/>
    </row>
    <row r="252">
      <c r="A252" s="48" t="n"/>
      <c r="B252" s="49" t="n"/>
      <c r="C252" s="49" t="n"/>
      <c r="D252" s="71" t="n"/>
      <c r="E252" s="71" t="n"/>
      <c r="F252" s="55" t="n"/>
      <c r="G252" s="55" t="n"/>
      <c r="H252" s="115">
        <f>H251-G252</f>
        <v/>
      </c>
      <c r="I252" s="71" t="n"/>
      <c r="J252" s="749" t="n"/>
      <c r="K252" s="749" t="n"/>
      <c r="L252" s="748" t="n"/>
      <c r="M252" s="114" t="n"/>
    </row>
    <row r="253">
      <c r="A253" s="48" t="n"/>
      <c r="B253" s="49" t="n"/>
      <c r="C253" s="49" t="n"/>
      <c r="D253" s="71" t="n"/>
      <c r="E253" s="71" t="n"/>
      <c r="F253" s="55" t="n"/>
      <c r="G253" s="55" t="n"/>
      <c r="H253" s="115">
        <f>H252-G253</f>
        <v/>
      </c>
      <c r="I253" s="71" t="n"/>
      <c r="J253" s="749" t="n"/>
      <c r="K253" s="749" t="n"/>
      <c r="L253" s="748" t="n"/>
      <c r="M253" s="114" t="n"/>
    </row>
    <row r="254">
      <c r="A254" s="48" t="n"/>
      <c r="B254" s="49" t="n"/>
      <c r="C254" s="49" t="n"/>
      <c r="D254" s="71" t="n"/>
      <c r="E254" s="71" t="n"/>
      <c r="F254" s="55" t="n"/>
      <c r="G254" s="55" t="n"/>
      <c r="H254" s="115" t="n"/>
      <c r="I254" s="71" t="n"/>
      <c r="J254" s="749" t="n"/>
      <c r="K254" s="749" t="n"/>
      <c r="L254" s="748" t="n"/>
      <c r="M254" s="114" t="n"/>
    </row>
    <row r="255">
      <c r="A255" s="48" t="n"/>
      <c r="B255" s="49" t="n"/>
      <c r="C255" s="49" t="n"/>
      <c r="D255" s="71" t="n"/>
      <c r="E255" s="71" t="n"/>
      <c r="F255" s="55" t="n"/>
      <c r="G255" s="55" t="n"/>
      <c r="H255" s="115" t="n"/>
      <c r="I255" s="71" t="n"/>
      <c r="J255" s="749" t="n"/>
      <c r="K255" s="749" t="n"/>
      <c r="L255" s="748" t="n"/>
      <c r="M255" s="114" t="n"/>
    </row>
    <row r="256">
      <c r="A256" s="48" t="n"/>
      <c r="B256" s="49" t="n"/>
      <c r="C256" s="49" t="n"/>
      <c r="D256" s="71" t="n"/>
      <c r="E256" s="71" t="n"/>
      <c r="F256" s="55" t="n"/>
      <c r="G256" s="55" t="n"/>
      <c r="H256" s="115" t="n"/>
      <c r="I256" s="71" t="n"/>
      <c r="J256" s="749" t="n"/>
      <c r="K256" s="749" t="n"/>
      <c r="L256" s="748" t="n"/>
      <c r="M256" s="114" t="n"/>
    </row>
    <row r="257">
      <c r="A257" s="48" t="n"/>
      <c r="B257" s="49" t="n"/>
      <c r="C257" s="49" t="n"/>
      <c r="D257" s="71" t="n"/>
      <c r="E257" s="71" t="n"/>
      <c r="F257" s="55" t="n"/>
      <c r="G257" s="55" t="n"/>
      <c r="H257" s="115" t="n"/>
      <c r="I257" s="71" t="n"/>
      <c r="J257" s="749" t="n"/>
      <c r="K257" s="749" t="n"/>
      <c r="L257" s="748" t="n"/>
      <c r="M257" s="114" t="n"/>
    </row>
    <row r="258">
      <c r="A258" s="48" t="n"/>
      <c r="B258" s="49" t="n"/>
      <c r="C258" s="49" t="n"/>
      <c r="D258" s="71" t="n"/>
      <c r="E258" s="71" t="n"/>
      <c r="F258" s="55" t="n"/>
      <c r="G258" s="55" t="n"/>
      <c r="H258" s="115" t="n"/>
      <c r="I258" s="71" t="n"/>
      <c r="J258" s="749" t="n"/>
      <c r="K258" s="749" t="n"/>
      <c r="L258" s="748" t="n"/>
      <c r="M258" s="114" t="n"/>
    </row>
    <row r="259">
      <c r="A259" s="48" t="n"/>
      <c r="B259" s="49" t="n"/>
      <c r="C259" s="49" t="n"/>
      <c r="D259" s="71" t="n"/>
      <c r="E259" s="71" t="n"/>
      <c r="F259" s="55" t="n"/>
      <c r="G259" s="55" t="n"/>
      <c r="H259" s="115" t="n"/>
      <c r="I259" s="71" t="n"/>
      <c r="J259" s="749" t="n"/>
      <c r="K259" s="749" t="n"/>
      <c r="L259" s="748" t="n"/>
      <c r="M259" s="114" t="n"/>
    </row>
    <row r="260">
      <c r="A260" s="76" t="n"/>
      <c r="B260" s="76" t="n"/>
      <c r="C260" s="76" t="n"/>
      <c r="D260" s="76" t="n"/>
      <c r="E260" s="76" t="n"/>
      <c r="F260" s="76" t="n"/>
      <c r="G260" s="76" t="n"/>
      <c r="H260" s="76" t="n"/>
      <c r="I260" s="76" t="n"/>
      <c r="J260" s="76" t="n"/>
      <c r="K260" s="76" t="n"/>
      <c r="L260" s="76" t="n"/>
      <c r="M260" s="114" t="n"/>
    </row>
    <row r="261" ht="15.75" customHeight="1" s="436" thickBot="1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  <c r="J261" s="76" t="n"/>
      <c r="K261" s="76" t="n"/>
      <c r="L261" s="76" t="n"/>
      <c r="M261" s="114" t="n"/>
    </row>
    <row r="262" ht="29.25" customHeight="1" s="436" thickBot="1">
      <c r="A262" s="696" t="inlineStr">
        <is>
          <t>PLANILHA CONTROLE DE ESTOQUE</t>
        </is>
      </c>
      <c r="B262" s="697" t="n"/>
      <c r="C262" s="697" t="n"/>
      <c r="D262" s="697" t="n"/>
      <c r="E262" s="697" t="n"/>
      <c r="F262" s="697" t="n"/>
      <c r="G262" s="697" t="n"/>
      <c r="H262" s="697" t="n"/>
      <c r="I262" s="697" t="n"/>
      <c r="J262" s="697" t="n"/>
      <c r="K262" s="697" t="n"/>
      <c r="L262" s="698" t="n"/>
      <c r="M262" s="114" t="n"/>
    </row>
    <row r="263" ht="21.75" customHeight="1" s="436" thickBot="1">
      <c r="A263" s="744" t="inlineStr">
        <is>
          <t xml:space="preserve">021 - DENISE FURTADO DE SOUZA - ME </t>
        </is>
      </c>
      <c r="B263" s="737" t="n"/>
      <c r="C263" s="737" t="n"/>
      <c r="D263" s="737" t="n"/>
      <c r="E263" s="737" t="n"/>
      <c r="F263" s="737" t="n"/>
      <c r="G263" s="737" t="n"/>
      <c r="H263" s="737" t="n"/>
      <c r="I263" s="737" t="n"/>
      <c r="J263" s="737" t="n"/>
      <c r="K263" s="737" t="n"/>
      <c r="L263" s="736" t="n"/>
      <c r="M263" s="114" t="n"/>
    </row>
    <row r="264" ht="24" customHeight="1" s="436" thickBot="1">
      <c r="A264" s="745" t="inlineStr">
        <is>
          <t xml:space="preserve">  PRÉ MISTURA - 25 KG</t>
        </is>
      </c>
      <c r="B264" s="737" t="n"/>
      <c r="C264" s="737" t="n"/>
      <c r="D264" s="737" t="n"/>
      <c r="E264" s="737" t="n"/>
      <c r="F264" s="737" t="n"/>
      <c r="G264" s="737" t="n"/>
      <c r="H264" s="737" t="n"/>
      <c r="I264" s="737" t="n"/>
      <c r="J264" s="737" t="n"/>
      <c r="K264" s="737" t="n"/>
      <c r="L264" s="736" t="n"/>
      <c r="M264" s="114" t="n"/>
    </row>
    <row r="265">
      <c r="A265" s="746" t="inlineStr">
        <is>
          <t>DATA</t>
        </is>
      </c>
      <c r="B265" s="3" t="inlineStr">
        <is>
          <t>N.F.</t>
        </is>
      </c>
      <c r="C265" s="3" t="inlineStr">
        <is>
          <t>TIPO</t>
        </is>
      </c>
      <c r="D265" s="3" t="inlineStr">
        <is>
          <t>PREÇO UNITÁRIO</t>
        </is>
      </c>
      <c r="E265" s="736" t="n"/>
      <c r="F265" s="3" t="inlineStr">
        <is>
          <t>QUANTIDADE / KG</t>
        </is>
      </c>
      <c r="G265" s="737" t="n"/>
      <c r="H265" s="736" t="n"/>
      <c r="I265" s="631" t="inlineStr">
        <is>
          <t>PREÇO</t>
        </is>
      </c>
      <c r="J265" s="631" t="inlineStr">
        <is>
          <t>VALORES</t>
        </is>
      </c>
      <c r="K265" s="737" t="n"/>
      <c r="L265" s="736" t="n"/>
      <c r="M265" s="114" t="n"/>
    </row>
    <row r="266" ht="15.75" customHeight="1" s="436" thickBot="1">
      <c r="A266" s="703" t="n"/>
      <c r="B266" s="704" t="n"/>
      <c r="C266" s="704" t="n"/>
      <c r="D266" s="703" t="n"/>
      <c r="E266" s="701" t="n"/>
      <c r="F266" s="705" t="n"/>
      <c r="G266" s="706" t="n"/>
      <c r="H266" s="707" t="n"/>
      <c r="I266" s="704" t="n"/>
      <c r="J266" s="703" t="n"/>
      <c r="L266" s="701" t="n"/>
      <c r="M266" s="114" t="n"/>
    </row>
    <row r="267" ht="15.75" customHeight="1" s="436" thickBot="1">
      <c r="A267" s="703" t="n"/>
      <c r="B267" s="704" t="n"/>
      <c r="C267" s="704" t="n"/>
      <c r="D267" s="705" t="n"/>
      <c r="E267" s="707" t="n"/>
      <c r="F267" s="3" t="inlineStr">
        <is>
          <t>ENTRADA</t>
        </is>
      </c>
      <c r="G267" s="3" t="inlineStr">
        <is>
          <t>SAÍDA</t>
        </is>
      </c>
      <c r="H267" s="640" t="n"/>
      <c r="I267" s="633" t="inlineStr">
        <is>
          <t>MÉDIO</t>
        </is>
      </c>
      <c r="J267" s="652" t="inlineStr">
        <is>
          <t>SALDO EM 30/12/2017</t>
        </is>
      </c>
      <c r="K267" s="706" t="n"/>
      <c r="L267" s="17" t="n"/>
      <c r="M267" s="114" t="n"/>
    </row>
    <row r="268" ht="15.75" customHeight="1" s="436" thickBot="1">
      <c r="A268" s="705" t="n"/>
      <c r="B268" s="695" t="n"/>
      <c r="C268" s="695" t="n"/>
      <c r="D268" s="3" t="inlineStr">
        <is>
          <t>C/ICMS</t>
        </is>
      </c>
      <c r="E268" s="3" t="inlineStr">
        <is>
          <t>S/ICMS</t>
        </is>
      </c>
      <c r="F268" s="695" t="n"/>
      <c r="G268" s="695" t="n"/>
      <c r="H268" s="18" t="inlineStr">
        <is>
          <t>SALDO EM 31/07/2018</t>
        </is>
      </c>
      <c r="I268" s="695" t="n"/>
      <c r="J268" s="645" t="inlineStr">
        <is>
          <t>ENTRADA</t>
        </is>
      </c>
      <c r="K268" s="633" t="inlineStr">
        <is>
          <t>SAÍDA / CMV</t>
        </is>
      </c>
      <c r="L268" s="633" t="inlineStr">
        <is>
          <t>SALDO</t>
        </is>
      </c>
      <c r="M268" s="114" t="n"/>
    </row>
    <row r="269">
      <c r="A269" s="48" t="n"/>
      <c r="B269" s="49" t="n"/>
      <c r="C269" s="49" t="n"/>
      <c r="D269" s="71" t="n"/>
      <c r="E269" s="71" t="n"/>
      <c r="F269" s="55" t="n"/>
      <c r="G269" s="55" t="n">
        <v>0</v>
      </c>
      <c r="H269" s="55" t="n"/>
      <c r="I269" s="71" t="n"/>
      <c r="J269" s="747">
        <f>F269*I269</f>
        <v/>
      </c>
      <c r="K269" s="747" t="n">
        <v>0</v>
      </c>
      <c r="L269" s="748">
        <f>J269-K269</f>
        <v/>
      </c>
      <c r="M269" s="114" t="n"/>
    </row>
    <row r="270">
      <c r="A270" s="92" t="n">
        <v>43313</v>
      </c>
      <c r="B270" s="93" t="n"/>
      <c r="C270" s="96" t="n"/>
      <c r="D270" s="97" t="n"/>
      <c r="E270" s="97" t="n"/>
      <c r="F270" s="98" t="n"/>
      <c r="G270" s="98" t="n"/>
      <c r="H270" s="95" t="n">
        <v>804</v>
      </c>
      <c r="I270" s="51" t="n"/>
      <c r="J270" s="749" t="n"/>
      <c r="K270" s="749">
        <f>G270*D270</f>
        <v/>
      </c>
      <c r="L270" s="748" t="n"/>
      <c r="M270" s="114" t="n"/>
    </row>
    <row r="271">
      <c r="A271" s="92" t="n">
        <v>43313</v>
      </c>
      <c r="B271" s="93" t="inlineStr">
        <is>
          <t>97144</t>
        </is>
      </c>
      <c r="C271" s="96" t="n"/>
      <c r="D271" s="97" t="n">
        <v>45.03</v>
      </c>
      <c r="E271" s="97" t="n"/>
      <c r="F271" s="98" t="n">
        <v>14</v>
      </c>
      <c r="G271" s="98" t="n"/>
      <c r="H271" s="95" t="n">
        <v>818</v>
      </c>
      <c r="I271" s="51" t="n"/>
      <c r="J271" s="749" t="n"/>
      <c r="K271" s="749" t="n"/>
      <c r="L271" s="748" t="n"/>
      <c r="M271" s="114" t="n"/>
    </row>
    <row r="272">
      <c r="A272" s="92" t="n">
        <v>43313</v>
      </c>
      <c r="B272" s="93" t="inlineStr">
        <is>
          <t>97143</t>
        </is>
      </c>
      <c r="C272" s="96" t="n"/>
      <c r="D272" s="97" t="n">
        <v>45.03</v>
      </c>
      <c r="E272" s="97" t="n"/>
      <c r="F272" s="98" t="n">
        <v>900</v>
      </c>
      <c r="G272" s="98" t="n"/>
      <c r="H272" s="95" t="n">
        <v>1718</v>
      </c>
      <c r="I272" s="51" t="n"/>
      <c r="J272" s="749" t="n"/>
      <c r="K272" s="749" t="n"/>
      <c r="L272" s="748" t="n"/>
      <c r="M272" s="114" t="n"/>
    </row>
    <row r="273">
      <c r="A273" s="48" t="n">
        <v>43319</v>
      </c>
      <c r="B273" s="49" t="inlineStr">
        <is>
          <t>5912</t>
        </is>
      </c>
      <c r="C273" s="50" t="n"/>
      <c r="D273" s="51" t="n">
        <v>54</v>
      </c>
      <c r="E273" s="51" t="n"/>
      <c r="F273" s="52" t="n"/>
      <c r="G273" s="52" t="n">
        <v>50</v>
      </c>
      <c r="H273" s="115">
        <f>H272-G273</f>
        <v/>
      </c>
      <c r="I273" s="51" t="n"/>
      <c r="J273" s="749" t="n"/>
      <c r="K273" s="749">
        <f>G273*D273</f>
        <v/>
      </c>
      <c r="L273" s="748" t="n"/>
      <c r="M273" s="114" t="n"/>
    </row>
    <row r="274">
      <c r="A274" s="48" t="n">
        <v>43319</v>
      </c>
      <c r="B274" s="49" t="inlineStr">
        <is>
          <t>5913</t>
        </is>
      </c>
      <c r="C274" s="49" t="n"/>
      <c r="D274" s="71" t="n">
        <v>50</v>
      </c>
      <c r="E274" s="71" t="n"/>
      <c r="F274" s="55" t="n"/>
      <c r="G274" s="55" t="n">
        <v>30</v>
      </c>
      <c r="H274" s="115">
        <f>H273-G274</f>
        <v/>
      </c>
      <c r="I274" s="71" t="n"/>
      <c r="J274" s="749" t="n"/>
      <c r="K274" s="749">
        <f>G274*D274</f>
        <v/>
      </c>
      <c r="L274" s="748" t="n"/>
      <c r="M274" s="114" t="n"/>
    </row>
    <row r="275">
      <c r="A275" s="48" t="n">
        <v>43319</v>
      </c>
      <c r="B275" s="49" t="inlineStr">
        <is>
          <t>5914</t>
        </is>
      </c>
      <c r="C275" s="49" t="n"/>
      <c r="D275" s="71" t="n">
        <v>56</v>
      </c>
      <c r="E275" s="71" t="n"/>
      <c r="F275" s="55" t="n"/>
      <c r="G275" s="55" t="n">
        <v>60</v>
      </c>
      <c r="H275" s="115">
        <f>H274-G275</f>
        <v/>
      </c>
      <c r="I275" s="71" t="n"/>
      <c r="J275" s="749" t="n"/>
      <c r="K275" s="749">
        <f>G275*D275</f>
        <v/>
      </c>
      <c r="L275" s="748" t="n"/>
      <c r="M275" s="114" t="n"/>
    </row>
    <row r="276" ht="17.25" customHeight="1" s="436">
      <c r="A276" s="48" t="n">
        <v>43322</v>
      </c>
      <c r="B276" s="49" t="inlineStr">
        <is>
          <t>5921</t>
        </is>
      </c>
      <c r="C276" s="49" t="n"/>
      <c r="D276" s="71" t="n">
        <v>54</v>
      </c>
      <c r="E276" s="71" t="n"/>
      <c r="F276" s="55" t="n"/>
      <c r="G276" s="87" t="n">
        <v>20</v>
      </c>
      <c r="H276" s="115">
        <f>H275-G276</f>
        <v/>
      </c>
      <c r="I276" s="71" t="n"/>
      <c r="J276" s="749" t="n"/>
      <c r="K276" s="749">
        <f>G276*D276</f>
        <v/>
      </c>
      <c r="L276" s="748" t="n"/>
      <c r="M276" s="114" t="n"/>
    </row>
    <row r="277">
      <c r="A277" s="48" t="n">
        <v>43325</v>
      </c>
      <c r="B277" s="49" t="inlineStr">
        <is>
          <t>5924</t>
        </is>
      </c>
      <c r="C277" s="49" t="n"/>
      <c r="D277" s="71" t="n">
        <v>55</v>
      </c>
      <c r="E277" s="71" t="n"/>
      <c r="F277" s="55" t="n"/>
      <c r="G277" s="55" t="n">
        <v>30</v>
      </c>
      <c r="H277" s="115">
        <f>H276-G277</f>
        <v/>
      </c>
      <c r="I277" s="71" t="n"/>
      <c r="J277" s="749" t="n"/>
      <c r="K277" s="749">
        <f>G277*D277</f>
        <v/>
      </c>
      <c r="L277" s="748" t="n"/>
      <c r="M277" s="114" t="n"/>
    </row>
    <row r="278">
      <c r="A278" s="48" t="n">
        <v>43325</v>
      </c>
      <c r="B278" s="49" t="inlineStr">
        <is>
          <t>5926</t>
        </is>
      </c>
      <c r="C278" s="49" t="n"/>
      <c r="D278" s="71" t="n">
        <v>50</v>
      </c>
      <c r="E278" s="71" t="n"/>
      <c r="F278" s="55" t="n"/>
      <c r="G278" s="55" t="n">
        <v>10</v>
      </c>
      <c r="H278" s="115">
        <f>H277-G278</f>
        <v/>
      </c>
      <c r="I278" s="71" t="n"/>
      <c r="J278" s="749" t="n"/>
      <c r="K278" s="749">
        <f>G278*D278</f>
        <v/>
      </c>
      <c r="L278" s="748" t="n"/>
      <c r="M278" s="114" t="n"/>
    </row>
    <row r="279">
      <c r="A279" s="48" t="n">
        <v>43325</v>
      </c>
      <c r="B279" s="49" t="inlineStr">
        <is>
          <t>5928</t>
        </is>
      </c>
      <c r="C279" s="49" t="n"/>
      <c r="D279" s="71" t="n">
        <v>50</v>
      </c>
      <c r="E279" s="71" t="n"/>
      <c r="F279" s="55" t="n"/>
      <c r="G279" s="55" t="n">
        <v>30</v>
      </c>
      <c r="H279" s="115">
        <f>H278-G279</f>
        <v/>
      </c>
      <c r="I279" s="71" t="n"/>
      <c r="J279" s="749" t="n"/>
      <c r="K279" s="749">
        <f>G279*D279</f>
        <v/>
      </c>
      <c r="L279" s="748" t="n"/>
      <c r="M279" s="114" t="n"/>
    </row>
    <row r="280">
      <c r="A280" s="48" t="n">
        <v>43325</v>
      </c>
      <c r="B280" s="49" t="inlineStr">
        <is>
          <t>5929</t>
        </is>
      </c>
      <c r="C280" s="49" t="n"/>
      <c r="D280" s="71" t="n">
        <v>50</v>
      </c>
      <c r="E280" s="71" t="n"/>
      <c r="F280" s="55" t="n"/>
      <c r="G280" s="55" t="n">
        <v>15</v>
      </c>
      <c r="H280" s="115">
        <f>H279-G280</f>
        <v/>
      </c>
      <c r="I280" s="71" t="n"/>
      <c r="J280" s="749" t="n"/>
      <c r="K280" s="749">
        <f>G280*D280</f>
        <v/>
      </c>
      <c r="L280" s="748" t="n"/>
      <c r="M280" s="114" t="n"/>
    </row>
    <row r="281">
      <c r="A281" s="48" t="n">
        <v>43325</v>
      </c>
      <c r="B281" s="49" t="inlineStr">
        <is>
          <t>5930</t>
        </is>
      </c>
      <c r="C281" s="49" t="n"/>
      <c r="D281" s="71" t="n">
        <v>50</v>
      </c>
      <c r="E281" s="71" t="n"/>
      <c r="F281" s="55" t="n"/>
      <c r="G281" s="55" t="n">
        <v>20</v>
      </c>
      <c r="H281" s="115">
        <f>H280-G281</f>
        <v/>
      </c>
      <c r="I281" s="71" t="n"/>
      <c r="J281" s="749" t="n"/>
      <c r="K281" s="749">
        <f>G281*D281</f>
        <v/>
      </c>
      <c r="L281" s="748" t="n"/>
      <c r="M281" s="114" t="n"/>
    </row>
    <row r="282">
      <c r="A282" s="48" t="n">
        <v>43325</v>
      </c>
      <c r="B282" s="49" t="inlineStr">
        <is>
          <t>5933</t>
        </is>
      </c>
      <c r="C282" s="49" t="n"/>
      <c r="D282" s="71" t="n">
        <v>57.37</v>
      </c>
      <c r="E282" s="71" t="n"/>
      <c r="F282" s="55" t="n"/>
      <c r="G282" s="55" t="n">
        <v>22</v>
      </c>
      <c r="H282" s="115">
        <f>H281-G282</f>
        <v/>
      </c>
      <c r="I282" s="71" t="n"/>
      <c r="J282" s="749" t="n"/>
      <c r="K282" s="749">
        <f>G282*D282</f>
        <v/>
      </c>
      <c r="L282" s="748" t="n"/>
      <c r="M282" s="114" t="n"/>
    </row>
    <row r="283">
      <c r="A283" s="48" t="n">
        <v>43327</v>
      </c>
      <c r="B283" s="49" t="inlineStr">
        <is>
          <t>5935</t>
        </is>
      </c>
      <c r="C283" s="49" t="n"/>
      <c r="D283" s="71" t="n">
        <v>50</v>
      </c>
      <c r="E283" s="71" t="n"/>
      <c r="F283" s="55" t="n"/>
      <c r="G283" s="55" t="n">
        <v>15</v>
      </c>
      <c r="H283" s="115">
        <f>H282-G283</f>
        <v/>
      </c>
      <c r="I283" s="71" t="n"/>
      <c r="J283" s="749" t="n"/>
      <c r="K283" s="749">
        <f>G283*D283</f>
        <v/>
      </c>
      <c r="L283" s="748" t="n"/>
      <c r="M283" s="114" t="n"/>
    </row>
    <row r="284">
      <c r="A284" s="48" t="n">
        <v>43327</v>
      </c>
      <c r="B284" s="49" t="inlineStr">
        <is>
          <t>5936</t>
        </is>
      </c>
      <c r="C284" s="49" t="n"/>
      <c r="D284" s="71" t="n">
        <v>56.2</v>
      </c>
      <c r="E284" s="71" t="n"/>
      <c r="F284" s="55" t="n"/>
      <c r="G284" s="55" t="n">
        <v>50</v>
      </c>
      <c r="H284" s="115">
        <f>H283-G284</f>
        <v/>
      </c>
      <c r="I284" s="71" t="n"/>
      <c r="J284" s="749" t="n"/>
      <c r="K284" s="749">
        <f>G284*D284</f>
        <v/>
      </c>
      <c r="L284" s="748" t="n"/>
      <c r="M284" s="114" t="n"/>
    </row>
    <row r="285">
      <c r="A285" s="48" t="n">
        <v>43327</v>
      </c>
      <c r="B285" s="49" t="inlineStr">
        <is>
          <t>5939</t>
        </is>
      </c>
      <c r="C285" s="49" t="n"/>
      <c r="D285" s="71" t="n">
        <v>50</v>
      </c>
      <c r="E285" s="71" t="n"/>
      <c r="F285" s="55" t="n"/>
      <c r="G285" s="55" t="n">
        <v>10</v>
      </c>
      <c r="H285" s="115">
        <f>H284-G285</f>
        <v/>
      </c>
      <c r="I285" s="71" t="n"/>
      <c r="J285" s="749" t="n"/>
      <c r="K285" s="749">
        <f>G285*D285</f>
        <v/>
      </c>
      <c r="L285" s="748" t="n"/>
      <c r="M285" s="114" t="n"/>
    </row>
    <row r="286">
      <c r="A286" s="48" t="n">
        <v>43327</v>
      </c>
      <c r="B286" s="49" t="inlineStr">
        <is>
          <t>5940</t>
        </is>
      </c>
      <c r="C286" s="49" t="n"/>
      <c r="D286" s="71" t="n">
        <v>50</v>
      </c>
      <c r="E286" s="71" t="n"/>
      <c r="F286" s="55" t="n"/>
      <c r="G286" s="55" t="n">
        <v>60</v>
      </c>
      <c r="H286" s="115">
        <f>H285-G286</f>
        <v/>
      </c>
      <c r="I286" s="71" t="n"/>
      <c r="J286" s="749" t="n"/>
      <c r="K286" s="749">
        <f>G286*D286</f>
        <v/>
      </c>
      <c r="L286" s="748" t="n"/>
      <c r="M286" s="114" t="n"/>
    </row>
    <row r="287">
      <c r="A287" s="48" t="n">
        <v>43327</v>
      </c>
      <c r="B287" s="49" t="inlineStr">
        <is>
          <t>5941</t>
        </is>
      </c>
      <c r="C287" s="49" t="n"/>
      <c r="D287" s="71" t="n">
        <v>54</v>
      </c>
      <c r="E287" s="71" t="n"/>
      <c r="F287" s="55" t="n"/>
      <c r="G287" s="55" t="n">
        <v>50</v>
      </c>
      <c r="H287" s="115">
        <f>H286-G287</f>
        <v/>
      </c>
      <c r="I287" s="71" t="n"/>
      <c r="J287" s="749" t="n"/>
      <c r="K287" s="749">
        <f>G287*D287</f>
        <v/>
      </c>
      <c r="L287" s="748" t="n"/>
      <c r="M287" s="114" t="n"/>
    </row>
    <row r="288">
      <c r="A288" s="48" t="n">
        <v>43327</v>
      </c>
      <c r="B288" s="49" t="inlineStr">
        <is>
          <t>5944</t>
        </is>
      </c>
      <c r="C288" s="49" t="n"/>
      <c r="D288" s="71" t="n">
        <v>54</v>
      </c>
      <c r="E288" s="71" t="n"/>
      <c r="F288" s="55" t="n"/>
      <c r="G288" s="55" t="n">
        <v>60</v>
      </c>
      <c r="H288" s="115">
        <f>H287-G288</f>
        <v/>
      </c>
      <c r="I288" s="71" t="n"/>
      <c r="J288" s="749" t="n"/>
      <c r="K288" s="749">
        <f>G288*D288</f>
        <v/>
      </c>
      <c r="L288" s="748" t="n"/>
      <c r="M288" s="114" t="n"/>
    </row>
    <row r="289">
      <c r="A289" s="48" t="n">
        <v>43333</v>
      </c>
      <c r="B289" s="49" t="inlineStr">
        <is>
          <t>5945</t>
        </is>
      </c>
      <c r="C289" s="49" t="n"/>
      <c r="D289" s="71" t="n">
        <v>50</v>
      </c>
      <c r="E289" s="71" t="n"/>
      <c r="F289" s="55" t="n"/>
      <c r="G289" s="55" t="n">
        <v>50</v>
      </c>
      <c r="H289" s="115">
        <f>H288-G289</f>
        <v/>
      </c>
      <c r="I289" s="71" t="n"/>
      <c r="J289" s="749" t="n"/>
      <c r="K289" s="749">
        <f>G289*D289</f>
        <v/>
      </c>
      <c r="L289" s="748" t="n"/>
      <c r="M289" s="114" t="n"/>
    </row>
    <row r="290">
      <c r="A290" s="48" t="n">
        <v>43334</v>
      </c>
      <c r="B290" s="49" t="inlineStr">
        <is>
          <t>5953</t>
        </is>
      </c>
      <c r="C290" s="49" t="n"/>
      <c r="D290" s="71" t="n">
        <v>54</v>
      </c>
      <c r="E290" s="71" t="n"/>
      <c r="F290" s="55" t="n"/>
      <c r="G290" s="55" t="n">
        <v>20</v>
      </c>
      <c r="H290" s="115">
        <f>H289-G290</f>
        <v/>
      </c>
      <c r="I290" s="71" t="n"/>
      <c r="J290" s="749" t="n"/>
      <c r="K290" s="749">
        <f>G290*D290</f>
        <v/>
      </c>
      <c r="L290" s="748" t="n"/>
      <c r="M290" s="114" t="n"/>
    </row>
    <row r="291">
      <c r="A291" s="48" t="n">
        <v>43339</v>
      </c>
      <c r="B291" s="49" t="inlineStr">
        <is>
          <t>5957</t>
        </is>
      </c>
      <c r="C291" s="49" t="n"/>
      <c r="D291" s="71" t="n">
        <v>52</v>
      </c>
      <c r="E291" s="71" t="n"/>
      <c r="F291" s="55" t="n"/>
      <c r="G291" s="55" t="n">
        <v>10</v>
      </c>
      <c r="H291" s="115">
        <f>H290-G291</f>
        <v/>
      </c>
      <c r="I291" s="71" t="n"/>
      <c r="J291" s="749" t="n"/>
      <c r="K291" s="749">
        <f>G291*D291</f>
        <v/>
      </c>
      <c r="L291" s="748" t="n"/>
      <c r="M291" s="114" t="n"/>
    </row>
    <row r="292">
      <c r="A292" s="48" t="n">
        <v>43339</v>
      </c>
      <c r="B292" s="49" t="inlineStr">
        <is>
          <t>5959</t>
        </is>
      </c>
      <c r="C292" s="49" t="n"/>
      <c r="D292" s="71" t="n">
        <v>54</v>
      </c>
      <c r="E292" s="71" t="n"/>
      <c r="F292" s="55" t="n"/>
      <c r="G292" s="55" t="n">
        <v>40</v>
      </c>
      <c r="H292" s="115">
        <f>H291-G292</f>
        <v/>
      </c>
      <c r="I292" s="71" t="n"/>
      <c r="J292" s="749" t="n"/>
      <c r="K292" s="749">
        <f>G292*D292</f>
        <v/>
      </c>
      <c r="L292" s="748" t="n"/>
      <c r="M292" s="114" t="n"/>
    </row>
    <row r="293">
      <c r="A293" s="48" t="n">
        <v>43339</v>
      </c>
      <c r="B293" s="49" t="inlineStr">
        <is>
          <t>5960</t>
        </is>
      </c>
      <c r="C293" s="49" t="n"/>
      <c r="D293" s="71" t="n">
        <v>54.5</v>
      </c>
      <c r="E293" s="71" t="n"/>
      <c r="F293" s="55" t="n"/>
      <c r="G293" s="55" t="n">
        <v>50</v>
      </c>
      <c r="H293" s="115">
        <f>H292-G293</f>
        <v/>
      </c>
      <c r="I293" s="71" t="n"/>
      <c r="J293" s="749" t="n"/>
      <c r="K293" s="749">
        <f>G293*D293</f>
        <v/>
      </c>
      <c r="L293" s="748" t="n"/>
      <c r="M293" s="114" t="n"/>
    </row>
    <row r="294">
      <c r="A294" s="48" t="n">
        <v>43339</v>
      </c>
      <c r="B294" s="49" t="inlineStr">
        <is>
          <t>5961</t>
        </is>
      </c>
      <c r="C294" s="49" t="n"/>
      <c r="D294" s="71" t="n">
        <v>55.96</v>
      </c>
      <c r="E294" s="71" t="n"/>
      <c r="F294" s="55" t="n"/>
      <c r="G294" s="55" t="n">
        <v>50</v>
      </c>
      <c r="H294" s="115">
        <f>H293-G294</f>
        <v/>
      </c>
      <c r="I294" s="71" t="n"/>
      <c r="J294" s="749" t="n"/>
      <c r="K294" s="749">
        <f>G294*D294</f>
        <v/>
      </c>
      <c r="L294" s="748" t="n"/>
      <c r="M294" s="114" t="n"/>
    </row>
    <row r="295">
      <c r="A295" s="48" t="n">
        <v>43339</v>
      </c>
      <c r="B295" s="49" t="inlineStr">
        <is>
          <t>5962</t>
        </is>
      </c>
      <c r="C295" s="49" t="n"/>
      <c r="D295" s="71" t="n">
        <v>50</v>
      </c>
      <c r="E295" s="71" t="n"/>
      <c r="F295" s="55" t="n"/>
      <c r="G295" s="55" t="n">
        <v>20</v>
      </c>
      <c r="H295" s="115">
        <f>H294-G295</f>
        <v/>
      </c>
      <c r="I295" s="71" t="n"/>
      <c r="J295" s="749" t="n"/>
      <c r="K295" s="749">
        <f>G295*D295</f>
        <v/>
      </c>
      <c r="L295" s="748" t="n"/>
      <c r="M295" s="114" t="n"/>
    </row>
    <row r="296">
      <c r="A296" s="48" t="n">
        <v>43341</v>
      </c>
      <c r="B296" s="49" t="inlineStr">
        <is>
          <t>5967</t>
        </is>
      </c>
      <c r="C296" s="49" t="n"/>
      <c r="D296" s="71" t="n">
        <v>50</v>
      </c>
      <c r="E296" s="71" t="n"/>
      <c r="F296" s="55" t="n"/>
      <c r="G296" s="55" t="n">
        <v>20</v>
      </c>
      <c r="H296" s="115">
        <f>H295-G296</f>
        <v/>
      </c>
      <c r="I296" s="71" t="n"/>
      <c r="J296" s="749" t="n"/>
      <c r="K296" s="749">
        <f>G296*D296</f>
        <v/>
      </c>
      <c r="L296" s="748" t="n"/>
      <c r="M296" s="114" t="n"/>
    </row>
    <row r="297">
      <c r="A297" s="48" t="n">
        <v>43341</v>
      </c>
      <c r="B297" s="49" t="inlineStr">
        <is>
          <t>5970</t>
        </is>
      </c>
      <c r="C297" s="49" t="n"/>
      <c r="D297" s="71" t="n">
        <v>50</v>
      </c>
      <c r="E297" s="71" t="n"/>
      <c r="F297" s="55" t="n"/>
      <c r="G297" s="55" t="n">
        <v>10</v>
      </c>
      <c r="H297" s="115">
        <f>H296-G297</f>
        <v/>
      </c>
      <c r="I297" s="71" t="n"/>
      <c r="J297" s="749" t="n"/>
      <c r="K297" s="749">
        <f>G297*D297</f>
        <v/>
      </c>
      <c r="L297" s="748" t="n"/>
      <c r="M297" s="114" t="n"/>
    </row>
    <row r="298">
      <c r="A298" s="48" t="n"/>
      <c r="B298" s="49" t="n"/>
      <c r="C298" s="49" t="n"/>
      <c r="D298" s="71" t="n">
        <v>63</v>
      </c>
      <c r="E298" s="71" t="n"/>
      <c r="F298" s="55" t="n"/>
      <c r="G298" s="55" t="n"/>
      <c r="H298" s="115">
        <f>H297-G298</f>
        <v/>
      </c>
      <c r="I298" s="71" t="n"/>
      <c r="J298" s="749" t="n"/>
      <c r="K298" s="749">
        <f>G298*D298</f>
        <v/>
      </c>
      <c r="L298" s="748" t="n"/>
      <c r="M298" s="114" t="n"/>
    </row>
    <row r="299">
      <c r="A299" s="48" t="n"/>
      <c r="B299" s="49" t="n"/>
      <c r="C299" s="49" t="n"/>
      <c r="D299" s="71" t="n">
        <v>64</v>
      </c>
      <c r="E299" s="71" t="n"/>
      <c r="F299" s="55" t="n"/>
      <c r="G299" s="55" t="n"/>
      <c r="H299" s="115">
        <f>H298-G299</f>
        <v/>
      </c>
      <c r="I299" s="71" t="n"/>
      <c r="J299" s="749" t="n"/>
      <c r="K299" s="749">
        <f>G299*D299</f>
        <v/>
      </c>
      <c r="L299" s="748" t="n"/>
      <c r="M299" s="114" t="n"/>
    </row>
    <row r="300">
      <c r="A300" s="48" t="n"/>
      <c r="B300" s="49" t="n"/>
      <c r="C300" s="49" t="n"/>
      <c r="D300" s="71" t="n">
        <v>65</v>
      </c>
      <c r="E300" s="71" t="n"/>
      <c r="F300" s="55" t="n"/>
      <c r="G300" s="55" t="n"/>
      <c r="H300" s="115">
        <f>H299-G300</f>
        <v/>
      </c>
      <c r="I300" s="71" t="n"/>
      <c r="J300" s="749" t="n"/>
      <c r="K300" s="749">
        <f>G300*D300</f>
        <v/>
      </c>
      <c r="L300" s="748" t="n"/>
      <c r="M300" s="114" t="n"/>
    </row>
    <row r="301">
      <c r="A301" s="48" t="n"/>
      <c r="B301" s="49" t="n"/>
      <c r="C301" s="49" t="n"/>
      <c r="D301" s="71" t="n">
        <v>66</v>
      </c>
      <c r="E301" s="71" t="n"/>
      <c r="F301" s="55" t="n"/>
      <c r="G301" s="55" t="n"/>
      <c r="H301" s="115">
        <f>H300-G301</f>
        <v/>
      </c>
      <c r="I301" s="71" t="n"/>
      <c r="J301" s="749" t="n"/>
      <c r="K301" s="749">
        <f>G301*D301</f>
        <v/>
      </c>
      <c r="L301" s="748" t="n"/>
      <c r="M301" s="114" t="n"/>
    </row>
    <row r="302">
      <c r="A302" s="76" t="n"/>
      <c r="B302" s="76" t="n"/>
      <c r="C302" s="76" t="n"/>
      <c r="D302" s="76" t="n"/>
      <c r="E302" s="76" t="n"/>
      <c r="F302" s="76" t="n"/>
      <c r="G302" s="76" t="n"/>
      <c r="H302" s="76" t="n"/>
      <c r="I302" s="76" t="n"/>
      <c r="J302" s="76" t="n"/>
      <c r="K302" s="76" t="n"/>
      <c r="L302" s="76" t="n"/>
      <c r="M302" s="114" t="n"/>
    </row>
    <row r="303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  <c r="J303" s="76" t="n"/>
      <c r="K303" s="76" t="n"/>
      <c r="L303" s="76" t="n"/>
      <c r="M303" s="114" t="n"/>
    </row>
    <row r="304">
      <c r="A304" s="76" t="n"/>
      <c r="B304" s="76" t="n"/>
      <c r="C304" s="76" t="n"/>
      <c r="D304" s="76" t="n"/>
      <c r="E304" s="76" t="n"/>
      <c r="F304" s="76" t="n"/>
      <c r="G304" s="76" t="n"/>
      <c r="H304" s="76" t="n"/>
      <c r="I304" s="76" t="n"/>
      <c r="J304" s="76" t="n"/>
      <c r="K304" s="76" t="n"/>
      <c r="L304" s="76" t="n"/>
      <c r="M304" s="114" t="n"/>
    </row>
    <row r="305" ht="15.75" customHeight="1" s="436" thickBot="1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  <c r="J305" s="76" t="n"/>
      <c r="K305" s="76" t="n"/>
      <c r="L305" s="76" t="n"/>
      <c r="M305" s="114" t="n"/>
    </row>
    <row r="306" ht="29.25" customHeight="1" s="436" thickBot="1">
      <c r="A306" s="696" t="inlineStr">
        <is>
          <t>PLANILHA CONTROLE DE ESTOQUE</t>
        </is>
      </c>
      <c r="B306" s="697" t="n"/>
      <c r="C306" s="697" t="n"/>
      <c r="D306" s="697" t="n"/>
      <c r="E306" s="697" t="n"/>
      <c r="F306" s="697" t="n"/>
      <c r="G306" s="697" t="n"/>
      <c r="H306" s="697" t="n"/>
      <c r="I306" s="697" t="n"/>
      <c r="J306" s="697" t="n"/>
      <c r="K306" s="697" t="n"/>
      <c r="L306" s="698" t="n"/>
      <c r="M306" s="114" t="n"/>
    </row>
    <row r="307" ht="21.75" customHeight="1" s="436" thickBot="1">
      <c r="A307" s="744" t="inlineStr">
        <is>
          <t xml:space="preserve">021 - DENISE FURTADO DE SOUZA - ME </t>
        </is>
      </c>
      <c r="B307" s="737" t="n"/>
      <c r="C307" s="737" t="n"/>
      <c r="D307" s="737" t="n"/>
      <c r="E307" s="737" t="n"/>
      <c r="F307" s="737" t="n"/>
      <c r="G307" s="737" t="n"/>
      <c r="H307" s="737" t="n"/>
      <c r="I307" s="737" t="n"/>
      <c r="J307" s="737" t="n"/>
      <c r="K307" s="737" t="n"/>
      <c r="L307" s="736" t="n"/>
      <c r="M307" s="114" t="n"/>
    </row>
    <row r="308" ht="24" customHeight="1" s="436" thickBot="1">
      <c r="A308" s="745" t="inlineStr">
        <is>
          <t xml:space="preserve">  PRÉ MISTURA - 25 KG</t>
        </is>
      </c>
      <c r="B308" s="737" t="n"/>
      <c r="C308" s="737" t="n"/>
      <c r="D308" s="737" t="n"/>
      <c r="E308" s="737" t="n"/>
      <c r="F308" s="737" t="n"/>
      <c r="G308" s="737" t="n"/>
      <c r="H308" s="737" t="n"/>
      <c r="I308" s="737" t="n"/>
      <c r="J308" s="737" t="n"/>
      <c r="K308" s="737" t="n"/>
      <c r="L308" s="736" t="n"/>
      <c r="M308" s="114" t="n"/>
    </row>
    <row r="309">
      <c r="A309" s="746" t="inlineStr">
        <is>
          <t>DATA</t>
        </is>
      </c>
      <c r="B309" s="3" t="inlineStr">
        <is>
          <t>N.F.</t>
        </is>
      </c>
      <c r="C309" s="3" t="inlineStr">
        <is>
          <t>TIPO</t>
        </is>
      </c>
      <c r="D309" s="3" t="inlineStr">
        <is>
          <t>PREÇO UNITÁRIO</t>
        </is>
      </c>
      <c r="E309" s="736" t="n"/>
      <c r="F309" s="3" t="inlineStr">
        <is>
          <t>QUANTIDADE / KG</t>
        </is>
      </c>
      <c r="G309" s="737" t="n"/>
      <c r="H309" s="736" t="n"/>
      <c r="I309" s="631" t="inlineStr">
        <is>
          <t>PREÇO</t>
        </is>
      </c>
      <c r="J309" s="631" t="inlineStr">
        <is>
          <t>VALORES</t>
        </is>
      </c>
      <c r="K309" s="737" t="n"/>
      <c r="L309" s="736" t="n"/>
      <c r="M309" s="114" t="n"/>
    </row>
    <row r="310" ht="15.75" customHeight="1" s="436" thickBot="1">
      <c r="A310" s="703" t="n"/>
      <c r="B310" s="704" t="n"/>
      <c r="C310" s="704" t="n"/>
      <c r="D310" s="703" t="n"/>
      <c r="E310" s="701" t="n"/>
      <c r="F310" s="705" t="n"/>
      <c r="G310" s="706" t="n"/>
      <c r="H310" s="707" t="n"/>
      <c r="I310" s="704" t="n"/>
      <c r="J310" s="703" t="n"/>
      <c r="L310" s="701" t="n"/>
      <c r="M310" s="114" t="n"/>
    </row>
    <row r="311" ht="15.75" customHeight="1" s="436" thickBot="1">
      <c r="A311" s="703" t="n"/>
      <c r="B311" s="704" t="n"/>
      <c r="C311" s="704" t="n"/>
      <c r="D311" s="705" t="n"/>
      <c r="E311" s="707" t="n"/>
      <c r="F311" s="3" t="inlineStr">
        <is>
          <t>ENTRADA</t>
        </is>
      </c>
      <c r="G311" s="3" t="inlineStr">
        <is>
          <t>SAÍDA</t>
        </is>
      </c>
      <c r="H311" s="640" t="n"/>
      <c r="I311" s="633" t="inlineStr">
        <is>
          <t>MÉDIO</t>
        </is>
      </c>
      <c r="J311" s="652" t="inlineStr">
        <is>
          <t>SALDO EM 30/12/2017</t>
        </is>
      </c>
      <c r="K311" s="706" t="n"/>
      <c r="L311" s="17" t="n"/>
      <c r="M311" s="114" t="n"/>
    </row>
    <row r="312" ht="15.75" customHeight="1" s="436" thickBot="1">
      <c r="A312" s="705" t="n"/>
      <c r="B312" s="695" t="n"/>
      <c r="C312" s="695" t="n"/>
      <c r="D312" s="3" t="inlineStr">
        <is>
          <t>C/ICMS</t>
        </is>
      </c>
      <c r="E312" s="3" t="inlineStr">
        <is>
          <t>S/ICMS</t>
        </is>
      </c>
      <c r="F312" s="695" t="n"/>
      <c r="G312" s="695" t="n"/>
      <c r="H312" s="18" t="inlineStr">
        <is>
          <t>SALDO EM 31/08/2018</t>
        </is>
      </c>
      <c r="I312" s="695" t="n"/>
      <c r="J312" s="645" t="inlineStr">
        <is>
          <t>ENTRADA</t>
        </is>
      </c>
      <c r="K312" s="633" t="inlineStr">
        <is>
          <t>SAÍDA / CMV</t>
        </is>
      </c>
      <c r="L312" s="633" t="inlineStr">
        <is>
          <t>SALDO</t>
        </is>
      </c>
      <c r="M312" s="114" t="n"/>
    </row>
    <row r="313">
      <c r="A313" s="48" t="n"/>
      <c r="B313" s="49" t="n"/>
      <c r="C313" s="49" t="n"/>
      <c r="D313" s="71" t="n"/>
      <c r="E313" s="71" t="n"/>
      <c r="F313" s="55" t="n"/>
      <c r="G313" s="55" t="n">
        <v>0</v>
      </c>
      <c r="H313" s="55" t="n"/>
      <c r="I313" s="71" t="n"/>
      <c r="J313" s="747">
        <f>F313*I313</f>
        <v/>
      </c>
      <c r="K313" s="747" t="n">
        <v>0</v>
      </c>
      <c r="L313" s="748">
        <f>J313-K313</f>
        <v/>
      </c>
      <c r="M313" s="114" t="n"/>
    </row>
    <row r="314">
      <c r="A314" s="92" t="n">
        <v>43344</v>
      </c>
      <c r="B314" s="93" t="n"/>
      <c r="C314" s="96" t="n"/>
      <c r="D314" s="97" t="n"/>
      <c r="E314" s="97" t="n"/>
      <c r="F314" s="98" t="n"/>
      <c r="G314" s="98" t="n"/>
      <c r="H314" s="95" t="n">
        <v>916</v>
      </c>
      <c r="I314" s="51" t="n"/>
      <c r="J314" s="749" t="n"/>
      <c r="K314" s="749">
        <f>G314*D314</f>
        <v/>
      </c>
      <c r="L314" s="748" t="n"/>
      <c r="M314" s="114" t="n"/>
    </row>
    <row r="315">
      <c r="A315" s="48" t="n">
        <v>43346</v>
      </c>
      <c r="B315" s="49" t="inlineStr">
        <is>
          <t>5973</t>
        </is>
      </c>
      <c r="C315" s="50" t="n"/>
      <c r="D315" s="51" t="n">
        <v>50</v>
      </c>
      <c r="E315" s="51" t="n"/>
      <c r="F315" s="52" t="n"/>
      <c r="G315" s="52" t="n">
        <v>20</v>
      </c>
      <c r="H315" s="55">
        <f>H314-G315</f>
        <v/>
      </c>
      <c r="I315" s="51" t="n"/>
      <c r="J315" s="749" t="n"/>
      <c r="K315" s="749" t="n"/>
      <c r="L315" s="748" t="n"/>
      <c r="M315" s="114" t="n"/>
    </row>
    <row r="316">
      <c r="A316" s="48" t="n">
        <v>43346</v>
      </c>
      <c r="B316" s="49" t="inlineStr">
        <is>
          <t>5977</t>
        </is>
      </c>
      <c r="C316" s="50" t="n"/>
      <c r="D316" s="51" t="n">
        <v>50</v>
      </c>
      <c r="E316" s="51" t="n"/>
      <c r="F316" s="52" t="n"/>
      <c r="G316" s="52" t="n">
        <v>20</v>
      </c>
      <c r="H316" s="55">
        <f>H315-G316</f>
        <v/>
      </c>
      <c r="I316" s="51" t="n"/>
      <c r="J316" s="749" t="n"/>
      <c r="K316" s="749" t="n"/>
      <c r="L316" s="748" t="n"/>
      <c r="M316" s="114" t="n"/>
    </row>
    <row r="317">
      <c r="A317" s="48" t="n">
        <v>43346</v>
      </c>
      <c r="B317" s="49" t="inlineStr">
        <is>
          <t>5981</t>
        </is>
      </c>
      <c r="C317" s="50" t="n"/>
      <c r="D317" s="51" t="n">
        <v>50</v>
      </c>
      <c r="E317" s="51" t="n"/>
      <c r="F317" s="52" t="n"/>
      <c r="G317" s="52" t="n">
        <v>10</v>
      </c>
      <c r="H317" s="55">
        <f>H316-G317</f>
        <v/>
      </c>
      <c r="I317" s="51" t="n"/>
      <c r="J317" s="749" t="n"/>
      <c r="K317" s="749">
        <f>G317*D317</f>
        <v/>
      </c>
      <c r="L317" s="748" t="n"/>
      <c r="M317" s="114" t="n"/>
    </row>
    <row r="318">
      <c r="A318" s="48" t="n">
        <v>43347</v>
      </c>
      <c r="B318" s="49" t="inlineStr">
        <is>
          <t>5983</t>
        </is>
      </c>
      <c r="C318" s="49" t="n"/>
      <c r="D318" s="71" t="n">
        <v>50</v>
      </c>
      <c r="E318" s="71" t="n"/>
      <c r="F318" s="55" t="n"/>
      <c r="G318" s="55" t="n">
        <v>60</v>
      </c>
      <c r="H318" s="55">
        <f>H317-G318</f>
        <v/>
      </c>
      <c r="I318" s="71" t="n"/>
      <c r="J318" s="749" t="n"/>
      <c r="K318" s="749">
        <f>G318*D318</f>
        <v/>
      </c>
      <c r="L318" s="748" t="n"/>
      <c r="M318" s="114" t="n"/>
    </row>
    <row r="319">
      <c r="A319" s="48" t="n">
        <v>43347</v>
      </c>
      <c r="B319" s="49" t="inlineStr">
        <is>
          <t>5984</t>
        </is>
      </c>
      <c r="C319" s="49" t="n"/>
      <c r="D319" s="71" t="n">
        <v>52</v>
      </c>
      <c r="E319" s="71" t="n"/>
      <c r="F319" s="55" t="n"/>
      <c r="G319" s="55" t="n">
        <v>20</v>
      </c>
      <c r="H319" s="55">
        <f>H318-G319</f>
        <v/>
      </c>
      <c r="I319" s="71" t="n"/>
      <c r="J319" s="749" t="n"/>
      <c r="K319" s="749">
        <f>G319*D319</f>
        <v/>
      </c>
      <c r="L319" s="748" t="n"/>
      <c r="M319" s="114" t="n"/>
    </row>
    <row r="320" ht="17.25" customHeight="1" s="436">
      <c r="A320" s="48" t="n">
        <v>43347</v>
      </c>
      <c r="B320" s="49" t="inlineStr">
        <is>
          <t>5989</t>
        </is>
      </c>
      <c r="C320" s="49" t="n"/>
      <c r="D320" s="71" t="n">
        <v>50</v>
      </c>
      <c r="E320" s="71" t="n"/>
      <c r="F320" s="55" t="n"/>
      <c r="G320" s="87" t="n">
        <v>50</v>
      </c>
      <c r="H320" s="55">
        <f>H319-G320</f>
        <v/>
      </c>
      <c r="I320" s="71" t="n"/>
      <c r="J320" s="749" t="n"/>
      <c r="K320" s="749">
        <f>G320*D320</f>
        <v/>
      </c>
      <c r="L320" s="748" t="n"/>
      <c r="M320" s="114" t="n"/>
    </row>
    <row r="321" ht="17.25" customHeight="1" s="436">
      <c r="A321" s="92" t="n">
        <v>43351</v>
      </c>
      <c r="B321" s="93" t="inlineStr">
        <is>
          <t>99829</t>
        </is>
      </c>
      <c r="C321" s="93" t="n"/>
      <c r="D321" s="94" t="n">
        <v>43.6</v>
      </c>
      <c r="E321" s="94" t="n"/>
      <c r="F321" s="95" t="n">
        <v>780</v>
      </c>
      <c r="G321" s="100" t="n"/>
      <c r="H321" s="95" t="n">
        <v>1516</v>
      </c>
      <c r="I321" s="71" t="n"/>
      <c r="J321" s="749" t="n"/>
      <c r="K321" s="749" t="n"/>
      <c r="L321" s="748" t="n"/>
      <c r="M321" s="114" t="n"/>
    </row>
    <row r="322">
      <c r="A322" s="48" t="n">
        <v>43355</v>
      </c>
      <c r="B322" s="49" t="inlineStr">
        <is>
          <t>5993</t>
        </is>
      </c>
      <c r="C322" s="49" t="n"/>
      <c r="D322" s="71" t="n">
        <v>50</v>
      </c>
      <c r="E322" s="71" t="n"/>
      <c r="F322" s="55" t="n"/>
      <c r="G322" s="55" t="n">
        <v>20</v>
      </c>
      <c r="H322" s="55">
        <f>H321-G322</f>
        <v/>
      </c>
      <c r="I322" s="71" t="n"/>
      <c r="J322" s="749" t="n"/>
      <c r="K322" s="749">
        <f>G322*D322</f>
        <v/>
      </c>
      <c r="L322" s="748" t="n"/>
      <c r="M322" s="114" t="n"/>
    </row>
    <row r="323">
      <c r="A323" s="48" t="n">
        <v>43355</v>
      </c>
      <c r="B323" s="49" t="inlineStr">
        <is>
          <t>5994</t>
        </is>
      </c>
      <c r="C323" s="49" t="n"/>
      <c r="D323" s="71" t="n">
        <v>55</v>
      </c>
      <c r="E323" s="71" t="n"/>
      <c r="F323" s="55" t="n"/>
      <c r="G323" s="55" t="n">
        <v>15</v>
      </c>
      <c r="H323" s="55">
        <f>H322-G323</f>
        <v/>
      </c>
      <c r="I323" s="71" t="n"/>
      <c r="J323" s="749" t="n"/>
      <c r="K323" s="749">
        <f>G323*D323</f>
        <v/>
      </c>
      <c r="L323" s="748" t="n"/>
      <c r="M323" s="114" t="n"/>
    </row>
    <row r="324">
      <c r="A324" s="48" t="n">
        <v>43355</v>
      </c>
      <c r="B324" s="49" t="inlineStr">
        <is>
          <t>5995</t>
        </is>
      </c>
      <c r="C324" s="49" t="n"/>
      <c r="D324" s="71" t="n">
        <v>60</v>
      </c>
      <c r="E324" s="71" t="n"/>
      <c r="F324" s="55" t="n"/>
      <c r="G324" s="55" t="n">
        <v>20</v>
      </c>
      <c r="H324" s="55">
        <f>H323-G324</f>
        <v/>
      </c>
      <c r="I324" s="71" t="n"/>
      <c r="J324" s="749" t="n"/>
      <c r="K324" s="749">
        <f>G324*D324</f>
        <v/>
      </c>
      <c r="L324" s="748" t="n"/>
      <c r="M324" s="114" t="n"/>
    </row>
    <row r="325">
      <c r="A325" s="48" t="n">
        <v>43355</v>
      </c>
      <c r="B325" s="49" t="inlineStr">
        <is>
          <t>5996</t>
        </is>
      </c>
      <c r="C325" s="49" t="n"/>
      <c r="D325" s="71" t="n">
        <v>50</v>
      </c>
      <c r="E325" s="71" t="n"/>
      <c r="F325" s="55" t="n"/>
      <c r="G325" s="55" t="n">
        <v>20</v>
      </c>
      <c r="H325" s="55">
        <f>H324-G325</f>
        <v/>
      </c>
      <c r="I325" s="71" t="n"/>
      <c r="J325" s="749" t="n"/>
      <c r="K325" s="749">
        <f>G325*D325</f>
        <v/>
      </c>
      <c r="L325" s="748" t="n"/>
      <c r="M325" s="114" t="n"/>
    </row>
    <row r="326">
      <c r="A326" s="48" t="n">
        <v>43355</v>
      </c>
      <c r="B326" s="49" t="inlineStr">
        <is>
          <t>5997</t>
        </is>
      </c>
      <c r="C326" s="49" t="n"/>
      <c r="D326" s="71" t="n">
        <v>55</v>
      </c>
      <c r="E326" s="71" t="n"/>
      <c r="F326" s="55" t="n"/>
      <c r="G326" s="55" t="n">
        <v>60</v>
      </c>
      <c r="H326" s="55">
        <f>H325-G326</f>
        <v/>
      </c>
      <c r="I326" s="71" t="n"/>
      <c r="J326" s="749" t="n"/>
      <c r="K326" s="749">
        <f>G326*D326</f>
        <v/>
      </c>
      <c r="L326" s="748" t="n"/>
      <c r="M326" s="114" t="n"/>
    </row>
    <row r="327">
      <c r="A327" s="48" t="n">
        <v>43355</v>
      </c>
      <c r="B327" s="49" t="inlineStr">
        <is>
          <t>6002</t>
        </is>
      </c>
      <c r="C327" s="49" t="n"/>
      <c r="D327" s="71" t="n">
        <v>54</v>
      </c>
      <c r="E327" s="71" t="n"/>
      <c r="F327" s="55" t="n"/>
      <c r="G327" s="55" t="n">
        <v>20</v>
      </c>
      <c r="H327" s="55">
        <f>H326-G327</f>
        <v/>
      </c>
      <c r="I327" s="71" t="n"/>
      <c r="J327" s="749" t="n"/>
      <c r="K327" s="749">
        <f>G327*D327</f>
        <v/>
      </c>
      <c r="L327" s="748" t="n"/>
      <c r="M327" s="114" t="n"/>
    </row>
    <row r="328">
      <c r="A328" s="48" t="n">
        <v>43360</v>
      </c>
      <c r="B328" s="49" t="inlineStr">
        <is>
          <t>6003</t>
        </is>
      </c>
      <c r="C328" s="49" t="n"/>
      <c r="D328" s="71" t="n">
        <v>50</v>
      </c>
      <c r="E328" s="71" t="n"/>
      <c r="F328" s="55" t="n"/>
      <c r="G328" s="55" t="n">
        <v>50</v>
      </c>
      <c r="H328" s="55">
        <f>H327-G328</f>
        <v/>
      </c>
      <c r="I328" s="71" t="n"/>
      <c r="J328" s="749" t="n"/>
      <c r="K328" s="749">
        <f>G328*D328</f>
        <v/>
      </c>
      <c r="L328" s="748" t="n"/>
      <c r="M328" s="114" t="n"/>
    </row>
    <row r="329">
      <c r="A329" s="48" t="n">
        <v>43360</v>
      </c>
      <c r="B329" s="49" t="inlineStr">
        <is>
          <t>6007</t>
        </is>
      </c>
      <c r="C329" s="49" t="n"/>
      <c r="D329" s="71" t="n">
        <v>55</v>
      </c>
      <c r="E329" s="71" t="n"/>
      <c r="F329" s="55" t="n"/>
      <c r="G329" s="55" t="n">
        <v>30</v>
      </c>
      <c r="H329" s="55">
        <f>H328-G329</f>
        <v/>
      </c>
      <c r="I329" s="71" t="n"/>
      <c r="J329" s="749" t="n"/>
      <c r="K329" s="749">
        <f>G329*D329</f>
        <v/>
      </c>
      <c r="L329" s="748" t="n"/>
      <c r="M329" s="114" t="n"/>
    </row>
    <row r="330">
      <c r="A330" s="48" t="n">
        <v>43360</v>
      </c>
      <c r="B330" s="49" t="inlineStr">
        <is>
          <t>6008</t>
        </is>
      </c>
      <c r="C330" s="49" t="n"/>
      <c r="D330" s="71" t="n">
        <v>58.75</v>
      </c>
      <c r="E330" s="71" t="n"/>
      <c r="F330" s="55" t="n"/>
      <c r="G330" s="55" t="n">
        <v>20</v>
      </c>
      <c r="H330" s="55">
        <f>H329-G330</f>
        <v/>
      </c>
      <c r="I330" s="71" t="n"/>
      <c r="J330" s="749" t="n"/>
      <c r="K330" s="749">
        <f>G330*D330</f>
        <v/>
      </c>
      <c r="L330" s="748" t="n"/>
      <c r="M330" s="114" t="n"/>
    </row>
    <row r="331">
      <c r="A331" s="48" t="n">
        <v>43360</v>
      </c>
      <c r="B331" s="49" t="inlineStr">
        <is>
          <t>6009</t>
        </is>
      </c>
      <c r="C331" s="49" t="n"/>
      <c r="D331" s="71" t="n">
        <v>50</v>
      </c>
      <c r="E331" s="71" t="n"/>
      <c r="F331" s="55" t="n"/>
      <c r="G331" s="55" t="n">
        <v>10</v>
      </c>
      <c r="H331" s="55">
        <f>H330-G331</f>
        <v/>
      </c>
      <c r="I331" s="71" t="n"/>
      <c r="J331" s="749" t="n"/>
      <c r="K331" s="749">
        <f>G331*D331</f>
        <v/>
      </c>
      <c r="L331" s="748" t="n"/>
      <c r="M331" s="114" t="n"/>
    </row>
    <row r="332">
      <c r="A332" s="48" t="n">
        <v>43360</v>
      </c>
      <c r="B332" s="49" t="inlineStr">
        <is>
          <t>6010</t>
        </is>
      </c>
      <c r="C332" s="49" t="n"/>
      <c r="D332" s="71" t="n">
        <v>50</v>
      </c>
      <c r="E332" s="71" t="n"/>
      <c r="F332" s="55" t="n"/>
      <c r="G332" s="55" t="n">
        <v>60</v>
      </c>
      <c r="H332" s="55">
        <f>H331-G332</f>
        <v/>
      </c>
      <c r="I332" s="71" t="n"/>
      <c r="J332" s="749" t="n"/>
      <c r="K332" s="749">
        <f>G332*D332</f>
        <v/>
      </c>
      <c r="L332" s="748" t="n"/>
      <c r="M332" s="114" t="n"/>
    </row>
    <row r="333">
      <c r="A333" s="48" t="n">
        <v>43361</v>
      </c>
      <c r="B333" s="49" t="inlineStr">
        <is>
          <t>6011</t>
        </is>
      </c>
      <c r="C333" s="49" t="n"/>
      <c r="D333" s="71" t="n">
        <v>50</v>
      </c>
      <c r="E333" s="71" t="n"/>
      <c r="F333" s="55" t="n"/>
      <c r="G333" s="55" t="n">
        <v>60</v>
      </c>
      <c r="H333" s="55">
        <f>H332-G333</f>
        <v/>
      </c>
      <c r="I333" s="71" t="n"/>
      <c r="J333" s="749" t="n"/>
      <c r="K333" s="749">
        <f>G333*D333</f>
        <v/>
      </c>
      <c r="L333" s="748" t="n"/>
      <c r="M333" s="114" t="n"/>
    </row>
    <row r="334">
      <c r="A334" s="48" t="n">
        <v>43362</v>
      </c>
      <c r="B334" s="49" t="inlineStr">
        <is>
          <t>6013</t>
        </is>
      </c>
      <c r="C334" s="49" t="n"/>
      <c r="D334" s="71" t="n">
        <v>50</v>
      </c>
      <c r="E334" s="71" t="n"/>
      <c r="F334" s="55" t="n"/>
      <c r="G334" s="55" t="n">
        <v>20</v>
      </c>
      <c r="H334" s="55">
        <f>H333-G334</f>
        <v/>
      </c>
      <c r="I334" s="71" t="n"/>
      <c r="J334" s="749" t="n"/>
      <c r="K334" s="749">
        <f>G334*D334</f>
        <v/>
      </c>
      <c r="L334" s="748" t="n"/>
      <c r="M334" s="114" t="n"/>
    </row>
    <row r="335">
      <c r="A335" s="48" t="n">
        <v>43367</v>
      </c>
      <c r="B335" s="49" t="inlineStr">
        <is>
          <t>6021</t>
        </is>
      </c>
      <c r="C335" s="49" t="n"/>
      <c r="D335" s="71" t="n">
        <v>50</v>
      </c>
      <c r="E335" s="71" t="n"/>
      <c r="F335" s="55" t="n"/>
      <c r="G335" s="55" t="n">
        <v>30</v>
      </c>
      <c r="H335" s="55">
        <f>H334-G335</f>
        <v/>
      </c>
      <c r="I335" s="71" t="n"/>
      <c r="J335" s="749" t="n"/>
      <c r="K335" s="749">
        <f>G335*D335</f>
        <v/>
      </c>
      <c r="L335" s="748" t="n"/>
      <c r="M335" s="114" t="n"/>
    </row>
    <row r="336">
      <c r="A336" s="48" t="n">
        <v>43367</v>
      </c>
      <c r="B336" s="49" t="inlineStr">
        <is>
          <t>6025</t>
        </is>
      </c>
      <c r="C336" s="49" t="n"/>
      <c r="D336" s="71" t="n">
        <v>51</v>
      </c>
      <c r="E336" s="71" t="n"/>
      <c r="F336" s="55" t="n"/>
      <c r="G336" s="55" t="n">
        <v>20</v>
      </c>
      <c r="H336" s="55">
        <f>H335-G336</f>
        <v/>
      </c>
      <c r="I336" s="71" t="n"/>
      <c r="J336" s="749" t="n"/>
      <c r="K336" s="749">
        <f>G336*D336</f>
        <v/>
      </c>
      <c r="L336" s="748" t="n"/>
      <c r="M336" s="114" t="n"/>
    </row>
    <row r="337">
      <c r="A337" s="48" t="n">
        <v>43368</v>
      </c>
      <c r="B337" s="49" t="inlineStr">
        <is>
          <t>6032</t>
        </is>
      </c>
      <c r="C337" s="49" t="n"/>
      <c r="D337" s="71" t="n">
        <v>50</v>
      </c>
      <c r="E337" s="71" t="n"/>
      <c r="F337" s="55" t="n"/>
      <c r="G337" s="55" t="n">
        <v>15</v>
      </c>
      <c r="H337" s="55">
        <f>H336-G337</f>
        <v/>
      </c>
      <c r="I337" s="71" t="n"/>
      <c r="J337" s="749" t="n"/>
      <c r="K337" s="749">
        <f>G337*D337</f>
        <v/>
      </c>
      <c r="L337" s="748" t="n"/>
      <c r="M337" s="114" t="n"/>
    </row>
    <row r="338">
      <c r="A338" s="48" t="n">
        <v>43368</v>
      </c>
      <c r="B338" s="49" t="inlineStr">
        <is>
          <t>6034</t>
        </is>
      </c>
      <c r="C338" s="49" t="n"/>
      <c r="D338" s="71" t="n">
        <v>50</v>
      </c>
      <c r="E338" s="71" t="n"/>
      <c r="F338" s="55" t="n"/>
      <c r="G338" s="55" t="n">
        <v>30</v>
      </c>
      <c r="H338" s="55">
        <f>H337-G338</f>
        <v/>
      </c>
      <c r="I338" s="71" t="n"/>
      <c r="J338" s="749" t="n"/>
      <c r="K338" s="749">
        <f>G338*D338</f>
        <v/>
      </c>
      <c r="L338" s="748" t="n"/>
      <c r="M338" s="114" t="n"/>
    </row>
    <row r="339">
      <c r="A339" s="48" t="n">
        <v>43341</v>
      </c>
      <c r="B339" s="49" t="n"/>
      <c r="C339" s="49" t="n"/>
      <c r="D339" s="71" t="n"/>
      <c r="E339" s="71" t="n"/>
      <c r="F339" s="55" t="n"/>
      <c r="G339" s="55" t="n"/>
      <c r="H339" s="55">
        <f>H338-G339</f>
        <v/>
      </c>
      <c r="I339" s="71" t="n"/>
      <c r="J339" s="749" t="n"/>
      <c r="K339" s="749">
        <f>G339*D339</f>
        <v/>
      </c>
      <c r="L339" s="748" t="n"/>
      <c r="M339" s="114" t="n"/>
    </row>
    <row r="340">
      <c r="A340" s="48" t="n">
        <v>43342</v>
      </c>
      <c r="B340" s="49" t="n"/>
      <c r="C340" s="49" t="n"/>
      <c r="D340" s="71" t="n"/>
      <c r="E340" s="71" t="n"/>
      <c r="F340" s="55" t="n"/>
      <c r="G340" s="55" t="n"/>
      <c r="H340" s="55">
        <f>H339-G340</f>
        <v/>
      </c>
      <c r="I340" s="71" t="n"/>
      <c r="J340" s="749" t="n"/>
      <c r="K340" s="749">
        <f>G340*D340</f>
        <v/>
      </c>
      <c r="L340" s="748" t="n"/>
      <c r="M340" s="114" t="n"/>
    </row>
    <row r="341">
      <c r="A341" s="48" t="n">
        <v>43343</v>
      </c>
      <c r="B341" s="49" t="n"/>
      <c r="C341" s="49" t="n"/>
      <c r="D341" s="71" t="n"/>
      <c r="E341" s="71" t="n"/>
      <c r="F341" s="55" t="n"/>
      <c r="G341" s="55" t="n"/>
      <c r="H341" s="55">
        <f>H340-G341</f>
        <v/>
      </c>
      <c r="I341" s="71" t="n"/>
      <c r="J341" s="749" t="n"/>
      <c r="K341" s="749">
        <f>G341*D341</f>
        <v/>
      </c>
      <c r="L341" s="748" t="n"/>
      <c r="M341" s="114" t="n"/>
    </row>
    <row r="342">
      <c r="A342" s="48" t="n">
        <v>43344</v>
      </c>
      <c r="B342" s="49" t="n"/>
      <c r="C342" s="49" t="n"/>
      <c r="D342" s="71" t="n"/>
      <c r="E342" s="71" t="n"/>
      <c r="F342" s="55" t="n"/>
      <c r="G342" s="55" t="n"/>
      <c r="H342" s="55">
        <f>H341-G342</f>
        <v/>
      </c>
      <c r="I342" s="71" t="n"/>
      <c r="J342" s="749" t="n"/>
      <c r="K342" s="749">
        <f>G342*D342</f>
        <v/>
      </c>
      <c r="L342" s="748" t="n"/>
      <c r="M342" s="114" t="n"/>
    </row>
    <row r="343">
      <c r="A343" s="48" t="n">
        <v>43345</v>
      </c>
      <c r="B343" s="49" t="n"/>
      <c r="C343" s="49" t="n"/>
      <c r="D343" s="71" t="n"/>
      <c r="E343" s="71" t="n"/>
      <c r="F343" s="55" t="n"/>
      <c r="G343" s="55" t="n"/>
      <c r="H343" s="55">
        <f>H342-G343</f>
        <v/>
      </c>
      <c r="I343" s="71" t="n"/>
      <c r="J343" s="749" t="n"/>
      <c r="K343" s="749">
        <f>G343*D343</f>
        <v/>
      </c>
      <c r="L343" s="748" t="n"/>
      <c r="M343" s="114" t="n"/>
    </row>
    <row r="344">
      <c r="A344" s="76" t="n"/>
      <c r="B344" s="76" t="n"/>
      <c r="C344" s="76" t="n"/>
      <c r="D344" s="76" t="n"/>
      <c r="E344" s="76" t="n"/>
      <c r="F344" s="76" t="n"/>
      <c r="G344" s="76" t="n"/>
      <c r="H344" s="76" t="n"/>
      <c r="I344" s="76" t="n"/>
      <c r="J344" s="76" t="n"/>
      <c r="K344" s="76" t="n"/>
      <c r="L344" s="76" t="n"/>
      <c r="M344" s="114" t="n"/>
    </row>
    <row r="345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  <c r="J345" s="76" t="n"/>
      <c r="K345" s="76" t="n"/>
      <c r="L345" s="76" t="n"/>
      <c r="M345" s="114" t="n"/>
    </row>
    <row r="346">
      <c r="A346" s="76" t="n"/>
      <c r="B346" s="76" t="n"/>
      <c r="C346" s="76" t="n"/>
      <c r="D346" s="76" t="n"/>
      <c r="E346" s="76" t="n"/>
      <c r="F346" s="76" t="n"/>
      <c r="G346" s="76" t="n"/>
      <c r="H346" s="76" t="n"/>
      <c r="I346" s="76" t="n"/>
      <c r="J346" s="76" t="n"/>
      <c r="K346" s="76" t="n"/>
      <c r="L346" s="76" t="n"/>
      <c r="M346" s="114" t="n"/>
    </row>
    <row r="347" ht="15.75" customHeight="1" s="436" thickBot="1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  <c r="J347" s="76" t="n"/>
      <c r="K347" s="76" t="n"/>
      <c r="L347" s="76" t="n"/>
      <c r="M347" s="114" t="n"/>
    </row>
    <row r="348" ht="29.25" customHeight="1" s="436" thickBot="1">
      <c r="A348" s="696" t="inlineStr">
        <is>
          <t>]</t>
        </is>
      </c>
      <c r="B348" s="697" t="n"/>
      <c r="C348" s="697" t="n"/>
      <c r="D348" s="697" t="n"/>
      <c r="E348" s="697" t="n"/>
      <c r="F348" s="697" t="n"/>
      <c r="G348" s="697" t="n"/>
      <c r="H348" s="697" t="n"/>
      <c r="I348" s="697" t="n"/>
      <c r="J348" s="697" t="n"/>
      <c r="K348" s="697" t="n"/>
      <c r="L348" s="698" t="n"/>
      <c r="M348" s="114" t="n"/>
    </row>
    <row r="349" ht="21.75" customHeight="1" s="436" thickBot="1">
      <c r="A349" s="744" t="inlineStr">
        <is>
          <t xml:space="preserve">021 - DENISE FURTADO DE SOUZA - ME </t>
        </is>
      </c>
      <c r="B349" s="737" t="n"/>
      <c r="C349" s="737" t="n"/>
      <c r="D349" s="737" t="n"/>
      <c r="E349" s="737" t="n"/>
      <c r="F349" s="737" t="n"/>
      <c r="G349" s="737" t="n"/>
      <c r="H349" s="737" t="n"/>
      <c r="I349" s="737" t="n"/>
      <c r="J349" s="737" t="n"/>
      <c r="K349" s="737" t="n"/>
      <c r="L349" s="736" t="n"/>
      <c r="M349" s="114" t="n"/>
    </row>
    <row r="350" ht="24" customHeight="1" s="436" thickBot="1">
      <c r="A350" s="745" t="inlineStr">
        <is>
          <t xml:space="preserve">  PRÉ MISTURA - 25 KG</t>
        </is>
      </c>
      <c r="B350" s="737" t="n"/>
      <c r="C350" s="737" t="n"/>
      <c r="D350" s="737" t="n"/>
      <c r="E350" s="737" t="n"/>
      <c r="F350" s="737" t="n"/>
      <c r="G350" s="737" t="n"/>
      <c r="H350" s="737" t="n"/>
      <c r="I350" s="737" t="n"/>
      <c r="J350" s="737" t="n"/>
      <c r="K350" s="737" t="n"/>
      <c r="L350" s="736" t="n"/>
      <c r="M350" s="114" t="n"/>
    </row>
    <row r="351">
      <c r="A351" s="746" t="inlineStr">
        <is>
          <t>DATA</t>
        </is>
      </c>
      <c r="B351" s="3" t="inlineStr">
        <is>
          <t>N.F.</t>
        </is>
      </c>
      <c r="C351" s="3" t="inlineStr">
        <is>
          <t>TIPO</t>
        </is>
      </c>
      <c r="D351" s="3" t="inlineStr">
        <is>
          <t>PREÇO UNITÁRIO</t>
        </is>
      </c>
      <c r="E351" s="736" t="n"/>
      <c r="F351" s="3" t="inlineStr">
        <is>
          <t>QUANTIDADE / KG</t>
        </is>
      </c>
      <c r="G351" s="737" t="n"/>
      <c r="H351" s="736" t="n"/>
      <c r="I351" s="631" t="inlineStr">
        <is>
          <t>PREÇO</t>
        </is>
      </c>
      <c r="J351" s="631" t="inlineStr">
        <is>
          <t>VALORES</t>
        </is>
      </c>
      <c r="K351" s="737" t="n"/>
      <c r="L351" s="736" t="n"/>
      <c r="M351" s="114" t="n"/>
    </row>
    <row r="352" ht="15.75" customHeight="1" s="436" thickBot="1">
      <c r="A352" s="703" t="n"/>
      <c r="B352" s="704" t="n"/>
      <c r="C352" s="704" t="n"/>
      <c r="D352" s="703" t="n"/>
      <c r="E352" s="701" t="n"/>
      <c r="F352" s="705" t="n"/>
      <c r="G352" s="706" t="n"/>
      <c r="H352" s="707" t="n"/>
      <c r="I352" s="704" t="n"/>
      <c r="J352" s="703" t="n"/>
      <c r="L352" s="701" t="n"/>
      <c r="M352" s="114" t="n"/>
    </row>
    <row r="353" ht="15.75" customHeight="1" s="436" thickBot="1">
      <c r="A353" s="703" t="n"/>
      <c r="B353" s="704" t="n"/>
      <c r="C353" s="704" t="n"/>
      <c r="D353" s="705" t="n"/>
      <c r="E353" s="707" t="n"/>
      <c r="F353" s="3" t="inlineStr">
        <is>
          <t>ENTRADA</t>
        </is>
      </c>
      <c r="G353" s="3" t="inlineStr">
        <is>
          <t>SAÍDA</t>
        </is>
      </c>
      <c r="H353" s="640" t="n"/>
      <c r="I353" s="633" t="inlineStr">
        <is>
          <t>MÉDIO</t>
        </is>
      </c>
      <c r="J353" s="652" t="inlineStr">
        <is>
          <t>SALDO EM 30/12/2017</t>
        </is>
      </c>
      <c r="K353" s="706" t="n"/>
      <c r="L353" s="17" t="n"/>
      <c r="M353" s="114" t="n"/>
    </row>
    <row r="354" ht="15.75" customHeight="1" s="436" thickBot="1">
      <c r="A354" s="705" t="n"/>
      <c r="B354" s="695" t="n"/>
      <c r="C354" s="695" t="n"/>
      <c r="D354" s="3" t="inlineStr">
        <is>
          <t>C/ICMS</t>
        </is>
      </c>
      <c r="E354" s="3" t="inlineStr">
        <is>
          <t>S/ICMS</t>
        </is>
      </c>
      <c r="F354" s="695" t="n"/>
      <c r="G354" s="695" t="n"/>
      <c r="H354" s="18" t="inlineStr">
        <is>
          <t>SALDO EM 30/09/2018</t>
        </is>
      </c>
      <c r="I354" s="695" t="n"/>
      <c r="J354" s="645" t="inlineStr">
        <is>
          <t>ENTRADA</t>
        </is>
      </c>
      <c r="K354" s="633" t="inlineStr">
        <is>
          <t>SAÍDA / CMV</t>
        </is>
      </c>
      <c r="L354" s="633" t="inlineStr">
        <is>
          <t>SALDO</t>
        </is>
      </c>
      <c r="M354" s="114" t="n"/>
    </row>
    <row r="355">
      <c r="A355" s="48" t="n"/>
      <c r="B355" s="49" t="n"/>
      <c r="C355" s="49" t="n"/>
      <c r="D355" s="71" t="n"/>
      <c r="E355" s="71" t="n"/>
      <c r="F355" s="55" t="n"/>
      <c r="G355" s="55" t="n">
        <v>0</v>
      </c>
      <c r="H355" s="55" t="n"/>
      <c r="I355" s="71" t="n"/>
      <c r="J355" s="747">
        <f>F355*I355</f>
        <v/>
      </c>
      <c r="K355" s="747" t="n">
        <v>0</v>
      </c>
      <c r="L355" s="748">
        <f>J355-K355</f>
        <v/>
      </c>
      <c r="M355" s="114" t="n"/>
    </row>
    <row r="356">
      <c r="A356" s="92" t="n">
        <v>43374</v>
      </c>
      <c r="B356" s="93" t="n"/>
      <c r="C356" s="96" t="n"/>
      <c r="D356" s="97" t="n"/>
      <c r="E356" s="97" t="n"/>
      <c r="F356" s="98" t="n"/>
      <c r="G356" s="98" t="n"/>
      <c r="H356" s="95" t="n">
        <v>1016</v>
      </c>
      <c r="I356" s="51" t="n"/>
      <c r="J356" s="749" t="n"/>
      <c r="K356" s="749">
        <f>G356*D356</f>
        <v/>
      </c>
      <c r="L356" s="748" t="n"/>
      <c r="M356" s="114" t="n"/>
    </row>
    <row r="357">
      <c r="A357" s="48" t="n">
        <v>43375</v>
      </c>
      <c r="B357" s="49" t="inlineStr">
        <is>
          <t>6036</t>
        </is>
      </c>
      <c r="C357" s="50" t="n"/>
      <c r="D357" s="51" t="n">
        <v>54</v>
      </c>
      <c r="E357" s="51" t="n"/>
      <c r="F357" s="52" t="n"/>
      <c r="G357" s="52" t="n">
        <v>20</v>
      </c>
      <c r="H357" s="55">
        <f>H356-G357</f>
        <v/>
      </c>
      <c r="I357" s="51" t="n"/>
      <c r="J357" s="749" t="n"/>
      <c r="K357" s="749" t="n"/>
      <c r="L357" s="748" t="n"/>
      <c r="M357" s="114" t="n"/>
    </row>
    <row r="358">
      <c r="A358" s="48" t="n">
        <v>43375</v>
      </c>
      <c r="B358" s="49" t="inlineStr">
        <is>
          <t>6039</t>
        </is>
      </c>
      <c r="C358" s="50" t="n"/>
      <c r="D358" s="51" t="n">
        <v>54</v>
      </c>
      <c r="E358" s="51" t="n"/>
      <c r="F358" s="52" t="n"/>
      <c r="G358" s="52" t="n">
        <v>20</v>
      </c>
      <c r="H358" s="55">
        <f>H357-G358</f>
        <v/>
      </c>
      <c r="I358" s="51" t="n"/>
      <c r="J358" s="749" t="n"/>
      <c r="K358" s="749" t="n"/>
      <c r="L358" s="748" t="n"/>
      <c r="M358" s="114" t="n"/>
    </row>
    <row r="359">
      <c r="A359" s="48" t="n">
        <v>43375</v>
      </c>
      <c r="B359" s="49" t="inlineStr">
        <is>
          <t>6045</t>
        </is>
      </c>
      <c r="C359" s="50" t="n"/>
      <c r="D359" s="51" t="n">
        <v>53</v>
      </c>
      <c r="E359" s="51" t="n"/>
      <c r="F359" s="52" t="n"/>
      <c r="G359" s="52" t="n">
        <v>100</v>
      </c>
      <c r="H359" s="55">
        <f>H358-G359</f>
        <v/>
      </c>
      <c r="I359" s="51" t="n"/>
      <c r="J359" s="749" t="n"/>
      <c r="K359" s="749">
        <f>G359*D359</f>
        <v/>
      </c>
      <c r="L359" s="748" t="n"/>
      <c r="M359" s="114" t="n"/>
    </row>
    <row r="360">
      <c r="A360" s="48" t="n">
        <v>43378</v>
      </c>
      <c r="B360" s="49" t="inlineStr">
        <is>
          <t>6047</t>
        </is>
      </c>
      <c r="C360" s="49" t="n"/>
      <c r="D360" s="71" t="n">
        <v>50</v>
      </c>
      <c r="E360" s="71" t="n"/>
      <c r="F360" s="55" t="n"/>
      <c r="G360" s="55" t="n">
        <v>100</v>
      </c>
      <c r="H360" s="55">
        <f>H359-G360</f>
        <v/>
      </c>
      <c r="I360" s="71" t="n"/>
      <c r="J360" s="749" t="n"/>
      <c r="K360" s="749">
        <f>G360*D360</f>
        <v/>
      </c>
      <c r="L360" s="748" t="n"/>
      <c r="M360" s="114" t="n"/>
    </row>
    <row r="361">
      <c r="A361" s="48" t="n">
        <v>43378</v>
      </c>
      <c r="B361" s="49" t="inlineStr">
        <is>
          <t>6048</t>
        </is>
      </c>
      <c r="C361" s="49" t="n"/>
      <c r="D361" s="71" t="n">
        <v>54</v>
      </c>
      <c r="E361" s="71" t="n"/>
      <c r="F361" s="55" t="n"/>
      <c r="G361" s="55" t="n">
        <v>30</v>
      </c>
      <c r="H361" s="55">
        <f>H360-G361</f>
        <v/>
      </c>
      <c r="I361" s="71" t="n"/>
      <c r="J361" s="749" t="n"/>
      <c r="K361" s="749">
        <f>G361*D361</f>
        <v/>
      </c>
      <c r="L361" s="748" t="n"/>
      <c r="M361" s="114" t="n"/>
    </row>
    <row r="362" ht="17.25" customHeight="1" s="436">
      <c r="A362" s="48" t="n">
        <v>43381</v>
      </c>
      <c r="B362" s="49" t="inlineStr">
        <is>
          <t>6055</t>
        </is>
      </c>
      <c r="C362" s="49" t="n"/>
      <c r="D362" s="71" t="n">
        <v>52</v>
      </c>
      <c r="E362" s="71" t="n"/>
      <c r="F362" s="55" t="n"/>
      <c r="G362" s="87" t="n">
        <v>20</v>
      </c>
      <c r="H362" s="55">
        <f>H361-G362</f>
        <v/>
      </c>
      <c r="I362" s="71" t="n"/>
      <c r="J362" s="749" t="n"/>
      <c r="K362" s="749">
        <f>G362*D362</f>
        <v/>
      </c>
      <c r="L362" s="748" t="n"/>
      <c r="M362" s="114" t="n"/>
    </row>
    <row r="363" ht="17.25" customHeight="1" s="436">
      <c r="A363" s="48" t="n">
        <v>43381</v>
      </c>
      <c r="B363" s="49" t="inlineStr">
        <is>
          <t>6056</t>
        </is>
      </c>
      <c r="C363" s="93" t="n"/>
      <c r="D363" s="71" t="n">
        <v>54</v>
      </c>
      <c r="E363" s="94" t="n"/>
      <c r="F363" s="95" t="n"/>
      <c r="G363" s="87" t="n">
        <v>60</v>
      </c>
      <c r="H363" s="55">
        <f>H362-G363</f>
        <v/>
      </c>
      <c r="I363" s="71" t="n"/>
      <c r="J363" s="749" t="n"/>
      <c r="K363" s="749">
        <f>G363*D363</f>
        <v/>
      </c>
      <c r="L363" s="748" t="n"/>
      <c r="M363" s="114" t="n"/>
    </row>
    <row r="364">
      <c r="A364" s="48" t="n">
        <v>43382</v>
      </c>
      <c r="B364" s="49" t="inlineStr">
        <is>
          <t>6058</t>
        </is>
      </c>
      <c r="C364" s="49" t="n"/>
      <c r="D364" s="71" t="n">
        <v>54</v>
      </c>
      <c r="E364" s="71" t="n"/>
      <c r="F364" s="55" t="n"/>
      <c r="G364" s="55" t="n">
        <v>50</v>
      </c>
      <c r="H364" s="55">
        <f>H363-G364</f>
        <v/>
      </c>
      <c r="I364" s="71" t="n"/>
      <c r="J364" s="749" t="n"/>
      <c r="K364" s="749">
        <f>G364*D364</f>
        <v/>
      </c>
      <c r="L364" s="748" t="n"/>
      <c r="M364" s="114" t="n"/>
    </row>
    <row r="365">
      <c r="A365" s="48" t="n">
        <v>43382</v>
      </c>
      <c r="B365" s="49" t="inlineStr">
        <is>
          <t>6060</t>
        </is>
      </c>
      <c r="C365" s="49" t="n"/>
      <c r="D365" s="71" t="n">
        <v>58.66</v>
      </c>
      <c r="E365" s="71" t="n"/>
      <c r="F365" s="55" t="n"/>
      <c r="G365" s="55" t="n">
        <v>30</v>
      </c>
      <c r="H365" s="55">
        <f>H364-G365</f>
        <v/>
      </c>
      <c r="I365" s="71" t="n"/>
      <c r="J365" s="749" t="n"/>
      <c r="K365" s="749">
        <f>G365*D365</f>
        <v/>
      </c>
      <c r="L365" s="748" t="n"/>
      <c r="M365" s="114" t="n"/>
    </row>
    <row r="366">
      <c r="A366" s="92" t="n">
        <v>43384</v>
      </c>
      <c r="B366" s="93" t="inlineStr">
        <is>
          <t>101865</t>
        </is>
      </c>
      <c r="C366" s="93" t="n"/>
      <c r="D366" s="94" t="n">
        <v>43.6</v>
      </c>
      <c r="E366" s="94" t="n"/>
      <c r="F366" s="95" t="n">
        <v>640</v>
      </c>
      <c r="G366" s="95" t="n"/>
      <c r="H366" s="95" t="n">
        <v>1226</v>
      </c>
      <c r="I366" s="71" t="n"/>
      <c r="J366" s="749" t="n"/>
      <c r="K366" s="749" t="n"/>
      <c r="L366" s="748" t="n"/>
      <c r="M366" s="114" t="n"/>
    </row>
    <row r="367">
      <c r="A367" s="48" t="n">
        <v>43388</v>
      </c>
      <c r="B367" s="49" t="inlineStr">
        <is>
          <t>6066</t>
        </is>
      </c>
      <c r="C367" s="49" t="n"/>
      <c r="D367" s="71" t="n">
        <v>50</v>
      </c>
      <c r="E367" s="71" t="n"/>
      <c r="F367" s="55" t="n"/>
      <c r="G367" s="55" t="n">
        <v>15</v>
      </c>
      <c r="H367" s="55">
        <f>H366-G367</f>
        <v/>
      </c>
      <c r="I367" s="71" t="n"/>
      <c r="J367" s="749" t="n"/>
      <c r="K367" s="749">
        <f>G367*D367</f>
        <v/>
      </c>
      <c r="L367" s="748" t="n"/>
      <c r="M367" s="114" t="n"/>
    </row>
    <row r="368">
      <c r="A368" s="48" t="n">
        <v>43388</v>
      </c>
      <c r="B368" s="49" t="inlineStr">
        <is>
          <t>6069</t>
        </is>
      </c>
      <c r="C368" s="49" t="n"/>
      <c r="D368" s="71" t="n">
        <v>49</v>
      </c>
      <c r="E368" s="71" t="n"/>
      <c r="F368" s="55" t="n"/>
      <c r="G368" s="55" t="n">
        <v>50</v>
      </c>
      <c r="H368" s="55">
        <f>H367-G368</f>
        <v/>
      </c>
      <c r="I368" s="71" t="n"/>
      <c r="J368" s="749" t="n"/>
      <c r="K368" s="749">
        <f>G368*D368</f>
        <v/>
      </c>
      <c r="L368" s="748" t="n"/>
      <c r="M368" s="114" t="n"/>
    </row>
    <row r="369">
      <c r="A369" s="48" t="n">
        <v>43388</v>
      </c>
      <c r="B369" s="49" t="inlineStr">
        <is>
          <t>6071</t>
        </is>
      </c>
      <c r="C369" s="49" t="n"/>
      <c r="D369" s="71" t="n">
        <v>56</v>
      </c>
      <c r="E369" s="71" t="n"/>
      <c r="F369" s="55" t="n"/>
      <c r="G369" s="55" t="n">
        <v>30</v>
      </c>
      <c r="H369" s="55">
        <f>H368-G369</f>
        <v/>
      </c>
      <c r="I369" s="71" t="n"/>
      <c r="J369" s="749" t="n"/>
      <c r="K369" s="749">
        <f>G369*D369</f>
        <v/>
      </c>
      <c r="L369" s="748" t="n"/>
      <c r="M369" s="114" t="n"/>
    </row>
    <row r="370">
      <c r="A370" s="48" t="n">
        <v>43388</v>
      </c>
      <c r="B370" s="49" t="inlineStr">
        <is>
          <t>6072</t>
        </is>
      </c>
      <c r="C370" s="49" t="n"/>
      <c r="D370" s="71" t="n">
        <v>54</v>
      </c>
      <c r="E370" s="71" t="n"/>
      <c r="F370" s="55" t="n"/>
      <c r="G370" s="55" t="n">
        <v>20</v>
      </c>
      <c r="H370" s="55">
        <f>H369-G370</f>
        <v/>
      </c>
      <c r="I370" s="71" t="n"/>
      <c r="J370" s="749" t="n"/>
      <c r="K370" s="749">
        <f>G370*D370</f>
        <v/>
      </c>
      <c r="L370" s="748" t="n"/>
      <c r="M370" s="114" t="n"/>
    </row>
    <row r="371">
      <c r="A371" s="48" t="n">
        <v>43389</v>
      </c>
      <c r="B371" s="49" t="inlineStr">
        <is>
          <t>6073</t>
        </is>
      </c>
      <c r="C371" s="49" t="n"/>
      <c r="D371" s="71" t="n">
        <v>52</v>
      </c>
      <c r="E371" s="71" t="n"/>
      <c r="F371" s="55" t="n"/>
      <c r="G371" s="55" t="n">
        <v>10</v>
      </c>
      <c r="H371" s="55">
        <f>H370-G371</f>
        <v/>
      </c>
      <c r="I371" s="71" t="n"/>
      <c r="J371" s="749" t="n"/>
      <c r="K371" s="749">
        <f>G371*D371</f>
        <v/>
      </c>
      <c r="L371" s="748" t="n"/>
      <c r="M371" s="114" t="n"/>
    </row>
    <row r="372">
      <c r="A372" s="48" t="n">
        <v>43389</v>
      </c>
      <c r="B372" s="49" t="inlineStr">
        <is>
          <t>6074</t>
        </is>
      </c>
      <c r="C372" s="49" t="n"/>
      <c r="D372" s="71" t="n">
        <v>50</v>
      </c>
      <c r="E372" s="71" t="n"/>
      <c r="F372" s="55" t="n"/>
      <c r="G372" s="55" t="n">
        <v>15</v>
      </c>
      <c r="H372" s="55">
        <f>H371-G372</f>
        <v/>
      </c>
      <c r="I372" s="71" t="n"/>
      <c r="J372" s="749" t="n"/>
      <c r="K372" s="749">
        <f>G372*D372</f>
        <v/>
      </c>
      <c r="L372" s="748" t="n"/>
      <c r="M372" s="114" t="n"/>
    </row>
    <row r="373">
      <c r="A373" s="48" t="n">
        <v>43389</v>
      </c>
      <c r="B373" s="49" t="inlineStr">
        <is>
          <t>6077</t>
        </is>
      </c>
      <c r="C373" s="49" t="n"/>
      <c r="D373" s="71" t="n">
        <v>50</v>
      </c>
      <c r="E373" s="71" t="n"/>
      <c r="F373" s="55" t="n"/>
      <c r="G373" s="55" t="n">
        <v>30</v>
      </c>
      <c r="H373" s="55">
        <f>H372-G373</f>
        <v/>
      </c>
      <c r="I373" s="71" t="n"/>
      <c r="J373" s="749" t="n"/>
      <c r="K373" s="749">
        <f>G373*D373</f>
        <v/>
      </c>
      <c r="L373" s="748" t="n"/>
      <c r="M373" s="114" t="n"/>
    </row>
    <row r="374">
      <c r="A374" s="48" t="n">
        <v>43389</v>
      </c>
      <c r="B374" s="49" t="inlineStr">
        <is>
          <t>6079</t>
        </is>
      </c>
      <c r="C374" s="49" t="n"/>
      <c r="D374" s="71" t="n">
        <v>54</v>
      </c>
      <c r="E374" s="71" t="n"/>
      <c r="F374" s="55" t="n"/>
      <c r="G374" s="55" t="n">
        <v>40</v>
      </c>
      <c r="H374" s="55">
        <f>H373-G374</f>
        <v/>
      </c>
      <c r="I374" s="71" t="n"/>
      <c r="J374" s="749" t="n"/>
      <c r="K374" s="749">
        <f>G374*D374</f>
        <v/>
      </c>
      <c r="L374" s="748" t="n"/>
      <c r="M374" s="114" t="n"/>
    </row>
    <row r="375">
      <c r="A375" s="48" t="n">
        <v>43391</v>
      </c>
      <c r="B375" s="49" t="inlineStr">
        <is>
          <t>6082</t>
        </is>
      </c>
      <c r="C375" s="49" t="n"/>
      <c r="D375" s="71" t="n">
        <v>54</v>
      </c>
      <c r="E375" s="71" t="n"/>
      <c r="F375" s="55" t="n"/>
      <c r="G375" s="55" t="n">
        <v>20</v>
      </c>
      <c r="H375" s="55">
        <f>H374-G375</f>
        <v/>
      </c>
      <c r="I375" s="71" t="n"/>
      <c r="J375" s="749" t="n"/>
      <c r="K375" s="749">
        <f>G375*D375</f>
        <v/>
      </c>
      <c r="L375" s="748" t="n"/>
      <c r="M375" s="114" t="n"/>
    </row>
    <row r="376">
      <c r="A376" s="48" t="n">
        <v>43391</v>
      </c>
      <c r="B376" s="49" t="inlineStr">
        <is>
          <t>6081</t>
        </is>
      </c>
      <c r="C376" s="49" t="n"/>
      <c r="D376" s="71" t="n">
        <v>54</v>
      </c>
      <c r="E376" s="71" t="n"/>
      <c r="F376" s="55" t="n"/>
      <c r="G376" s="55" t="n">
        <v>30</v>
      </c>
      <c r="H376" s="55">
        <f>H375-G376</f>
        <v/>
      </c>
      <c r="I376" s="71" t="n"/>
      <c r="J376" s="749" t="n"/>
      <c r="K376" s="749">
        <f>G376*D376</f>
        <v/>
      </c>
      <c r="L376" s="748" t="n"/>
      <c r="M376" s="114" t="n"/>
    </row>
    <row r="377">
      <c r="A377" s="48" t="n">
        <v>43393</v>
      </c>
      <c r="B377" s="49" t="inlineStr">
        <is>
          <t>6086</t>
        </is>
      </c>
      <c r="C377" s="49" t="n"/>
      <c r="D377" s="71" t="n">
        <v>58</v>
      </c>
      <c r="E377" s="71" t="n"/>
      <c r="F377" s="55" t="n"/>
      <c r="G377" s="55" t="n">
        <v>80</v>
      </c>
      <c r="H377" s="55">
        <f>H376-G377</f>
        <v/>
      </c>
      <c r="I377" s="71" t="n"/>
      <c r="J377" s="749" t="n"/>
      <c r="K377" s="749">
        <f>G377*D377</f>
        <v/>
      </c>
      <c r="L377" s="748" t="n"/>
      <c r="M377" s="114" t="n"/>
    </row>
    <row r="378">
      <c r="A378" s="48" t="n">
        <v>43396</v>
      </c>
      <c r="B378" s="49" t="inlineStr">
        <is>
          <t>6090</t>
        </is>
      </c>
      <c r="C378" s="49" t="n"/>
      <c r="D378" s="71" t="n">
        <v>50</v>
      </c>
      <c r="E378" s="71" t="n"/>
      <c r="F378" s="55" t="n"/>
      <c r="G378" s="55" t="n">
        <v>30</v>
      </c>
      <c r="H378" s="55">
        <f>H377-G378</f>
        <v/>
      </c>
      <c r="I378" s="71" t="n"/>
      <c r="J378" s="749" t="n"/>
      <c r="K378" s="749">
        <f>G378*D378</f>
        <v/>
      </c>
      <c r="L378" s="748" t="n"/>
      <c r="M378" s="114" t="n"/>
    </row>
    <row r="379">
      <c r="A379" s="48" t="n">
        <v>43396</v>
      </c>
      <c r="B379" s="49" t="inlineStr">
        <is>
          <t>6095</t>
        </is>
      </c>
      <c r="C379" s="49" t="n"/>
      <c r="D379" s="71" t="n">
        <v>50</v>
      </c>
      <c r="E379" s="71" t="n"/>
      <c r="F379" s="55" t="n"/>
      <c r="G379" s="55" t="n">
        <v>20</v>
      </c>
      <c r="H379" s="55">
        <f>H378-G379</f>
        <v/>
      </c>
      <c r="I379" s="71" t="n"/>
      <c r="J379" s="749" t="n"/>
      <c r="K379" s="749">
        <f>G379*D379</f>
        <v/>
      </c>
      <c r="L379" s="748" t="n"/>
      <c r="M379" s="114" t="n"/>
    </row>
    <row r="380">
      <c r="A380" s="48" t="n">
        <v>43396</v>
      </c>
      <c r="B380" s="49" t="inlineStr">
        <is>
          <t>6096</t>
        </is>
      </c>
      <c r="C380" s="49" t="n"/>
      <c r="D380" s="71" t="n">
        <v>54</v>
      </c>
      <c r="E380" s="71" t="n"/>
      <c r="F380" s="55" t="n"/>
      <c r="G380" s="55" t="n">
        <v>15</v>
      </c>
      <c r="H380" s="55">
        <f>H379-G380</f>
        <v/>
      </c>
      <c r="I380" s="71" t="n"/>
      <c r="J380" s="749" t="n"/>
      <c r="K380" s="749">
        <f>G380*D380</f>
        <v/>
      </c>
      <c r="L380" s="748" t="n"/>
      <c r="M380" s="114" t="n"/>
    </row>
    <row r="381">
      <c r="A381" s="48" t="n">
        <v>43402</v>
      </c>
      <c r="B381" s="49" t="inlineStr">
        <is>
          <t>6101</t>
        </is>
      </c>
      <c r="C381" s="49" t="n"/>
      <c r="D381" s="71" t="n">
        <v>50</v>
      </c>
      <c r="E381" s="71" t="n"/>
      <c r="F381" s="55" t="n"/>
      <c r="G381" s="55" t="n">
        <v>20</v>
      </c>
      <c r="H381" s="55">
        <f>H380-G381</f>
        <v/>
      </c>
      <c r="I381" s="71" t="n"/>
      <c r="J381" s="749" t="n"/>
      <c r="K381" s="749">
        <f>G381*D381</f>
        <v/>
      </c>
      <c r="L381" s="748" t="n"/>
      <c r="M381" s="114" t="n"/>
    </row>
    <row r="382">
      <c r="A382" s="48" t="n">
        <v>43402</v>
      </c>
      <c r="B382" s="49" t="inlineStr">
        <is>
          <t>6102</t>
        </is>
      </c>
      <c r="C382" s="49" t="n"/>
      <c r="D382" s="71" t="n">
        <v>50</v>
      </c>
      <c r="E382" s="71" t="n"/>
      <c r="F382" s="55" t="n"/>
      <c r="G382" s="55" t="n">
        <v>20</v>
      </c>
      <c r="H382" s="55">
        <f>H381-G382</f>
        <v/>
      </c>
      <c r="I382" s="71" t="n"/>
      <c r="J382" s="749" t="n"/>
      <c r="K382" s="749">
        <f>G382*D382</f>
        <v/>
      </c>
      <c r="L382" s="748" t="n"/>
      <c r="M382" s="114" t="n"/>
    </row>
    <row r="383">
      <c r="A383" s="48" t="n">
        <v>43402</v>
      </c>
      <c r="B383" s="49" t="inlineStr">
        <is>
          <t>6104</t>
        </is>
      </c>
      <c r="C383" s="49" t="n"/>
      <c r="D383" s="71" t="n">
        <v>53</v>
      </c>
      <c r="E383" s="71" t="n"/>
      <c r="F383" s="55" t="n"/>
      <c r="G383" s="55" t="n">
        <v>60</v>
      </c>
      <c r="H383" s="55">
        <f>H382-G383</f>
        <v/>
      </c>
      <c r="I383" s="71" t="n"/>
      <c r="J383" s="749" t="n"/>
      <c r="K383" s="749">
        <f>G383*D383</f>
        <v/>
      </c>
      <c r="L383" s="748" t="n"/>
      <c r="M383" s="114" t="n"/>
    </row>
    <row r="384">
      <c r="A384" s="48" t="n">
        <v>43403</v>
      </c>
      <c r="B384" s="49" t="inlineStr">
        <is>
          <t>6107</t>
        </is>
      </c>
      <c r="C384" s="49" t="n"/>
      <c r="D384" s="71" t="n">
        <v>52</v>
      </c>
      <c r="E384" s="71" t="n"/>
      <c r="F384" s="55" t="n"/>
      <c r="G384" s="55" t="n">
        <v>15</v>
      </c>
      <c r="H384" s="55">
        <f>H383-G384</f>
        <v/>
      </c>
      <c r="I384" s="71" t="n"/>
      <c r="J384" s="749" t="n"/>
      <c r="K384" s="749">
        <f>G384*D384</f>
        <v/>
      </c>
      <c r="L384" s="748" t="n"/>
      <c r="M384" s="114" t="n"/>
    </row>
    <row r="385">
      <c r="A385" s="48" t="n">
        <v>43403</v>
      </c>
      <c r="B385" s="49" t="inlineStr">
        <is>
          <t>6108</t>
        </is>
      </c>
      <c r="C385" s="49" t="n"/>
      <c r="D385" s="71" t="n">
        <v>52</v>
      </c>
      <c r="E385" s="71" t="n"/>
      <c r="F385" s="55" t="n"/>
      <c r="G385" s="55" t="n">
        <v>40</v>
      </c>
      <c r="H385" s="55">
        <f>H384-G385</f>
        <v/>
      </c>
      <c r="I385" s="71" t="n"/>
      <c r="J385" s="749" t="n"/>
      <c r="K385" s="749">
        <f>G385*D385</f>
        <v/>
      </c>
      <c r="L385" s="748" t="n"/>
      <c r="M385" s="114" t="n"/>
    </row>
    <row r="386">
      <c r="A386" s="48" t="n">
        <v>43404</v>
      </c>
      <c r="B386" s="49" t="inlineStr">
        <is>
          <t>6113</t>
        </is>
      </c>
      <c r="C386" s="49" t="n"/>
      <c r="D386" s="71" t="n">
        <v>50</v>
      </c>
      <c r="E386" s="71" t="n"/>
      <c r="F386" s="55" t="n"/>
      <c r="G386" s="55" t="n">
        <v>20</v>
      </c>
      <c r="H386" s="55">
        <f>H385-G386</f>
        <v/>
      </c>
      <c r="I386" s="71" t="n"/>
      <c r="J386" s="749" t="n"/>
      <c r="K386" s="749">
        <f>G386*D386</f>
        <v/>
      </c>
      <c r="L386" s="748" t="n"/>
      <c r="M386" s="114" t="n"/>
    </row>
    <row r="387">
      <c r="A387" s="48" t="n">
        <v>43403</v>
      </c>
      <c r="B387" s="49" t="n"/>
      <c r="C387" s="49" t="n"/>
      <c r="D387" s="71" t="n"/>
      <c r="E387" s="71" t="n"/>
      <c r="F387" s="55" t="n"/>
      <c r="G387" s="55" t="n"/>
      <c r="H387" s="55">
        <f>H386-G387</f>
        <v/>
      </c>
      <c r="I387" s="71" t="n"/>
      <c r="J387" s="749" t="n"/>
      <c r="K387" s="749">
        <f>G387*D387</f>
        <v/>
      </c>
      <c r="L387" s="748" t="n"/>
      <c r="M387" s="114" t="n"/>
    </row>
    <row r="388">
      <c r="A388" s="48" t="n">
        <v>43404</v>
      </c>
      <c r="B388" s="49" t="n"/>
      <c r="C388" s="49" t="n"/>
      <c r="D388" s="71" t="n"/>
      <c r="E388" s="71" t="n"/>
      <c r="F388" s="55" t="n"/>
      <c r="G388" s="55" t="n"/>
      <c r="H388" s="55">
        <f>H387-G388</f>
        <v/>
      </c>
      <c r="I388" s="71" t="n"/>
      <c r="J388" s="749" t="n"/>
      <c r="K388" s="749">
        <f>G388*D388</f>
        <v/>
      </c>
      <c r="L388" s="748" t="n"/>
      <c r="M388" s="114" t="n"/>
    </row>
    <row r="389">
      <c r="A389" s="48" t="n">
        <v>43405</v>
      </c>
      <c r="B389" s="49" t="n"/>
      <c r="C389" s="49" t="n"/>
      <c r="D389" s="71" t="n"/>
      <c r="E389" s="71" t="n"/>
      <c r="F389" s="55" t="n"/>
      <c r="G389" s="55" t="n"/>
      <c r="H389" s="55">
        <f>H388-G389</f>
        <v/>
      </c>
      <c r="I389" s="71" t="n"/>
      <c r="J389" s="749" t="n"/>
      <c r="K389" s="749">
        <f>G389*D389</f>
        <v/>
      </c>
      <c r="L389" s="748" t="n"/>
      <c r="M389" s="114" t="n"/>
    </row>
    <row r="390">
      <c r="A390" s="48" t="n">
        <v>43406</v>
      </c>
      <c r="B390" s="49" t="n"/>
      <c r="C390" s="49" t="n"/>
      <c r="D390" s="71" t="n"/>
      <c r="E390" s="71" t="n"/>
      <c r="F390" s="55" t="n"/>
      <c r="G390" s="55" t="n"/>
      <c r="H390" s="55">
        <f>H389-G390</f>
        <v/>
      </c>
      <c r="I390" s="71" t="n"/>
      <c r="J390" s="749" t="n"/>
      <c r="K390" s="749">
        <f>G390*D390</f>
        <v/>
      </c>
      <c r="L390" s="748" t="n"/>
      <c r="M390" s="114" t="n"/>
    </row>
    <row r="391">
      <c r="A391" s="48" t="n">
        <v>43407</v>
      </c>
      <c r="B391" s="49" t="n"/>
      <c r="C391" s="49" t="n"/>
      <c r="D391" s="71" t="n"/>
      <c r="E391" s="71" t="n"/>
      <c r="F391" s="55" t="n"/>
      <c r="G391" s="55" t="n"/>
      <c r="H391" s="55">
        <f>H390-G391</f>
        <v/>
      </c>
      <c r="I391" s="71" t="n"/>
      <c r="J391" s="749" t="n"/>
      <c r="K391" s="749">
        <f>G391*D391</f>
        <v/>
      </c>
      <c r="L391" s="748" t="n"/>
      <c r="M391" s="114" t="n"/>
    </row>
    <row r="392">
      <c r="A392" s="48" t="n">
        <v>43408</v>
      </c>
      <c r="B392" s="49" t="n"/>
      <c r="C392" s="49" t="n"/>
      <c r="D392" s="71" t="n"/>
      <c r="E392" s="71" t="n"/>
      <c r="F392" s="55" t="n"/>
      <c r="G392" s="55" t="n"/>
      <c r="H392" s="55">
        <f>H391-G392</f>
        <v/>
      </c>
      <c r="I392" s="71" t="n"/>
      <c r="J392" s="749" t="n"/>
      <c r="K392" s="749">
        <f>G392*D392</f>
        <v/>
      </c>
      <c r="L392" s="748" t="n"/>
      <c r="M392" s="114" t="n"/>
    </row>
    <row r="393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  <c r="J393" s="76" t="n"/>
      <c r="K393" s="76" t="n"/>
      <c r="L393" s="76" t="n"/>
      <c r="M393" s="114" t="n"/>
    </row>
    <row r="394">
      <c r="A394" s="76" t="n"/>
      <c r="B394" s="76" t="n"/>
      <c r="C394" s="76" t="n"/>
      <c r="D394" s="76" t="n"/>
      <c r="E394" s="76" t="n"/>
      <c r="F394" s="76" t="n"/>
      <c r="G394" s="76" t="n"/>
      <c r="H394" s="76" t="n"/>
      <c r="I394" s="76" t="n"/>
      <c r="J394" s="76" t="n"/>
      <c r="K394" s="76" t="n"/>
      <c r="L394" s="76" t="n"/>
      <c r="M394" s="114" t="n"/>
    </row>
    <row r="395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  <c r="J395" s="76" t="n"/>
      <c r="K395" s="76" t="n"/>
      <c r="L395" s="76" t="n"/>
      <c r="M395" s="114" t="n"/>
    </row>
    <row r="396" ht="15.75" customHeight="1" s="436" thickBot="1">
      <c r="A396" s="76" t="n"/>
      <c r="B396" s="76" t="n"/>
      <c r="C396" s="76" t="n"/>
      <c r="D396" s="76" t="n"/>
      <c r="E396" s="76" t="n"/>
      <c r="F396" s="76" t="n"/>
      <c r="G396" s="76" t="n"/>
      <c r="H396" s="76" t="n"/>
      <c r="I396" s="76" t="n"/>
      <c r="J396" s="76" t="n"/>
      <c r="K396" s="76" t="n"/>
      <c r="L396" s="76" t="n"/>
      <c r="M396" s="114" t="n"/>
    </row>
    <row r="397" ht="29.25" customHeight="1" s="436" thickBot="1">
      <c r="A397" s="696" t="inlineStr">
        <is>
          <t>]</t>
        </is>
      </c>
      <c r="B397" s="697" t="n"/>
      <c r="C397" s="697" t="n"/>
      <c r="D397" s="697" t="n"/>
      <c r="E397" s="697" t="n"/>
      <c r="F397" s="697" t="n"/>
      <c r="G397" s="697" t="n"/>
      <c r="H397" s="697" t="n"/>
      <c r="I397" s="697" t="n"/>
      <c r="J397" s="697" t="n"/>
      <c r="K397" s="697" t="n"/>
      <c r="L397" s="698" t="n"/>
      <c r="M397" s="114" t="n"/>
    </row>
    <row r="398" ht="21.75" customHeight="1" s="436" thickBot="1">
      <c r="A398" s="744" t="inlineStr">
        <is>
          <t xml:space="preserve">021 - DENISE FURTADO DE SOUZA - ME </t>
        </is>
      </c>
      <c r="B398" s="737" t="n"/>
      <c r="C398" s="737" t="n"/>
      <c r="D398" s="737" t="n"/>
      <c r="E398" s="737" t="n"/>
      <c r="F398" s="737" t="n"/>
      <c r="G398" s="737" t="n"/>
      <c r="H398" s="737" t="n"/>
      <c r="I398" s="737" t="n"/>
      <c r="J398" s="737" t="n"/>
      <c r="K398" s="737" t="n"/>
      <c r="L398" s="736" t="n"/>
      <c r="M398" s="114" t="n"/>
    </row>
    <row r="399" ht="24" customHeight="1" s="436" thickBot="1">
      <c r="A399" s="745" t="inlineStr">
        <is>
          <t xml:space="preserve">  PRÉ MISTURA - 25 KG</t>
        </is>
      </c>
      <c r="B399" s="737" t="n"/>
      <c r="C399" s="737" t="n"/>
      <c r="D399" s="737" t="n"/>
      <c r="E399" s="737" t="n"/>
      <c r="F399" s="737" t="n"/>
      <c r="G399" s="737" t="n"/>
      <c r="H399" s="737" t="n"/>
      <c r="I399" s="737" t="n"/>
      <c r="J399" s="737" t="n"/>
      <c r="K399" s="737" t="n"/>
      <c r="L399" s="736" t="n"/>
      <c r="M399" s="114" t="n"/>
    </row>
    <row r="400">
      <c r="A400" s="746" t="inlineStr">
        <is>
          <t>DATA</t>
        </is>
      </c>
      <c r="B400" s="3" t="inlineStr">
        <is>
          <t>N.F.</t>
        </is>
      </c>
      <c r="C400" s="3" t="inlineStr">
        <is>
          <t>TIPO</t>
        </is>
      </c>
      <c r="D400" s="3" t="inlineStr">
        <is>
          <t>PREÇO UNITÁRIO</t>
        </is>
      </c>
      <c r="E400" s="736" t="n"/>
      <c r="F400" s="3" t="inlineStr">
        <is>
          <t>QUANTIDADE / KG</t>
        </is>
      </c>
      <c r="G400" s="737" t="n"/>
      <c r="H400" s="736" t="n"/>
      <c r="I400" s="631" t="inlineStr">
        <is>
          <t>PREÇO</t>
        </is>
      </c>
      <c r="J400" s="631" t="inlineStr">
        <is>
          <t>VALORES</t>
        </is>
      </c>
      <c r="K400" s="737" t="n"/>
      <c r="L400" s="736" t="n"/>
      <c r="M400" s="114" t="n"/>
    </row>
    <row r="401" ht="15.75" customHeight="1" s="436" thickBot="1">
      <c r="A401" s="703" t="n"/>
      <c r="B401" s="704" t="n"/>
      <c r="C401" s="704" t="n"/>
      <c r="D401" s="703" t="n"/>
      <c r="E401" s="701" t="n"/>
      <c r="F401" s="705" t="n"/>
      <c r="G401" s="706" t="n"/>
      <c r="H401" s="707" t="n"/>
      <c r="I401" s="704" t="n"/>
      <c r="J401" s="703" t="n"/>
      <c r="L401" s="701" t="n"/>
      <c r="M401" s="114" t="n"/>
    </row>
    <row r="402" ht="15.75" customHeight="1" s="436" thickBot="1">
      <c r="A402" s="703" t="n"/>
      <c r="B402" s="704" t="n"/>
      <c r="C402" s="704" t="n"/>
      <c r="D402" s="705" t="n"/>
      <c r="E402" s="707" t="n"/>
      <c r="F402" s="3" t="inlineStr">
        <is>
          <t>ENTRADA</t>
        </is>
      </c>
      <c r="G402" s="3" t="inlineStr">
        <is>
          <t>SAÍDA</t>
        </is>
      </c>
      <c r="H402" s="640" t="n"/>
      <c r="I402" s="633" t="inlineStr">
        <is>
          <t>MÉDIO</t>
        </is>
      </c>
      <c r="J402" s="652" t="inlineStr">
        <is>
          <t>SALDO EM 30/12/2017</t>
        </is>
      </c>
      <c r="K402" s="706" t="n"/>
      <c r="L402" s="17" t="n"/>
      <c r="M402" s="114" t="n"/>
    </row>
    <row r="403" ht="15.75" customHeight="1" s="436" thickBot="1">
      <c r="A403" s="705" t="n"/>
      <c r="B403" s="695" t="n"/>
      <c r="C403" s="695" t="n"/>
      <c r="D403" s="3" t="inlineStr">
        <is>
          <t>C/ICMS</t>
        </is>
      </c>
      <c r="E403" s="3" t="inlineStr">
        <is>
          <t>S/ICMS</t>
        </is>
      </c>
      <c r="F403" s="695" t="n"/>
      <c r="G403" s="695" t="n"/>
      <c r="H403" s="18" t="inlineStr">
        <is>
          <t>SALDO EM 31/10/2018</t>
        </is>
      </c>
      <c r="I403" s="695" t="n"/>
      <c r="J403" s="645" t="inlineStr">
        <is>
          <t>ENTRADA</t>
        </is>
      </c>
      <c r="K403" s="633" t="inlineStr">
        <is>
          <t>SAÍDA / CMV</t>
        </is>
      </c>
      <c r="L403" s="633" t="inlineStr">
        <is>
          <t>SALDO</t>
        </is>
      </c>
      <c r="M403" s="114" t="n"/>
    </row>
    <row r="404">
      <c r="A404" s="48" t="n"/>
      <c r="B404" s="49" t="n"/>
      <c r="C404" s="49" t="n"/>
      <c r="D404" s="71" t="n"/>
      <c r="E404" s="71" t="n"/>
      <c r="F404" s="55" t="n"/>
      <c r="G404" s="55" t="n">
        <v>0</v>
      </c>
      <c r="H404" s="55" t="n"/>
      <c r="I404" s="71" t="n"/>
      <c r="J404" s="747">
        <f>F404*I404</f>
        <v/>
      </c>
      <c r="K404" s="747" t="n">
        <v>0</v>
      </c>
      <c r="L404" s="748">
        <f>J404-K404</f>
        <v/>
      </c>
      <c r="M404" s="114" t="n"/>
    </row>
    <row r="405">
      <c r="A405" s="92" t="n">
        <v>43374</v>
      </c>
      <c r="B405" s="93" t="n"/>
      <c r="C405" s="96" t="n"/>
      <c r="D405" s="97" t="n"/>
      <c r="E405" s="97" t="n"/>
      <c r="F405" s="98" t="n"/>
      <c r="G405" s="98" t="n"/>
      <c r="H405" s="95" t="n">
        <v>646</v>
      </c>
      <c r="I405" s="51" t="n"/>
      <c r="J405" s="749" t="n"/>
      <c r="K405" s="749">
        <f>G405*D405</f>
        <v/>
      </c>
      <c r="L405" s="748" t="n"/>
      <c r="M405" s="114" t="n"/>
    </row>
    <row r="406">
      <c r="A406" s="48" t="n">
        <v>43409</v>
      </c>
      <c r="B406" s="49" t="inlineStr">
        <is>
          <t>6114</t>
        </is>
      </c>
      <c r="C406" s="50" t="n"/>
      <c r="D406" s="51" t="n">
        <v>54</v>
      </c>
      <c r="E406" s="51" t="n"/>
      <c r="F406" s="52" t="n"/>
      <c r="G406" s="52" t="n">
        <v>20</v>
      </c>
      <c r="H406" s="55">
        <f>H405-G406</f>
        <v/>
      </c>
      <c r="I406" s="51" t="n"/>
      <c r="J406" s="749" t="n"/>
      <c r="K406" s="749" t="n"/>
      <c r="L406" s="748" t="n"/>
      <c r="M406" s="114" t="n"/>
    </row>
    <row r="407">
      <c r="A407" s="92" t="n">
        <v>43410</v>
      </c>
      <c r="B407" s="93" t="inlineStr">
        <is>
          <t>103427</t>
        </is>
      </c>
      <c r="C407" s="96" t="n"/>
      <c r="D407" s="97" t="n">
        <v>42.6</v>
      </c>
      <c r="E407" s="97" t="n"/>
      <c r="F407" s="98" t="n">
        <v>670</v>
      </c>
      <c r="G407" s="98" t="n"/>
      <c r="H407" s="95" t="n">
        <v>1296</v>
      </c>
      <c r="I407" s="51" t="n"/>
      <c r="J407" s="749" t="n"/>
      <c r="K407" s="749" t="n"/>
      <c r="L407" s="748" t="n"/>
      <c r="M407" s="114" t="n"/>
    </row>
    <row r="408">
      <c r="A408" s="48" t="n">
        <v>43410</v>
      </c>
      <c r="B408" s="49" t="inlineStr">
        <is>
          <t>6118</t>
        </is>
      </c>
      <c r="C408" s="50" t="n"/>
      <c r="D408" s="51" t="n">
        <v>53</v>
      </c>
      <c r="E408" s="51" t="n"/>
      <c r="F408" s="52" t="n"/>
      <c r="G408" s="52" t="n">
        <v>10</v>
      </c>
      <c r="H408" s="55">
        <f>H406-G408</f>
        <v/>
      </c>
      <c r="I408" s="51" t="n"/>
      <c r="J408" s="749" t="n"/>
      <c r="K408" s="749" t="n"/>
      <c r="L408" s="748" t="n"/>
      <c r="M408" s="114" t="n"/>
    </row>
    <row r="409">
      <c r="A409" s="48" t="n">
        <v>43410</v>
      </c>
      <c r="B409" s="49" t="inlineStr">
        <is>
          <t>6121</t>
        </is>
      </c>
      <c r="C409" s="50" t="n"/>
      <c r="D409" s="51" t="n">
        <v>58</v>
      </c>
      <c r="E409" s="51" t="n"/>
      <c r="F409" s="52" t="n"/>
      <c r="G409" s="52" t="n">
        <v>30</v>
      </c>
      <c r="H409" s="55">
        <f>H408-G409</f>
        <v/>
      </c>
      <c r="I409" s="51" t="n"/>
      <c r="J409" s="749" t="n"/>
      <c r="K409" s="749">
        <f>G409*D409</f>
        <v/>
      </c>
      <c r="L409" s="748" t="n"/>
      <c r="M409" s="114" t="n"/>
    </row>
    <row r="410">
      <c r="A410" s="48" t="n">
        <v>43416</v>
      </c>
      <c r="B410" s="49" t="inlineStr">
        <is>
          <t>6126</t>
        </is>
      </c>
      <c r="C410" s="49" t="n"/>
      <c r="D410" s="71" t="n">
        <v>53</v>
      </c>
      <c r="E410" s="71" t="n"/>
      <c r="F410" s="55" t="n"/>
      <c r="G410" s="55" t="n">
        <v>100</v>
      </c>
      <c r="H410" s="55">
        <f>H409-G410</f>
        <v/>
      </c>
      <c r="I410" s="71" t="n"/>
      <c r="J410" s="749" t="n"/>
      <c r="K410" s="749">
        <f>G410*D410</f>
        <v/>
      </c>
      <c r="L410" s="748" t="n"/>
      <c r="M410" s="114" t="n"/>
    </row>
    <row r="411">
      <c r="A411" s="48" t="n">
        <v>43416</v>
      </c>
      <c r="B411" s="49" t="inlineStr">
        <is>
          <t>6127</t>
        </is>
      </c>
      <c r="C411" s="49" t="n"/>
      <c r="D411" s="71" t="n">
        <v>54</v>
      </c>
      <c r="E411" s="71" t="n"/>
      <c r="F411" s="55" t="n"/>
      <c r="G411" s="55" t="n">
        <v>25</v>
      </c>
      <c r="H411" s="55">
        <f>H410-G411</f>
        <v/>
      </c>
      <c r="I411" s="71" t="n"/>
      <c r="J411" s="749" t="n"/>
      <c r="K411" s="749">
        <f>G411*D411</f>
        <v/>
      </c>
      <c r="L411" s="748" t="n"/>
      <c r="M411" s="114" t="n"/>
    </row>
    <row r="412" ht="17.25" customHeight="1" s="436">
      <c r="A412" s="48" t="n">
        <v>43416</v>
      </c>
      <c r="B412" s="49" t="inlineStr">
        <is>
          <t>6129</t>
        </is>
      </c>
      <c r="C412" s="49" t="n"/>
      <c r="D412" s="71" t="n">
        <v>53</v>
      </c>
      <c r="E412" s="71" t="n"/>
      <c r="F412" s="55" t="n"/>
      <c r="G412" s="87" t="n">
        <v>20</v>
      </c>
      <c r="H412" s="55">
        <f>H411-G412</f>
        <v/>
      </c>
      <c r="I412" s="71" t="n"/>
      <c r="J412" s="749" t="n"/>
      <c r="K412" s="749">
        <f>G412*D412</f>
        <v/>
      </c>
      <c r="L412" s="748" t="n"/>
      <c r="M412" s="114" t="n"/>
    </row>
    <row r="413" ht="17.25" customHeight="1" s="436">
      <c r="A413" s="48" t="n">
        <v>43416</v>
      </c>
      <c r="B413" s="49" t="inlineStr">
        <is>
          <t>6130</t>
        </is>
      </c>
      <c r="C413" s="93" t="n"/>
      <c r="D413" s="71" t="n">
        <v>54</v>
      </c>
      <c r="E413" s="94" t="n"/>
      <c r="F413" s="95" t="n"/>
      <c r="G413" s="87" t="n">
        <v>15</v>
      </c>
      <c r="H413" s="55">
        <f>H412-G413</f>
        <v/>
      </c>
      <c r="I413" s="71" t="n"/>
      <c r="J413" s="749" t="n"/>
      <c r="K413" s="749">
        <f>G413*D413</f>
        <v/>
      </c>
      <c r="L413" s="748" t="n"/>
      <c r="M413" s="114" t="n"/>
    </row>
    <row r="414">
      <c r="A414" s="48" t="n">
        <v>43417</v>
      </c>
      <c r="B414" s="49" t="inlineStr">
        <is>
          <t>6134</t>
        </is>
      </c>
      <c r="C414" s="49" t="n"/>
      <c r="D414" s="71" t="n">
        <v>50</v>
      </c>
      <c r="E414" s="71" t="n"/>
      <c r="F414" s="55" t="n"/>
      <c r="G414" s="55" t="n">
        <v>20</v>
      </c>
      <c r="H414" s="55">
        <f>H413-G414</f>
        <v/>
      </c>
      <c r="I414" s="71" t="n"/>
      <c r="J414" s="749" t="n"/>
      <c r="K414" s="749">
        <f>G414*D414</f>
        <v/>
      </c>
      <c r="L414" s="748" t="n"/>
      <c r="M414" s="114" t="n"/>
    </row>
    <row r="415">
      <c r="A415" s="48" t="n">
        <v>43423</v>
      </c>
      <c r="B415" s="49" t="inlineStr">
        <is>
          <t>6142</t>
        </is>
      </c>
      <c r="C415" s="49" t="n"/>
      <c r="D415" s="71" t="n">
        <v>56</v>
      </c>
      <c r="E415" s="71" t="n"/>
      <c r="F415" s="55" t="n"/>
      <c r="G415" s="55" t="n">
        <v>20</v>
      </c>
      <c r="H415" s="55">
        <f>H414-G415</f>
        <v/>
      </c>
      <c r="I415" s="71" t="n"/>
      <c r="J415" s="749" t="n"/>
      <c r="K415" s="749">
        <f>G415*D415</f>
        <v/>
      </c>
      <c r="L415" s="748" t="n"/>
      <c r="M415" s="114" t="n"/>
    </row>
    <row r="416">
      <c r="A416" s="48" t="n">
        <v>43423</v>
      </c>
      <c r="B416" s="49" t="inlineStr">
        <is>
          <t>6143</t>
        </is>
      </c>
      <c r="C416" s="49" t="n"/>
      <c r="D416" s="71" t="n">
        <v>50</v>
      </c>
      <c r="E416" s="71" t="n"/>
      <c r="F416" s="55" t="n"/>
      <c r="G416" s="55" t="n">
        <v>15</v>
      </c>
      <c r="H416" s="55">
        <f>H415-G416</f>
        <v/>
      </c>
      <c r="I416" s="71" t="n"/>
      <c r="J416" s="749" t="n"/>
      <c r="K416" s="749">
        <f>G416*D416</f>
        <v/>
      </c>
      <c r="L416" s="748" t="n"/>
      <c r="M416" s="114" t="n"/>
    </row>
    <row r="417">
      <c r="A417" s="48" t="n">
        <v>43423</v>
      </c>
      <c r="B417" s="49" t="inlineStr">
        <is>
          <t>6144</t>
        </is>
      </c>
      <c r="C417" s="49" t="n"/>
      <c r="D417" s="71" t="n">
        <v>50</v>
      </c>
      <c r="E417" s="71" t="n"/>
      <c r="F417" s="55" t="n"/>
      <c r="G417" s="55" t="n">
        <v>30</v>
      </c>
      <c r="H417" s="55">
        <f>H416-G417</f>
        <v/>
      </c>
      <c r="I417" s="71" t="n"/>
      <c r="J417" s="749" t="n"/>
      <c r="K417" s="749">
        <f>G417*D417</f>
        <v/>
      </c>
      <c r="L417" s="748" t="n"/>
      <c r="M417" s="114" t="n"/>
    </row>
    <row r="418">
      <c r="A418" s="48" t="n">
        <v>43423</v>
      </c>
      <c r="B418" s="49" t="inlineStr">
        <is>
          <t>6145</t>
        </is>
      </c>
      <c r="C418" s="49" t="n"/>
      <c r="D418" s="71" t="n">
        <v>50</v>
      </c>
      <c r="E418" s="71" t="n"/>
      <c r="F418" s="55" t="n"/>
      <c r="G418" s="55" t="n">
        <v>20</v>
      </c>
      <c r="H418" s="55">
        <f>H417-G418</f>
        <v/>
      </c>
      <c r="I418" s="71" t="n"/>
      <c r="J418" s="749" t="n"/>
      <c r="K418" s="749">
        <f>G418*D418</f>
        <v/>
      </c>
      <c r="L418" s="748" t="n"/>
      <c r="M418" s="114" t="n"/>
    </row>
    <row r="419">
      <c r="A419" s="48" t="n">
        <v>43425</v>
      </c>
      <c r="B419" s="49" t="inlineStr">
        <is>
          <t>6149</t>
        </is>
      </c>
      <c r="C419" s="49" t="n"/>
      <c r="D419" s="71" t="n">
        <v>53</v>
      </c>
      <c r="E419" s="71" t="n"/>
      <c r="F419" s="55" t="n"/>
      <c r="G419" s="55" t="n">
        <v>30</v>
      </c>
      <c r="H419" s="55">
        <f>H418-G419</f>
        <v/>
      </c>
      <c r="I419" s="71" t="n"/>
      <c r="J419" s="749" t="n"/>
      <c r="K419" s="749">
        <f>G419*D419</f>
        <v/>
      </c>
      <c r="L419" s="748" t="n"/>
      <c r="M419" s="114" t="n"/>
    </row>
    <row r="420">
      <c r="A420" s="48" t="n">
        <v>43425</v>
      </c>
      <c r="B420" s="49" t="inlineStr">
        <is>
          <t>6150</t>
        </is>
      </c>
      <c r="C420" s="49" t="n"/>
      <c r="D420" s="71" t="n">
        <v>53</v>
      </c>
      <c r="E420" s="71" t="n"/>
      <c r="F420" s="55" t="n"/>
      <c r="G420" s="55" t="n">
        <v>20</v>
      </c>
      <c r="H420" s="55">
        <f>H419-G420</f>
        <v/>
      </c>
      <c r="I420" s="71" t="n"/>
      <c r="J420" s="749" t="n"/>
      <c r="K420" s="749">
        <f>G420*D420</f>
        <v/>
      </c>
      <c r="L420" s="748" t="n"/>
      <c r="M420" s="114" t="n"/>
    </row>
    <row r="421">
      <c r="A421" s="48" t="n">
        <v>43430</v>
      </c>
      <c r="B421" s="49" t="inlineStr">
        <is>
          <t>6157</t>
        </is>
      </c>
      <c r="C421" s="49" t="n"/>
      <c r="D421" s="71" t="n">
        <v>52</v>
      </c>
      <c r="E421" s="71" t="n"/>
      <c r="F421" s="55" t="n"/>
      <c r="G421" s="55" t="n">
        <v>15</v>
      </c>
      <c r="H421" s="55">
        <f>H420-G421</f>
        <v/>
      </c>
      <c r="I421" s="71" t="n"/>
      <c r="J421" s="749" t="n"/>
      <c r="K421" s="749">
        <f>G421*D421</f>
        <v/>
      </c>
      <c r="L421" s="748" t="n"/>
      <c r="M421" s="114" t="n"/>
    </row>
    <row r="422">
      <c r="A422" s="48" t="n">
        <v>43430</v>
      </c>
      <c r="B422" s="49" t="inlineStr">
        <is>
          <t>6162</t>
        </is>
      </c>
      <c r="C422" s="49" t="n"/>
      <c r="D422" s="71" t="n">
        <v>57</v>
      </c>
      <c r="E422" s="71" t="n"/>
      <c r="F422" s="55" t="n"/>
      <c r="G422" s="55" t="n">
        <v>10</v>
      </c>
      <c r="H422" s="55">
        <f>H421-G422</f>
        <v/>
      </c>
      <c r="I422" s="71" t="n"/>
      <c r="J422" s="749" t="n"/>
      <c r="K422" s="749">
        <f>G422*D422</f>
        <v/>
      </c>
      <c r="L422" s="748" t="n"/>
      <c r="M422" s="114" t="n"/>
    </row>
    <row r="423">
      <c r="A423" s="48" t="n">
        <v>43432</v>
      </c>
      <c r="B423" s="49" t="inlineStr">
        <is>
          <t>6166</t>
        </is>
      </c>
      <c r="C423" s="49" t="n"/>
      <c r="D423" s="71" t="n">
        <v>52</v>
      </c>
      <c r="E423" s="71" t="n"/>
      <c r="F423" s="55" t="n"/>
      <c r="G423" s="55" t="n">
        <v>30</v>
      </c>
      <c r="H423" s="55">
        <f>H422-G423</f>
        <v/>
      </c>
      <c r="I423" s="71" t="n"/>
      <c r="J423" s="749" t="n"/>
      <c r="K423" s="749">
        <f>G423*D423</f>
        <v/>
      </c>
      <c r="L423" s="748" t="n"/>
      <c r="M423" s="114" t="n"/>
    </row>
    <row r="424">
      <c r="A424" s="92" t="n">
        <v>43432</v>
      </c>
      <c r="B424" s="93" t="inlineStr">
        <is>
          <t>105218</t>
        </is>
      </c>
      <c r="C424" s="93" t="n"/>
      <c r="D424" s="94" t="n">
        <v>41.56</v>
      </c>
      <c r="E424" s="94" t="n"/>
      <c r="F424" s="95" t="n">
        <v>400</v>
      </c>
      <c r="G424" s="95" t="n"/>
      <c r="H424" s="95" t="n">
        <v>616</v>
      </c>
      <c r="I424" s="71" t="n"/>
      <c r="J424" s="749" t="n"/>
      <c r="K424" s="749">
        <f>G424*D424</f>
        <v/>
      </c>
      <c r="L424" s="748" t="n"/>
      <c r="M424" s="114" t="n"/>
    </row>
    <row r="425">
      <c r="A425" s="48" t="n"/>
      <c r="B425" s="49" t="n"/>
      <c r="C425" s="49" t="n"/>
      <c r="D425" s="71" t="n">
        <v>68.66</v>
      </c>
      <c r="E425" s="71" t="n"/>
      <c r="F425" s="55" t="n"/>
      <c r="G425" s="55" t="n"/>
      <c r="H425" s="55">
        <f>H424-G425</f>
        <v/>
      </c>
      <c r="I425" s="71" t="n"/>
      <c r="J425" s="749" t="n"/>
      <c r="K425" s="749">
        <f>G425*D425</f>
        <v/>
      </c>
      <c r="L425" s="748" t="n"/>
      <c r="M425" s="114" t="n"/>
    </row>
    <row r="426">
      <c r="A426" s="48" t="n"/>
      <c r="B426" s="49" t="n"/>
      <c r="C426" s="49" t="n"/>
      <c r="D426" s="71" t="n">
        <v>69.66</v>
      </c>
      <c r="E426" s="71" t="n"/>
      <c r="F426" s="55" t="n"/>
      <c r="G426" s="55" t="n"/>
      <c r="H426" s="55">
        <f>H425-G426</f>
        <v/>
      </c>
      <c r="I426" s="71" t="n"/>
      <c r="J426" s="749" t="n"/>
      <c r="K426" s="749">
        <f>G426*D426</f>
        <v/>
      </c>
      <c r="L426" s="748" t="n"/>
      <c r="M426" s="114" t="n"/>
    </row>
    <row r="427">
      <c r="A427" s="48" t="n"/>
      <c r="B427" s="49" t="n"/>
      <c r="C427" s="49" t="n"/>
      <c r="D427" s="71" t="n">
        <v>70.66</v>
      </c>
      <c r="E427" s="71" t="n"/>
      <c r="F427" s="55" t="n"/>
      <c r="G427" s="55" t="n"/>
      <c r="H427" s="55">
        <f>H426-G427</f>
        <v/>
      </c>
      <c r="I427" s="71" t="n"/>
      <c r="J427" s="749" t="n"/>
      <c r="K427" s="749">
        <f>G427*D427</f>
        <v/>
      </c>
      <c r="L427" s="748" t="n"/>
      <c r="M427" s="114" t="n"/>
    </row>
    <row r="428">
      <c r="A428" s="48" t="n"/>
      <c r="B428" s="49" t="n"/>
      <c r="C428" s="49" t="n"/>
      <c r="D428" s="71" t="n">
        <v>71.66</v>
      </c>
      <c r="E428" s="71" t="n"/>
      <c r="F428" s="55" t="n"/>
      <c r="G428" s="55" t="n"/>
      <c r="H428" s="55">
        <f>H427-G428</f>
        <v/>
      </c>
      <c r="I428" s="71" t="n"/>
      <c r="J428" s="749" t="n"/>
      <c r="K428" s="749">
        <f>G428*D428</f>
        <v/>
      </c>
      <c r="L428" s="748" t="n"/>
      <c r="M428" s="114" t="n"/>
    </row>
    <row r="429">
      <c r="A429" s="48" t="n"/>
      <c r="B429" s="49" t="n"/>
      <c r="C429" s="49" t="n"/>
      <c r="D429" s="71" t="n">
        <v>72.66</v>
      </c>
      <c r="E429" s="71" t="n"/>
      <c r="F429" s="55" t="n"/>
      <c r="G429" s="55" t="n"/>
      <c r="H429" s="55">
        <f>H428-G429</f>
        <v/>
      </c>
      <c r="I429" s="71" t="n"/>
      <c r="J429" s="749" t="n"/>
      <c r="K429" s="749">
        <f>G429*D429</f>
        <v/>
      </c>
      <c r="L429" s="748" t="n"/>
      <c r="M429" s="114" t="n"/>
    </row>
    <row r="430">
      <c r="A430" s="48" t="n"/>
      <c r="B430" s="49" t="n"/>
      <c r="C430" s="49" t="n"/>
      <c r="D430" s="71" t="n">
        <v>73.66</v>
      </c>
      <c r="E430" s="71" t="n"/>
      <c r="F430" s="55" t="n"/>
      <c r="G430" s="55" t="n"/>
      <c r="H430" s="55">
        <f>H429-G430</f>
        <v/>
      </c>
      <c r="I430" s="71" t="n"/>
      <c r="J430" s="749" t="n"/>
      <c r="K430" s="749">
        <f>G430*D430</f>
        <v/>
      </c>
      <c r="L430" s="748" t="n"/>
      <c r="M430" s="114" t="n"/>
    </row>
    <row r="431">
      <c r="A431" s="48" t="n"/>
      <c r="B431" s="49" t="n"/>
      <c r="C431" s="49" t="n"/>
      <c r="D431" s="71" t="n">
        <v>74.66</v>
      </c>
      <c r="E431" s="71" t="n"/>
      <c r="F431" s="55" t="n"/>
      <c r="G431" s="55" t="n"/>
      <c r="H431" s="55">
        <f>H430-G431</f>
        <v/>
      </c>
      <c r="I431" s="71" t="n"/>
      <c r="J431" s="749" t="n"/>
      <c r="K431" s="749">
        <f>G431*D431</f>
        <v/>
      </c>
      <c r="L431" s="748" t="n"/>
      <c r="M431" s="114" t="n"/>
    </row>
    <row r="432">
      <c r="A432" s="48" t="n"/>
      <c r="B432" s="49" t="n"/>
      <c r="C432" s="49" t="n"/>
      <c r="D432" s="71" t="n">
        <v>75.66</v>
      </c>
      <c r="E432" s="71" t="n"/>
      <c r="F432" s="55" t="n"/>
      <c r="G432" s="55" t="n"/>
      <c r="H432" s="55">
        <f>H431-G432</f>
        <v/>
      </c>
      <c r="I432" s="71" t="n"/>
      <c r="J432" s="749" t="n"/>
      <c r="K432" s="749">
        <f>G432*D432</f>
        <v/>
      </c>
      <c r="L432" s="748" t="n"/>
      <c r="M432" s="114" t="n"/>
    </row>
    <row r="433">
      <c r="A433" s="48" t="n"/>
      <c r="B433" s="49" t="n"/>
      <c r="C433" s="49" t="n"/>
      <c r="D433" s="71" t="n">
        <v>76.66</v>
      </c>
      <c r="E433" s="71" t="n"/>
      <c r="F433" s="55" t="n"/>
      <c r="G433" s="55" t="n"/>
      <c r="H433" s="55">
        <f>H432-G433</f>
        <v/>
      </c>
      <c r="I433" s="71" t="n"/>
      <c r="J433" s="749" t="n"/>
      <c r="K433" s="749">
        <f>G433*D433</f>
        <v/>
      </c>
      <c r="L433" s="748" t="n"/>
      <c r="M433" s="114" t="n"/>
    </row>
    <row r="434">
      <c r="A434" s="48" t="n"/>
      <c r="B434" s="49" t="n"/>
      <c r="C434" s="49" t="n"/>
      <c r="D434" s="71" t="n">
        <v>77.66</v>
      </c>
      <c r="E434" s="71" t="n"/>
      <c r="F434" s="55" t="n"/>
      <c r="G434" s="55" t="n"/>
      <c r="H434" s="55">
        <f>H433-G434</f>
        <v/>
      </c>
      <c r="I434" s="71" t="n"/>
      <c r="J434" s="749" t="n"/>
      <c r="K434" s="749">
        <f>G434*D434</f>
        <v/>
      </c>
      <c r="L434" s="748" t="n"/>
      <c r="M434" s="114" t="n"/>
    </row>
    <row r="435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  <c r="J435" s="76" t="n"/>
      <c r="K435" s="76" t="n"/>
      <c r="L435" s="76" t="n"/>
      <c r="M435" s="114" t="n"/>
    </row>
    <row r="436">
      <c r="A436" s="76" t="n"/>
      <c r="B436" s="76" t="n"/>
      <c r="C436" s="76" t="n"/>
      <c r="D436" s="76" t="n"/>
      <c r="E436" s="76" t="n"/>
      <c r="F436" s="76" t="n"/>
      <c r="G436" s="76" t="n"/>
      <c r="H436" s="76" t="n"/>
      <c r="I436" s="76" t="n"/>
      <c r="J436" s="76" t="n"/>
      <c r="K436" s="76" t="n"/>
      <c r="L436" s="76" t="n"/>
      <c r="M436" s="114" t="n"/>
    </row>
    <row r="437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  <c r="J437" s="76" t="n"/>
      <c r="K437" s="76" t="n"/>
      <c r="L437" s="76" t="n"/>
      <c r="M437" s="114" t="n"/>
    </row>
    <row r="438">
      <c r="A438" s="76" t="n"/>
      <c r="B438" s="76" t="n"/>
      <c r="C438" s="76" t="n"/>
      <c r="D438" s="76" t="n"/>
      <c r="E438" s="76" t="n"/>
      <c r="F438" s="76" t="n"/>
      <c r="G438" s="76" t="n"/>
      <c r="H438" s="76" t="n"/>
      <c r="I438" s="76" t="n"/>
      <c r="J438" s="76" t="n"/>
      <c r="K438" s="76" t="n"/>
      <c r="L438" s="76" t="n"/>
      <c r="M438" s="114" t="n"/>
    </row>
    <row r="439" ht="15.75" customHeight="1" s="436" thickBot="1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  <c r="J439" s="76" t="n"/>
      <c r="K439" s="76" t="n"/>
      <c r="L439" s="76" t="n"/>
      <c r="M439" s="114" t="n"/>
    </row>
    <row r="440" ht="21.75" customHeight="1" s="436" thickBot="1">
      <c r="A440" s="744" t="inlineStr">
        <is>
          <t xml:space="preserve">021 - DENISE FURTADO DE SOUZA - ME </t>
        </is>
      </c>
      <c r="B440" s="737" t="n"/>
      <c r="C440" s="737" t="n"/>
      <c r="D440" s="737" t="n"/>
      <c r="E440" s="737" t="n"/>
      <c r="F440" s="737" t="n"/>
      <c r="G440" s="737" t="n"/>
      <c r="H440" s="737" t="n"/>
      <c r="I440" s="737" t="n"/>
      <c r="J440" s="737" t="n"/>
      <c r="K440" s="737" t="n"/>
      <c r="L440" s="736" t="n"/>
      <c r="M440" s="114" t="n"/>
    </row>
    <row r="441" ht="24" customHeight="1" s="436" thickBot="1">
      <c r="A441" s="745" t="inlineStr">
        <is>
          <t xml:space="preserve">  PRÉ MISTURA - 25 KG</t>
        </is>
      </c>
      <c r="B441" s="737" t="n"/>
      <c r="C441" s="737" t="n"/>
      <c r="D441" s="737" t="n"/>
      <c r="E441" s="737" t="n"/>
      <c r="F441" s="737" t="n"/>
      <c r="G441" s="737" t="n"/>
      <c r="H441" s="737" t="n"/>
      <c r="I441" s="737" t="n"/>
      <c r="J441" s="737" t="n"/>
      <c r="K441" s="737" t="n"/>
      <c r="L441" s="736" t="n"/>
      <c r="M441" s="114" t="n"/>
    </row>
    <row r="442">
      <c r="A442" s="746" t="inlineStr">
        <is>
          <t>DATA</t>
        </is>
      </c>
      <c r="B442" s="3" t="inlineStr">
        <is>
          <t>N.F.</t>
        </is>
      </c>
      <c r="C442" s="3" t="inlineStr">
        <is>
          <t>TIPO</t>
        </is>
      </c>
      <c r="D442" s="3" t="inlineStr">
        <is>
          <t>PREÇO UNITÁRIO</t>
        </is>
      </c>
      <c r="E442" s="736" t="n"/>
      <c r="F442" s="3" t="inlineStr">
        <is>
          <t>QUANTIDADE / KG</t>
        </is>
      </c>
      <c r="G442" s="737" t="n"/>
      <c r="H442" s="736" t="n"/>
      <c r="I442" s="631" t="inlineStr">
        <is>
          <t>PREÇO</t>
        </is>
      </c>
      <c r="J442" s="631" t="inlineStr">
        <is>
          <t>VALORES</t>
        </is>
      </c>
      <c r="K442" s="737" t="n"/>
      <c r="L442" s="736" t="n"/>
      <c r="M442" s="114" t="n"/>
    </row>
    <row r="443" ht="15.75" customHeight="1" s="436" thickBot="1">
      <c r="A443" s="703" t="n"/>
      <c r="B443" s="704" t="n"/>
      <c r="C443" s="704" t="n"/>
      <c r="D443" s="703" t="n"/>
      <c r="E443" s="701" t="n"/>
      <c r="F443" s="705" t="n"/>
      <c r="G443" s="706" t="n"/>
      <c r="H443" s="707" t="n"/>
      <c r="I443" s="704" t="n"/>
      <c r="J443" s="703" t="n"/>
      <c r="L443" s="701" t="n"/>
      <c r="M443" s="114" t="n"/>
    </row>
    <row r="444" ht="15.75" customHeight="1" s="436" thickBot="1">
      <c r="A444" s="703" t="n"/>
      <c r="B444" s="704" t="n"/>
      <c r="C444" s="704" t="n"/>
      <c r="D444" s="705" t="n"/>
      <c r="E444" s="707" t="n"/>
      <c r="F444" s="3" t="inlineStr">
        <is>
          <t>ENTRADA</t>
        </is>
      </c>
      <c r="G444" s="3" t="inlineStr">
        <is>
          <t>SAÍDA</t>
        </is>
      </c>
      <c r="H444" s="640" t="n"/>
      <c r="I444" s="633" t="inlineStr">
        <is>
          <t>MÉDIO</t>
        </is>
      </c>
      <c r="J444" s="652" t="inlineStr">
        <is>
          <t>SALDO EM 30/12/2017</t>
        </is>
      </c>
      <c r="K444" s="706" t="n"/>
      <c r="L444" s="17" t="n"/>
      <c r="M444" s="114" t="n"/>
    </row>
    <row r="445" ht="15.75" customHeight="1" s="436" thickBot="1">
      <c r="A445" s="705" t="n"/>
      <c r="B445" s="695" t="n"/>
      <c r="C445" s="695" t="n"/>
      <c r="D445" s="3" t="inlineStr">
        <is>
          <t>C/ICMS</t>
        </is>
      </c>
      <c r="E445" s="3" t="inlineStr">
        <is>
          <t>S/ICMS</t>
        </is>
      </c>
      <c r="F445" s="695" t="n"/>
      <c r="G445" s="695" t="n"/>
      <c r="H445" s="18" t="inlineStr">
        <is>
          <t>SALDO EM 30/11/2018</t>
        </is>
      </c>
      <c r="I445" s="695" t="n"/>
      <c r="J445" s="645" t="inlineStr">
        <is>
          <t>ENTRADA</t>
        </is>
      </c>
      <c r="K445" s="633" t="inlineStr">
        <is>
          <t>SAÍDA / CMV</t>
        </is>
      </c>
      <c r="L445" s="633" t="inlineStr">
        <is>
          <t>SALDO</t>
        </is>
      </c>
      <c r="M445" s="114" t="n"/>
    </row>
    <row r="446">
      <c r="A446" s="48" t="n"/>
      <c r="B446" s="49" t="n"/>
      <c r="C446" s="49" t="n"/>
      <c r="D446" s="71" t="n"/>
      <c r="E446" s="71" t="n"/>
      <c r="F446" s="55" t="n"/>
      <c r="G446" s="55" t="n">
        <v>0</v>
      </c>
      <c r="H446" s="55" t="n"/>
      <c r="I446" s="71" t="n"/>
      <c r="J446" s="747">
        <f>F446*I446</f>
        <v/>
      </c>
      <c r="K446" s="747" t="n">
        <v>0</v>
      </c>
      <c r="L446" s="748">
        <f>J446-K446</f>
        <v/>
      </c>
      <c r="M446" s="114" t="n"/>
    </row>
    <row r="447">
      <c r="A447" s="92" t="n">
        <v>43435</v>
      </c>
      <c r="B447" s="93" t="n"/>
      <c r="C447" s="96" t="n"/>
      <c r="D447" s="97" t="n"/>
      <c r="E447" s="97" t="n"/>
      <c r="F447" s="98" t="n"/>
      <c r="G447" s="98" t="n"/>
      <c r="H447" s="95" t="n">
        <v>616</v>
      </c>
      <c r="I447" s="51" t="n"/>
      <c r="J447" s="749" t="n"/>
      <c r="K447" s="749">
        <f>G447*D447</f>
        <v/>
      </c>
      <c r="L447" s="748" t="n"/>
      <c r="M447" s="114" t="n"/>
    </row>
    <row r="448">
      <c r="A448" s="48" t="n">
        <v>43435</v>
      </c>
      <c r="B448" s="49" t="inlineStr">
        <is>
          <t>6168</t>
        </is>
      </c>
      <c r="C448" s="50" t="n"/>
      <c r="D448" s="51" t="n">
        <v>57</v>
      </c>
      <c r="E448" s="51" t="n"/>
      <c r="F448" s="52" t="n"/>
      <c r="G448" s="52" t="n">
        <v>20</v>
      </c>
      <c r="H448" s="55">
        <f>H447-G448</f>
        <v/>
      </c>
      <c r="I448" s="51" t="n"/>
      <c r="J448" s="749" t="n"/>
      <c r="K448" s="749" t="n"/>
      <c r="L448" s="748" t="n"/>
      <c r="M448" s="114" t="n"/>
    </row>
    <row r="449">
      <c r="A449" s="48" t="n">
        <v>43435</v>
      </c>
      <c r="B449" s="49" t="inlineStr">
        <is>
          <t>6171</t>
        </is>
      </c>
      <c r="C449" s="50" t="n"/>
      <c r="D449" s="51" t="n">
        <v>52</v>
      </c>
      <c r="E449" s="51" t="n"/>
      <c r="F449" s="52" t="n"/>
      <c r="G449" s="52" t="n">
        <v>10</v>
      </c>
      <c r="H449" s="55">
        <f>H448-G449</f>
        <v/>
      </c>
      <c r="I449" s="51" t="n"/>
      <c r="J449" s="749" t="n"/>
      <c r="K449" s="749" t="n"/>
      <c r="L449" s="748" t="n"/>
      <c r="M449" s="114" t="n"/>
    </row>
    <row r="450">
      <c r="A450" s="48" t="n">
        <v>43410</v>
      </c>
      <c r="B450" s="49" t="inlineStr">
        <is>
          <t>6168</t>
        </is>
      </c>
      <c r="C450" s="50" t="n"/>
      <c r="D450" s="51" t="n">
        <v>57</v>
      </c>
      <c r="E450" s="51" t="n"/>
      <c r="F450" s="52" t="n"/>
      <c r="G450" s="52" t="n">
        <v>20</v>
      </c>
      <c r="H450" s="55">
        <f>H448-G450</f>
        <v/>
      </c>
      <c r="I450" s="51" t="n"/>
      <c r="J450" s="749" t="n"/>
      <c r="K450" s="749" t="n"/>
      <c r="L450" s="748" t="n"/>
      <c r="M450" s="114" t="n"/>
    </row>
    <row r="451">
      <c r="A451" s="48" t="n">
        <v>43438</v>
      </c>
      <c r="B451" s="49" t="inlineStr">
        <is>
          <t>6180</t>
        </is>
      </c>
      <c r="C451" s="50" t="n"/>
      <c r="D451" s="51" t="n">
        <v>53</v>
      </c>
      <c r="E451" s="51" t="n"/>
      <c r="F451" s="52" t="n"/>
      <c r="G451" s="52" t="n">
        <v>20</v>
      </c>
      <c r="H451" s="55">
        <f>H450-G451</f>
        <v/>
      </c>
      <c r="I451" s="51" t="n"/>
      <c r="J451" s="749" t="n"/>
      <c r="K451" s="749">
        <f>G451*D451</f>
        <v/>
      </c>
      <c r="L451" s="748" t="n"/>
      <c r="M451" s="114" t="n"/>
    </row>
    <row r="452">
      <c r="A452" s="48" t="n">
        <v>43438</v>
      </c>
      <c r="B452" s="49" t="inlineStr">
        <is>
          <t>6182</t>
        </is>
      </c>
      <c r="C452" s="49" t="n"/>
      <c r="D452" s="71" t="n">
        <v>53</v>
      </c>
      <c r="E452" s="71" t="n"/>
      <c r="F452" s="55" t="n"/>
      <c r="G452" s="55" t="n">
        <v>20</v>
      </c>
      <c r="H452" s="55">
        <f>H451-G452</f>
        <v/>
      </c>
      <c r="I452" s="71" t="n"/>
      <c r="J452" s="749" t="n"/>
      <c r="K452" s="749">
        <f>G452*D452</f>
        <v/>
      </c>
      <c r="L452" s="748" t="n"/>
      <c r="M452" s="114" t="n"/>
    </row>
    <row r="453">
      <c r="A453" s="48" t="n">
        <v>43444</v>
      </c>
      <c r="B453" s="49" t="inlineStr">
        <is>
          <t>6185</t>
        </is>
      </c>
      <c r="C453" s="49" t="n"/>
      <c r="D453" s="71" t="n">
        <v>52.5</v>
      </c>
      <c r="E453" s="71" t="n"/>
      <c r="F453" s="55" t="n"/>
      <c r="G453" s="55" t="n">
        <v>60</v>
      </c>
      <c r="H453" s="55">
        <f>H452-G453</f>
        <v/>
      </c>
      <c r="I453" s="71" t="n"/>
      <c r="J453" s="749" t="n"/>
      <c r="K453" s="749">
        <f>G453*D453</f>
        <v/>
      </c>
      <c r="L453" s="748" t="n"/>
      <c r="M453" s="114" t="n"/>
    </row>
    <row r="454" ht="17.25" customHeight="1" s="436">
      <c r="A454" s="48" t="n">
        <v>43444</v>
      </c>
      <c r="B454" s="49" t="inlineStr">
        <is>
          <t>6187</t>
        </is>
      </c>
      <c r="C454" s="49" t="n"/>
      <c r="D454" s="71" t="n">
        <v>52</v>
      </c>
      <c r="E454" s="71" t="n"/>
      <c r="F454" s="55" t="n"/>
      <c r="G454" s="87" t="n">
        <v>60</v>
      </c>
      <c r="H454" s="55">
        <f>H453-G454</f>
        <v/>
      </c>
      <c r="I454" s="71" t="n"/>
      <c r="J454" s="749" t="n"/>
      <c r="K454" s="749">
        <f>G454*D454</f>
        <v/>
      </c>
      <c r="L454" s="748" t="n"/>
      <c r="M454" s="114" t="n"/>
    </row>
    <row r="455" ht="17.25" customHeight="1" s="436">
      <c r="A455" s="48" t="n">
        <v>43444</v>
      </c>
      <c r="B455" s="49" t="inlineStr">
        <is>
          <t>6188</t>
        </is>
      </c>
      <c r="C455" s="93" t="n"/>
      <c r="D455" s="71" t="n">
        <v>52</v>
      </c>
      <c r="E455" s="94" t="n"/>
      <c r="F455" s="95" t="n"/>
      <c r="G455" s="87" t="n">
        <v>20</v>
      </c>
      <c r="H455" s="55">
        <f>H454-G455</f>
        <v/>
      </c>
      <c r="I455" s="71" t="n"/>
      <c r="J455" s="749" t="n"/>
      <c r="K455" s="749">
        <f>G455*D455</f>
        <v/>
      </c>
      <c r="L455" s="748" t="n"/>
      <c r="M455" s="114" t="n"/>
    </row>
    <row r="456">
      <c r="A456" s="48" t="n">
        <v>43446</v>
      </c>
      <c r="B456" s="49" t="inlineStr">
        <is>
          <t>6193</t>
        </is>
      </c>
      <c r="C456" s="49" t="n"/>
      <c r="D456" s="71" t="n">
        <v>53</v>
      </c>
      <c r="E456" s="71" t="n"/>
      <c r="F456" s="55" t="n"/>
      <c r="G456" s="55" t="n">
        <v>10</v>
      </c>
      <c r="H456" s="55">
        <f>H455-G456</f>
        <v/>
      </c>
      <c r="I456" s="71" t="n"/>
      <c r="J456" s="749" t="n"/>
      <c r="K456" s="749">
        <f>G456*D456</f>
        <v/>
      </c>
      <c r="L456" s="748" t="n"/>
      <c r="M456" s="114" t="n"/>
    </row>
    <row r="457">
      <c r="A457" s="48" t="n">
        <v>43446</v>
      </c>
      <c r="B457" s="49" t="inlineStr">
        <is>
          <t>6194</t>
        </is>
      </c>
      <c r="C457" s="49" t="n"/>
      <c r="D457" s="71" t="n">
        <v>57</v>
      </c>
      <c r="E457" s="71" t="n"/>
      <c r="F457" s="55" t="n"/>
      <c r="G457" s="55" t="n">
        <v>20</v>
      </c>
      <c r="H457" s="55">
        <f>H456-G457</f>
        <v/>
      </c>
      <c r="I457" s="71" t="n"/>
      <c r="J457" s="749" t="n"/>
      <c r="K457" s="749">
        <f>G457*D457</f>
        <v/>
      </c>
      <c r="L457" s="748" t="n"/>
      <c r="M457" s="114" t="n"/>
    </row>
    <row r="458">
      <c r="A458" s="48" t="n">
        <v>43446</v>
      </c>
      <c r="B458" s="49" t="inlineStr">
        <is>
          <t>6196</t>
        </is>
      </c>
      <c r="C458" s="49" t="n"/>
      <c r="D458" s="71" t="n">
        <v>52</v>
      </c>
      <c r="E458" s="71" t="n"/>
      <c r="F458" s="55" t="n"/>
      <c r="G458" s="55" t="n">
        <v>20</v>
      </c>
      <c r="H458" s="55">
        <f>H457-G458</f>
        <v/>
      </c>
      <c r="I458" s="71" t="n"/>
      <c r="J458" s="749" t="n"/>
      <c r="K458" s="749">
        <f>G458*D458</f>
        <v/>
      </c>
      <c r="L458" s="748" t="n"/>
      <c r="M458" s="114" t="n"/>
    </row>
    <row r="459">
      <c r="A459" s="48" t="n">
        <v>43446</v>
      </c>
      <c r="B459" s="49" t="inlineStr">
        <is>
          <t>6200</t>
        </is>
      </c>
      <c r="C459" s="49" t="n"/>
      <c r="D459" s="71" t="n">
        <v>47</v>
      </c>
      <c r="E459" s="71" t="n"/>
      <c r="F459" s="55" t="n"/>
      <c r="G459" s="55" t="n">
        <v>50</v>
      </c>
      <c r="H459" s="55">
        <f>H458-G459</f>
        <v/>
      </c>
      <c r="I459" s="71" t="n"/>
      <c r="J459" s="749" t="n"/>
      <c r="K459" s="749">
        <f>G459*D459</f>
        <v/>
      </c>
      <c r="L459" s="748" t="n"/>
      <c r="M459" s="114" t="n"/>
    </row>
    <row r="460">
      <c r="A460" s="48" t="n">
        <v>43447</v>
      </c>
      <c r="B460" s="49" t="inlineStr">
        <is>
          <t>6203</t>
        </is>
      </c>
      <c r="C460" s="49" t="n"/>
      <c r="D460" s="71" t="n">
        <v>53</v>
      </c>
      <c r="E460" s="71" t="n"/>
      <c r="F460" s="55" t="n"/>
      <c r="G460" s="55" t="n">
        <v>20</v>
      </c>
      <c r="H460" s="55">
        <f>H459-G460</f>
        <v/>
      </c>
      <c r="I460" s="71" t="n"/>
      <c r="J460" s="749" t="n"/>
      <c r="K460" s="749">
        <f>G460*D460</f>
        <v/>
      </c>
      <c r="L460" s="748" t="n"/>
      <c r="M460" s="114" t="n"/>
    </row>
    <row r="461">
      <c r="A461" s="48" t="n">
        <v>43450</v>
      </c>
      <c r="B461" s="49" t="inlineStr">
        <is>
          <t>6205</t>
        </is>
      </c>
      <c r="C461" s="49" t="n"/>
      <c r="D461" s="71" t="n">
        <v>52</v>
      </c>
      <c r="E461" s="71" t="n"/>
      <c r="F461" s="55" t="n"/>
      <c r="G461" s="55" t="n">
        <v>50</v>
      </c>
      <c r="H461" s="55">
        <f>H460-G461</f>
        <v/>
      </c>
      <c r="I461" s="71" t="n"/>
      <c r="J461" s="749" t="n"/>
      <c r="K461" s="749">
        <f>G461*D461</f>
        <v/>
      </c>
      <c r="L461" s="748" t="n"/>
      <c r="M461" s="114" t="n"/>
    </row>
    <row r="462">
      <c r="A462" s="48" t="n">
        <v>43451</v>
      </c>
      <c r="B462" s="49" t="inlineStr">
        <is>
          <t>6210</t>
        </is>
      </c>
      <c r="C462" s="49" t="n"/>
      <c r="D462" s="71" t="n">
        <v>52</v>
      </c>
      <c r="E462" s="71" t="n"/>
      <c r="F462" s="55" t="n"/>
      <c r="G462" s="55" t="n">
        <v>20</v>
      </c>
      <c r="H462" s="55">
        <f>H461-G462</f>
        <v/>
      </c>
      <c r="I462" s="71" t="n"/>
      <c r="J462" s="749" t="n"/>
      <c r="K462" s="749">
        <f>G462*D462</f>
        <v/>
      </c>
      <c r="L462" s="748" t="n"/>
      <c r="M462" s="114" t="n"/>
    </row>
    <row r="463">
      <c r="A463" s="48" t="n">
        <v>43452</v>
      </c>
      <c r="B463" s="49" t="inlineStr">
        <is>
          <t>6212</t>
        </is>
      </c>
      <c r="C463" s="49" t="n"/>
      <c r="D463" s="71" t="n">
        <v>57</v>
      </c>
      <c r="E463" s="71" t="n"/>
      <c r="F463" s="55" t="n"/>
      <c r="G463" s="55" t="n">
        <v>30</v>
      </c>
      <c r="H463" s="55">
        <f>H462-G463</f>
        <v/>
      </c>
      <c r="I463" s="71" t="n"/>
      <c r="J463" s="749" t="n"/>
      <c r="K463" s="749">
        <f>G463*D463</f>
        <v/>
      </c>
      <c r="L463" s="748" t="n"/>
      <c r="M463" s="114" t="n"/>
    </row>
    <row r="464">
      <c r="A464" s="48" t="n">
        <v>43452</v>
      </c>
      <c r="B464" s="49" t="inlineStr">
        <is>
          <t>6213</t>
        </is>
      </c>
      <c r="C464" s="49" t="n"/>
      <c r="D464" s="71" t="n">
        <v>57</v>
      </c>
      <c r="E464" s="71" t="n"/>
      <c r="F464" s="55" t="n"/>
      <c r="G464" s="55" t="n">
        <v>10</v>
      </c>
      <c r="H464" s="55">
        <f>H463-G464</f>
        <v/>
      </c>
      <c r="I464" s="71" t="n"/>
      <c r="J464" s="749" t="n"/>
      <c r="K464" s="749">
        <f>G464*D464</f>
        <v/>
      </c>
      <c r="L464" s="748" t="n"/>
      <c r="M464" s="114" t="n"/>
    </row>
    <row r="465">
      <c r="A465" s="48" t="n">
        <v>43452</v>
      </c>
      <c r="B465" s="49" t="inlineStr">
        <is>
          <t>6217</t>
        </is>
      </c>
      <c r="C465" s="49" t="n"/>
      <c r="D465" s="71" t="n">
        <v>50</v>
      </c>
      <c r="E465" s="71" t="n"/>
      <c r="F465" s="55" t="n"/>
      <c r="G465" s="55" t="n">
        <v>50</v>
      </c>
      <c r="H465" s="55">
        <f>H464-G465</f>
        <v/>
      </c>
      <c r="I465" s="71" t="n"/>
      <c r="J465" s="749" t="n"/>
      <c r="K465" s="749">
        <f>G465*D465</f>
        <v/>
      </c>
      <c r="L465" s="748" t="n"/>
      <c r="M465" s="114" t="n"/>
    </row>
    <row r="466">
      <c r="A466" s="48" t="n">
        <v>43452</v>
      </c>
      <c r="B466" s="49" t="inlineStr">
        <is>
          <t>6218</t>
        </is>
      </c>
      <c r="C466" s="49" t="n"/>
      <c r="D466" s="71" t="n">
        <v>60</v>
      </c>
      <c r="E466" s="71" t="n"/>
      <c r="F466" s="55" t="n"/>
      <c r="G466" s="55" t="n">
        <v>20</v>
      </c>
      <c r="H466" s="55">
        <f>H465-G466</f>
        <v/>
      </c>
      <c r="I466" s="71" t="n"/>
      <c r="J466" s="749" t="n"/>
      <c r="K466" s="749">
        <f>G466*D466</f>
        <v/>
      </c>
      <c r="L466" s="748" t="n"/>
      <c r="M466" s="114" t="n"/>
    </row>
    <row r="467">
      <c r="A467" s="48" t="n">
        <v>43452</v>
      </c>
      <c r="B467" s="49" t="inlineStr">
        <is>
          <t>6221</t>
        </is>
      </c>
      <c r="C467" s="49" t="n"/>
      <c r="D467" s="71" t="n">
        <v>48</v>
      </c>
      <c r="E467" s="71" t="n"/>
      <c r="F467" s="55" t="n"/>
      <c r="G467" s="55" t="n">
        <v>50</v>
      </c>
      <c r="H467" s="55">
        <f>H466-G467</f>
        <v/>
      </c>
      <c r="I467" s="71" t="n"/>
      <c r="J467" s="749" t="n"/>
      <c r="K467" s="749">
        <f>G467*D467</f>
        <v/>
      </c>
      <c r="L467" s="748" t="n"/>
      <c r="M467" s="114" t="n"/>
    </row>
    <row r="468">
      <c r="A468" s="48" t="n">
        <v>43452</v>
      </c>
      <c r="B468" s="49" t="inlineStr">
        <is>
          <t>6222</t>
        </is>
      </c>
      <c r="C468" s="49" t="n"/>
      <c r="D468" s="71" t="n">
        <v>57</v>
      </c>
      <c r="E468" s="71" t="n"/>
      <c r="F468" s="55" t="n"/>
      <c r="G468" s="55" t="n">
        <v>20</v>
      </c>
      <c r="H468" s="55">
        <f>H467-G468</f>
        <v/>
      </c>
      <c r="I468" s="71" t="n"/>
      <c r="J468" s="749" t="n"/>
      <c r="K468" s="749">
        <f>G468*D468</f>
        <v/>
      </c>
      <c r="L468" s="748" t="n"/>
      <c r="M468" s="114" t="n"/>
    </row>
    <row r="469">
      <c r="A469" s="92" t="n">
        <v>43454</v>
      </c>
      <c r="B469" s="93" t="inlineStr">
        <is>
          <t>107079</t>
        </is>
      </c>
      <c r="C469" s="93" t="n"/>
      <c r="D469" s="94" t="n">
        <v>41.56</v>
      </c>
      <c r="E469" s="94" t="n"/>
      <c r="F469" s="95" t="n">
        <v>800</v>
      </c>
      <c r="G469" s="95" t="n"/>
      <c r="H469" s="95" t="n">
        <v>826</v>
      </c>
      <c r="I469" s="71" t="n"/>
      <c r="J469" s="749" t="n"/>
      <c r="K469" s="749" t="n"/>
      <c r="L469" s="748" t="n"/>
      <c r="M469" s="114" t="n"/>
    </row>
    <row r="470">
      <c r="A470" s="48" t="n">
        <v>43455</v>
      </c>
      <c r="B470" s="49" t="inlineStr">
        <is>
          <t>6227</t>
        </is>
      </c>
      <c r="C470" s="49" t="n"/>
      <c r="D470" s="71" t="n">
        <v>52</v>
      </c>
      <c r="E470" s="71" t="n"/>
      <c r="F470" s="55" t="n"/>
      <c r="G470" s="55" t="n">
        <v>10</v>
      </c>
      <c r="H470" s="55">
        <f>H469-G470</f>
        <v/>
      </c>
      <c r="I470" s="71" t="n"/>
      <c r="J470" s="749" t="n"/>
      <c r="K470" s="749">
        <f>G470*D470</f>
        <v/>
      </c>
      <c r="L470" s="748" t="n"/>
      <c r="M470" s="114" t="n"/>
    </row>
    <row r="471">
      <c r="A471" s="48" t="n">
        <v>43456</v>
      </c>
      <c r="B471" s="49" t="inlineStr">
        <is>
          <t>6230</t>
        </is>
      </c>
      <c r="C471" s="49" t="n"/>
      <c r="D471" s="71" t="n">
        <v>52</v>
      </c>
      <c r="E471" s="71" t="n"/>
      <c r="F471" s="55" t="n"/>
      <c r="G471" s="55" t="n">
        <v>100</v>
      </c>
      <c r="H471" s="55">
        <f>H470-G471</f>
        <v/>
      </c>
      <c r="I471" s="71" t="n"/>
      <c r="J471" s="749" t="n"/>
      <c r="K471" s="749">
        <f>G471*D471</f>
        <v/>
      </c>
      <c r="L471" s="748" t="n"/>
      <c r="M471" s="114" t="n"/>
    </row>
    <row r="472">
      <c r="A472" s="48" t="n">
        <v>43435</v>
      </c>
      <c r="B472" s="49" t="n"/>
      <c r="C472" s="49" t="n"/>
      <c r="D472" s="71" t="n"/>
      <c r="E472" s="71" t="n"/>
      <c r="F472" s="55" t="n"/>
      <c r="G472" s="55" t="n"/>
      <c r="H472" s="55">
        <f>H471-G472</f>
        <v/>
      </c>
      <c r="I472" s="71" t="n"/>
      <c r="J472" s="749" t="n"/>
      <c r="K472" s="749">
        <f>G472*D472</f>
        <v/>
      </c>
      <c r="L472" s="748" t="n"/>
      <c r="M472" s="114" t="n"/>
    </row>
    <row r="473">
      <c r="A473" s="48" t="n">
        <v>43436</v>
      </c>
      <c r="B473" s="49" t="n"/>
      <c r="C473" s="49" t="n"/>
      <c r="D473" s="71" t="n"/>
      <c r="E473" s="71" t="n"/>
      <c r="F473" s="55" t="n"/>
      <c r="G473" s="55" t="n"/>
      <c r="H473" s="55">
        <f>H472-G473</f>
        <v/>
      </c>
      <c r="I473" s="71" t="n"/>
      <c r="J473" s="749" t="n"/>
      <c r="K473" s="749">
        <f>G473*D473</f>
        <v/>
      </c>
      <c r="L473" s="748" t="n"/>
      <c r="M473" s="114" t="n"/>
    </row>
    <row r="474">
      <c r="A474" s="48" t="n">
        <v>43437</v>
      </c>
      <c r="B474" s="49" t="n"/>
      <c r="C474" s="49" t="n"/>
      <c r="D474" s="71" t="n"/>
      <c r="E474" s="71" t="n"/>
      <c r="F474" s="55" t="n"/>
      <c r="G474" s="55" t="n"/>
      <c r="H474" s="55">
        <f>H473-G474</f>
        <v/>
      </c>
      <c r="I474" s="71" t="n"/>
      <c r="J474" s="749" t="n"/>
      <c r="K474" s="749">
        <f>G474*D474</f>
        <v/>
      </c>
      <c r="L474" s="748" t="n"/>
      <c r="M474" s="114" t="n"/>
    </row>
    <row r="475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  <c r="J475" s="76" t="n"/>
      <c r="K475" s="76" t="n"/>
      <c r="L475" s="76" t="n"/>
      <c r="M475" s="114" t="n"/>
    </row>
    <row r="476">
      <c r="A476" s="76" t="n"/>
      <c r="B476" s="76" t="n"/>
      <c r="C476" s="76" t="n"/>
      <c r="D476" s="76" t="n"/>
      <c r="E476" s="76" t="n"/>
      <c r="F476" s="76" t="n"/>
      <c r="G476" s="76" t="n"/>
      <c r="H476" s="76" t="n"/>
      <c r="I476" s="76" t="n"/>
      <c r="J476" s="76" t="n"/>
      <c r="K476" s="76" t="n"/>
      <c r="L476" s="76" t="n"/>
      <c r="M476" s="114" t="n"/>
    </row>
    <row r="477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  <c r="J477" s="76" t="n"/>
      <c r="K477" s="76" t="n"/>
      <c r="L477" s="76" t="n"/>
      <c r="M477" s="114" t="n"/>
    </row>
    <row r="478">
      <c r="A478" s="76" t="n"/>
      <c r="B478" s="76" t="n"/>
      <c r="C478" s="76" t="n"/>
      <c r="D478" s="76" t="n"/>
      <c r="E478" s="76" t="n"/>
      <c r="F478" s="76" t="n"/>
      <c r="G478" s="76" t="n"/>
      <c r="H478" s="76" t="n"/>
      <c r="I478" s="76" t="n"/>
      <c r="J478" s="76" t="n"/>
      <c r="K478" s="76" t="n"/>
      <c r="L478" s="76" t="n"/>
      <c r="M478" s="114" t="n"/>
    </row>
    <row r="479" ht="15.75" customHeight="1" s="436" thickBot="1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  <c r="J479" s="76" t="n"/>
      <c r="K479" s="76" t="n"/>
      <c r="L479" s="76" t="n"/>
      <c r="M479" s="114" t="n"/>
    </row>
    <row r="480" ht="21.75" customHeight="1" s="436" thickBot="1">
      <c r="A480" s="744" t="inlineStr">
        <is>
          <t xml:space="preserve">021 - DENISE FURTADO DE SOUZA - ME </t>
        </is>
      </c>
      <c r="B480" s="737" t="n"/>
      <c r="C480" s="737" t="n"/>
      <c r="D480" s="737" t="n"/>
      <c r="E480" s="737" t="n"/>
      <c r="F480" s="737" t="n"/>
      <c r="G480" s="737" t="n"/>
      <c r="H480" s="737" t="n"/>
      <c r="I480" s="737" t="n"/>
      <c r="J480" s="737" t="n"/>
      <c r="K480" s="737" t="n"/>
      <c r="L480" s="736" t="n"/>
      <c r="M480" s="114" t="n"/>
    </row>
    <row r="481" ht="24" customHeight="1" s="436" thickBot="1">
      <c r="A481" s="745" t="inlineStr">
        <is>
          <t xml:space="preserve">  PRÉ MISTURA - 25 KG</t>
        </is>
      </c>
      <c r="B481" s="737" t="n"/>
      <c r="C481" s="737" t="n"/>
      <c r="D481" s="737" t="n"/>
      <c r="E481" s="737" t="n"/>
      <c r="F481" s="737" t="n"/>
      <c r="G481" s="737" t="n"/>
      <c r="H481" s="737" t="n"/>
      <c r="I481" s="737" t="n"/>
      <c r="J481" s="737" t="n"/>
      <c r="K481" s="737" t="n"/>
      <c r="L481" s="736" t="n"/>
      <c r="M481" s="114" t="n"/>
    </row>
    <row r="482">
      <c r="A482" s="746" t="inlineStr">
        <is>
          <t>DATA</t>
        </is>
      </c>
      <c r="B482" s="3" t="inlineStr">
        <is>
          <t>N.F.</t>
        </is>
      </c>
      <c r="C482" s="3" t="inlineStr">
        <is>
          <t>TIPO</t>
        </is>
      </c>
      <c r="D482" s="3" t="inlineStr">
        <is>
          <t>PREÇO UNITÁRIO</t>
        </is>
      </c>
      <c r="E482" s="736" t="n"/>
      <c r="F482" s="3" t="inlineStr">
        <is>
          <t>QUANTIDADE / KG</t>
        </is>
      </c>
      <c r="G482" s="737" t="n"/>
      <c r="H482" s="736" t="n"/>
      <c r="I482" s="631" t="inlineStr">
        <is>
          <t>PREÇO</t>
        </is>
      </c>
      <c r="J482" s="631" t="inlineStr">
        <is>
          <t>VALORES</t>
        </is>
      </c>
      <c r="K482" s="737" t="n"/>
      <c r="L482" s="736" t="n"/>
      <c r="M482" s="114" t="n"/>
    </row>
    <row r="483" ht="15.75" customHeight="1" s="436" thickBot="1">
      <c r="A483" s="703" t="n"/>
      <c r="B483" s="704" t="n"/>
      <c r="C483" s="704" t="n"/>
      <c r="D483" s="703" t="n"/>
      <c r="E483" s="701" t="n"/>
      <c r="F483" s="705" t="n"/>
      <c r="G483" s="706" t="n"/>
      <c r="H483" s="707" t="n"/>
      <c r="I483" s="704" t="n"/>
      <c r="J483" s="703" t="n"/>
      <c r="L483" s="701" t="n"/>
      <c r="M483" s="114" t="n"/>
    </row>
    <row r="484" ht="15.75" customHeight="1" s="436" thickBot="1">
      <c r="A484" s="703" t="n"/>
      <c r="B484" s="704" t="n"/>
      <c r="C484" s="704" t="n"/>
      <c r="D484" s="705" t="n"/>
      <c r="E484" s="707" t="n"/>
      <c r="F484" s="3" t="inlineStr">
        <is>
          <t>ENTRADA</t>
        </is>
      </c>
      <c r="G484" s="3" t="inlineStr">
        <is>
          <t>SAÍDA</t>
        </is>
      </c>
      <c r="H484" s="640" t="n"/>
      <c r="I484" s="633" t="inlineStr">
        <is>
          <t>MÉDIO</t>
        </is>
      </c>
      <c r="J484" s="652" t="inlineStr">
        <is>
          <t>SALDO EM 30/12/2017</t>
        </is>
      </c>
      <c r="K484" s="706" t="n"/>
      <c r="L484" s="17" t="n"/>
      <c r="M484" s="114" t="n"/>
    </row>
    <row r="485" ht="15.75" customHeight="1" s="436" thickBot="1">
      <c r="A485" s="705" t="n"/>
      <c r="B485" s="695" t="n"/>
      <c r="C485" s="695" t="n"/>
      <c r="D485" s="3" t="inlineStr">
        <is>
          <t>C/ICMS</t>
        </is>
      </c>
      <c r="E485" s="3" t="inlineStr">
        <is>
          <t>S/ICMS</t>
        </is>
      </c>
      <c r="F485" s="695" t="n"/>
      <c r="G485" s="695" t="n"/>
      <c r="H485" s="18" t="inlineStr">
        <is>
          <t>SALDO EM 31/12/2018</t>
        </is>
      </c>
      <c r="I485" s="695" t="n"/>
      <c r="J485" s="645" t="inlineStr">
        <is>
          <t>ENTRADA</t>
        </is>
      </c>
      <c r="K485" s="633" t="inlineStr">
        <is>
          <t>SAÍDA / CMV</t>
        </is>
      </c>
      <c r="L485" s="633" t="inlineStr">
        <is>
          <t>SALDO</t>
        </is>
      </c>
      <c r="M485" s="114" t="n"/>
    </row>
    <row r="486">
      <c r="A486" s="48" t="n"/>
      <c r="B486" s="49" t="n"/>
      <c r="C486" s="49" t="n"/>
      <c r="D486" s="71" t="n"/>
      <c r="E486" s="71" t="n"/>
      <c r="F486" s="55" t="n"/>
      <c r="G486" s="55" t="n">
        <v>0</v>
      </c>
      <c r="H486" s="55" t="n"/>
      <c r="I486" s="71" t="n"/>
      <c r="J486" s="747">
        <f>F486*I486</f>
        <v/>
      </c>
      <c r="K486" s="747" t="n">
        <v>0</v>
      </c>
      <c r="L486" s="748">
        <f>J486-K486</f>
        <v/>
      </c>
      <c r="M486" s="114" t="n"/>
    </row>
    <row r="487">
      <c r="A487" s="92" t="n">
        <v>43435</v>
      </c>
      <c r="B487" s="93" t="n"/>
      <c r="C487" s="96" t="n"/>
      <c r="D487" s="97" t="n"/>
      <c r="E487" s="97" t="n"/>
      <c r="F487" s="98" t="n"/>
      <c r="G487" s="98" t="n"/>
      <c r="H487" s="95" t="n">
        <v>716</v>
      </c>
      <c r="I487" s="51" t="n"/>
      <c r="J487" s="749" t="n"/>
      <c r="K487" s="749">
        <f>G487*D487</f>
        <v/>
      </c>
      <c r="L487" s="748" t="n"/>
      <c r="M487" s="114" t="n"/>
    </row>
    <row r="488">
      <c r="A488" s="48" t="n">
        <v>43467</v>
      </c>
      <c r="B488" s="49" t="inlineStr">
        <is>
          <t>6237</t>
        </is>
      </c>
      <c r="C488" s="50" t="n"/>
      <c r="D488" s="51" t="n">
        <v>53</v>
      </c>
      <c r="E488" s="51" t="n"/>
      <c r="F488" s="52" t="n"/>
      <c r="G488" s="52" t="n">
        <v>20</v>
      </c>
      <c r="H488" s="55">
        <f>H487-G488</f>
        <v/>
      </c>
      <c r="I488" s="51" t="n"/>
      <c r="J488" s="749" t="n"/>
      <c r="K488" s="749" t="n"/>
      <c r="L488" s="748" t="n"/>
      <c r="M488" s="114" t="n"/>
    </row>
    <row r="489">
      <c r="A489" s="48" t="n">
        <v>43468</v>
      </c>
      <c r="B489" s="49" t="inlineStr">
        <is>
          <t>6241</t>
        </is>
      </c>
      <c r="C489" s="50" t="n"/>
      <c r="D489" s="51" t="n">
        <v>53</v>
      </c>
      <c r="E489" s="51" t="n"/>
      <c r="F489" s="52" t="n"/>
      <c r="G489" s="52" t="n">
        <v>30</v>
      </c>
      <c r="H489" s="55">
        <f>H488-G489</f>
        <v/>
      </c>
      <c r="I489" s="51" t="n"/>
      <c r="J489" s="749" t="n"/>
      <c r="K489" s="749" t="n"/>
      <c r="L489" s="748" t="n"/>
      <c r="M489" s="114" t="n"/>
    </row>
    <row r="490">
      <c r="A490" s="48" t="n">
        <v>43473</v>
      </c>
      <c r="B490" s="49" t="inlineStr">
        <is>
          <t>6246</t>
        </is>
      </c>
      <c r="C490" s="50" t="n"/>
      <c r="D490" s="51" t="n">
        <v>54</v>
      </c>
      <c r="E490" s="51" t="n"/>
      <c r="F490" s="52" t="n"/>
      <c r="G490" s="52" t="n">
        <v>60</v>
      </c>
      <c r="H490" s="55">
        <f>H488-G490</f>
        <v/>
      </c>
      <c r="I490" s="51" t="n"/>
      <c r="J490" s="749" t="n"/>
      <c r="K490" s="749" t="n"/>
      <c r="L490" s="748" t="n"/>
      <c r="M490" s="114" t="n"/>
    </row>
    <row r="491">
      <c r="A491" s="48" t="n">
        <v>43473</v>
      </c>
      <c r="B491" s="49" t="inlineStr">
        <is>
          <t>6249</t>
        </is>
      </c>
      <c r="C491" s="50" t="n"/>
      <c r="D491" s="51" t="n">
        <v>57</v>
      </c>
      <c r="E491" s="51" t="n"/>
      <c r="F491" s="52" t="n"/>
      <c r="G491" s="52" t="n">
        <v>25</v>
      </c>
      <c r="H491" s="55">
        <f>H490-G491</f>
        <v/>
      </c>
      <c r="I491" s="51" t="n"/>
      <c r="J491" s="749" t="n"/>
      <c r="K491" s="749">
        <f>G491*D491</f>
        <v/>
      </c>
      <c r="L491" s="748" t="n"/>
      <c r="M491" s="114" t="n"/>
    </row>
    <row r="492">
      <c r="A492" s="48" t="n">
        <v>43473</v>
      </c>
      <c r="B492" s="49" t="inlineStr">
        <is>
          <t>6250</t>
        </is>
      </c>
      <c r="C492" s="49" t="n"/>
      <c r="D492" s="71" t="n">
        <v>53</v>
      </c>
      <c r="E492" s="71" t="n"/>
      <c r="F492" s="55" t="n"/>
      <c r="G492" s="55" t="n">
        <v>10</v>
      </c>
      <c r="H492" s="55">
        <f>H491-G492</f>
        <v/>
      </c>
      <c r="I492" s="71" t="n"/>
      <c r="J492" s="749" t="n"/>
      <c r="K492" s="749">
        <f>G492*D492</f>
        <v/>
      </c>
      <c r="L492" s="748" t="n"/>
      <c r="M492" s="114" t="n"/>
    </row>
    <row r="493">
      <c r="A493" s="48" t="n">
        <v>43474</v>
      </c>
      <c r="B493" s="49" t="inlineStr">
        <is>
          <t>6257</t>
        </is>
      </c>
      <c r="C493" s="49" t="n"/>
      <c r="D493" s="71" t="n">
        <v>53</v>
      </c>
      <c r="E493" s="71" t="n"/>
      <c r="F493" s="55" t="n"/>
      <c r="G493" s="55" t="n">
        <v>30</v>
      </c>
      <c r="H493" s="55">
        <f>H492-G493</f>
        <v/>
      </c>
      <c r="I493" s="71" t="n"/>
      <c r="J493" s="749" t="n"/>
      <c r="K493" s="749">
        <f>G493*D493</f>
        <v/>
      </c>
      <c r="L493" s="748" t="n"/>
      <c r="M493" s="114" t="n"/>
    </row>
    <row r="494">
      <c r="A494" s="92" t="n">
        <v>43476</v>
      </c>
      <c r="B494" s="93" t="inlineStr">
        <is>
          <t>108170</t>
        </is>
      </c>
      <c r="C494" s="93" t="n"/>
      <c r="D494" s="94" t="n">
        <v>43.25</v>
      </c>
      <c r="E494" s="94" t="n"/>
      <c r="F494" s="95" t="n">
        <v>300</v>
      </c>
      <c r="G494" s="95" t="n"/>
      <c r="H494" s="95" t="n">
        <v>871</v>
      </c>
      <c r="I494" s="71" t="n"/>
      <c r="J494" s="749" t="n"/>
      <c r="K494" s="749" t="n"/>
      <c r="L494" s="748" t="n"/>
      <c r="M494" s="114" t="n"/>
    </row>
    <row r="495" ht="17.25" customHeight="1" s="436">
      <c r="A495" s="48" t="n">
        <v>43479</v>
      </c>
      <c r="B495" s="49" t="inlineStr">
        <is>
          <t>6265</t>
        </is>
      </c>
      <c r="C495" s="49" t="n"/>
      <c r="D495" s="71" t="n">
        <v>53</v>
      </c>
      <c r="E495" s="71" t="n"/>
      <c r="F495" s="55" t="n"/>
      <c r="G495" s="87" t="n">
        <v>10</v>
      </c>
      <c r="H495" s="55">
        <f>H494-G495</f>
        <v/>
      </c>
      <c r="I495" s="71" t="n"/>
      <c r="J495" s="749" t="n"/>
      <c r="K495" s="749">
        <f>G495*D495</f>
        <v/>
      </c>
      <c r="L495" s="748" t="n"/>
      <c r="M495" s="114" t="n"/>
    </row>
    <row r="496" ht="17.25" customHeight="1" s="436">
      <c r="A496" s="48" t="n">
        <v>43481</v>
      </c>
      <c r="B496" s="49" t="inlineStr">
        <is>
          <t>6270</t>
        </is>
      </c>
      <c r="C496" s="93" t="n"/>
      <c r="D496" s="71" t="n">
        <v>53</v>
      </c>
      <c r="E496" s="94" t="n"/>
      <c r="F496" s="95" t="n"/>
      <c r="G496" s="87" t="n">
        <v>20</v>
      </c>
      <c r="H496" s="55">
        <f>H495-G496</f>
        <v/>
      </c>
      <c r="I496" s="71" t="n"/>
      <c r="J496" s="749" t="n"/>
      <c r="K496" s="749">
        <f>G496*D496</f>
        <v/>
      </c>
      <c r="L496" s="748" t="n"/>
      <c r="M496" s="114" t="n"/>
    </row>
    <row r="497">
      <c r="A497" s="48" t="n">
        <v>43481</v>
      </c>
      <c r="B497" s="49" t="inlineStr">
        <is>
          <t>6277</t>
        </is>
      </c>
      <c r="C497" s="49" t="n"/>
      <c r="D497" s="71" t="n">
        <v>53</v>
      </c>
      <c r="E497" s="71" t="n"/>
      <c r="F497" s="55" t="n"/>
      <c r="G497" s="55" t="n">
        <v>20</v>
      </c>
      <c r="H497" s="55">
        <f>H496-G497</f>
        <v/>
      </c>
      <c r="I497" s="71" t="n"/>
      <c r="J497" s="749" t="n"/>
      <c r="K497" s="749">
        <f>G497*D497</f>
        <v/>
      </c>
      <c r="L497" s="748" t="n"/>
      <c r="M497" s="114" t="n"/>
    </row>
    <row r="498">
      <c r="A498" s="48" t="n">
        <v>43481</v>
      </c>
      <c r="B498" s="49" t="inlineStr">
        <is>
          <t>6279</t>
        </is>
      </c>
      <c r="C498" s="49" t="n"/>
      <c r="D498" s="71" t="n">
        <v>53</v>
      </c>
      <c r="E498" s="71" t="n"/>
      <c r="F498" s="55" t="n"/>
      <c r="G498" s="55" t="n">
        <v>50</v>
      </c>
      <c r="H498" s="55">
        <f>H497-G498</f>
        <v/>
      </c>
      <c r="I498" s="71" t="n"/>
      <c r="J498" s="749" t="n"/>
      <c r="K498" s="749">
        <f>G498*D498</f>
        <v/>
      </c>
      <c r="L498" s="748" t="n"/>
      <c r="M498" s="114" t="n"/>
    </row>
    <row r="499">
      <c r="A499" s="48" t="n">
        <v>43486</v>
      </c>
      <c r="B499" s="49" t="inlineStr">
        <is>
          <t>6281</t>
        </is>
      </c>
      <c r="C499" s="49" t="n"/>
      <c r="D499" s="71" t="n">
        <v>57</v>
      </c>
      <c r="E499" s="71" t="n"/>
      <c r="F499" s="55" t="n"/>
      <c r="G499" s="55" t="n">
        <v>25</v>
      </c>
      <c r="H499" s="55">
        <f>H498-G499</f>
        <v/>
      </c>
      <c r="I499" s="71" t="n"/>
      <c r="J499" s="749" t="n"/>
      <c r="K499" s="749">
        <f>G499*D499</f>
        <v/>
      </c>
      <c r="L499" s="748" t="n"/>
      <c r="M499" s="114" t="n"/>
    </row>
    <row r="500">
      <c r="A500" s="48" t="n">
        <v>43486</v>
      </c>
      <c r="B500" s="49" t="inlineStr">
        <is>
          <t>6282</t>
        </is>
      </c>
      <c r="C500" s="49" t="n"/>
      <c r="D500" s="71" t="n">
        <v>55</v>
      </c>
      <c r="E500" s="71" t="n"/>
      <c r="F500" s="55" t="n"/>
      <c r="G500" s="55" t="n">
        <v>50</v>
      </c>
      <c r="H500" s="55">
        <f>H499-G500</f>
        <v/>
      </c>
      <c r="I500" s="71" t="n"/>
      <c r="J500" s="749" t="n"/>
      <c r="K500" s="749">
        <f>G500*D500</f>
        <v/>
      </c>
      <c r="L500" s="748" t="n"/>
      <c r="M500" s="114" t="n"/>
    </row>
    <row r="501">
      <c r="A501" s="48" t="n">
        <v>43486</v>
      </c>
      <c r="B501" s="49" t="inlineStr">
        <is>
          <t>6284</t>
        </is>
      </c>
      <c r="C501" s="49" t="n"/>
      <c r="D501" s="71" t="n">
        <v>53</v>
      </c>
      <c r="E501" s="71" t="n"/>
      <c r="F501" s="55" t="n"/>
      <c r="G501" s="55" t="n">
        <v>20</v>
      </c>
      <c r="H501" s="55">
        <f>H500-G501</f>
        <v/>
      </c>
      <c r="I501" s="71" t="n"/>
      <c r="J501" s="749" t="n"/>
      <c r="K501" s="749">
        <f>G501*D501</f>
        <v/>
      </c>
      <c r="L501" s="748" t="n"/>
      <c r="M501" s="114" t="n"/>
    </row>
    <row r="502">
      <c r="A502" s="92" t="n">
        <v>43487</v>
      </c>
      <c r="B502" s="93" t="inlineStr">
        <is>
          <t>2083</t>
        </is>
      </c>
      <c r="C502" s="93" t="n"/>
      <c r="D502" s="94" t="n">
        <v>43.25</v>
      </c>
      <c r="E502" s="94" t="n"/>
      <c r="F502" s="95" t="n">
        <v>47</v>
      </c>
      <c r="G502" s="95" t="n"/>
      <c r="H502" s="95" t="n">
        <v>723</v>
      </c>
      <c r="I502" s="71" t="n"/>
      <c r="J502" s="749" t="n"/>
      <c r="K502" s="749" t="n"/>
      <c r="L502" s="748" t="n"/>
      <c r="M502" s="114" t="n"/>
    </row>
    <row r="503">
      <c r="A503" s="48" t="n">
        <v>43494</v>
      </c>
      <c r="B503" s="49" t="inlineStr">
        <is>
          <t>6295</t>
        </is>
      </c>
      <c r="C503" s="49" t="n"/>
      <c r="D503" s="71" t="n">
        <v>60</v>
      </c>
      <c r="E503" s="71" t="n"/>
      <c r="F503" s="55" t="n"/>
      <c r="G503" s="55" t="n">
        <v>20</v>
      </c>
      <c r="H503" s="55">
        <f>H502-G503</f>
        <v/>
      </c>
      <c r="I503" s="71" t="n"/>
      <c r="J503" s="749" t="n"/>
      <c r="K503" s="749">
        <f>G503*D503</f>
        <v/>
      </c>
      <c r="L503" s="748" t="n"/>
      <c r="M503" s="114" t="n"/>
    </row>
    <row r="504">
      <c r="A504" s="48" t="n">
        <v>43494</v>
      </c>
      <c r="B504" s="49" t="inlineStr">
        <is>
          <t>6296</t>
        </is>
      </c>
      <c r="C504" s="49" t="n"/>
      <c r="D504" s="71" t="n">
        <v>54</v>
      </c>
      <c r="E504" s="71" t="n"/>
      <c r="F504" s="55" t="n"/>
      <c r="G504" s="55" t="n">
        <v>20</v>
      </c>
      <c r="H504" s="55">
        <f>H503-G504</f>
        <v/>
      </c>
      <c r="I504" s="71" t="n"/>
      <c r="J504" s="749" t="n"/>
      <c r="K504" s="749">
        <f>G504*D504</f>
        <v/>
      </c>
      <c r="L504" s="748" t="n"/>
      <c r="M504" s="114" t="n"/>
    </row>
    <row r="505">
      <c r="A505" s="48" t="n">
        <v>43450</v>
      </c>
      <c r="B505" s="49" t="n"/>
      <c r="C505" s="49" t="n"/>
      <c r="D505" s="71" t="n"/>
      <c r="E505" s="71" t="n"/>
      <c r="F505" s="55" t="n"/>
      <c r="G505" s="55" t="n"/>
      <c r="H505" s="55">
        <f>H504-G505</f>
        <v/>
      </c>
      <c r="I505" s="71" t="n"/>
      <c r="J505" s="749" t="n"/>
      <c r="K505" s="749">
        <f>G505*D505</f>
        <v/>
      </c>
      <c r="L505" s="748" t="n"/>
      <c r="M505" s="114" t="n"/>
    </row>
    <row r="506">
      <c r="A506" s="48" t="n">
        <v>43451</v>
      </c>
      <c r="B506" s="49" t="n"/>
      <c r="C506" s="49" t="n"/>
      <c r="D506" s="71" t="n"/>
      <c r="E506" s="71" t="n"/>
      <c r="F506" s="55" t="n"/>
      <c r="G506" s="55" t="n"/>
      <c r="H506" s="55">
        <f>H505-G506</f>
        <v/>
      </c>
      <c r="I506" s="71" t="n"/>
      <c r="J506" s="749" t="n"/>
      <c r="K506" s="749">
        <f>G506*D506</f>
        <v/>
      </c>
      <c r="L506" s="748" t="n"/>
      <c r="M506" s="114" t="n"/>
    </row>
    <row r="507">
      <c r="A507" s="48" t="n">
        <v>43452</v>
      </c>
      <c r="B507" s="49" t="n"/>
      <c r="C507" s="49" t="n"/>
      <c r="D507" s="71" t="n"/>
      <c r="E507" s="71" t="n"/>
      <c r="F507" s="55" t="n"/>
      <c r="G507" s="55" t="n"/>
      <c r="H507" s="55">
        <f>H506-G507</f>
        <v/>
      </c>
      <c r="I507" s="71" t="n"/>
      <c r="J507" s="749" t="n"/>
      <c r="K507" s="749">
        <f>G507*D507</f>
        <v/>
      </c>
      <c r="L507" s="748" t="n"/>
      <c r="M507" s="114" t="n"/>
    </row>
    <row r="508">
      <c r="A508" s="48" t="n">
        <v>43453</v>
      </c>
      <c r="B508" s="49" t="n"/>
      <c r="C508" s="49" t="n"/>
      <c r="D508" s="71" t="n"/>
      <c r="E508" s="71" t="n"/>
      <c r="F508" s="55" t="n"/>
      <c r="G508" s="55" t="n"/>
      <c r="H508" s="55">
        <f>H507-G508</f>
        <v/>
      </c>
      <c r="I508" s="71" t="n"/>
      <c r="J508" s="749" t="n"/>
      <c r="K508" s="749">
        <f>G508*D508</f>
        <v/>
      </c>
      <c r="L508" s="748" t="n"/>
      <c r="M508" s="114" t="n"/>
    </row>
    <row r="509">
      <c r="A509" s="48" t="n">
        <v>43454</v>
      </c>
      <c r="B509" s="49" t="n"/>
      <c r="C509" s="49" t="n"/>
      <c r="D509" s="71" t="n"/>
      <c r="E509" s="71" t="n"/>
      <c r="F509" s="55" t="n"/>
      <c r="G509" s="55" t="n"/>
      <c r="H509" s="55">
        <f>H508-G509</f>
        <v/>
      </c>
      <c r="I509" s="71" t="n"/>
      <c r="J509" s="749" t="n"/>
      <c r="K509" s="749">
        <f>G509*D509</f>
        <v/>
      </c>
      <c r="L509" s="748" t="n"/>
      <c r="M509" s="114" t="n"/>
    </row>
    <row r="510">
      <c r="A510" s="48" t="n">
        <v>43455</v>
      </c>
      <c r="B510" s="49" t="n"/>
      <c r="C510" s="49" t="n"/>
      <c r="D510" s="71" t="n"/>
      <c r="E510" s="71" t="n"/>
      <c r="F510" s="55" t="n"/>
      <c r="G510" s="55" t="n"/>
      <c r="H510" s="55">
        <f>H509-G510</f>
        <v/>
      </c>
      <c r="I510" s="71" t="n"/>
      <c r="J510" s="749" t="n"/>
      <c r="K510" s="749">
        <f>G510*D510</f>
        <v/>
      </c>
      <c r="L510" s="748" t="n"/>
      <c r="M510" s="114" t="n"/>
    </row>
    <row r="511">
      <c r="A511" s="48" t="n">
        <v>43456</v>
      </c>
      <c r="B511" s="49" t="n"/>
      <c r="C511" s="49" t="n"/>
      <c r="D511" s="71" t="n"/>
      <c r="E511" s="71" t="n"/>
      <c r="F511" s="55" t="n"/>
      <c r="G511" s="55" t="n"/>
      <c r="H511" s="55">
        <f>H510-G511</f>
        <v/>
      </c>
      <c r="I511" s="71" t="n"/>
      <c r="J511" s="749" t="n"/>
      <c r="K511" s="749">
        <f>G511*D511</f>
        <v/>
      </c>
      <c r="L511" s="748" t="n"/>
      <c r="M511" s="114" t="n"/>
    </row>
    <row r="512">
      <c r="A512" s="48" t="n">
        <v>43457</v>
      </c>
      <c r="B512" s="49" t="n"/>
      <c r="C512" s="49" t="n"/>
      <c r="D512" s="71" t="n"/>
      <c r="E512" s="71" t="n"/>
      <c r="F512" s="55" t="n"/>
      <c r="G512" s="55" t="n"/>
      <c r="H512" s="55">
        <f>H511-G512</f>
        <v/>
      </c>
      <c r="I512" s="71" t="n"/>
      <c r="J512" s="749" t="n"/>
      <c r="K512" s="749">
        <f>G512*D512</f>
        <v/>
      </c>
      <c r="L512" s="748" t="n"/>
      <c r="M512" s="114" t="n"/>
    </row>
    <row r="513">
      <c r="A513" s="48" t="n">
        <v>43458</v>
      </c>
      <c r="B513" s="49" t="n"/>
      <c r="C513" s="49" t="n"/>
      <c r="D513" s="71" t="n"/>
      <c r="E513" s="71" t="n"/>
      <c r="F513" s="55" t="n"/>
      <c r="G513" s="55" t="n"/>
      <c r="H513" s="55">
        <f>H512-G513</f>
        <v/>
      </c>
      <c r="I513" s="71" t="n"/>
      <c r="J513" s="749" t="n"/>
      <c r="K513" s="749">
        <f>G513*D513</f>
        <v/>
      </c>
      <c r="L513" s="748" t="n"/>
      <c r="M513" s="114" t="n"/>
    </row>
    <row r="514">
      <c r="A514" s="76" t="n"/>
      <c r="B514" s="76" t="n"/>
      <c r="C514" s="76" t="n"/>
      <c r="D514" s="76" t="n"/>
      <c r="E514" s="76" t="n"/>
      <c r="F514" s="76" t="n"/>
      <c r="G514" s="76" t="n"/>
      <c r="H514" s="76" t="n"/>
      <c r="I514" s="76" t="n"/>
      <c r="J514" s="76" t="n"/>
      <c r="K514" s="76" t="n"/>
      <c r="L514" s="76" t="n"/>
      <c r="M514" s="114" t="n"/>
    </row>
    <row r="515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  <c r="J515" s="76" t="n"/>
      <c r="K515" s="76" t="n"/>
      <c r="L515" s="76" t="n"/>
      <c r="M515" s="114" t="n"/>
    </row>
    <row r="516">
      <c r="A516" s="76" t="n"/>
      <c r="B516" s="76" t="n"/>
      <c r="C516" s="76" t="n"/>
      <c r="D516" s="76" t="n"/>
      <c r="E516" s="76" t="n"/>
      <c r="F516" s="76" t="n"/>
      <c r="G516" s="76" t="n"/>
      <c r="H516" s="76" t="n"/>
      <c r="I516" s="76" t="n"/>
      <c r="J516" s="76" t="n"/>
      <c r="K516" s="76" t="n"/>
      <c r="L516" s="76" t="n"/>
      <c r="M516" s="114" t="n"/>
    </row>
    <row r="517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  <c r="J517" s="76" t="n"/>
      <c r="K517" s="76" t="n"/>
      <c r="L517" s="76" t="n"/>
      <c r="M517" s="114" t="n"/>
    </row>
    <row r="518">
      <c r="A518" s="76" t="n"/>
      <c r="B518" s="76" t="n"/>
      <c r="C518" s="76" t="n"/>
      <c r="D518" s="76" t="n"/>
      <c r="E518" s="76" t="n"/>
      <c r="F518" s="76" t="n"/>
      <c r="G518" s="76" t="n"/>
      <c r="H518" s="76" t="n"/>
      <c r="I518" s="76" t="n"/>
      <c r="J518" s="76" t="n"/>
      <c r="K518" s="76" t="n"/>
      <c r="L518" s="76" t="n"/>
      <c r="M518" s="114" t="n"/>
    </row>
    <row r="519" ht="15.75" customHeight="1" s="436" thickBot="1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  <c r="J519" s="76" t="n"/>
      <c r="K519" s="76" t="n"/>
      <c r="L519" s="76" t="n"/>
      <c r="M519" s="114" t="n"/>
    </row>
    <row r="520" ht="21.75" customHeight="1" s="436" thickBot="1">
      <c r="A520" s="744" t="inlineStr">
        <is>
          <t xml:space="preserve">021 - DENISE FURTADO DE SOUZA - ME </t>
        </is>
      </c>
      <c r="B520" s="737" t="n"/>
      <c r="C520" s="737" t="n"/>
      <c r="D520" s="737" t="n"/>
      <c r="E520" s="737" t="n"/>
      <c r="F520" s="737" t="n"/>
      <c r="G520" s="737" t="n"/>
      <c r="H520" s="737" t="n"/>
      <c r="I520" s="737" t="n"/>
      <c r="J520" s="737" t="n"/>
      <c r="K520" s="737" t="n"/>
      <c r="L520" s="736" t="n"/>
      <c r="M520" s="114" t="n"/>
    </row>
    <row r="521" ht="24" customHeight="1" s="436" thickBot="1">
      <c r="A521" s="745" t="inlineStr">
        <is>
          <t xml:space="preserve">  PRÉ MISTURA - 25 KG</t>
        </is>
      </c>
      <c r="B521" s="737" t="n"/>
      <c r="C521" s="737" t="n"/>
      <c r="D521" s="737" t="n"/>
      <c r="E521" s="737" t="n"/>
      <c r="F521" s="737" t="n"/>
      <c r="G521" s="737" t="n"/>
      <c r="H521" s="737" t="n"/>
      <c r="I521" s="737" t="n"/>
      <c r="J521" s="737" t="n"/>
      <c r="K521" s="737" t="n"/>
      <c r="L521" s="736" t="n"/>
      <c r="M521" s="114" t="n"/>
    </row>
    <row r="522">
      <c r="A522" s="746" t="inlineStr">
        <is>
          <t>DATA</t>
        </is>
      </c>
      <c r="B522" s="3" t="inlineStr">
        <is>
          <t>N.F.</t>
        </is>
      </c>
      <c r="C522" s="3" t="inlineStr">
        <is>
          <t>TIPO</t>
        </is>
      </c>
      <c r="D522" s="3" t="inlineStr">
        <is>
          <t>PREÇO UNITÁRIO</t>
        </is>
      </c>
      <c r="E522" s="736" t="n"/>
      <c r="F522" s="3" t="inlineStr">
        <is>
          <t>QUANTIDADE / KG</t>
        </is>
      </c>
      <c r="G522" s="737" t="n"/>
      <c r="H522" s="736" t="n"/>
      <c r="I522" s="631" t="inlineStr">
        <is>
          <t>PREÇO</t>
        </is>
      </c>
      <c r="J522" s="631" t="inlineStr">
        <is>
          <t>VALORES</t>
        </is>
      </c>
      <c r="K522" s="737" t="n"/>
      <c r="L522" s="736" t="n"/>
      <c r="M522" s="114" t="n"/>
    </row>
    <row r="523" ht="15.75" customHeight="1" s="436" thickBot="1">
      <c r="A523" s="703" t="n"/>
      <c r="B523" s="704" t="n"/>
      <c r="C523" s="704" t="n"/>
      <c r="D523" s="703" t="n"/>
      <c r="E523" s="701" t="n"/>
      <c r="F523" s="705" t="n"/>
      <c r="G523" s="706" t="n"/>
      <c r="H523" s="707" t="n"/>
      <c r="I523" s="704" t="n"/>
      <c r="J523" s="703" t="n"/>
      <c r="L523" s="701" t="n"/>
      <c r="M523" s="114" t="n"/>
    </row>
    <row r="524" ht="15.75" customHeight="1" s="436" thickBot="1">
      <c r="A524" s="703" t="n"/>
      <c r="B524" s="704" t="n"/>
      <c r="C524" s="704" t="n"/>
      <c r="D524" s="705" t="n"/>
      <c r="E524" s="707" t="n"/>
      <c r="F524" s="3" t="inlineStr">
        <is>
          <t>ENTRADA</t>
        </is>
      </c>
      <c r="G524" s="3" t="inlineStr">
        <is>
          <t>SAÍDA</t>
        </is>
      </c>
      <c r="H524" s="640" t="n"/>
      <c r="I524" s="633" t="inlineStr">
        <is>
          <t>MÉDIO</t>
        </is>
      </c>
      <c r="J524" s="652" t="inlineStr">
        <is>
          <t>SALDO EM 30/12/2017</t>
        </is>
      </c>
      <c r="K524" s="706" t="n"/>
      <c r="L524" s="17" t="n"/>
      <c r="M524" s="114" t="n"/>
    </row>
    <row r="525" ht="15.75" customHeight="1" s="436" thickBot="1">
      <c r="A525" s="705" t="n"/>
      <c r="B525" s="695" t="n"/>
      <c r="C525" s="695" t="n"/>
      <c r="D525" s="3" t="inlineStr">
        <is>
          <t>C/ICMS</t>
        </is>
      </c>
      <c r="E525" s="3" t="inlineStr">
        <is>
          <t>S/ICMS</t>
        </is>
      </c>
      <c r="F525" s="695" t="n"/>
      <c r="G525" s="695" t="n"/>
      <c r="H525" s="18" t="inlineStr">
        <is>
          <t>SALDO EM 31/01/2019</t>
        </is>
      </c>
      <c r="I525" s="695" t="n"/>
      <c r="J525" s="645" t="inlineStr">
        <is>
          <t>ENTRADA</t>
        </is>
      </c>
      <c r="K525" s="633" t="inlineStr">
        <is>
          <t>SAÍDA / CMV</t>
        </is>
      </c>
      <c r="L525" s="633" t="inlineStr">
        <is>
          <t>SALDO</t>
        </is>
      </c>
      <c r="M525" s="114" t="n"/>
    </row>
    <row r="526">
      <c r="A526" s="48" t="n"/>
      <c r="B526" s="49" t="n"/>
      <c r="C526" s="49" t="n"/>
      <c r="D526" s="71" t="n"/>
      <c r="E526" s="71" t="n"/>
      <c r="F526" s="55" t="n"/>
      <c r="G526" s="55" t="n">
        <v>0</v>
      </c>
      <c r="H526" s="55" t="n"/>
      <c r="I526" s="71" t="n"/>
      <c r="J526" s="747">
        <f>F526*I526</f>
        <v/>
      </c>
      <c r="K526" s="747" t="n">
        <v>0</v>
      </c>
      <c r="L526" s="748">
        <f>J526-K526</f>
        <v/>
      </c>
      <c r="M526" s="114" t="n"/>
    </row>
    <row r="527">
      <c r="A527" s="92" t="n">
        <v>43496</v>
      </c>
      <c r="B527" s="93" t="n"/>
      <c r="C527" s="96" t="n"/>
      <c r="D527" s="97" t="n"/>
      <c r="E527" s="97" t="n"/>
      <c r="F527" s="98" t="n"/>
      <c r="G527" s="98" t="n"/>
      <c r="H527" s="95" t="n">
        <v>683</v>
      </c>
      <c r="I527" s="51" t="n"/>
      <c r="J527" s="749" t="n"/>
      <c r="K527" s="749">
        <f>G527*D527</f>
        <v/>
      </c>
      <c r="L527" s="748" t="n"/>
      <c r="M527" s="114" t="n"/>
    </row>
    <row r="528">
      <c r="A528" s="48" t="n">
        <v>43500</v>
      </c>
      <c r="B528" s="49" t="inlineStr">
        <is>
          <t>6304</t>
        </is>
      </c>
      <c r="C528" s="50" t="n"/>
      <c r="D528" s="51" t="n">
        <v>55.34</v>
      </c>
      <c r="E528" s="51" t="n"/>
      <c r="F528" s="52" t="n"/>
      <c r="G528" s="52" t="n">
        <v>60</v>
      </c>
      <c r="H528" s="55">
        <f>H527-G528</f>
        <v/>
      </c>
      <c r="I528" s="51" t="n"/>
      <c r="J528" s="749" t="n"/>
      <c r="K528" s="749" t="n"/>
      <c r="L528" s="748" t="n"/>
      <c r="M528" s="114" t="n"/>
    </row>
    <row r="529">
      <c r="A529" s="48" t="n">
        <v>43500</v>
      </c>
      <c r="B529" s="49" t="inlineStr">
        <is>
          <t>6306</t>
        </is>
      </c>
      <c r="C529" s="50" t="n"/>
      <c r="D529" s="51" t="n">
        <v>54</v>
      </c>
      <c r="E529" s="51" t="n"/>
      <c r="F529" s="52" t="n"/>
      <c r="G529" s="52" t="n">
        <v>10</v>
      </c>
      <c r="H529" s="55">
        <f>H528-G529</f>
        <v/>
      </c>
      <c r="I529" s="51" t="n"/>
      <c r="J529" s="749" t="n"/>
      <c r="K529" s="749" t="n"/>
      <c r="L529" s="748" t="n"/>
      <c r="M529" s="114" t="n"/>
    </row>
    <row r="530">
      <c r="A530" s="48" t="n">
        <v>43500</v>
      </c>
      <c r="B530" s="49" t="inlineStr">
        <is>
          <t>6308</t>
        </is>
      </c>
      <c r="C530" s="50" t="n"/>
      <c r="D530" s="51" t="n">
        <v>54</v>
      </c>
      <c r="E530" s="51" t="n"/>
      <c r="F530" s="52" t="n"/>
      <c r="G530" s="52" t="n">
        <v>40</v>
      </c>
      <c r="H530" s="55">
        <f>H528-G530</f>
        <v/>
      </c>
      <c r="I530" s="51" t="n"/>
      <c r="J530" s="749" t="n"/>
      <c r="K530" s="749" t="n"/>
      <c r="L530" s="748" t="n"/>
      <c r="M530" s="114" t="n"/>
    </row>
    <row r="531">
      <c r="A531" s="48" t="n">
        <v>43502</v>
      </c>
      <c r="B531" s="49" t="inlineStr">
        <is>
          <t>6317</t>
        </is>
      </c>
      <c r="C531" s="50" t="n"/>
      <c r="D531" s="51" t="n">
        <v>52</v>
      </c>
      <c r="E531" s="51" t="n"/>
      <c r="F531" s="52" t="n"/>
      <c r="G531" s="52" t="n">
        <v>20</v>
      </c>
      <c r="H531" s="55">
        <f>H530-G531</f>
        <v/>
      </c>
      <c r="I531" s="51" t="n"/>
      <c r="J531" s="749" t="n"/>
      <c r="K531" s="749">
        <f>G531*D531</f>
        <v/>
      </c>
      <c r="L531" s="748" t="n"/>
      <c r="M531" s="114" t="n"/>
    </row>
    <row r="532">
      <c r="A532" s="48" t="n">
        <v>43502</v>
      </c>
      <c r="B532" s="49" t="inlineStr">
        <is>
          <t>6320</t>
        </is>
      </c>
      <c r="C532" s="49" t="n"/>
      <c r="D532" s="71" t="n">
        <v>57</v>
      </c>
      <c r="E532" s="71" t="n"/>
      <c r="F532" s="55" t="n"/>
      <c r="G532" s="55" t="n">
        <v>15</v>
      </c>
      <c r="H532" s="55">
        <f>H531-G532</f>
        <v/>
      </c>
      <c r="I532" s="71" t="n"/>
      <c r="J532" s="749" t="n"/>
      <c r="K532" s="749">
        <f>G532*D532</f>
        <v/>
      </c>
      <c r="L532" s="748" t="n"/>
      <c r="M532" s="114" t="n"/>
    </row>
    <row r="533">
      <c r="A533" s="48" t="n">
        <v>43514</v>
      </c>
      <c r="B533" s="49" t="inlineStr">
        <is>
          <t>6332</t>
        </is>
      </c>
      <c r="C533" s="49" t="n"/>
      <c r="D533" s="71" t="n">
        <v>53</v>
      </c>
      <c r="E533" s="71" t="n"/>
      <c r="F533" s="55" t="n"/>
      <c r="G533" s="55" t="n">
        <v>60</v>
      </c>
      <c r="H533" s="55">
        <f>H532-G533</f>
        <v/>
      </c>
      <c r="I533" s="71" t="n"/>
      <c r="J533" s="749" t="n"/>
      <c r="K533" s="749">
        <f>G533*D533</f>
        <v/>
      </c>
      <c r="L533" s="748" t="n"/>
      <c r="M533" s="114" t="n"/>
    </row>
    <row r="534">
      <c r="A534" s="48" t="n">
        <v>43514</v>
      </c>
      <c r="B534" s="49" t="inlineStr">
        <is>
          <t>6339</t>
        </is>
      </c>
      <c r="C534" s="49" t="n"/>
      <c r="D534" s="71" t="n">
        <v>54</v>
      </c>
      <c r="E534" s="71" t="n"/>
      <c r="F534" s="55" t="n"/>
      <c r="G534" s="55" t="n">
        <v>50</v>
      </c>
      <c r="H534" s="55">
        <f>H533-G534</f>
        <v/>
      </c>
      <c r="I534" s="71" t="n"/>
      <c r="J534" s="749" t="n"/>
      <c r="K534" s="749">
        <f>G534*D534</f>
        <v/>
      </c>
      <c r="L534" s="748" t="n"/>
      <c r="M534" s="114" t="n"/>
    </row>
    <row r="535">
      <c r="A535" s="92" t="n">
        <v>43515</v>
      </c>
      <c r="B535" s="93" t="inlineStr">
        <is>
          <t>111020</t>
        </is>
      </c>
      <c r="C535" s="93" t="n"/>
      <c r="D535" s="94" t="n">
        <v>42.75</v>
      </c>
      <c r="E535" s="94" t="n"/>
      <c r="F535" s="95" t="n">
        <v>300</v>
      </c>
      <c r="G535" s="95" t="n"/>
      <c r="H535" s="95" t="n">
        <v>738</v>
      </c>
      <c r="I535" s="71" t="n"/>
      <c r="J535" s="749" t="n"/>
      <c r="K535" s="749" t="n"/>
      <c r="L535" s="748" t="n"/>
      <c r="M535" s="114" t="n"/>
    </row>
    <row r="536">
      <c r="A536" s="48" t="n">
        <v>43516</v>
      </c>
      <c r="B536" s="49" t="inlineStr">
        <is>
          <t>6345</t>
        </is>
      </c>
      <c r="C536" s="49" t="n"/>
      <c r="D536" s="71" t="n">
        <v>58</v>
      </c>
      <c r="E536" s="71" t="n"/>
      <c r="F536" s="55" t="n"/>
      <c r="G536" s="55" t="n">
        <v>80</v>
      </c>
      <c r="H536" s="55">
        <f>H535-G536</f>
        <v/>
      </c>
      <c r="I536" s="71" t="n"/>
      <c r="J536" s="749" t="n"/>
      <c r="K536" s="749">
        <f>G536*D536</f>
        <v/>
      </c>
      <c r="L536" s="748" t="n"/>
      <c r="M536" s="114" t="n"/>
    </row>
    <row r="537">
      <c r="A537" s="48" t="n">
        <v>43516</v>
      </c>
      <c r="B537" s="49" t="inlineStr">
        <is>
          <t>6347</t>
        </is>
      </c>
      <c r="C537" s="49" t="n"/>
      <c r="D537" s="71" t="n">
        <v>54</v>
      </c>
      <c r="E537" s="71" t="n"/>
      <c r="F537" s="55" t="n"/>
      <c r="G537" s="55" t="n">
        <v>20</v>
      </c>
      <c r="H537" s="55">
        <f>H536-G537</f>
        <v/>
      </c>
      <c r="I537" s="71" t="n"/>
      <c r="J537" s="749" t="n"/>
      <c r="K537" s="749">
        <f>G537*D537</f>
        <v/>
      </c>
      <c r="L537" s="748" t="n"/>
      <c r="M537" s="114" t="n"/>
    </row>
    <row r="538">
      <c r="A538" s="48" t="n">
        <v>43516</v>
      </c>
      <c r="B538" s="49" t="inlineStr">
        <is>
          <t>6349</t>
        </is>
      </c>
      <c r="C538" s="49" t="n"/>
      <c r="D538" s="71" t="n">
        <v>59</v>
      </c>
      <c r="E538" s="71" t="n"/>
      <c r="F538" s="55" t="n"/>
      <c r="G538" s="55" t="n">
        <v>60</v>
      </c>
      <c r="H538" s="55">
        <f>H537-G538</f>
        <v/>
      </c>
      <c r="I538" s="71" t="n"/>
      <c r="J538" s="749" t="n"/>
      <c r="K538" s="749">
        <f>G538*D538</f>
        <v/>
      </c>
      <c r="L538" s="748" t="n"/>
      <c r="M538" s="114" t="n"/>
    </row>
    <row r="539">
      <c r="A539" s="48" t="n">
        <v>43516</v>
      </c>
      <c r="B539" s="49" t="inlineStr">
        <is>
          <t>6351</t>
        </is>
      </c>
      <c r="C539" s="49" t="n"/>
      <c r="D539" s="71" t="n">
        <v>54</v>
      </c>
      <c r="E539" s="71" t="n"/>
      <c r="F539" s="55" t="n"/>
      <c r="G539" s="55" t="n">
        <v>19</v>
      </c>
      <c r="H539" s="55">
        <f>H538-G539</f>
        <v/>
      </c>
      <c r="I539" s="71" t="n"/>
      <c r="J539" s="749" t="n"/>
      <c r="K539" s="749">
        <f>G539*D539</f>
        <v/>
      </c>
      <c r="L539" s="748" t="n"/>
      <c r="M539" s="114" t="n"/>
    </row>
    <row r="540">
      <c r="A540" s="48" t="n">
        <v>43516</v>
      </c>
      <c r="B540" s="49" t="inlineStr">
        <is>
          <t>6352</t>
        </is>
      </c>
      <c r="C540" s="49" t="n"/>
      <c r="D540" s="71" t="n">
        <v>50</v>
      </c>
      <c r="E540" s="71" t="n"/>
      <c r="F540" s="55" t="n"/>
      <c r="G540" s="55" t="n">
        <v>50</v>
      </c>
      <c r="H540" s="55">
        <f>H539-G540</f>
        <v/>
      </c>
      <c r="I540" s="71" t="n"/>
      <c r="J540" s="749" t="n"/>
      <c r="K540" s="749">
        <f>G540*D540</f>
        <v/>
      </c>
      <c r="L540" s="748" t="n"/>
      <c r="M540" s="114" t="n"/>
    </row>
    <row r="541">
      <c r="A541" s="48" t="n">
        <v>43521</v>
      </c>
      <c r="B541" s="49" t="inlineStr">
        <is>
          <t>6357</t>
        </is>
      </c>
      <c r="C541" s="49" t="n"/>
      <c r="D541" s="71" t="n">
        <v>57</v>
      </c>
      <c r="E541" s="71" t="n"/>
      <c r="F541" s="55" t="n"/>
      <c r="G541" s="55" t="n">
        <v>25</v>
      </c>
      <c r="H541" s="55">
        <f>H540-G541</f>
        <v/>
      </c>
      <c r="I541" s="71" t="n"/>
      <c r="J541" s="749" t="n"/>
      <c r="K541" s="749">
        <f>G541*D541</f>
        <v/>
      </c>
      <c r="L541" s="748" t="n"/>
      <c r="M541" s="114" t="n"/>
    </row>
    <row r="542">
      <c r="A542" s="48" t="n">
        <v>43522</v>
      </c>
      <c r="B542" s="49" t="inlineStr">
        <is>
          <t>6358</t>
        </is>
      </c>
      <c r="C542" s="49" t="n"/>
      <c r="D542" s="71" t="n">
        <v>54</v>
      </c>
      <c r="E542" s="71" t="n"/>
      <c r="F542" s="55" t="n"/>
      <c r="G542" s="55" t="n">
        <v>10</v>
      </c>
      <c r="H542" s="55">
        <f>H541-G542</f>
        <v/>
      </c>
      <c r="I542" s="71" t="n"/>
      <c r="J542" s="749" t="n"/>
      <c r="K542" s="749">
        <f>G542*D542</f>
        <v/>
      </c>
      <c r="L542" s="748" t="n"/>
      <c r="M542" s="114" t="n"/>
    </row>
    <row r="543">
      <c r="A543" s="48" t="n">
        <v>43523</v>
      </c>
      <c r="B543" s="49" t="inlineStr">
        <is>
          <t>6362</t>
        </is>
      </c>
      <c r="C543" s="49" t="n"/>
      <c r="D543" s="71" t="n">
        <v>53</v>
      </c>
      <c r="E543" s="71" t="n"/>
      <c r="F543" s="55" t="n"/>
      <c r="G543" s="55" t="n">
        <v>50</v>
      </c>
      <c r="H543" s="55">
        <f>H542-G543</f>
        <v/>
      </c>
      <c r="I543" s="71" t="n"/>
      <c r="J543" s="749" t="n"/>
      <c r="K543" s="749">
        <f>G543*D543</f>
        <v/>
      </c>
      <c r="L543" s="748" t="n"/>
      <c r="M543" s="114" t="n"/>
    </row>
    <row r="544">
      <c r="A544" s="48" t="n">
        <v>43524</v>
      </c>
      <c r="B544" s="49" t="inlineStr">
        <is>
          <t>6367</t>
        </is>
      </c>
      <c r="C544" s="49" t="n"/>
      <c r="D544" s="71" t="n">
        <v>53</v>
      </c>
      <c r="E544" s="71" t="n"/>
      <c r="F544" s="55" t="n"/>
      <c r="G544" s="55" t="n">
        <v>15</v>
      </c>
      <c r="H544" s="55">
        <f>H543-G544</f>
        <v/>
      </c>
      <c r="I544" s="71" t="n"/>
      <c r="J544" s="749" t="n"/>
      <c r="K544" s="749">
        <f>G544*D544</f>
        <v/>
      </c>
      <c r="L544" s="748" t="n"/>
      <c r="M544" s="114" t="n"/>
    </row>
    <row r="545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  <c r="J545" s="76" t="n"/>
      <c r="K545" s="76" t="n"/>
      <c r="L545" s="76" t="n"/>
      <c r="M545" s="114" t="n"/>
    </row>
    <row r="546">
      <c r="A546" s="76" t="n"/>
      <c r="B546" s="76" t="n"/>
      <c r="C546" s="76" t="n"/>
      <c r="D546" s="76" t="n"/>
      <c r="E546" s="76" t="n"/>
      <c r="F546" s="76" t="n"/>
      <c r="G546" s="76" t="n"/>
      <c r="H546" s="76" t="n"/>
      <c r="I546" s="76" t="n"/>
      <c r="J546" s="76" t="n"/>
      <c r="K546" s="76" t="n"/>
      <c r="L546" s="76" t="n"/>
      <c r="M546" s="114" t="n"/>
    </row>
    <row r="547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  <c r="J547" s="76" t="n"/>
      <c r="K547" s="76" t="n"/>
      <c r="L547" s="76" t="n"/>
      <c r="M547" s="114" t="n"/>
    </row>
    <row r="548">
      <c r="A548" s="76" t="n"/>
      <c r="B548" s="76" t="n"/>
      <c r="C548" s="76" t="n"/>
      <c r="D548" s="76" t="n"/>
      <c r="E548" s="76" t="n"/>
      <c r="F548" s="76" t="n"/>
      <c r="G548" s="76" t="n"/>
      <c r="H548" s="76" t="n"/>
      <c r="I548" s="76" t="n"/>
      <c r="J548" s="76" t="n"/>
      <c r="K548" s="76" t="n"/>
      <c r="L548" s="76" t="n"/>
      <c r="M548" s="114" t="n"/>
    </row>
    <row r="549" ht="15.75" customHeight="1" s="436" thickBot="1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  <c r="J549" s="76" t="n"/>
      <c r="K549" s="76" t="n"/>
      <c r="L549" s="76" t="n"/>
      <c r="M549" s="114" t="n"/>
    </row>
    <row r="550" ht="21.75" customHeight="1" s="436" thickBot="1">
      <c r="A550" s="744" t="inlineStr">
        <is>
          <t xml:space="preserve">021 - DENISE FURTADO DE SOUZA - ME </t>
        </is>
      </c>
      <c r="B550" s="737" t="n"/>
      <c r="C550" s="737" t="n"/>
      <c r="D550" s="737" t="n"/>
      <c r="E550" s="737" t="n"/>
      <c r="F550" s="737" t="n"/>
      <c r="G550" s="737" t="n"/>
      <c r="H550" s="737" t="n"/>
      <c r="I550" s="737" t="n"/>
      <c r="J550" s="737" t="n"/>
      <c r="K550" s="737" t="n"/>
      <c r="L550" s="736" t="n"/>
      <c r="M550" s="114" t="n"/>
    </row>
    <row r="551" ht="24" customHeight="1" s="436" thickBot="1">
      <c r="A551" s="745" t="inlineStr">
        <is>
          <t xml:space="preserve">  PRÉ MISTURA - 25 KG</t>
        </is>
      </c>
      <c r="B551" s="737" t="n"/>
      <c r="C551" s="737" t="n"/>
      <c r="D551" s="737" t="n"/>
      <c r="E551" s="737" t="n"/>
      <c r="F551" s="737" t="n"/>
      <c r="G551" s="737" t="n"/>
      <c r="H551" s="737" t="n"/>
      <c r="I551" s="737" t="n"/>
      <c r="J551" s="737" t="n"/>
      <c r="K551" s="737" t="n"/>
      <c r="L551" s="736" t="n"/>
      <c r="M551" s="114" t="n"/>
    </row>
    <row r="552">
      <c r="A552" s="746" t="inlineStr">
        <is>
          <t>DATA</t>
        </is>
      </c>
      <c r="B552" s="3" t="inlineStr">
        <is>
          <t>N.F.</t>
        </is>
      </c>
      <c r="C552" s="3" t="inlineStr">
        <is>
          <t>TIPO</t>
        </is>
      </c>
      <c r="D552" s="3" t="inlineStr">
        <is>
          <t>PREÇO UNITÁRIO</t>
        </is>
      </c>
      <c r="E552" s="736" t="n"/>
      <c r="F552" s="3" t="inlineStr">
        <is>
          <t>QUANTIDADE / KG</t>
        </is>
      </c>
      <c r="G552" s="737" t="n"/>
      <c r="H552" s="736" t="n"/>
      <c r="I552" s="631" t="inlineStr">
        <is>
          <t>PREÇO</t>
        </is>
      </c>
      <c r="J552" s="631" t="inlineStr">
        <is>
          <t>VALORES</t>
        </is>
      </c>
      <c r="K552" s="737" t="n"/>
      <c r="L552" s="736" t="n"/>
      <c r="M552" s="114" t="n"/>
    </row>
    <row r="553" ht="15.75" customHeight="1" s="436" thickBot="1">
      <c r="A553" s="703" t="n"/>
      <c r="B553" s="704" t="n"/>
      <c r="C553" s="704" t="n"/>
      <c r="D553" s="703" t="n"/>
      <c r="E553" s="701" t="n"/>
      <c r="F553" s="705" t="n"/>
      <c r="G553" s="706" t="n"/>
      <c r="H553" s="707" t="n"/>
      <c r="I553" s="704" t="n"/>
      <c r="J553" s="703" t="n"/>
      <c r="L553" s="701" t="n"/>
      <c r="M553" s="114" t="n"/>
    </row>
    <row r="554" ht="15.75" customHeight="1" s="436" thickBot="1">
      <c r="A554" s="703" t="n"/>
      <c r="B554" s="704" t="n"/>
      <c r="C554" s="704" t="n"/>
      <c r="D554" s="705" t="n"/>
      <c r="E554" s="707" t="n"/>
      <c r="F554" s="3" t="inlineStr">
        <is>
          <t>ENTRADA</t>
        </is>
      </c>
      <c r="G554" s="3" t="inlineStr">
        <is>
          <t>SAÍDA</t>
        </is>
      </c>
      <c r="H554" s="640" t="n"/>
      <c r="I554" s="633" t="inlineStr">
        <is>
          <t>MÉDIO</t>
        </is>
      </c>
      <c r="J554" s="652" t="inlineStr">
        <is>
          <t>SALDO EM 30/12/2017</t>
        </is>
      </c>
      <c r="K554" s="706" t="n"/>
      <c r="L554" s="17" t="n"/>
      <c r="M554" s="114" t="n"/>
    </row>
    <row r="555" ht="15.75" customHeight="1" s="436" thickBot="1">
      <c r="A555" s="705" t="n"/>
      <c r="B555" s="695" t="n"/>
      <c r="C555" s="695" t="n"/>
      <c r="D555" s="3" t="inlineStr">
        <is>
          <t>C/ICMS</t>
        </is>
      </c>
      <c r="E555" s="3" t="inlineStr">
        <is>
          <t>S/ICMS</t>
        </is>
      </c>
      <c r="F555" s="695" t="n"/>
      <c r="G555" s="695" t="n"/>
      <c r="H555" s="18" t="inlineStr">
        <is>
          <t>Saldo em 28/2/19</t>
        </is>
      </c>
      <c r="I555" s="695" t="n"/>
      <c r="J555" s="645" t="inlineStr">
        <is>
          <t>ENTRADA</t>
        </is>
      </c>
      <c r="K555" s="633" t="inlineStr">
        <is>
          <t>SAÍDA / CMV</t>
        </is>
      </c>
      <c r="L555" s="633" t="inlineStr">
        <is>
          <t>SALDO</t>
        </is>
      </c>
      <c r="M555" s="114" t="n"/>
    </row>
    <row r="556">
      <c r="A556" s="48" t="n"/>
      <c r="B556" s="49" t="n"/>
      <c r="C556" s="49" t="n"/>
      <c r="D556" s="71" t="n"/>
      <c r="E556" s="71" t="n"/>
      <c r="F556" s="55" t="n"/>
      <c r="G556" s="55" t="n">
        <v>0</v>
      </c>
      <c r="H556" s="55" t="n"/>
      <c r="I556" s="71" t="n"/>
      <c r="J556" s="747">
        <f>F556*I556</f>
        <v/>
      </c>
      <c r="K556" s="747" t="n">
        <v>0</v>
      </c>
      <c r="L556" s="748">
        <f>J556-K556</f>
        <v/>
      </c>
      <c r="M556" s="114" t="n"/>
    </row>
    <row r="557">
      <c r="A557" s="92" t="n">
        <v>43525</v>
      </c>
      <c r="B557" s="93" t="n"/>
      <c r="C557" s="96" t="n"/>
      <c r="D557" s="97" t="n"/>
      <c r="E557" s="97" t="n"/>
      <c r="F557" s="98" t="n"/>
      <c r="G557" s="98" t="n"/>
      <c r="H557" s="95" t="n">
        <v>409</v>
      </c>
      <c r="I557" s="51" t="n"/>
      <c r="J557" s="749" t="n"/>
      <c r="K557" s="749">
        <f>G557*D557</f>
        <v/>
      </c>
      <c r="L557" s="748" t="n"/>
      <c r="M557" s="114" t="n"/>
    </row>
    <row r="558">
      <c r="A558" s="48" t="n">
        <v>43530</v>
      </c>
      <c r="B558" s="49" t="inlineStr">
        <is>
          <t>6370</t>
        </is>
      </c>
      <c r="C558" s="50" t="n"/>
      <c r="D558" s="51" t="n">
        <v>53</v>
      </c>
      <c r="E558" s="51" t="n"/>
      <c r="F558" s="52" t="n"/>
      <c r="G558" s="52" t="n">
        <v>50</v>
      </c>
      <c r="H558" s="55">
        <f>H557-G558</f>
        <v/>
      </c>
      <c r="I558" s="51" t="n"/>
      <c r="J558" s="749" t="n"/>
      <c r="K558" s="749" t="n"/>
      <c r="L558" s="748" t="n"/>
      <c r="M558" s="114" t="n"/>
    </row>
    <row r="559">
      <c r="A559" s="48" t="n">
        <v>43536</v>
      </c>
      <c r="B559" s="49" t="inlineStr">
        <is>
          <t>6385</t>
        </is>
      </c>
      <c r="C559" s="50" t="n"/>
      <c r="D559" s="51" t="n">
        <v>53</v>
      </c>
      <c r="E559" s="51" t="n"/>
      <c r="F559" s="52" t="n"/>
      <c r="G559" s="52" t="n">
        <v>30</v>
      </c>
      <c r="H559" s="55">
        <f>H558-G559</f>
        <v/>
      </c>
      <c r="I559" s="51" t="n"/>
      <c r="J559" s="749" t="n"/>
      <c r="K559" s="749" t="n"/>
      <c r="L559" s="748" t="n"/>
      <c r="M559" s="114" t="n"/>
    </row>
    <row r="560">
      <c r="A560" s="48" t="n">
        <v>43536</v>
      </c>
      <c r="B560" s="49" t="inlineStr">
        <is>
          <t>6387</t>
        </is>
      </c>
      <c r="C560" s="50" t="n"/>
      <c r="D560" s="51" t="n">
        <v>53</v>
      </c>
      <c r="E560" s="51" t="n"/>
      <c r="F560" s="52" t="n"/>
      <c r="G560" s="52" t="n">
        <v>20</v>
      </c>
      <c r="H560" s="55">
        <f>H558-G560</f>
        <v/>
      </c>
      <c r="I560" s="51" t="n"/>
      <c r="J560" s="749" t="n"/>
      <c r="K560" s="749" t="n"/>
      <c r="L560" s="748" t="n"/>
      <c r="M560" s="114" t="n"/>
    </row>
    <row r="561">
      <c r="A561" s="48" t="n">
        <v>43536</v>
      </c>
      <c r="B561" s="49" t="inlineStr">
        <is>
          <t>6388</t>
        </is>
      </c>
      <c r="C561" s="50" t="n"/>
      <c r="D561" s="51" t="n">
        <v>50</v>
      </c>
      <c r="E561" s="51" t="n"/>
      <c r="F561" s="52" t="n"/>
      <c r="G561" s="52" t="n">
        <v>15</v>
      </c>
      <c r="H561" s="55">
        <f>H560-G561</f>
        <v/>
      </c>
      <c r="I561" s="51" t="n"/>
      <c r="J561" s="749" t="n"/>
      <c r="K561" s="749">
        <f>G561*D561</f>
        <v/>
      </c>
      <c r="L561" s="748" t="n"/>
      <c r="M561" s="114" t="n"/>
    </row>
    <row r="562">
      <c r="A562" s="48" t="n">
        <v>43536</v>
      </c>
      <c r="B562" s="49" t="inlineStr">
        <is>
          <t>6390</t>
        </is>
      </c>
      <c r="C562" s="49" t="n"/>
      <c r="D562" s="117" t="n">
        <v>54</v>
      </c>
      <c r="E562" s="71" t="n"/>
      <c r="F562" s="55" t="n"/>
      <c r="G562" s="55" t="n">
        <v>20</v>
      </c>
      <c r="H562" s="55">
        <f>H561-G562</f>
        <v/>
      </c>
      <c r="I562" s="71" t="n"/>
      <c r="J562" s="749" t="n"/>
      <c r="K562" s="749">
        <f>G562*D562</f>
        <v/>
      </c>
      <c r="L562" s="748" t="n"/>
      <c r="M562" s="114" t="n"/>
    </row>
    <row r="563">
      <c r="A563" s="48" t="n">
        <v>43548</v>
      </c>
      <c r="B563" s="49" t="inlineStr">
        <is>
          <t>6408</t>
        </is>
      </c>
      <c r="C563" s="49" t="n"/>
      <c r="D563" s="71" t="n">
        <v>55.5</v>
      </c>
      <c r="E563" s="71" t="n"/>
      <c r="F563" s="55" t="n"/>
      <c r="G563" s="55" t="n">
        <v>20</v>
      </c>
      <c r="H563" s="55">
        <f>H562-G563</f>
        <v/>
      </c>
      <c r="I563" s="71" t="n"/>
      <c r="J563" s="749" t="n"/>
      <c r="K563" s="749">
        <f>G563*D563</f>
        <v/>
      </c>
      <c r="L563" s="748" t="n"/>
      <c r="M563" s="114" t="n"/>
    </row>
    <row r="564">
      <c r="A564" s="48" t="n">
        <v>43548</v>
      </c>
      <c r="B564" s="49" t="inlineStr">
        <is>
          <t>6409</t>
        </is>
      </c>
      <c r="C564" s="49" t="n"/>
      <c r="D564" s="71" t="n">
        <v>50</v>
      </c>
      <c r="E564" s="71" t="n"/>
      <c r="F564" s="55" t="n"/>
      <c r="G564" s="55" t="n">
        <v>10</v>
      </c>
      <c r="H564" s="55">
        <f>H563-G564</f>
        <v/>
      </c>
      <c r="I564" s="71" t="n"/>
      <c r="J564" s="749" t="n"/>
      <c r="K564" s="749">
        <f>G564*D564</f>
        <v/>
      </c>
      <c r="L564" s="748" t="n"/>
      <c r="M564" s="114" t="n"/>
    </row>
    <row r="565">
      <c r="A565" s="48" t="n">
        <v>43548</v>
      </c>
      <c r="B565" s="49" t="inlineStr">
        <is>
          <t>6410</t>
        </is>
      </c>
      <c r="C565" s="49" t="n"/>
      <c r="D565" s="71" t="n">
        <v>54</v>
      </c>
      <c r="E565" s="71" t="n"/>
      <c r="F565" s="55" t="n"/>
      <c r="G565" s="55" t="n">
        <v>30</v>
      </c>
      <c r="H565" s="55">
        <f>H564-G565</f>
        <v/>
      </c>
      <c r="I565" s="71" t="n"/>
      <c r="J565" s="749" t="n"/>
      <c r="K565" s="749">
        <f>G565*D565</f>
        <v/>
      </c>
      <c r="L565" s="748" t="n"/>
      <c r="M565" s="114" t="n"/>
    </row>
    <row r="566">
      <c r="A566" s="92" t="n">
        <v>43549</v>
      </c>
      <c r="B566" s="93" t="inlineStr">
        <is>
          <t>113365</t>
        </is>
      </c>
      <c r="C566" s="93" t="n"/>
      <c r="D566" s="94" t="n">
        <v>42.75</v>
      </c>
      <c r="E566" s="94" t="n"/>
      <c r="F566" s="95" t="n">
        <v>700</v>
      </c>
      <c r="G566" s="95" t="n"/>
      <c r="H566" s="95" t="n">
        <v>944</v>
      </c>
      <c r="I566" s="71" t="n"/>
      <c r="J566" s="749" t="n"/>
      <c r="K566" s="749" t="n"/>
      <c r="L566" s="748" t="n"/>
      <c r="M566" s="114" t="n"/>
    </row>
    <row r="567">
      <c r="A567" s="48" t="n">
        <v>43550</v>
      </c>
      <c r="B567" s="49" t="inlineStr">
        <is>
          <t>6414</t>
        </is>
      </c>
      <c r="C567" s="49" t="n"/>
      <c r="D567" s="71" t="n">
        <v>54</v>
      </c>
      <c r="E567" s="71" t="n"/>
      <c r="F567" s="55" t="n"/>
      <c r="G567" s="55" t="n">
        <v>60</v>
      </c>
      <c r="H567" s="55">
        <f>H566-G567</f>
        <v/>
      </c>
      <c r="I567" s="71" t="n"/>
      <c r="J567" s="749" t="n"/>
      <c r="K567" s="749">
        <f>G567*D567</f>
        <v/>
      </c>
      <c r="L567" s="748" t="n"/>
      <c r="M567" s="114" t="n"/>
    </row>
    <row r="568">
      <c r="A568" s="48" t="n">
        <v>43551</v>
      </c>
      <c r="B568" s="49" t="inlineStr">
        <is>
          <t>6418</t>
        </is>
      </c>
      <c r="C568" s="49" t="n"/>
      <c r="D568" s="71" t="n">
        <v>54</v>
      </c>
      <c r="E568" s="71" t="n"/>
      <c r="F568" s="55" t="n"/>
      <c r="G568" s="55" t="n">
        <v>20</v>
      </c>
      <c r="H568" s="55">
        <f>H567-G568</f>
        <v/>
      </c>
      <c r="I568" s="71" t="n"/>
      <c r="J568" s="749" t="n"/>
      <c r="K568" s="749">
        <f>G568*D568</f>
        <v/>
      </c>
      <c r="L568" s="748" t="n"/>
      <c r="M568" s="114" t="n"/>
    </row>
    <row r="569">
      <c r="A569" s="48" t="n">
        <v>43551</v>
      </c>
      <c r="B569" s="49" t="inlineStr">
        <is>
          <t>6419</t>
        </is>
      </c>
      <c r="C569" s="49" t="n"/>
      <c r="D569" s="71" t="n">
        <v>53</v>
      </c>
      <c r="E569" s="71" t="n"/>
      <c r="F569" s="55" t="n"/>
      <c r="G569" s="55" t="n">
        <v>15</v>
      </c>
      <c r="H569" s="55">
        <f>H568-G569</f>
        <v/>
      </c>
      <c r="I569" s="71" t="n"/>
      <c r="J569" s="749" t="n"/>
      <c r="K569" s="749">
        <f>G569*D569</f>
        <v/>
      </c>
      <c r="L569" s="748" t="n"/>
      <c r="M569" s="114" t="n"/>
    </row>
    <row r="570">
      <c r="A570" s="48" t="n">
        <v>43551</v>
      </c>
      <c r="B570" s="49" t="inlineStr">
        <is>
          <t>6422</t>
        </is>
      </c>
      <c r="C570" s="49" t="n"/>
      <c r="D570" s="71" t="n">
        <v>53</v>
      </c>
      <c r="E570" s="71" t="n"/>
      <c r="F570" s="55" t="n"/>
      <c r="G570" s="55" t="n">
        <v>30</v>
      </c>
      <c r="H570" s="55">
        <f>H569-G570</f>
        <v/>
      </c>
      <c r="I570" s="71" t="n"/>
      <c r="J570" s="749" t="n"/>
      <c r="K570" s="749">
        <f>G570*D570</f>
        <v/>
      </c>
      <c r="L570" s="748" t="n"/>
      <c r="M570" s="114" t="n"/>
    </row>
    <row r="571" ht="17.25" customHeight="1" s="436">
      <c r="A571" s="48" t="n">
        <v>43555</v>
      </c>
      <c r="B571" s="49" t="inlineStr">
        <is>
          <t>6423</t>
        </is>
      </c>
      <c r="C571" s="49" t="n"/>
      <c r="D571" s="71" t="n">
        <v>53</v>
      </c>
      <c r="E571" s="71" t="n"/>
      <c r="F571" s="55" t="n"/>
      <c r="G571" s="55" t="n">
        <v>50</v>
      </c>
      <c r="H571" s="87">
        <f>H570-G571</f>
        <v/>
      </c>
      <c r="I571" s="71" t="n"/>
      <c r="J571" s="749" t="n"/>
      <c r="K571" s="749">
        <f>G571*D571</f>
        <v/>
      </c>
      <c r="L571" s="748" t="n"/>
      <c r="M571" s="114" t="n"/>
    </row>
    <row r="572">
      <c r="A572" s="48" t="n"/>
      <c r="B572" s="49" t="inlineStr">
        <is>
          <t>6358</t>
        </is>
      </c>
      <c r="C572" s="49" t="n"/>
      <c r="D572" s="71" t="n">
        <v>54</v>
      </c>
      <c r="E572" s="71" t="n"/>
      <c r="F572" s="55" t="n"/>
      <c r="G572" s="55" t="n"/>
      <c r="H572" s="55">
        <f>H571-G572</f>
        <v/>
      </c>
      <c r="I572" s="71" t="n"/>
      <c r="J572" s="749" t="n"/>
      <c r="K572" s="749">
        <f>G572*D572</f>
        <v/>
      </c>
      <c r="L572" s="748" t="n"/>
      <c r="M572" s="114" t="n"/>
    </row>
    <row r="573">
      <c r="A573" s="48" t="n"/>
      <c r="B573" s="49" t="inlineStr">
        <is>
          <t>6362</t>
        </is>
      </c>
      <c r="C573" s="49" t="n"/>
      <c r="D573" s="71" t="n">
        <v>53</v>
      </c>
      <c r="E573" s="71" t="n"/>
      <c r="F573" s="55" t="n"/>
      <c r="G573" s="55" t="n"/>
      <c r="H573" s="55">
        <f>H572-G573</f>
        <v/>
      </c>
      <c r="I573" s="71" t="n"/>
      <c r="J573" s="749" t="n"/>
      <c r="K573" s="749">
        <f>G573*D573</f>
        <v/>
      </c>
      <c r="L573" s="748" t="n"/>
      <c r="M573" s="114" t="n"/>
    </row>
    <row r="574">
      <c r="A574" s="48" t="n"/>
      <c r="B574" s="49" t="inlineStr">
        <is>
          <t>6367</t>
        </is>
      </c>
      <c r="C574" s="49" t="n"/>
      <c r="D574" s="71" t="n">
        <v>53</v>
      </c>
      <c r="E574" s="71" t="n"/>
      <c r="F574" s="55" t="n"/>
      <c r="G574" s="55" t="n"/>
      <c r="H574" s="55">
        <f>H573-G574</f>
        <v/>
      </c>
      <c r="I574" s="71" t="n"/>
      <c r="J574" s="749" t="n"/>
      <c r="K574" s="749">
        <f>G574*D574</f>
        <v/>
      </c>
      <c r="L574" s="748" t="n"/>
      <c r="M574" s="114" t="n"/>
    </row>
    <row r="575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  <c r="J575" s="76" t="n"/>
      <c r="K575" s="76" t="n"/>
      <c r="L575" s="76" t="n"/>
      <c r="M575" s="114" t="n"/>
    </row>
    <row r="576">
      <c r="A576" s="76" t="n"/>
      <c r="B576" s="76" t="n"/>
      <c r="C576" s="76" t="n"/>
      <c r="D576" s="76" t="n"/>
      <c r="E576" s="76" t="n"/>
      <c r="F576" s="76" t="n"/>
      <c r="G576" s="76" t="n"/>
      <c r="H576" s="76" t="n"/>
      <c r="I576" s="76" t="n"/>
      <c r="J576" s="76" t="n"/>
      <c r="K576" s="76" t="n"/>
      <c r="L576" s="76" t="n"/>
      <c r="M576" s="114" t="n"/>
    </row>
    <row r="577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  <c r="J577" s="76" t="n"/>
      <c r="K577" s="76" t="n"/>
      <c r="L577" s="76" t="n"/>
      <c r="M577" s="114" t="n"/>
    </row>
    <row r="578">
      <c r="A578" s="76" t="n"/>
      <c r="B578" s="76" t="n"/>
      <c r="C578" s="76" t="n"/>
      <c r="D578" s="76" t="n"/>
      <c r="E578" s="76" t="n"/>
      <c r="F578" s="76" t="n"/>
      <c r="G578" s="76" t="n"/>
      <c r="H578" s="76" t="n"/>
      <c r="I578" s="76" t="n"/>
      <c r="J578" s="76" t="n"/>
      <c r="K578" s="76" t="n"/>
      <c r="L578" s="76" t="n"/>
      <c r="M578" s="114" t="n"/>
    </row>
    <row r="579" ht="15.75" customHeight="1" s="436" thickBot="1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  <c r="J579" s="76" t="n"/>
      <c r="K579" s="76" t="n"/>
      <c r="L579" s="76" t="n"/>
      <c r="M579" s="114" t="n"/>
    </row>
    <row r="580" ht="21.75" customHeight="1" s="436" thickBot="1">
      <c r="A580" s="744" t="inlineStr">
        <is>
          <t xml:space="preserve">021 - DENISE FURTADO DE SOUZA - ME </t>
        </is>
      </c>
      <c r="B580" s="737" t="n"/>
      <c r="C580" s="737" t="n"/>
      <c r="D580" s="737" t="n"/>
      <c r="E580" s="737" t="n"/>
      <c r="F580" s="737" t="n"/>
      <c r="G580" s="737" t="n"/>
      <c r="H580" s="737" t="n"/>
      <c r="I580" s="737" t="n"/>
      <c r="J580" s="737" t="n"/>
      <c r="K580" s="737" t="n"/>
      <c r="L580" s="736" t="n"/>
      <c r="M580" s="114" t="n"/>
    </row>
    <row r="581" ht="24" customHeight="1" s="436" thickBot="1">
      <c r="A581" s="745" t="inlineStr">
        <is>
          <t xml:space="preserve">  PRÉ MISTURA - 25 KG</t>
        </is>
      </c>
      <c r="B581" s="737" t="n"/>
      <c r="C581" s="737" t="n"/>
      <c r="D581" s="737" t="n"/>
      <c r="E581" s="737" t="n"/>
      <c r="F581" s="737" t="n"/>
      <c r="G581" s="737" t="n"/>
      <c r="H581" s="737" t="n"/>
      <c r="I581" s="737" t="n"/>
      <c r="J581" s="737" t="n"/>
      <c r="K581" s="737" t="n"/>
      <c r="L581" s="736" t="n"/>
      <c r="M581" s="114" t="n"/>
    </row>
    <row r="582">
      <c r="A582" s="746" t="inlineStr">
        <is>
          <t>DATA</t>
        </is>
      </c>
      <c r="B582" s="3" t="inlineStr">
        <is>
          <t>N.F.</t>
        </is>
      </c>
      <c r="C582" s="3" t="inlineStr">
        <is>
          <t>TIPO</t>
        </is>
      </c>
      <c r="D582" s="3" t="inlineStr">
        <is>
          <t>PREÇO UNITÁRIO</t>
        </is>
      </c>
      <c r="E582" s="736" t="n"/>
      <c r="F582" s="3" t="inlineStr">
        <is>
          <t>QUANTIDADE / KG</t>
        </is>
      </c>
      <c r="G582" s="737" t="n"/>
      <c r="H582" s="736" t="n"/>
      <c r="I582" s="631" t="inlineStr">
        <is>
          <t>PREÇO</t>
        </is>
      </c>
      <c r="J582" s="631" t="inlineStr">
        <is>
          <t>VALORES</t>
        </is>
      </c>
      <c r="K582" s="737" t="n"/>
      <c r="L582" s="736" t="n"/>
      <c r="M582" s="114" t="n"/>
    </row>
    <row r="583" ht="15.75" customHeight="1" s="436" thickBot="1">
      <c r="A583" s="703" t="n"/>
      <c r="B583" s="704" t="n"/>
      <c r="C583" s="704" t="n"/>
      <c r="D583" s="703" t="n"/>
      <c r="E583" s="701" t="n"/>
      <c r="F583" s="705" t="n"/>
      <c r="G583" s="706" t="n"/>
      <c r="H583" s="707" t="n"/>
      <c r="I583" s="704" t="n"/>
      <c r="J583" s="703" t="n"/>
      <c r="L583" s="701" t="n"/>
      <c r="M583" s="114" t="n"/>
    </row>
    <row r="584" ht="15.75" customHeight="1" s="436" thickBot="1">
      <c r="A584" s="703" t="n"/>
      <c r="B584" s="704" t="n"/>
      <c r="C584" s="704" t="n"/>
      <c r="D584" s="705" t="n"/>
      <c r="E584" s="707" t="n"/>
      <c r="F584" s="3" t="inlineStr">
        <is>
          <t>ENTRADA</t>
        </is>
      </c>
      <c r="G584" s="3" t="inlineStr">
        <is>
          <t>SAÍDA</t>
        </is>
      </c>
      <c r="H584" s="640" t="n"/>
      <c r="I584" s="633" t="inlineStr">
        <is>
          <t>MÉDIO</t>
        </is>
      </c>
      <c r="J584" s="652" t="inlineStr">
        <is>
          <t>SALDO EM 30/12/2017</t>
        </is>
      </c>
      <c r="K584" s="706" t="n"/>
      <c r="L584" s="17" t="n"/>
      <c r="M584" s="114" t="n"/>
    </row>
    <row r="585" ht="15.75" customHeight="1" s="436" thickBot="1">
      <c r="A585" s="705" t="n"/>
      <c r="B585" s="695" t="n"/>
      <c r="C585" s="695" t="n"/>
      <c r="D585" s="3" t="inlineStr">
        <is>
          <t>C/ICMS</t>
        </is>
      </c>
      <c r="E585" s="3" t="inlineStr">
        <is>
          <t>S/ICMS</t>
        </is>
      </c>
      <c r="F585" s="695" t="n"/>
      <c r="G585" s="695" t="n"/>
      <c r="H585" s="18" t="inlineStr">
        <is>
          <t>Saldo em 31/03/2019</t>
        </is>
      </c>
      <c r="I585" s="695" t="n"/>
      <c r="J585" s="645" t="inlineStr">
        <is>
          <t>ENTRADA</t>
        </is>
      </c>
      <c r="K585" s="633" t="inlineStr">
        <is>
          <t>SAÍDA / CMV</t>
        </is>
      </c>
      <c r="L585" s="633" t="inlineStr">
        <is>
          <t>SALDO</t>
        </is>
      </c>
      <c r="M585" s="114" t="n"/>
    </row>
    <row r="586">
      <c r="A586" s="48" t="n"/>
      <c r="B586" s="49" t="n"/>
      <c r="C586" s="49" t="n"/>
      <c r="D586" s="71" t="n"/>
      <c r="E586" s="71" t="n"/>
      <c r="F586" s="55" t="n"/>
      <c r="G586" s="55" t="n">
        <v>0</v>
      </c>
      <c r="H586" s="55" t="n"/>
      <c r="I586" s="71" t="n"/>
      <c r="J586" s="747">
        <f>F586*I586</f>
        <v/>
      </c>
      <c r="K586" s="747" t="n">
        <v>0</v>
      </c>
      <c r="L586" s="748">
        <f>J586-K586</f>
        <v/>
      </c>
      <c r="M586" s="114" t="n"/>
    </row>
    <row r="587">
      <c r="A587" s="92" t="n">
        <v>43556</v>
      </c>
      <c r="B587" s="93" t="n"/>
      <c r="C587" s="96" t="n"/>
      <c r="D587" s="97" t="n"/>
      <c r="E587" s="97" t="n"/>
      <c r="F587" s="98" t="n"/>
      <c r="G587" s="98" t="n"/>
      <c r="H587" s="95" t="n">
        <v>769</v>
      </c>
      <c r="I587" s="51" t="n"/>
      <c r="J587" s="749" t="n"/>
      <c r="K587" s="749">
        <f>G587*D587</f>
        <v/>
      </c>
      <c r="L587" s="748" t="n"/>
      <c r="M587" s="114" t="n"/>
    </row>
    <row r="588">
      <c r="A588" s="48" t="n">
        <v>43556</v>
      </c>
      <c r="B588" s="49" t="inlineStr">
        <is>
          <t>6427</t>
        </is>
      </c>
      <c r="C588" s="50" t="n"/>
      <c r="D588" s="51" t="n">
        <v>50</v>
      </c>
      <c r="E588" s="51" t="n"/>
      <c r="F588" s="52" t="n"/>
      <c r="G588" s="52" t="n">
        <v>25</v>
      </c>
      <c r="H588" s="55">
        <f>H587-G588</f>
        <v/>
      </c>
      <c r="I588" s="51" t="n"/>
      <c r="J588" s="749" t="n"/>
      <c r="K588" s="749" t="n"/>
      <c r="L588" s="748" t="n"/>
      <c r="M588" s="114" t="n"/>
    </row>
    <row r="589">
      <c r="A589" s="48" t="n">
        <v>43556</v>
      </c>
      <c r="B589" s="49" t="inlineStr">
        <is>
          <t>6428</t>
        </is>
      </c>
      <c r="C589" s="50" t="n"/>
      <c r="D589" s="51" t="n">
        <v>49</v>
      </c>
      <c r="E589" s="51" t="n"/>
      <c r="F589" s="52" t="n"/>
      <c r="G589" s="52" t="n">
        <v>30</v>
      </c>
      <c r="H589" s="55">
        <f>H588-G589</f>
        <v/>
      </c>
      <c r="I589" s="51" t="n"/>
      <c r="J589" s="749" t="n"/>
      <c r="K589" s="749" t="n"/>
      <c r="L589" s="748" t="n"/>
      <c r="M589" s="114" t="n"/>
    </row>
    <row r="590">
      <c r="A590" s="48" t="n">
        <v>43556</v>
      </c>
      <c r="B590" s="49" t="inlineStr">
        <is>
          <t>6432</t>
        </is>
      </c>
      <c r="C590" s="50" t="n"/>
      <c r="D590" s="51" t="n">
        <v>53</v>
      </c>
      <c r="E590" s="51" t="n"/>
      <c r="F590" s="52" t="n"/>
      <c r="G590" s="52" t="n">
        <v>20</v>
      </c>
      <c r="H590" s="55">
        <f>H588-G590</f>
        <v/>
      </c>
      <c r="I590" s="51" t="n"/>
      <c r="J590" s="749" t="n"/>
      <c r="K590" s="749" t="n"/>
      <c r="L590" s="748" t="n"/>
      <c r="M590" s="114" t="n"/>
    </row>
    <row r="591">
      <c r="A591" s="48" t="n">
        <v>43564</v>
      </c>
      <c r="B591" s="49" t="inlineStr">
        <is>
          <t>6439</t>
        </is>
      </c>
      <c r="C591" s="50" t="n"/>
      <c r="D591" s="51" t="n">
        <v>50</v>
      </c>
      <c r="E591" s="51" t="n"/>
      <c r="F591" s="52" t="n"/>
      <c r="G591" s="52" t="n">
        <v>50</v>
      </c>
      <c r="H591" s="55">
        <f>H590-G591</f>
        <v/>
      </c>
      <c r="I591" s="51" t="n"/>
      <c r="J591" s="749" t="n"/>
      <c r="K591" s="749">
        <f>G591*D591</f>
        <v/>
      </c>
      <c r="L591" s="748" t="n"/>
      <c r="M591" s="114" t="n"/>
    </row>
    <row r="592">
      <c r="A592" s="48" t="n">
        <v>43565</v>
      </c>
      <c r="B592" s="49" t="inlineStr">
        <is>
          <t>6442</t>
        </is>
      </c>
      <c r="C592" s="49" t="n"/>
      <c r="D592" s="117" t="n">
        <v>54</v>
      </c>
      <c r="E592" s="71" t="n"/>
      <c r="F592" s="55" t="n"/>
      <c r="G592" s="55" t="n">
        <v>15</v>
      </c>
      <c r="H592" s="55">
        <f>H591-G592</f>
        <v/>
      </c>
      <c r="I592" s="71" t="n"/>
      <c r="J592" s="749" t="n"/>
      <c r="K592" s="749">
        <f>G592*D592</f>
        <v/>
      </c>
      <c r="L592" s="748" t="n"/>
      <c r="M592" s="114" t="n"/>
    </row>
    <row r="593">
      <c r="A593" s="48" t="n">
        <v>43565</v>
      </c>
      <c r="B593" s="49" t="inlineStr">
        <is>
          <t>6446</t>
        </is>
      </c>
      <c r="C593" s="49" t="n"/>
      <c r="D593" s="71" t="n">
        <v>54</v>
      </c>
      <c r="E593" s="71" t="n"/>
      <c r="F593" s="55" t="n"/>
      <c r="G593" s="55" t="n">
        <v>25</v>
      </c>
      <c r="H593" s="55">
        <f>H592-G593</f>
        <v/>
      </c>
      <c r="I593" s="71" t="n"/>
      <c r="J593" s="749" t="n"/>
      <c r="K593" s="749">
        <f>G593*D593</f>
        <v/>
      </c>
      <c r="L593" s="748" t="n"/>
      <c r="M593" s="114" t="n"/>
    </row>
    <row r="594">
      <c r="A594" s="48" t="n">
        <v>43568</v>
      </c>
      <c r="B594" s="49" t="inlineStr">
        <is>
          <t>6452</t>
        </is>
      </c>
      <c r="C594" s="49" t="n"/>
      <c r="D594" s="71" t="n">
        <v>53</v>
      </c>
      <c r="E594" s="71" t="n"/>
      <c r="F594" s="55" t="n"/>
      <c r="G594" s="55" t="n">
        <v>30</v>
      </c>
      <c r="H594" s="55">
        <f>H593-G594</f>
        <v/>
      </c>
      <c r="I594" s="71" t="n"/>
      <c r="J594" s="749" t="n"/>
      <c r="K594" s="749">
        <f>G594*D594</f>
        <v/>
      </c>
      <c r="L594" s="748" t="n"/>
      <c r="M594" s="114" t="n"/>
    </row>
    <row r="595">
      <c r="A595" s="48" t="n">
        <v>43570</v>
      </c>
      <c r="B595" s="49" t="inlineStr">
        <is>
          <t>6461</t>
        </is>
      </c>
      <c r="C595" s="49" t="n"/>
      <c r="D595" s="71" t="n">
        <v>54</v>
      </c>
      <c r="E595" s="71" t="n"/>
      <c r="F595" s="55" t="n"/>
      <c r="G595" s="55" t="n">
        <v>20</v>
      </c>
      <c r="H595" s="55">
        <f>H594-G595</f>
        <v/>
      </c>
      <c r="I595" s="71" t="n"/>
      <c r="J595" s="749" t="n"/>
      <c r="K595" s="749">
        <f>G595*D595</f>
        <v/>
      </c>
      <c r="L595" s="748" t="n"/>
      <c r="M595" s="114" t="n"/>
    </row>
    <row r="596">
      <c r="A596" s="48" t="n">
        <v>43571</v>
      </c>
      <c r="B596" s="49" t="inlineStr">
        <is>
          <t>6466</t>
        </is>
      </c>
      <c r="C596" s="49" t="n"/>
      <c r="D596" s="71" t="n">
        <v>53</v>
      </c>
      <c r="E596" s="71" t="n"/>
      <c r="F596" s="55" t="n"/>
      <c r="G596" s="55" t="n">
        <v>50</v>
      </c>
      <c r="H596" s="55">
        <f>H595-G596</f>
        <v/>
      </c>
      <c r="I596" s="71" t="n"/>
      <c r="J596" s="749" t="n"/>
      <c r="K596" s="749">
        <f>G596*D596</f>
        <v/>
      </c>
      <c r="L596" s="748" t="n"/>
      <c r="M596" s="114" t="n"/>
    </row>
    <row r="597">
      <c r="A597" s="48" t="n">
        <v>43578</v>
      </c>
      <c r="B597" s="49" t="inlineStr">
        <is>
          <t>6469</t>
        </is>
      </c>
      <c r="C597" s="49" t="n"/>
      <c r="D597" s="71" t="n">
        <v>53</v>
      </c>
      <c r="E597" s="71" t="n"/>
      <c r="F597" s="55" t="n"/>
      <c r="G597" s="55" t="n">
        <v>50</v>
      </c>
      <c r="H597" s="55">
        <f>H596-G597</f>
        <v/>
      </c>
      <c r="I597" s="71" t="n"/>
      <c r="J597" s="749" t="n"/>
      <c r="K597" s="749">
        <f>G597*D597</f>
        <v/>
      </c>
      <c r="L597" s="748" t="n"/>
      <c r="M597" s="114" t="n"/>
    </row>
    <row r="598">
      <c r="A598" s="92" t="n">
        <v>43584</v>
      </c>
      <c r="B598" s="93" t="inlineStr">
        <is>
          <t>115792</t>
        </is>
      </c>
      <c r="C598" s="93" t="n"/>
      <c r="D598" s="94" t="n">
        <v>42.75</v>
      </c>
      <c r="E598" s="94" t="n"/>
      <c r="F598" s="95" t="n">
        <v>400</v>
      </c>
      <c r="G598" s="95" t="n"/>
      <c r="H598" s="95" t="n">
        <v>884</v>
      </c>
      <c r="I598" s="71" t="n"/>
      <c r="J598" s="749" t="n"/>
      <c r="K598" s="749">
        <f>G598*D598</f>
        <v/>
      </c>
      <c r="L598" s="748" t="n"/>
      <c r="M598" s="114" t="n"/>
    </row>
    <row r="599">
      <c r="A599" s="92" t="n">
        <v>43584</v>
      </c>
      <c r="B599" s="93" t="inlineStr">
        <is>
          <t>115791</t>
        </is>
      </c>
      <c r="C599" s="93" t="n"/>
      <c r="D599" s="94" t="n">
        <v>42.75</v>
      </c>
      <c r="E599" s="94" t="n"/>
      <c r="F599" s="95" t="n">
        <v>350</v>
      </c>
      <c r="G599" s="95" t="n"/>
      <c r="H599" s="95" t="n">
        <v>1234</v>
      </c>
      <c r="I599" s="71" t="n"/>
      <c r="J599" s="749" t="n"/>
      <c r="K599" s="749">
        <f>G599*D599</f>
        <v/>
      </c>
      <c r="L599" s="748" t="n"/>
      <c r="M599" s="114" t="n"/>
    </row>
    <row r="600">
      <c r="A600" s="48" t="n"/>
      <c r="B600" s="49" t="inlineStr">
        <is>
          <t>6422</t>
        </is>
      </c>
      <c r="C600" s="49" t="n"/>
      <c r="D600" s="71" t="n">
        <v>53</v>
      </c>
      <c r="E600" s="71" t="n"/>
      <c r="F600" s="55" t="n"/>
      <c r="G600" s="55" t="n"/>
      <c r="H600" s="55">
        <f>H599-G600</f>
        <v/>
      </c>
      <c r="I600" s="71" t="n"/>
      <c r="J600" s="749" t="n"/>
      <c r="K600" s="749">
        <f>G600*D600</f>
        <v/>
      </c>
      <c r="L600" s="748" t="n"/>
      <c r="M600" s="114" t="n"/>
    </row>
    <row r="601" ht="17.25" customHeight="1" s="436">
      <c r="A601" s="48" t="n"/>
      <c r="B601" s="49" t="inlineStr">
        <is>
          <t>6423</t>
        </is>
      </c>
      <c r="C601" s="49" t="n"/>
      <c r="D601" s="71" t="n">
        <v>53</v>
      </c>
      <c r="E601" s="71" t="n"/>
      <c r="F601" s="55" t="n"/>
      <c r="G601" s="55" t="n"/>
      <c r="H601" s="87">
        <f>H600-G601</f>
        <v/>
      </c>
      <c r="I601" s="71" t="n"/>
      <c r="J601" s="749" t="n"/>
      <c r="K601" s="749">
        <f>G601*D601</f>
        <v/>
      </c>
      <c r="L601" s="748" t="n"/>
      <c r="M601" s="114" t="n"/>
    </row>
    <row r="602">
      <c r="A602" s="48" t="n"/>
      <c r="B602" s="49" t="inlineStr">
        <is>
          <t>6358</t>
        </is>
      </c>
      <c r="C602" s="49" t="n"/>
      <c r="D602" s="71" t="n">
        <v>54</v>
      </c>
      <c r="E602" s="71" t="n"/>
      <c r="F602" s="55" t="n"/>
      <c r="G602" s="55" t="n"/>
      <c r="H602" s="55">
        <f>H601-G602</f>
        <v/>
      </c>
      <c r="I602" s="71" t="n"/>
      <c r="J602" s="749" t="n"/>
      <c r="K602" s="749">
        <f>G602*D602</f>
        <v/>
      </c>
      <c r="L602" s="748" t="n"/>
      <c r="M602" s="114" t="n"/>
    </row>
    <row r="603">
      <c r="A603" s="48" t="n"/>
      <c r="B603" s="49" t="inlineStr">
        <is>
          <t>6362</t>
        </is>
      </c>
      <c r="C603" s="49" t="n"/>
      <c r="D603" s="71" t="n">
        <v>53</v>
      </c>
      <c r="E603" s="71" t="n"/>
      <c r="F603" s="55" t="n"/>
      <c r="G603" s="55" t="n"/>
      <c r="H603" s="55">
        <f>H602-G603</f>
        <v/>
      </c>
      <c r="I603" s="71" t="n"/>
      <c r="J603" s="749" t="n"/>
      <c r="K603" s="749">
        <f>G603*D603</f>
        <v/>
      </c>
      <c r="L603" s="748" t="n"/>
      <c r="M603" s="114" t="n"/>
    </row>
    <row r="604">
      <c r="A604" s="48" t="n"/>
      <c r="B604" s="49" t="inlineStr">
        <is>
          <t>6367</t>
        </is>
      </c>
      <c r="C604" s="49" t="n"/>
      <c r="D604" s="71" t="n">
        <v>53</v>
      </c>
      <c r="E604" s="71" t="n"/>
      <c r="F604" s="55" t="n"/>
      <c r="G604" s="55" t="n"/>
      <c r="H604" s="55">
        <f>H603-G604</f>
        <v/>
      </c>
      <c r="I604" s="71" t="n"/>
      <c r="J604" s="749" t="n"/>
      <c r="K604" s="749">
        <f>G604*D604</f>
        <v/>
      </c>
      <c r="L604" s="748" t="n"/>
      <c r="M604" s="114" t="n"/>
    </row>
    <row r="605">
      <c r="A605" s="76" t="n"/>
      <c r="B605" s="76" t="n"/>
      <c r="C605" s="76" t="n"/>
      <c r="D605" s="76" t="n"/>
      <c r="E605" s="76" t="n"/>
      <c r="F605" s="76" t="n"/>
      <c r="G605" s="76" t="n"/>
      <c r="H605" s="76" t="n"/>
      <c r="I605" s="76" t="n"/>
      <c r="J605" s="76" t="n"/>
      <c r="K605" s="76" t="n"/>
      <c r="L605" s="76" t="n"/>
      <c r="M605" s="114" t="n"/>
    </row>
    <row r="606">
      <c r="A606" s="76" t="n"/>
      <c r="B606" s="76" t="n"/>
      <c r="C606" s="76" t="n"/>
      <c r="D606" s="76" t="n"/>
      <c r="E606" s="76" t="n"/>
      <c r="F606" s="76" t="n"/>
      <c r="G606" s="76" t="n"/>
      <c r="H606" s="76" t="n"/>
      <c r="I606" s="76" t="n"/>
      <c r="J606" s="76" t="n"/>
      <c r="K606" s="76" t="n"/>
      <c r="L606" s="76" t="n"/>
      <c r="M606" s="114" t="n"/>
    </row>
    <row r="607">
      <c r="A607" s="76" t="n"/>
      <c r="B607" s="76" t="n"/>
      <c r="C607" s="76" t="n"/>
      <c r="D607" s="76" t="n"/>
      <c r="E607" s="76" t="n"/>
      <c r="F607" s="76" t="n"/>
      <c r="G607" s="76" t="n"/>
      <c r="H607" s="76" t="n"/>
      <c r="I607" s="76" t="n"/>
      <c r="J607" s="76" t="n"/>
      <c r="K607" s="76" t="n"/>
      <c r="L607" s="76" t="n"/>
      <c r="M607" s="114" t="n"/>
    </row>
    <row r="608">
      <c r="A608" s="76" t="n"/>
      <c r="B608" s="76" t="n"/>
      <c r="C608" s="76" t="n"/>
      <c r="D608" s="76" t="n"/>
      <c r="E608" s="76" t="n"/>
      <c r="F608" s="76" t="n"/>
      <c r="G608" s="76" t="n"/>
      <c r="H608" s="76" t="n"/>
      <c r="I608" s="76" t="n"/>
      <c r="J608" s="76" t="n"/>
      <c r="K608" s="76" t="n"/>
      <c r="L608" s="76" t="n"/>
      <c r="M608" s="114" t="n"/>
    </row>
    <row r="609" ht="15.75" customHeight="1" s="436" thickBot="1">
      <c r="A609" s="76" t="n"/>
      <c r="B609" s="76" t="n"/>
      <c r="C609" s="76" t="n"/>
      <c r="D609" s="76" t="n"/>
      <c r="E609" s="76" t="n"/>
      <c r="F609" s="76" t="n"/>
      <c r="G609" s="76" t="n"/>
      <c r="H609" s="76" t="n"/>
      <c r="I609" s="76" t="n"/>
      <c r="J609" s="76" t="n"/>
      <c r="K609" s="76" t="n"/>
      <c r="L609" s="76" t="n"/>
      <c r="M609" s="114" t="n"/>
    </row>
    <row r="610" ht="21.75" customHeight="1" s="436" thickBot="1">
      <c r="A610" s="744" t="inlineStr">
        <is>
          <t xml:space="preserve">021 - DENISE FURTADO DE SOUZA - ME </t>
        </is>
      </c>
      <c r="B610" s="737" t="n"/>
      <c r="C610" s="737" t="n"/>
      <c r="D610" s="737" t="n"/>
      <c r="E610" s="737" t="n"/>
      <c r="F610" s="737" t="n"/>
      <c r="G610" s="737" t="n"/>
      <c r="H610" s="737" t="n"/>
      <c r="I610" s="737" t="n"/>
      <c r="J610" s="737" t="n"/>
      <c r="K610" s="737" t="n"/>
      <c r="L610" s="736" t="n"/>
      <c r="M610" s="114" t="n"/>
    </row>
    <row r="611" ht="24" customHeight="1" s="436" thickBot="1">
      <c r="A611" s="745" t="inlineStr">
        <is>
          <t xml:space="preserve">  PRÉ MISTURA - 25 KG</t>
        </is>
      </c>
      <c r="B611" s="737" t="n"/>
      <c r="C611" s="737" t="n"/>
      <c r="D611" s="737" t="n"/>
      <c r="E611" s="737" t="n"/>
      <c r="F611" s="737" t="n"/>
      <c r="G611" s="737" t="n"/>
      <c r="H611" s="737" t="n"/>
      <c r="I611" s="737" t="n"/>
      <c r="J611" s="737" t="n"/>
      <c r="K611" s="737" t="n"/>
      <c r="L611" s="736" t="n"/>
      <c r="M611" s="114" t="n"/>
    </row>
    <row r="612">
      <c r="A612" s="746" t="inlineStr">
        <is>
          <t>DATA</t>
        </is>
      </c>
      <c r="B612" s="3" t="inlineStr">
        <is>
          <t>N.F.</t>
        </is>
      </c>
      <c r="C612" s="3" t="inlineStr">
        <is>
          <t>TIPO</t>
        </is>
      </c>
      <c r="D612" s="3" t="inlineStr">
        <is>
          <t>PREÇO UNITÁRIO</t>
        </is>
      </c>
      <c r="E612" s="736" t="n"/>
      <c r="F612" s="3" t="inlineStr">
        <is>
          <t>QUANTIDADE / KG</t>
        </is>
      </c>
      <c r="G612" s="737" t="n"/>
      <c r="H612" s="736" t="n"/>
      <c r="I612" s="631" t="inlineStr">
        <is>
          <t>PREÇO</t>
        </is>
      </c>
      <c r="J612" s="631" t="inlineStr">
        <is>
          <t>VALORES</t>
        </is>
      </c>
      <c r="K612" s="737" t="n"/>
      <c r="L612" s="736" t="n"/>
      <c r="M612" s="114" t="n"/>
    </row>
    <row r="613" ht="15.75" customHeight="1" s="436" thickBot="1">
      <c r="A613" s="703" t="n"/>
      <c r="B613" s="704" t="n"/>
      <c r="C613" s="704" t="n"/>
      <c r="D613" s="703" t="n"/>
      <c r="E613" s="701" t="n"/>
      <c r="F613" s="705" t="n"/>
      <c r="G613" s="706" t="n"/>
      <c r="H613" s="707" t="n"/>
      <c r="I613" s="704" t="n"/>
      <c r="J613" s="703" t="n"/>
      <c r="L613" s="701" t="n"/>
      <c r="M613" s="114" t="n"/>
    </row>
    <row r="614" ht="15.75" customHeight="1" s="436" thickBot="1">
      <c r="A614" s="703" t="n"/>
      <c r="B614" s="704" t="n"/>
      <c r="C614" s="704" t="n"/>
      <c r="D614" s="705" t="n"/>
      <c r="E614" s="707" t="n"/>
      <c r="F614" s="3" t="inlineStr">
        <is>
          <t>ENTRADA</t>
        </is>
      </c>
      <c r="G614" s="3" t="inlineStr">
        <is>
          <t>SAÍDA</t>
        </is>
      </c>
      <c r="H614" s="640" t="n"/>
      <c r="I614" s="633" t="inlineStr">
        <is>
          <t>MÉDIO</t>
        </is>
      </c>
      <c r="J614" s="652" t="inlineStr">
        <is>
          <t>SALDO EM 30/12/2017</t>
        </is>
      </c>
      <c r="K614" s="706" t="n"/>
      <c r="L614" s="17" t="n"/>
      <c r="M614" s="114" t="n"/>
    </row>
    <row r="615" ht="15.75" customHeight="1" s="436" thickBot="1">
      <c r="A615" s="705" t="n"/>
      <c r="B615" s="695" t="n"/>
      <c r="C615" s="695" t="n"/>
      <c r="D615" s="3" t="inlineStr">
        <is>
          <t>C/ICMS</t>
        </is>
      </c>
      <c r="E615" s="3" t="inlineStr">
        <is>
          <t>S/ICMS</t>
        </is>
      </c>
      <c r="F615" s="695" t="n"/>
      <c r="G615" s="695" t="n"/>
      <c r="H615" s="18" t="inlineStr">
        <is>
          <t>Saldo em 30/04/2019</t>
        </is>
      </c>
      <c r="I615" s="695" t="n"/>
      <c r="J615" s="645" t="inlineStr">
        <is>
          <t>ENTRADA</t>
        </is>
      </c>
      <c r="K615" s="633" t="inlineStr">
        <is>
          <t>SAÍDA / CMV</t>
        </is>
      </c>
      <c r="L615" s="633" t="inlineStr">
        <is>
          <t>SALDO</t>
        </is>
      </c>
      <c r="M615" s="114" t="n"/>
    </row>
    <row r="616">
      <c r="A616" s="48" t="n"/>
      <c r="B616" s="49" t="n"/>
      <c r="C616" s="49" t="n"/>
      <c r="D616" s="71" t="n"/>
      <c r="E616" s="71" t="n"/>
      <c r="F616" s="55" t="n"/>
      <c r="G616" s="55" t="n">
        <v>0</v>
      </c>
      <c r="H616" s="55" t="n"/>
      <c r="I616" s="71" t="n"/>
      <c r="J616" s="747">
        <f>F616*I616</f>
        <v/>
      </c>
      <c r="K616" s="747" t="n">
        <v>0</v>
      </c>
      <c r="L616" s="748">
        <f>J616-K616</f>
        <v/>
      </c>
      <c r="M616" s="114" t="n"/>
    </row>
    <row r="617">
      <c r="A617" s="92" t="n">
        <v>43586</v>
      </c>
      <c r="B617" s="93" t="n"/>
      <c r="C617" s="96" t="n"/>
      <c r="D617" s="97" t="n"/>
      <c r="E617" s="97" t="n"/>
      <c r="F617" s="98" t="n"/>
      <c r="G617" s="98" t="n"/>
      <c r="H617" s="95" t="n">
        <v>1234</v>
      </c>
      <c r="I617" s="51" t="n"/>
      <c r="J617" s="749" t="n"/>
      <c r="K617" s="749">
        <f>G617*D617</f>
        <v/>
      </c>
      <c r="L617" s="748" t="n"/>
      <c r="M617" s="114" t="n"/>
    </row>
    <row r="618">
      <c r="A618" s="48" t="n">
        <v>43586</v>
      </c>
      <c r="B618" s="49" t="inlineStr">
        <is>
          <t>6483</t>
        </is>
      </c>
      <c r="C618" s="50" t="n"/>
      <c r="D618" s="51" t="n">
        <v>54</v>
      </c>
      <c r="E618" s="51" t="n"/>
      <c r="F618" s="52" t="n"/>
      <c r="G618" s="52" t="n">
        <v>30</v>
      </c>
      <c r="H618" s="55">
        <f>H617-G618</f>
        <v/>
      </c>
      <c r="I618" s="51" t="n"/>
      <c r="J618" s="749" t="n"/>
      <c r="K618" s="749" t="n"/>
      <c r="L618" s="748" t="n"/>
      <c r="M618" s="114" t="n"/>
    </row>
    <row r="619">
      <c r="A619" s="48" t="n">
        <v>43586</v>
      </c>
      <c r="B619" s="49" t="inlineStr">
        <is>
          <t>6488</t>
        </is>
      </c>
      <c r="C619" s="50" t="n"/>
      <c r="D619" s="51" t="n">
        <v>60</v>
      </c>
      <c r="E619" s="51" t="n"/>
      <c r="F619" s="52" t="n"/>
      <c r="G619" s="52" t="n">
        <v>20</v>
      </c>
      <c r="H619" s="55">
        <f>H618-G619</f>
        <v/>
      </c>
      <c r="I619" s="51" t="n"/>
      <c r="J619" s="749" t="n"/>
      <c r="K619" s="749" t="n"/>
      <c r="L619" s="748" t="n"/>
      <c r="M619" s="114" t="n"/>
    </row>
    <row r="620">
      <c r="A620" s="48" t="n">
        <v>43591</v>
      </c>
      <c r="B620" s="49" t="inlineStr">
        <is>
          <t>6494</t>
        </is>
      </c>
      <c r="C620" s="50" t="n"/>
      <c r="D620" s="51" t="n">
        <v>53</v>
      </c>
      <c r="E620" s="51" t="n"/>
      <c r="F620" s="52" t="n"/>
      <c r="G620" s="52" t="n">
        <v>30</v>
      </c>
      <c r="H620" s="55">
        <f>H618-G620</f>
        <v/>
      </c>
      <c r="I620" s="51" t="n"/>
      <c r="J620" s="749" t="n"/>
      <c r="K620" s="749" t="n"/>
      <c r="L620" s="748" t="n"/>
      <c r="M620" s="114" t="n"/>
    </row>
    <row r="621">
      <c r="A621" s="48" t="n">
        <v>43591</v>
      </c>
      <c r="B621" s="49" t="inlineStr">
        <is>
          <t>6495</t>
        </is>
      </c>
      <c r="C621" s="50" t="n"/>
      <c r="D621" s="51" t="n">
        <v>53</v>
      </c>
      <c r="E621" s="51" t="n"/>
      <c r="F621" s="52" t="n"/>
      <c r="G621" s="52" t="n">
        <v>40</v>
      </c>
      <c r="H621" s="55">
        <f>H620-G621</f>
        <v/>
      </c>
      <c r="I621" s="51" t="n"/>
      <c r="J621" s="749" t="n"/>
      <c r="K621" s="749">
        <f>G621*D621</f>
        <v/>
      </c>
      <c r="L621" s="748" t="n"/>
      <c r="M621" s="114" t="n"/>
    </row>
    <row r="622">
      <c r="A622" s="48" t="n">
        <v>43591</v>
      </c>
      <c r="B622" s="49" t="inlineStr">
        <is>
          <t>6497</t>
        </is>
      </c>
      <c r="C622" s="49" t="n"/>
      <c r="D622" s="117" t="n">
        <v>50</v>
      </c>
      <c r="E622" s="71" t="n"/>
      <c r="F622" s="55" t="n"/>
      <c r="G622" s="55" t="n">
        <v>10</v>
      </c>
      <c r="H622" s="55">
        <f>H621-G622</f>
        <v/>
      </c>
      <c r="I622" s="71" t="n"/>
      <c r="J622" s="749" t="n"/>
      <c r="K622" s="749">
        <f>G622*D622</f>
        <v/>
      </c>
      <c r="L622" s="748" t="n"/>
      <c r="M622" s="114" t="n"/>
    </row>
    <row r="623">
      <c r="A623" s="48" t="n">
        <v>43591</v>
      </c>
      <c r="B623" s="49" t="inlineStr">
        <is>
          <t>6498</t>
        </is>
      </c>
      <c r="C623" s="49" t="n"/>
      <c r="D623" s="71" t="n">
        <v>54</v>
      </c>
      <c r="E623" s="71" t="n"/>
      <c r="F623" s="55" t="n"/>
      <c r="G623" s="55" t="n">
        <v>20</v>
      </c>
      <c r="H623" s="55">
        <f>H622-G623</f>
        <v/>
      </c>
      <c r="I623" s="71" t="n"/>
      <c r="J623" s="749" t="n"/>
      <c r="K623" s="749">
        <f>G623*D623</f>
        <v/>
      </c>
      <c r="L623" s="748" t="n"/>
      <c r="M623" s="114" t="n"/>
    </row>
    <row r="624">
      <c r="A624" s="48" t="n">
        <v>43591</v>
      </c>
      <c r="B624" s="49" t="inlineStr">
        <is>
          <t>6499</t>
        </is>
      </c>
      <c r="C624" s="49" t="n"/>
      <c r="D624" s="71" t="n">
        <v>53</v>
      </c>
      <c r="E624" s="71" t="n"/>
      <c r="F624" s="55" t="n"/>
      <c r="G624" s="55" t="n">
        <v>30</v>
      </c>
      <c r="H624" s="55">
        <f>H623-G624</f>
        <v/>
      </c>
      <c r="I624" s="71" t="n"/>
      <c r="J624" s="749" t="n"/>
      <c r="K624" s="749">
        <f>G624*D624</f>
        <v/>
      </c>
      <c r="L624" s="748" t="n"/>
      <c r="M624" s="114" t="n"/>
    </row>
    <row r="625">
      <c r="A625" s="48" t="n">
        <v>43591</v>
      </c>
      <c r="B625" s="49" t="inlineStr">
        <is>
          <t>6500</t>
        </is>
      </c>
      <c r="C625" s="49" t="n"/>
      <c r="D625" s="71" t="n">
        <v>50</v>
      </c>
      <c r="E625" s="71" t="n"/>
      <c r="F625" s="55" t="n"/>
      <c r="G625" s="55" t="n">
        <v>15</v>
      </c>
      <c r="H625" s="55">
        <f>H624-G625</f>
        <v/>
      </c>
      <c r="I625" s="71" t="n"/>
      <c r="J625" s="749" t="n"/>
      <c r="K625" s="749">
        <f>G625*D625</f>
        <v/>
      </c>
      <c r="L625" s="748" t="n"/>
      <c r="M625" s="114" t="n"/>
    </row>
    <row r="626">
      <c r="A626" s="48" t="n">
        <v>43591</v>
      </c>
      <c r="B626" s="49" t="inlineStr">
        <is>
          <t>6501</t>
        </is>
      </c>
      <c r="C626" s="49" t="n"/>
      <c r="D626" s="71" t="n">
        <v>50</v>
      </c>
      <c r="E626" s="71" t="n"/>
      <c r="F626" s="55" t="n"/>
      <c r="G626" s="55" t="n">
        <v>15</v>
      </c>
      <c r="H626" s="55">
        <f>H625-G626</f>
        <v/>
      </c>
      <c r="I626" s="71" t="n"/>
      <c r="J626" s="749" t="n"/>
      <c r="K626" s="749">
        <f>G626*D626</f>
        <v/>
      </c>
      <c r="L626" s="748" t="n"/>
      <c r="M626" s="114" t="n"/>
    </row>
    <row r="627">
      <c r="A627" s="48" t="n">
        <v>43591</v>
      </c>
      <c r="B627" s="49" t="inlineStr">
        <is>
          <t>6503</t>
        </is>
      </c>
      <c r="C627" s="49" t="n"/>
      <c r="D627" s="71" t="n">
        <v>52</v>
      </c>
      <c r="E627" s="71" t="n"/>
      <c r="F627" s="55" t="n"/>
      <c r="G627" s="55" t="n">
        <v>30</v>
      </c>
      <c r="H627" s="55">
        <f>H626-G627</f>
        <v/>
      </c>
      <c r="I627" s="71" t="n"/>
      <c r="J627" s="749" t="n"/>
      <c r="K627" s="749">
        <f>G627*D627</f>
        <v/>
      </c>
      <c r="L627" s="748" t="n"/>
      <c r="M627" s="114" t="n"/>
    </row>
    <row r="628">
      <c r="A628" s="48" t="n">
        <v>43594</v>
      </c>
      <c r="B628" s="49" t="inlineStr">
        <is>
          <t>6506</t>
        </is>
      </c>
      <c r="C628" s="49" t="n"/>
      <c r="D628" s="71" t="n">
        <v>50</v>
      </c>
      <c r="E628" s="71" t="n"/>
      <c r="F628" s="55" t="n"/>
      <c r="G628" s="55" t="n">
        <v>30</v>
      </c>
      <c r="H628" s="55">
        <f>H627-G628</f>
        <v/>
      </c>
      <c r="I628" s="71" t="n"/>
      <c r="J628" s="749" t="n"/>
      <c r="K628" s="749">
        <f>G628*D628</f>
        <v/>
      </c>
      <c r="L628" s="748" t="n"/>
      <c r="M628" s="114" t="n"/>
    </row>
    <row r="629">
      <c r="A629" s="48" t="n">
        <v>43598</v>
      </c>
      <c r="B629" s="49" t="inlineStr">
        <is>
          <t>6509</t>
        </is>
      </c>
      <c r="C629" s="49" t="n"/>
      <c r="D629" s="71" t="n">
        <v>57</v>
      </c>
      <c r="E629" s="71" t="n"/>
      <c r="F629" s="55" t="n"/>
      <c r="G629" s="55" t="n">
        <v>60</v>
      </c>
      <c r="H629" s="55">
        <f>H628-G629</f>
        <v/>
      </c>
      <c r="I629" s="71" t="n"/>
      <c r="J629" s="749" t="n"/>
      <c r="K629" s="749">
        <f>G629*D629</f>
        <v/>
      </c>
      <c r="L629" s="748" t="n"/>
      <c r="M629" s="114" t="n"/>
    </row>
    <row r="630">
      <c r="A630" s="48" t="n">
        <v>43598</v>
      </c>
      <c r="B630" s="49" t="inlineStr">
        <is>
          <t>6512</t>
        </is>
      </c>
      <c r="C630" s="49" t="n"/>
      <c r="D630" s="71" t="n">
        <v>54</v>
      </c>
      <c r="E630" s="71" t="n"/>
      <c r="F630" s="55" t="n"/>
      <c r="G630" s="55" t="n">
        <v>60</v>
      </c>
      <c r="H630" s="55">
        <f>H629-G630</f>
        <v/>
      </c>
      <c r="I630" s="71" t="n"/>
      <c r="J630" s="749" t="n"/>
      <c r="K630" s="749">
        <f>G630*D630</f>
        <v/>
      </c>
      <c r="L630" s="748" t="n"/>
      <c r="M630" s="114" t="n"/>
    </row>
    <row r="631">
      <c r="A631" s="48" t="n">
        <v>43598</v>
      </c>
      <c r="B631" s="49" t="inlineStr">
        <is>
          <t>6515</t>
        </is>
      </c>
      <c r="C631" s="49" t="n"/>
      <c r="D631" s="71" t="n">
        <v>53</v>
      </c>
      <c r="E631" s="71" t="n"/>
      <c r="F631" s="55" t="n"/>
      <c r="G631" s="55" t="n">
        <v>20</v>
      </c>
      <c r="H631" s="55">
        <f>H630-G631</f>
        <v/>
      </c>
      <c r="I631" s="71" t="n"/>
      <c r="J631" s="749" t="n"/>
      <c r="K631" s="749">
        <f>G631*D631</f>
        <v/>
      </c>
      <c r="L631" s="748" t="n"/>
      <c r="M631" s="114" t="n"/>
    </row>
    <row r="632">
      <c r="A632" s="48" t="n">
        <v>43598</v>
      </c>
      <c r="B632" s="49" t="inlineStr">
        <is>
          <t>6516</t>
        </is>
      </c>
      <c r="C632" s="49" t="n"/>
      <c r="D632" s="71" t="n">
        <v>54</v>
      </c>
      <c r="E632" s="71" t="n"/>
      <c r="F632" s="55" t="n"/>
      <c r="G632" s="55" t="n">
        <v>20</v>
      </c>
      <c r="H632" s="55">
        <f>H631-G632</f>
        <v/>
      </c>
      <c r="I632" s="71" t="n"/>
      <c r="J632" s="749" t="n"/>
      <c r="K632" s="749">
        <f>G632*D632</f>
        <v/>
      </c>
      <c r="L632" s="748" t="n"/>
      <c r="M632" s="114" t="n"/>
    </row>
    <row r="633">
      <c r="A633" s="48" t="n">
        <v>43600</v>
      </c>
      <c r="B633" s="49" t="inlineStr">
        <is>
          <t>6518</t>
        </is>
      </c>
      <c r="C633" s="49" t="n"/>
      <c r="D633" s="71" t="n">
        <v>53</v>
      </c>
      <c r="E633" s="71" t="n"/>
      <c r="F633" s="55" t="n"/>
      <c r="G633" s="55" t="n">
        <v>30</v>
      </c>
      <c r="H633" s="55">
        <f>H632-G633</f>
        <v/>
      </c>
      <c r="I633" s="71" t="n"/>
      <c r="J633" s="749" t="n"/>
      <c r="K633" s="749">
        <f>G633*D633</f>
        <v/>
      </c>
      <c r="L633" s="748" t="n"/>
      <c r="M633" s="114" t="n"/>
    </row>
    <row r="634">
      <c r="A634" s="48" t="n">
        <v>43600</v>
      </c>
      <c r="B634" s="49" t="inlineStr">
        <is>
          <t>6519</t>
        </is>
      </c>
      <c r="C634" s="49" t="n"/>
      <c r="D634" s="71" t="n">
        <v>52</v>
      </c>
      <c r="E634" s="71" t="n"/>
      <c r="F634" s="55" t="n"/>
      <c r="G634" s="55" t="n">
        <v>60</v>
      </c>
      <c r="H634" s="55">
        <f>H633-G634</f>
        <v/>
      </c>
      <c r="I634" s="71" t="n"/>
      <c r="J634" s="749" t="n"/>
      <c r="K634" s="749">
        <f>G634*D634</f>
        <v/>
      </c>
      <c r="L634" s="748" t="n"/>
      <c r="M634" s="114" t="n"/>
    </row>
    <row r="635">
      <c r="A635" s="48" t="n">
        <v>43604</v>
      </c>
      <c r="B635" s="49" t="inlineStr">
        <is>
          <t>6523</t>
        </is>
      </c>
      <c r="C635" s="49" t="n"/>
      <c r="D635" s="71" t="n">
        <v>57</v>
      </c>
      <c r="E635" s="71" t="n"/>
      <c r="F635" s="55" t="n"/>
      <c r="G635" s="55" t="n">
        <v>20</v>
      </c>
      <c r="H635" s="55">
        <f>H634-G635</f>
        <v/>
      </c>
      <c r="I635" s="71" t="n"/>
      <c r="J635" s="749" t="n"/>
      <c r="K635" s="749">
        <f>G635*D635</f>
        <v/>
      </c>
      <c r="L635" s="748" t="n"/>
      <c r="M635" s="114" t="n"/>
    </row>
    <row r="636">
      <c r="A636" s="48" t="n">
        <v>43605</v>
      </c>
      <c r="B636" s="49" t="inlineStr">
        <is>
          <t>6525</t>
        </is>
      </c>
      <c r="C636" s="49" t="n"/>
      <c r="D636" s="71" t="n">
        <v>50</v>
      </c>
      <c r="E636" s="71" t="n"/>
      <c r="F636" s="55" t="n"/>
      <c r="G636" s="55" t="n">
        <v>60</v>
      </c>
      <c r="H636" s="55">
        <f>H635-G636</f>
        <v/>
      </c>
      <c r="I636" s="71" t="n"/>
      <c r="J636" s="749" t="n"/>
      <c r="K636" s="749">
        <f>G636*D636</f>
        <v/>
      </c>
      <c r="L636" s="748" t="n"/>
      <c r="M636" s="114" t="n"/>
    </row>
    <row r="637">
      <c r="A637" s="48" t="n">
        <v>43606</v>
      </c>
      <c r="B637" s="49" t="inlineStr">
        <is>
          <t>6528</t>
        </is>
      </c>
      <c r="C637" s="49" t="n"/>
      <c r="D637" s="71" t="n">
        <v>52</v>
      </c>
      <c r="E637" s="71" t="n"/>
      <c r="F637" s="55" t="n"/>
      <c r="G637" s="55" t="n">
        <v>20</v>
      </c>
      <c r="H637" s="55">
        <f>H636-G637</f>
        <v/>
      </c>
      <c r="I637" s="71" t="n"/>
      <c r="J637" s="749" t="n"/>
      <c r="K637" s="749">
        <f>G637*D637</f>
        <v/>
      </c>
      <c r="L637" s="748" t="n"/>
      <c r="M637" s="114" t="n"/>
    </row>
    <row r="638">
      <c r="A638" s="48" t="n">
        <v>43606</v>
      </c>
      <c r="B638" s="49" t="inlineStr">
        <is>
          <t>6533</t>
        </is>
      </c>
      <c r="C638" s="49" t="n"/>
      <c r="D638" s="71" t="n">
        <v>52</v>
      </c>
      <c r="E638" s="71" t="n"/>
      <c r="F638" s="55" t="n"/>
      <c r="G638" s="55" t="n">
        <v>30</v>
      </c>
      <c r="H638" s="55">
        <f>H637-G638</f>
        <v/>
      </c>
      <c r="I638" s="71" t="n"/>
      <c r="J638" s="749" t="n"/>
      <c r="K638" s="749">
        <f>G638*D638</f>
        <v/>
      </c>
      <c r="L638" s="748" t="n"/>
      <c r="M638" s="114" t="n"/>
    </row>
    <row r="639">
      <c r="A639" s="48" t="n">
        <v>43608</v>
      </c>
      <c r="B639" s="49" t="inlineStr">
        <is>
          <t>6535</t>
        </is>
      </c>
      <c r="C639" s="49" t="n"/>
      <c r="D639" s="71" t="n">
        <v>58.73</v>
      </c>
      <c r="E639" s="71" t="n"/>
      <c r="F639" s="55" t="n"/>
      <c r="G639" s="55" t="n">
        <v>40</v>
      </c>
      <c r="H639" s="55">
        <f>H638-G639</f>
        <v/>
      </c>
      <c r="I639" s="71" t="n"/>
      <c r="J639" s="749" t="n"/>
      <c r="K639" s="749">
        <f>G639*D639</f>
        <v/>
      </c>
      <c r="L639" s="748" t="n"/>
      <c r="M639" s="114" t="n"/>
    </row>
    <row r="640">
      <c r="A640" s="48" t="n">
        <v>43608</v>
      </c>
      <c r="B640" s="49" t="inlineStr">
        <is>
          <t>6536</t>
        </is>
      </c>
      <c r="C640" s="49" t="n"/>
      <c r="D640" s="71" t="n">
        <v>56</v>
      </c>
      <c r="E640" s="71" t="n"/>
      <c r="F640" s="55" t="n"/>
      <c r="G640" s="55" t="n">
        <v>30</v>
      </c>
      <c r="H640" s="55">
        <f>H639-G640</f>
        <v/>
      </c>
      <c r="I640" s="71" t="n"/>
      <c r="J640" s="749" t="n"/>
      <c r="K640" s="749">
        <f>G640*D640</f>
        <v/>
      </c>
      <c r="L640" s="748" t="n"/>
      <c r="M640" s="114" t="n"/>
    </row>
    <row r="641">
      <c r="A641" s="48" t="n">
        <v>43608</v>
      </c>
      <c r="B641" s="49" t="inlineStr">
        <is>
          <t>6538</t>
        </is>
      </c>
      <c r="C641" s="49" t="n"/>
      <c r="D641" s="71" t="n">
        <v>53</v>
      </c>
      <c r="E641" s="71" t="n"/>
      <c r="F641" s="55" t="n"/>
      <c r="G641" s="55" t="n">
        <v>50</v>
      </c>
      <c r="H641" s="55">
        <f>H640-G641</f>
        <v/>
      </c>
      <c r="I641" s="71" t="n"/>
      <c r="J641" s="749" t="n"/>
      <c r="K641" s="749">
        <f>G641*D641</f>
        <v/>
      </c>
      <c r="L641" s="748" t="n"/>
      <c r="M641" s="114" t="n"/>
    </row>
    <row r="642">
      <c r="A642" s="48" t="n">
        <v>43612</v>
      </c>
      <c r="B642" s="49" t="inlineStr">
        <is>
          <t>6541</t>
        </is>
      </c>
      <c r="C642" s="49" t="n"/>
      <c r="D642" s="71" t="n">
        <v>49</v>
      </c>
      <c r="E642" s="71" t="n"/>
      <c r="F642" s="55" t="n"/>
      <c r="G642" s="55" t="n">
        <v>50</v>
      </c>
      <c r="H642" s="55">
        <f>H641-G642</f>
        <v/>
      </c>
      <c r="I642" s="71" t="n"/>
      <c r="J642" s="749" t="n"/>
      <c r="K642" s="749">
        <f>G642*D642</f>
        <v/>
      </c>
      <c r="L642" s="748" t="n"/>
      <c r="M642" s="114" t="n"/>
    </row>
    <row r="643">
      <c r="A643" s="48" t="n">
        <v>43612</v>
      </c>
      <c r="B643" s="49" t="inlineStr">
        <is>
          <t>6544</t>
        </is>
      </c>
      <c r="C643" s="49" t="n"/>
      <c r="D643" s="71" t="n">
        <v>50</v>
      </c>
      <c r="E643" s="71" t="n"/>
      <c r="F643" s="55" t="n"/>
      <c r="G643" s="55" t="n">
        <v>20</v>
      </c>
      <c r="H643" s="55">
        <f>H642-G643</f>
        <v/>
      </c>
      <c r="I643" s="71" t="n"/>
      <c r="J643" s="749" t="n"/>
      <c r="K643" s="749">
        <f>G643*D643</f>
        <v/>
      </c>
      <c r="L643" s="748" t="n"/>
      <c r="M643" s="114" t="n"/>
    </row>
    <row r="644">
      <c r="A644" s="48" t="n">
        <v>43613</v>
      </c>
      <c r="B644" s="49" t="inlineStr">
        <is>
          <t>6547</t>
        </is>
      </c>
      <c r="C644" s="49" t="n"/>
      <c r="D644" s="71" t="n">
        <v>56</v>
      </c>
      <c r="E644" s="71" t="n"/>
      <c r="F644" s="55" t="n"/>
      <c r="G644" s="55" t="n">
        <v>25</v>
      </c>
      <c r="H644" s="55">
        <f>H643-G644</f>
        <v/>
      </c>
      <c r="I644" s="71" t="n"/>
      <c r="J644" s="749" t="n"/>
      <c r="K644" s="749">
        <f>G644*D644</f>
        <v/>
      </c>
      <c r="L644" s="748" t="n"/>
      <c r="M644" s="114" t="n"/>
    </row>
    <row r="645">
      <c r="A645" s="48" t="n">
        <v>43613</v>
      </c>
      <c r="B645" s="49" t="inlineStr">
        <is>
          <t>6548</t>
        </is>
      </c>
      <c r="C645" s="49" t="n"/>
      <c r="D645" s="71" t="n">
        <v>52.5</v>
      </c>
      <c r="E645" s="71" t="n"/>
      <c r="F645" s="55" t="n"/>
      <c r="G645" s="55" t="n">
        <v>40</v>
      </c>
      <c r="H645" s="55">
        <f>H644-G645</f>
        <v/>
      </c>
      <c r="I645" s="71" t="n"/>
      <c r="J645" s="749" t="n"/>
      <c r="K645" s="749">
        <f>G645*D645</f>
        <v/>
      </c>
      <c r="L645" s="748" t="n"/>
      <c r="M645" s="114" t="n"/>
    </row>
    <row r="646">
      <c r="A646" s="48" t="n">
        <v>43613</v>
      </c>
      <c r="B646" s="49" t="inlineStr">
        <is>
          <t>6551</t>
        </is>
      </c>
      <c r="C646" s="49" t="n"/>
      <c r="D646" s="71" t="n">
        <v>53</v>
      </c>
      <c r="E646" s="71" t="n"/>
      <c r="F646" s="55" t="n"/>
      <c r="G646" s="55" t="n">
        <v>20</v>
      </c>
      <c r="H646" s="55">
        <f>H645-G646</f>
        <v/>
      </c>
      <c r="I646" s="71" t="n"/>
      <c r="J646" s="749" t="n"/>
      <c r="K646" s="749">
        <f>G646*D646</f>
        <v/>
      </c>
      <c r="L646" s="748" t="n"/>
      <c r="M646" s="114" t="n"/>
    </row>
    <row r="647">
      <c r="A647" s="48" t="n">
        <v>43613</v>
      </c>
      <c r="B647" s="49" t="inlineStr">
        <is>
          <t>6553</t>
        </is>
      </c>
      <c r="C647" s="49" t="n"/>
      <c r="D647" s="71" t="n">
        <v>50</v>
      </c>
      <c r="E647" s="71" t="n"/>
      <c r="F647" s="55" t="n"/>
      <c r="G647" s="55" t="n">
        <v>20</v>
      </c>
      <c r="H647" s="55">
        <f>H646-G647</f>
        <v/>
      </c>
      <c r="I647" s="71" t="n"/>
      <c r="J647" s="749" t="n"/>
      <c r="K647" s="749">
        <f>G647*D647</f>
        <v/>
      </c>
      <c r="L647" s="748" t="n"/>
      <c r="M647" s="114" t="n"/>
    </row>
    <row r="648">
      <c r="A648" s="48" t="n">
        <v>43614</v>
      </c>
      <c r="B648" s="49" t="inlineStr">
        <is>
          <t>6555</t>
        </is>
      </c>
      <c r="C648" s="49" t="n"/>
      <c r="D648" s="71" t="n">
        <v>53</v>
      </c>
      <c r="E648" s="71" t="n"/>
      <c r="F648" s="55" t="n"/>
      <c r="G648" s="55" t="n">
        <v>30</v>
      </c>
      <c r="H648" s="55">
        <f>H647-G648</f>
        <v/>
      </c>
      <c r="I648" s="71" t="n"/>
      <c r="J648" s="749" t="n"/>
      <c r="K648" s="749">
        <f>G648*D648</f>
        <v/>
      </c>
      <c r="L648" s="748" t="n"/>
      <c r="M648" s="114" t="n"/>
    </row>
    <row r="649">
      <c r="A649" s="48" t="n">
        <v>43616</v>
      </c>
      <c r="B649" s="49" t="inlineStr">
        <is>
          <t>6557</t>
        </is>
      </c>
      <c r="C649" s="49" t="n"/>
      <c r="D649" s="71" t="n">
        <v>50</v>
      </c>
      <c r="E649" s="71" t="n"/>
      <c r="F649" s="55" t="n"/>
      <c r="G649" s="55" t="n">
        <v>30</v>
      </c>
      <c r="H649" s="55">
        <f>H648-G649</f>
        <v/>
      </c>
      <c r="I649" s="71" t="n"/>
      <c r="J649" s="749" t="n"/>
      <c r="K649" s="749">
        <f>G649*D649</f>
        <v/>
      </c>
      <c r="L649" s="748" t="n"/>
      <c r="M649" s="114" t="n"/>
    </row>
    <row r="650">
      <c r="A650" s="48" t="n">
        <v>43614</v>
      </c>
      <c r="B650" s="49" t="inlineStr">
        <is>
          <t>6526</t>
        </is>
      </c>
      <c r="C650" s="49" t="n"/>
      <c r="D650" s="71" t="n">
        <v>75</v>
      </c>
      <c r="E650" s="71" t="n"/>
      <c r="F650" s="55" t="n"/>
      <c r="G650" s="55" t="n"/>
      <c r="H650" s="55">
        <f>H649-G650</f>
        <v/>
      </c>
      <c r="I650" s="71" t="n"/>
      <c r="J650" s="749" t="n"/>
      <c r="K650" s="749">
        <f>G650*D650</f>
        <v/>
      </c>
      <c r="L650" s="748" t="n"/>
      <c r="M650" s="114" t="n"/>
    </row>
    <row r="651">
      <c r="A651" s="76" t="n"/>
      <c r="B651" s="76" t="n"/>
      <c r="C651" s="76" t="n"/>
      <c r="D651" s="76" t="n"/>
      <c r="E651" s="76" t="n"/>
      <c r="F651" s="76" t="n"/>
      <c r="G651" s="76" t="n"/>
      <c r="H651" s="76" t="n"/>
      <c r="I651" s="76" t="n"/>
      <c r="J651" s="76" t="n"/>
      <c r="K651" s="76" t="n"/>
      <c r="L651" s="76" t="n"/>
      <c r="M651" s="114" t="n"/>
    </row>
    <row r="652">
      <c r="A652" s="76" t="n"/>
      <c r="B652" s="76" t="n"/>
      <c r="C652" s="76" t="n"/>
      <c r="D652" s="76" t="n"/>
      <c r="E652" s="76" t="n"/>
      <c r="F652" s="76" t="n"/>
      <c r="G652" s="76" t="n"/>
      <c r="H652" s="76" t="n"/>
      <c r="I652" s="76" t="n"/>
      <c r="J652" s="76" t="n"/>
      <c r="K652" s="76" t="n"/>
      <c r="L652" s="76" t="n"/>
      <c r="M652" s="114" t="n"/>
    </row>
    <row r="653">
      <c r="A653" s="76" t="n"/>
      <c r="B653" s="76" t="n"/>
      <c r="C653" s="76" t="n"/>
      <c r="D653" s="76" t="n"/>
      <c r="E653" s="76" t="n"/>
      <c r="F653" s="76" t="n"/>
      <c r="G653" s="76" t="n"/>
      <c r="H653" s="76" t="n"/>
      <c r="I653" s="76" t="n"/>
      <c r="J653" s="76" t="n"/>
      <c r="K653" s="76" t="n"/>
      <c r="L653" s="76" t="n"/>
      <c r="M653" s="114" t="n"/>
    </row>
    <row r="654">
      <c r="A654" s="76" t="n"/>
      <c r="B654" s="76" t="n"/>
      <c r="C654" s="76" t="n"/>
      <c r="D654" s="76" t="n"/>
      <c r="E654" s="76" t="n"/>
      <c r="F654" s="76" t="n"/>
      <c r="G654" s="76" t="n"/>
      <c r="H654" s="76" t="n"/>
      <c r="I654" s="76" t="n"/>
      <c r="J654" s="76" t="n"/>
      <c r="K654" s="76" t="n"/>
      <c r="L654" s="76" t="n"/>
      <c r="M654" s="114" t="n"/>
    </row>
    <row r="655">
      <c r="A655" s="76" t="n"/>
      <c r="B655" s="76" t="n"/>
      <c r="C655" s="76" t="n"/>
      <c r="D655" s="76" t="n"/>
      <c r="E655" s="76" t="n"/>
      <c r="F655" s="76" t="n"/>
      <c r="G655" s="76" t="n"/>
      <c r="H655" s="76" t="n"/>
      <c r="I655" s="76" t="n"/>
      <c r="J655" s="76" t="n"/>
      <c r="K655" s="76" t="n"/>
      <c r="L655" s="76" t="n"/>
      <c r="M655" s="114" t="n"/>
    </row>
    <row r="656">
      <c r="A656" s="76" t="n"/>
      <c r="B656" s="76" t="n"/>
      <c r="C656" s="76" t="n"/>
      <c r="D656" s="76" t="n"/>
      <c r="E656" s="76" t="n"/>
      <c r="F656" s="76" t="n"/>
      <c r="G656" s="76" t="n"/>
      <c r="H656" s="76" t="n"/>
      <c r="I656" s="76" t="n"/>
      <c r="J656" s="76" t="n"/>
      <c r="K656" s="76" t="n"/>
      <c r="L656" s="76" t="n"/>
      <c r="M656" s="114" t="n"/>
    </row>
    <row r="657" ht="15.75" customHeight="1" s="436" thickBot="1">
      <c r="A657" s="76" t="n"/>
      <c r="B657" s="76" t="n"/>
      <c r="C657" s="76" t="n"/>
      <c r="D657" s="76" t="n"/>
      <c r="E657" s="76" t="n"/>
      <c r="F657" s="76" t="n"/>
      <c r="G657" s="76" t="n"/>
      <c r="H657" s="76" t="n"/>
      <c r="I657" s="76" t="n"/>
      <c r="J657" s="76" t="n"/>
      <c r="K657" s="76" t="n"/>
      <c r="L657" s="76" t="n"/>
      <c r="M657" s="114" t="n"/>
    </row>
    <row r="658" ht="21.75" customHeight="1" s="436" thickBot="1">
      <c r="A658" s="744" t="inlineStr">
        <is>
          <t xml:space="preserve">021 - DENISE FURTADO DE SOUZA - ME </t>
        </is>
      </c>
      <c r="B658" s="737" t="n"/>
      <c r="C658" s="737" t="n"/>
      <c r="D658" s="737" t="n"/>
      <c r="E658" s="737" t="n"/>
      <c r="F658" s="737" t="n"/>
      <c r="G658" s="737" t="n"/>
      <c r="H658" s="737" t="n"/>
      <c r="I658" s="737" t="n"/>
      <c r="J658" s="737" t="n"/>
      <c r="K658" s="737" t="n"/>
      <c r="L658" s="736" t="n"/>
      <c r="M658" s="114" t="n"/>
    </row>
    <row r="659" ht="24" customHeight="1" s="436" thickBot="1">
      <c r="A659" s="745" t="inlineStr">
        <is>
          <t xml:space="preserve">  PRÉ MISTURA - 25 KG</t>
        </is>
      </c>
      <c r="B659" s="737" t="n"/>
      <c r="C659" s="737" t="n"/>
      <c r="D659" s="737" t="n"/>
      <c r="E659" s="737" t="n"/>
      <c r="F659" s="737" t="n"/>
      <c r="G659" s="737" t="n"/>
      <c r="H659" s="737" t="n"/>
      <c r="I659" s="737" t="n"/>
      <c r="J659" s="737" t="n"/>
      <c r="K659" s="737" t="n"/>
      <c r="L659" s="736" t="n"/>
      <c r="M659" s="114" t="n"/>
    </row>
    <row r="660">
      <c r="A660" s="746" t="inlineStr">
        <is>
          <t>DATA</t>
        </is>
      </c>
      <c r="B660" s="3" t="inlineStr">
        <is>
          <t>N.F.</t>
        </is>
      </c>
      <c r="C660" s="3" t="inlineStr">
        <is>
          <t>TIPO</t>
        </is>
      </c>
      <c r="D660" s="3" t="inlineStr">
        <is>
          <t>PREÇO UNITÁRIO</t>
        </is>
      </c>
      <c r="E660" s="736" t="n"/>
      <c r="F660" s="3" t="inlineStr">
        <is>
          <t>QUANTIDADE / KG</t>
        </is>
      </c>
      <c r="G660" s="737" t="n"/>
      <c r="H660" s="736" t="n"/>
      <c r="I660" s="631" t="inlineStr">
        <is>
          <t>PREÇO</t>
        </is>
      </c>
      <c r="J660" s="631" t="inlineStr">
        <is>
          <t>VALORES</t>
        </is>
      </c>
      <c r="K660" s="737" t="n"/>
      <c r="L660" s="736" t="n"/>
      <c r="M660" s="114" t="n"/>
    </row>
    <row r="661" ht="15.75" customHeight="1" s="436" thickBot="1">
      <c r="A661" s="703" t="n"/>
      <c r="B661" s="704" t="n"/>
      <c r="C661" s="704" t="n"/>
      <c r="D661" s="703" t="n"/>
      <c r="E661" s="701" t="n"/>
      <c r="F661" s="705" t="n"/>
      <c r="G661" s="706" t="n"/>
      <c r="H661" s="707" t="n"/>
      <c r="I661" s="704" t="n"/>
      <c r="J661" s="703" t="n"/>
      <c r="L661" s="701" t="n"/>
      <c r="M661" s="114" t="n"/>
    </row>
    <row r="662" ht="15.75" customHeight="1" s="436" thickBot="1">
      <c r="A662" s="703" t="n"/>
      <c r="B662" s="704" t="n"/>
      <c r="C662" s="704" t="n"/>
      <c r="D662" s="705" t="n"/>
      <c r="E662" s="707" t="n"/>
      <c r="F662" s="3" t="inlineStr">
        <is>
          <t>ENTRADA</t>
        </is>
      </c>
      <c r="G662" s="3" t="inlineStr">
        <is>
          <t>SAÍDA</t>
        </is>
      </c>
      <c r="H662" s="640" t="n"/>
      <c r="I662" s="633" t="inlineStr">
        <is>
          <t>MÉDIO</t>
        </is>
      </c>
      <c r="J662" s="652" t="inlineStr">
        <is>
          <t>SALDO EM 30/12/2017</t>
        </is>
      </c>
      <c r="K662" s="706" t="n"/>
      <c r="L662" s="17" t="n"/>
      <c r="M662" s="114" t="n"/>
    </row>
    <row r="663" ht="15.75" customHeight="1" s="436" thickBot="1">
      <c r="A663" s="705" t="n"/>
      <c r="B663" s="695" t="n"/>
      <c r="C663" s="695" t="n"/>
      <c r="D663" s="3" t="inlineStr">
        <is>
          <t>C/ICMS</t>
        </is>
      </c>
      <c r="E663" s="3" t="inlineStr">
        <is>
          <t>S/ICMS</t>
        </is>
      </c>
      <c r="F663" s="695" t="n"/>
      <c r="G663" s="695" t="n"/>
      <c r="H663" s="18" t="inlineStr">
        <is>
          <t>Saldo em 31/05/2019</t>
        </is>
      </c>
      <c r="I663" s="695" t="n"/>
      <c r="J663" s="645" t="inlineStr">
        <is>
          <t>ENTRADA</t>
        </is>
      </c>
      <c r="K663" s="633" t="inlineStr">
        <is>
          <t>SAÍDA / CMV</t>
        </is>
      </c>
      <c r="L663" s="633" t="inlineStr">
        <is>
          <t>SALDO</t>
        </is>
      </c>
      <c r="M663" s="114" t="n"/>
    </row>
    <row r="664">
      <c r="A664" s="48" t="n"/>
      <c r="B664" s="49" t="n"/>
      <c r="C664" s="49" t="n"/>
      <c r="D664" s="71" t="n"/>
      <c r="E664" s="71" t="n"/>
      <c r="F664" s="55" t="n"/>
      <c r="G664" s="55" t="n">
        <v>0</v>
      </c>
      <c r="H664" s="55" t="n"/>
      <c r="I664" s="71" t="n"/>
      <c r="J664" s="747">
        <f>F664*I664</f>
        <v/>
      </c>
      <c r="K664" s="747" t="n">
        <v>0</v>
      </c>
      <c r="L664" s="748">
        <f>J664-K664</f>
        <v/>
      </c>
      <c r="M664" s="114" t="n"/>
    </row>
    <row r="665">
      <c r="A665" s="92" t="n">
        <v>43617</v>
      </c>
      <c r="B665" s="93" t="n"/>
      <c r="C665" s="96" t="n"/>
      <c r="D665" s="97" t="n"/>
      <c r="E665" s="97" t="n"/>
      <c r="F665" s="98" t="n"/>
      <c r="G665" s="98" t="n"/>
      <c r="H665" s="95" t="n">
        <v>249</v>
      </c>
      <c r="I665" s="51" t="n"/>
      <c r="J665" s="749" t="n"/>
      <c r="K665" s="749">
        <f>G665*D665</f>
        <v/>
      </c>
      <c r="L665" s="748" t="n"/>
      <c r="M665" s="114" t="n"/>
    </row>
    <row r="666">
      <c r="A666" s="92" t="n">
        <v>43617</v>
      </c>
      <c r="B666" s="93" t="inlineStr">
        <is>
          <t>118065</t>
        </is>
      </c>
      <c r="C666" s="96" t="n"/>
      <c r="D666" s="97" t="n">
        <v>42.75</v>
      </c>
      <c r="E666" s="97" t="n"/>
      <c r="F666" s="98" t="n">
        <v>800</v>
      </c>
      <c r="G666" s="98" t="n"/>
      <c r="H666" s="95" t="n">
        <v>1049</v>
      </c>
      <c r="I666" s="51" t="n"/>
      <c r="J666" s="749" t="n"/>
      <c r="K666" s="749" t="n"/>
      <c r="L666" s="748" t="n"/>
      <c r="M666" s="114" t="n"/>
    </row>
    <row r="667">
      <c r="A667" s="48" t="n">
        <v>43620</v>
      </c>
      <c r="B667" s="49" t="inlineStr">
        <is>
          <t>6560</t>
        </is>
      </c>
      <c r="C667" s="50" t="n"/>
      <c r="D667" s="51" t="n">
        <v>51</v>
      </c>
      <c r="E667" s="51" t="n"/>
      <c r="F667" s="52" t="n"/>
      <c r="G667" s="52" t="n">
        <v>60</v>
      </c>
      <c r="H667" s="55">
        <f>H666-G667</f>
        <v/>
      </c>
      <c r="I667" s="51" t="n"/>
      <c r="J667" s="749" t="n"/>
      <c r="K667" s="749" t="n"/>
      <c r="L667" s="748" t="n"/>
      <c r="M667" s="114" t="n"/>
    </row>
    <row r="668">
      <c r="A668" s="48" t="n">
        <v>43620</v>
      </c>
      <c r="B668" s="49" t="inlineStr">
        <is>
          <t>6563</t>
        </is>
      </c>
      <c r="C668" s="50" t="n"/>
      <c r="D668" s="51" t="n">
        <v>57</v>
      </c>
      <c r="E668" s="51" t="n"/>
      <c r="F668" s="52" t="n"/>
      <c r="G668" s="52" t="n">
        <v>30</v>
      </c>
      <c r="H668" s="55">
        <f>H667-G668</f>
        <v/>
      </c>
      <c r="I668" s="51" t="n"/>
      <c r="J668" s="749" t="n"/>
      <c r="K668" s="749" t="n"/>
      <c r="L668" s="748" t="n"/>
      <c r="M668" s="114" t="n"/>
    </row>
    <row r="669">
      <c r="A669" s="48" t="n">
        <v>43620</v>
      </c>
      <c r="B669" s="49" t="inlineStr">
        <is>
          <t>6564</t>
        </is>
      </c>
      <c r="C669" s="50" t="n"/>
      <c r="D669" s="51" t="n">
        <v>53</v>
      </c>
      <c r="E669" s="51" t="n"/>
      <c r="F669" s="52" t="n"/>
      <c r="G669" s="52" t="n">
        <v>30</v>
      </c>
      <c r="H669" s="55">
        <f>H667-G669</f>
        <v/>
      </c>
      <c r="I669" s="51" t="n"/>
      <c r="J669" s="749" t="n"/>
      <c r="K669" s="749" t="n"/>
      <c r="L669" s="748" t="n"/>
      <c r="M669" s="114" t="n"/>
    </row>
    <row r="670">
      <c r="A670" s="48" t="n">
        <v>43620</v>
      </c>
      <c r="B670" s="49" t="inlineStr">
        <is>
          <t>6565</t>
        </is>
      </c>
      <c r="C670" s="50" t="n"/>
      <c r="D670" s="51" t="n">
        <v>53.8</v>
      </c>
      <c r="E670" s="51" t="n"/>
      <c r="F670" s="52" t="n"/>
      <c r="G670" s="52" t="n">
        <v>25</v>
      </c>
      <c r="H670" s="55">
        <f>H669-G670</f>
        <v/>
      </c>
      <c r="I670" s="51" t="n"/>
      <c r="J670" s="749" t="n"/>
      <c r="K670" s="749">
        <f>G670*D670</f>
        <v/>
      </c>
      <c r="L670" s="748" t="n"/>
      <c r="M670" s="114" t="n"/>
    </row>
    <row r="671">
      <c r="A671" s="48" t="n">
        <v>43626</v>
      </c>
      <c r="B671" s="49" t="inlineStr">
        <is>
          <t>6570</t>
        </is>
      </c>
      <c r="C671" s="49" t="n"/>
      <c r="D671" s="117" t="n">
        <v>50</v>
      </c>
      <c r="E671" s="71" t="n"/>
      <c r="F671" s="55" t="n"/>
      <c r="G671" s="55" t="n">
        <v>20</v>
      </c>
      <c r="H671" s="55">
        <f>H670-G671</f>
        <v/>
      </c>
      <c r="I671" s="71" t="n"/>
      <c r="J671" s="749" t="n"/>
      <c r="K671" s="749">
        <f>G671*D671</f>
        <v/>
      </c>
      <c r="L671" s="748" t="n"/>
      <c r="M671" s="114" t="n"/>
    </row>
    <row r="672">
      <c r="A672" s="48" t="n">
        <v>43626</v>
      </c>
      <c r="B672" s="49" t="inlineStr">
        <is>
          <t>6574</t>
        </is>
      </c>
      <c r="C672" s="49" t="n"/>
      <c r="D672" s="71" t="n">
        <v>53.5</v>
      </c>
      <c r="E672" s="71" t="n"/>
      <c r="F672" s="55" t="n"/>
      <c r="G672" s="55" t="n">
        <v>10</v>
      </c>
      <c r="H672" s="55">
        <f>H671-G672</f>
        <v/>
      </c>
      <c r="I672" s="71" t="n"/>
      <c r="J672" s="749" t="n"/>
      <c r="K672" s="749">
        <f>G672*D672</f>
        <v/>
      </c>
      <c r="L672" s="748" t="n"/>
      <c r="M672" s="114" t="n"/>
    </row>
    <row r="673">
      <c r="A673" s="48" t="n">
        <v>43626</v>
      </c>
      <c r="B673" s="49" t="inlineStr">
        <is>
          <t>6578</t>
        </is>
      </c>
      <c r="C673" s="49" t="n"/>
      <c r="D673" s="71" t="n">
        <v>53</v>
      </c>
      <c r="E673" s="71" t="n"/>
      <c r="F673" s="55" t="n"/>
      <c r="G673" s="55" t="n">
        <v>30</v>
      </c>
      <c r="H673" s="55">
        <f>H672-G673</f>
        <v/>
      </c>
      <c r="I673" s="71" t="n"/>
      <c r="J673" s="749" t="n"/>
      <c r="K673" s="749">
        <f>G673*D673</f>
        <v/>
      </c>
      <c r="L673" s="748" t="n"/>
      <c r="M673" s="114" t="n"/>
    </row>
    <row r="674">
      <c r="A674" s="48" t="n">
        <v>43627</v>
      </c>
      <c r="B674" s="49" t="inlineStr">
        <is>
          <t>6583</t>
        </is>
      </c>
      <c r="C674" s="49" t="n"/>
      <c r="D674" s="71" t="n">
        <v>52.5</v>
      </c>
      <c r="E674" s="71" t="n"/>
      <c r="F674" s="55" t="n"/>
      <c r="G674" s="55" t="n">
        <v>40</v>
      </c>
      <c r="H674" s="55">
        <f>H673-G674</f>
        <v/>
      </c>
      <c r="I674" s="71" t="n"/>
      <c r="J674" s="749" t="n"/>
      <c r="K674" s="749">
        <f>G674*D674</f>
        <v/>
      </c>
      <c r="L674" s="748" t="n"/>
      <c r="M674" s="114" t="n"/>
    </row>
    <row r="675">
      <c r="A675" s="48" t="n">
        <v>43630</v>
      </c>
      <c r="B675" s="49" t="inlineStr">
        <is>
          <t>6588</t>
        </is>
      </c>
      <c r="C675" s="49" t="n"/>
      <c r="D675" s="71" t="n">
        <v>55.5</v>
      </c>
      <c r="E675" s="71" t="n"/>
      <c r="F675" s="55" t="n"/>
      <c r="G675" s="55" t="n">
        <v>50</v>
      </c>
      <c r="H675" s="55">
        <f>H674-G675</f>
        <v/>
      </c>
      <c r="I675" s="71" t="n"/>
      <c r="J675" s="749" t="n"/>
      <c r="K675" s="749">
        <f>G675*D675</f>
        <v/>
      </c>
      <c r="L675" s="748" t="n"/>
      <c r="M675" s="114" t="n"/>
    </row>
    <row r="676">
      <c r="A676" s="48" t="n">
        <v>43633</v>
      </c>
      <c r="B676" s="49" t="inlineStr">
        <is>
          <t>6592</t>
        </is>
      </c>
      <c r="C676" s="49" t="n"/>
      <c r="D676" s="71" t="n">
        <v>51</v>
      </c>
      <c r="E676" s="71" t="n"/>
      <c r="F676" s="55" t="n"/>
      <c r="G676" s="55" t="n">
        <v>58</v>
      </c>
      <c r="H676" s="55">
        <f>H675-G676</f>
        <v/>
      </c>
      <c r="I676" s="71" t="n"/>
      <c r="J676" s="749" t="n"/>
      <c r="K676" s="749">
        <f>G676*D676</f>
        <v/>
      </c>
      <c r="L676" s="748" t="n"/>
      <c r="M676" s="114" t="n"/>
    </row>
    <row r="677">
      <c r="A677" s="48" t="n">
        <v>43633</v>
      </c>
      <c r="B677" s="49" t="inlineStr">
        <is>
          <t>6595</t>
        </is>
      </c>
      <c r="C677" s="49" t="n"/>
      <c r="D677" s="71" t="n">
        <v>53</v>
      </c>
      <c r="E677" s="71" t="n"/>
      <c r="F677" s="55" t="n"/>
      <c r="G677" s="55" t="n">
        <v>30</v>
      </c>
      <c r="H677" s="55">
        <f>H676-G677</f>
        <v/>
      </c>
      <c r="I677" s="71" t="n"/>
      <c r="J677" s="749" t="n"/>
      <c r="K677" s="749">
        <f>G677*D677</f>
        <v/>
      </c>
      <c r="L677" s="748" t="n"/>
      <c r="M677" s="114" t="n"/>
    </row>
    <row r="678">
      <c r="A678" s="48" t="n">
        <v>43633</v>
      </c>
      <c r="B678" s="49" t="inlineStr">
        <is>
          <t>6597</t>
        </is>
      </c>
      <c r="C678" s="49" t="n"/>
      <c r="D678" s="71" t="n">
        <v>53</v>
      </c>
      <c r="E678" s="71" t="n"/>
      <c r="F678" s="55" t="n"/>
      <c r="G678" s="55" t="n">
        <v>30</v>
      </c>
      <c r="H678" s="55">
        <f>H677-G678</f>
        <v/>
      </c>
      <c r="I678" s="71" t="n"/>
      <c r="J678" s="749" t="n"/>
      <c r="K678" s="749">
        <f>G678*D678</f>
        <v/>
      </c>
      <c r="L678" s="748" t="n"/>
      <c r="M678" s="114" t="n"/>
    </row>
    <row r="679">
      <c r="A679" s="48" t="n">
        <v>43640</v>
      </c>
      <c r="B679" s="49" t="inlineStr">
        <is>
          <t>6600</t>
        </is>
      </c>
      <c r="C679" s="49" t="n"/>
      <c r="D679" s="71" t="n">
        <v>55.67</v>
      </c>
      <c r="E679" s="71" t="n"/>
      <c r="F679" s="55" t="n"/>
      <c r="G679" s="55" t="n">
        <v>30</v>
      </c>
      <c r="H679" s="55">
        <f>H678-G679</f>
        <v/>
      </c>
      <c r="I679" s="71" t="n"/>
      <c r="J679" s="749" t="n"/>
      <c r="K679" s="749">
        <f>G679*D679</f>
        <v/>
      </c>
      <c r="L679" s="748" t="n"/>
      <c r="M679" s="114" t="n"/>
    </row>
    <row r="680">
      <c r="A680" s="48" t="n">
        <v>43642</v>
      </c>
      <c r="B680" s="49" t="inlineStr">
        <is>
          <t>6607</t>
        </is>
      </c>
      <c r="C680" s="49" t="n"/>
      <c r="D680" s="71" t="n">
        <v>53</v>
      </c>
      <c r="E680" s="71" t="n"/>
      <c r="F680" s="55" t="n"/>
      <c r="G680" s="55" t="n">
        <v>20</v>
      </c>
      <c r="H680" s="55">
        <f>H679-G680</f>
        <v/>
      </c>
      <c r="I680" s="71" t="n"/>
      <c r="J680" s="749" t="n"/>
      <c r="K680" s="749">
        <f>G680*D680</f>
        <v/>
      </c>
      <c r="L680" s="748" t="n"/>
      <c r="M680" s="114" t="n"/>
    </row>
    <row r="681">
      <c r="A681" s="48" t="n">
        <v>43642</v>
      </c>
      <c r="B681" s="49" t="inlineStr">
        <is>
          <t>6611</t>
        </is>
      </c>
      <c r="C681" s="49" t="n"/>
      <c r="D681" s="71" t="n">
        <v>51</v>
      </c>
      <c r="E681" s="71" t="n"/>
      <c r="F681" s="55" t="n"/>
      <c r="G681" s="55" t="n">
        <v>30</v>
      </c>
      <c r="H681" s="55">
        <f>H680-G681</f>
        <v/>
      </c>
      <c r="I681" s="71" t="n"/>
      <c r="J681" s="749" t="n"/>
      <c r="K681" s="749">
        <f>G681*D681</f>
        <v/>
      </c>
      <c r="L681" s="748" t="n"/>
      <c r="M681" s="114" t="n"/>
    </row>
    <row r="682">
      <c r="A682" s="48" t="n">
        <v>43642</v>
      </c>
      <c r="B682" s="49" t="inlineStr">
        <is>
          <t>6612</t>
        </is>
      </c>
      <c r="C682" s="49" t="n"/>
      <c r="D682" s="71" t="n">
        <v>52</v>
      </c>
      <c r="E682" s="71" t="n"/>
      <c r="F682" s="55" t="n"/>
      <c r="G682" s="55" t="n">
        <v>30</v>
      </c>
      <c r="H682" s="55">
        <f>H681-G682</f>
        <v/>
      </c>
      <c r="I682" s="71" t="n"/>
      <c r="J682" s="749" t="n"/>
      <c r="K682" s="749">
        <f>G682*D682</f>
        <v/>
      </c>
      <c r="L682" s="748" t="n"/>
      <c r="M682" s="114" t="n"/>
    </row>
    <row r="683">
      <c r="A683" s="48" t="n">
        <v>43642</v>
      </c>
      <c r="B683" s="49" t="inlineStr">
        <is>
          <t>6614</t>
        </is>
      </c>
      <c r="C683" s="49" t="n"/>
      <c r="D683" s="71" t="n">
        <v>56</v>
      </c>
      <c r="E683" s="71" t="n"/>
      <c r="F683" s="55" t="n"/>
      <c r="G683" s="55" t="n">
        <v>20</v>
      </c>
      <c r="H683" s="55">
        <f>H682-G683</f>
        <v/>
      </c>
      <c r="I683" s="71" t="n"/>
      <c r="J683" s="749" t="n"/>
      <c r="K683" s="749">
        <f>G683*D683</f>
        <v/>
      </c>
      <c r="L683" s="748" t="n"/>
      <c r="M683" s="114" t="n"/>
    </row>
    <row r="684">
      <c r="A684" s="48" t="n">
        <v>43643</v>
      </c>
      <c r="B684" s="49" t="inlineStr">
        <is>
          <t>6523</t>
        </is>
      </c>
      <c r="C684" s="49" t="n"/>
      <c r="D684" s="71" t="n">
        <v>57</v>
      </c>
      <c r="E684" s="71" t="n"/>
      <c r="F684" s="55" t="n"/>
      <c r="G684" s="55" t="n"/>
      <c r="H684" s="55">
        <f>H683-G684</f>
        <v/>
      </c>
      <c r="I684" s="71" t="n"/>
      <c r="J684" s="749" t="n"/>
      <c r="K684" s="749">
        <f>G684*D684</f>
        <v/>
      </c>
      <c r="L684" s="748" t="n"/>
      <c r="M684" s="114" t="n"/>
    </row>
    <row r="685">
      <c r="A685" s="76" t="n"/>
      <c r="B685" s="76" t="n"/>
      <c r="C685" s="76" t="n"/>
      <c r="D685" s="76" t="n"/>
      <c r="E685" s="76" t="n"/>
      <c r="F685" s="76" t="n"/>
      <c r="G685" s="76" t="n"/>
      <c r="H685" s="76" t="n"/>
      <c r="I685" s="76" t="n"/>
      <c r="J685" s="76" t="n"/>
      <c r="K685" s="76" t="n"/>
      <c r="L685" s="76" t="n"/>
      <c r="M685" s="114" t="n"/>
    </row>
    <row r="686">
      <c r="A686" s="76" t="n"/>
      <c r="B686" s="76" t="n"/>
      <c r="C686" s="76" t="n"/>
      <c r="D686" s="76" t="n"/>
      <c r="E686" s="76" t="n"/>
      <c r="F686" s="76" t="n"/>
      <c r="G686" s="76" t="n"/>
      <c r="H686" s="76" t="n"/>
      <c r="I686" s="76" t="n"/>
      <c r="J686" s="76" t="n"/>
      <c r="K686" s="76" t="n"/>
      <c r="L686" s="76" t="n"/>
      <c r="M686" s="114" t="n"/>
    </row>
    <row r="687">
      <c r="A687" s="76" t="n"/>
      <c r="B687" s="76" t="n"/>
      <c r="C687" s="76" t="n"/>
      <c r="D687" s="76" t="n"/>
      <c r="E687" s="76" t="n"/>
      <c r="F687" s="76" t="n"/>
      <c r="G687" s="76" t="n"/>
      <c r="H687" s="76" t="n"/>
      <c r="I687" s="76" t="n"/>
      <c r="J687" s="76" t="n"/>
      <c r="K687" s="76" t="n"/>
      <c r="L687" s="76" t="n"/>
      <c r="M687" s="114" t="n"/>
    </row>
    <row r="688">
      <c r="A688" s="76" t="n"/>
      <c r="B688" s="76" t="n"/>
      <c r="C688" s="76" t="n"/>
      <c r="D688" s="76" t="n"/>
      <c r="E688" s="76" t="n"/>
      <c r="F688" s="76" t="n"/>
      <c r="G688" s="76" t="n"/>
      <c r="H688" s="76" t="n"/>
      <c r="I688" s="76" t="n"/>
      <c r="J688" s="76" t="n"/>
      <c r="K688" s="76" t="n"/>
      <c r="L688" s="76" t="n"/>
      <c r="M688" s="114" t="n"/>
    </row>
    <row r="689" ht="15.75" customHeight="1" s="436" thickBot="1">
      <c r="A689" s="76" t="n"/>
      <c r="B689" s="76" t="n"/>
      <c r="C689" s="76" t="n"/>
      <c r="D689" s="76" t="n"/>
      <c r="E689" s="76" t="n"/>
      <c r="F689" s="76" t="n"/>
      <c r="G689" s="76" t="n"/>
      <c r="H689" s="76" t="n"/>
      <c r="I689" s="76" t="n"/>
      <c r="J689" s="76" t="n"/>
      <c r="K689" s="76" t="n"/>
      <c r="L689" s="76" t="n"/>
      <c r="M689" s="114" t="n"/>
    </row>
    <row r="690" ht="21.75" customHeight="1" s="436" thickBot="1">
      <c r="A690" s="744" t="inlineStr">
        <is>
          <t xml:space="preserve">021 - DENISE FURTADO DE SOUZA - ME </t>
        </is>
      </c>
      <c r="B690" s="737" t="n"/>
      <c r="C690" s="737" t="n"/>
      <c r="D690" s="737" t="n"/>
      <c r="E690" s="737" t="n"/>
      <c r="F690" s="737" t="n"/>
      <c r="G690" s="737" t="n"/>
      <c r="H690" s="737" t="n"/>
      <c r="I690" s="737" t="n"/>
      <c r="J690" s="737" t="n"/>
      <c r="K690" s="737" t="n"/>
      <c r="L690" s="736" t="n"/>
      <c r="M690" s="114" t="n"/>
    </row>
    <row r="691" ht="24" customHeight="1" s="436" thickBot="1">
      <c r="A691" s="745" t="inlineStr">
        <is>
          <t xml:space="preserve">  PRÉ MISTURA - 25 KG</t>
        </is>
      </c>
      <c r="B691" s="737" t="n"/>
      <c r="C691" s="737" t="n"/>
      <c r="D691" s="737" t="n"/>
      <c r="E691" s="737" t="n"/>
      <c r="F691" s="737" t="n"/>
      <c r="G691" s="737" t="n"/>
      <c r="H691" s="737" t="n"/>
      <c r="I691" s="737" t="n"/>
      <c r="J691" s="737" t="n"/>
      <c r="K691" s="737" t="n"/>
      <c r="L691" s="736" t="n"/>
      <c r="M691" s="114" t="n"/>
    </row>
    <row r="692">
      <c r="A692" s="746" t="inlineStr">
        <is>
          <t>DATA</t>
        </is>
      </c>
      <c r="B692" s="3" t="inlineStr">
        <is>
          <t>N.F.</t>
        </is>
      </c>
      <c r="C692" s="3" t="inlineStr">
        <is>
          <t>TIPO</t>
        </is>
      </c>
      <c r="D692" s="3" t="inlineStr">
        <is>
          <t>PREÇO UNITÁRIO</t>
        </is>
      </c>
      <c r="E692" s="736" t="n"/>
      <c r="F692" s="3" t="inlineStr">
        <is>
          <t>QUANTIDADE / KG</t>
        </is>
      </c>
      <c r="G692" s="737" t="n"/>
      <c r="H692" s="736" t="n"/>
      <c r="I692" s="631" t="inlineStr">
        <is>
          <t>PREÇO</t>
        </is>
      </c>
      <c r="J692" s="631" t="inlineStr">
        <is>
          <t>VALORES</t>
        </is>
      </c>
      <c r="K692" s="737" t="n"/>
      <c r="L692" s="736" t="n"/>
      <c r="M692" s="114" t="n"/>
    </row>
    <row r="693" ht="15.75" customHeight="1" s="436" thickBot="1">
      <c r="A693" s="703" t="n"/>
      <c r="B693" s="704" t="n"/>
      <c r="C693" s="704" t="n"/>
      <c r="D693" s="703" t="n"/>
      <c r="E693" s="701" t="n"/>
      <c r="F693" s="705" t="n"/>
      <c r="G693" s="706" t="n"/>
      <c r="H693" s="707" t="n"/>
      <c r="I693" s="704" t="n"/>
      <c r="J693" s="703" t="n"/>
      <c r="L693" s="701" t="n"/>
      <c r="M693" s="114" t="n"/>
    </row>
    <row r="694" ht="15.75" customHeight="1" s="436" thickBot="1">
      <c r="A694" s="703" t="n"/>
      <c r="B694" s="704" t="n"/>
      <c r="C694" s="704" t="n"/>
      <c r="D694" s="705" t="n"/>
      <c r="E694" s="707" t="n"/>
      <c r="F694" s="3" t="inlineStr">
        <is>
          <t>ENTRADA</t>
        </is>
      </c>
      <c r="G694" s="3" t="inlineStr">
        <is>
          <t>SAÍDA</t>
        </is>
      </c>
      <c r="H694" s="640" t="n"/>
      <c r="I694" s="633" t="inlineStr">
        <is>
          <t>MÉDIO</t>
        </is>
      </c>
      <c r="J694" s="652" t="inlineStr">
        <is>
          <t>SALDO EM 30/12/2017</t>
        </is>
      </c>
      <c r="K694" s="706" t="n"/>
      <c r="L694" s="17" t="n"/>
      <c r="M694" s="114" t="n"/>
    </row>
    <row r="695" ht="15.75" customHeight="1" s="436" thickBot="1">
      <c r="A695" s="705" t="n"/>
      <c r="B695" s="695" t="n"/>
      <c r="C695" s="695" t="n"/>
      <c r="D695" s="3" t="inlineStr">
        <is>
          <t>C/ICMS</t>
        </is>
      </c>
      <c r="E695" s="3" t="inlineStr">
        <is>
          <t>S/ICMS</t>
        </is>
      </c>
      <c r="F695" s="695" t="n"/>
      <c r="G695" s="695" t="n"/>
      <c r="H695" s="18" t="inlineStr">
        <is>
          <t>Saldo em 31/05/2019</t>
        </is>
      </c>
      <c r="I695" s="695" t="n"/>
      <c r="J695" s="645" t="inlineStr">
        <is>
          <t>ENTRADA</t>
        </is>
      </c>
      <c r="K695" s="633" t="inlineStr">
        <is>
          <t>SAÍDA / CMV</t>
        </is>
      </c>
      <c r="L695" s="633" t="inlineStr">
        <is>
          <t>SALDO</t>
        </is>
      </c>
      <c r="M695" s="114" t="n"/>
    </row>
    <row r="696">
      <c r="A696" s="48" t="n"/>
      <c r="B696" s="49" t="n"/>
      <c r="C696" s="49" t="n"/>
      <c r="D696" s="71" t="n"/>
      <c r="E696" s="71" t="n"/>
      <c r="F696" s="55" t="n"/>
      <c r="G696" s="55" t="n">
        <v>0</v>
      </c>
      <c r="H696" s="55" t="n"/>
      <c r="I696" s="71" t="n"/>
      <c r="J696" s="747">
        <f>F696*I696</f>
        <v/>
      </c>
      <c r="K696" s="747" t="n">
        <v>0</v>
      </c>
      <c r="L696" s="748">
        <f>J696-K696</f>
        <v/>
      </c>
      <c r="M696" s="114" t="n"/>
    </row>
    <row r="697">
      <c r="A697" s="92" t="n">
        <v>43647</v>
      </c>
      <c r="B697" s="93" t="n"/>
      <c r="C697" s="96" t="n"/>
      <c r="D697" s="97" t="n"/>
      <c r="E697" s="97" t="n"/>
      <c r="F697" s="98" t="n"/>
      <c r="G697" s="98" t="n"/>
      <c r="H697" s="95" t="n">
        <v>536</v>
      </c>
      <c r="I697" s="51" t="n"/>
      <c r="J697" s="749" t="n"/>
      <c r="K697" s="749">
        <f>G697*D697</f>
        <v/>
      </c>
      <c r="L697" s="748" t="n"/>
      <c r="M697" s="114" t="n"/>
    </row>
    <row r="698">
      <c r="A698" s="48" t="n">
        <v>43647</v>
      </c>
      <c r="B698" s="49" t="inlineStr">
        <is>
          <t>6617</t>
        </is>
      </c>
      <c r="C698" s="50" t="n"/>
      <c r="D698" s="51" t="n">
        <v>52.5</v>
      </c>
      <c r="E698" s="51" t="n"/>
      <c r="F698" s="52" t="n"/>
      <c r="G698" s="52" t="n">
        <v>40</v>
      </c>
      <c r="H698" s="55" t="n">
        <v>496</v>
      </c>
      <c r="I698" s="51" t="n"/>
      <c r="J698" s="749" t="n"/>
      <c r="K698" s="749" t="n"/>
      <c r="L698" s="748" t="n"/>
      <c r="M698" s="114" t="n"/>
    </row>
    <row r="699">
      <c r="A699" s="48" t="n">
        <v>43647</v>
      </c>
      <c r="B699" s="49" t="inlineStr">
        <is>
          <t>6620</t>
        </is>
      </c>
      <c r="C699" s="50" t="n"/>
      <c r="D699" s="51" t="n">
        <v>51</v>
      </c>
      <c r="E699" s="51" t="n"/>
      <c r="F699" s="52" t="n"/>
      <c r="G699" s="52" t="n">
        <v>80</v>
      </c>
      <c r="H699" s="55">
        <f>H698-G699</f>
        <v/>
      </c>
      <c r="I699" s="51" t="n"/>
      <c r="J699" s="749" t="n"/>
      <c r="K699" s="749" t="n"/>
      <c r="L699" s="748" t="n"/>
      <c r="M699" s="114" t="n"/>
    </row>
    <row r="700">
      <c r="A700" s="48" t="n">
        <v>43647</v>
      </c>
      <c r="B700" s="49" t="inlineStr">
        <is>
          <t>6621</t>
        </is>
      </c>
      <c r="C700" s="50" t="n"/>
      <c r="D700" s="51" t="n">
        <v>53</v>
      </c>
      <c r="E700" s="51" t="n"/>
      <c r="F700" s="52" t="n"/>
      <c r="G700" s="52" t="n">
        <v>30</v>
      </c>
      <c r="H700" s="55">
        <f>H699-G700</f>
        <v/>
      </c>
      <c r="I700" s="51" t="n"/>
      <c r="J700" s="749" t="n"/>
      <c r="K700" s="749" t="n"/>
      <c r="L700" s="748" t="n"/>
      <c r="M700" s="114" t="n"/>
    </row>
    <row r="701">
      <c r="A701" s="48" t="n">
        <v>43647</v>
      </c>
      <c r="B701" s="49" t="inlineStr">
        <is>
          <t>6623</t>
        </is>
      </c>
      <c r="C701" s="50" t="n"/>
      <c r="D701" s="51" t="n">
        <v>53</v>
      </c>
      <c r="E701" s="51" t="n"/>
      <c r="F701" s="52" t="n"/>
      <c r="G701" s="52" t="n">
        <v>50</v>
      </c>
      <c r="H701" s="55">
        <f>H699-G701</f>
        <v/>
      </c>
      <c r="I701" s="51" t="n"/>
      <c r="J701" s="749" t="n"/>
      <c r="K701" s="749" t="n"/>
      <c r="L701" s="748" t="n"/>
      <c r="M701" s="114" t="n"/>
    </row>
    <row r="702">
      <c r="A702" s="48" t="n">
        <v>43649</v>
      </c>
      <c r="B702" s="49" t="inlineStr">
        <is>
          <t>6626</t>
        </is>
      </c>
      <c r="C702" s="50" t="n"/>
      <c r="D702" s="51" t="n">
        <v>55</v>
      </c>
      <c r="E702" s="51" t="n"/>
      <c r="F702" s="52" t="n"/>
      <c r="G702" s="52" t="n">
        <v>60</v>
      </c>
      <c r="H702" s="55">
        <f>H701-G702</f>
        <v/>
      </c>
      <c r="I702" s="51" t="n"/>
      <c r="J702" s="749" t="n"/>
      <c r="K702" s="749">
        <f>G702*D702</f>
        <v/>
      </c>
      <c r="L702" s="748" t="n"/>
      <c r="M702" s="114" t="n"/>
    </row>
    <row r="703">
      <c r="A703" s="48" t="n">
        <v>43649</v>
      </c>
      <c r="B703" s="49" t="inlineStr">
        <is>
          <t>6628</t>
        </is>
      </c>
      <c r="C703" s="49" t="n"/>
      <c r="D703" s="117" t="n">
        <v>53</v>
      </c>
      <c r="E703" s="71" t="n"/>
      <c r="F703" s="55" t="n"/>
      <c r="G703" s="55" t="n">
        <v>20</v>
      </c>
      <c r="H703" s="55">
        <f>H702-G703</f>
        <v/>
      </c>
      <c r="I703" s="71" t="n"/>
      <c r="J703" s="749" t="n"/>
      <c r="K703" s="749">
        <f>G703*D703</f>
        <v/>
      </c>
      <c r="L703" s="748" t="n"/>
      <c r="M703" s="114" t="n"/>
    </row>
    <row r="704">
      <c r="A704" s="48" t="n">
        <v>43649</v>
      </c>
      <c r="B704" s="49" t="inlineStr">
        <is>
          <t>6630</t>
        </is>
      </c>
      <c r="C704" s="49" t="n"/>
      <c r="D704" s="71" t="n">
        <v>49.9</v>
      </c>
      <c r="E704" s="71" t="n"/>
      <c r="F704" s="55" t="n"/>
      <c r="G704" s="55" t="n">
        <v>30</v>
      </c>
      <c r="H704" s="55">
        <f>H703-G704</f>
        <v/>
      </c>
      <c r="I704" s="71" t="n"/>
      <c r="J704" s="749" t="n"/>
      <c r="K704" s="749">
        <f>G704*D704</f>
        <v/>
      </c>
      <c r="L704" s="748" t="n"/>
      <c r="M704" s="114" t="n"/>
    </row>
    <row r="705">
      <c r="A705" s="92" t="n">
        <v>43650</v>
      </c>
      <c r="B705" s="93" t="inlineStr">
        <is>
          <t>120325</t>
        </is>
      </c>
      <c r="C705" s="93" t="n"/>
      <c r="D705" s="94" t="n">
        <v>42.75</v>
      </c>
      <c r="E705" s="94" t="n"/>
      <c r="F705" s="95" t="n">
        <v>780</v>
      </c>
      <c r="G705" s="95" t="n"/>
      <c r="H705" s="95" t="n">
        <v>1036</v>
      </c>
      <c r="I705" s="71" t="n"/>
      <c r="J705" s="749" t="n"/>
      <c r="K705" s="749" t="n"/>
      <c r="L705" s="748" t="n"/>
      <c r="M705" s="114" t="n"/>
    </row>
    <row r="706">
      <c r="A706" s="48" t="n">
        <v>43656</v>
      </c>
      <c r="B706" s="49" t="inlineStr">
        <is>
          <t>6632</t>
        </is>
      </c>
      <c r="C706" s="49" t="n"/>
      <c r="D706" s="71" t="n">
        <v>53</v>
      </c>
      <c r="E706" s="71" t="n"/>
      <c r="F706" s="55" t="n"/>
      <c r="G706" s="55" t="n">
        <v>30</v>
      </c>
      <c r="H706" s="55" t="n">
        <v>1006</v>
      </c>
      <c r="I706" s="71" t="n"/>
      <c r="J706" s="749" t="n"/>
      <c r="K706" s="749">
        <f>G706*D706</f>
        <v/>
      </c>
      <c r="L706" s="748" t="n"/>
      <c r="M706" s="114" t="n"/>
    </row>
    <row r="707">
      <c r="A707" s="48" t="n">
        <v>43656</v>
      </c>
      <c r="B707" s="49" t="inlineStr">
        <is>
          <t>6634</t>
        </is>
      </c>
      <c r="C707" s="49" t="n"/>
      <c r="D707" s="71" t="n">
        <v>49</v>
      </c>
      <c r="E707" s="71" t="n"/>
      <c r="F707" s="55" t="n"/>
      <c r="G707" s="55" t="n">
        <v>30</v>
      </c>
      <c r="H707" s="55">
        <f>H706-G707</f>
        <v/>
      </c>
      <c r="I707" s="71" t="n"/>
      <c r="J707" s="749" t="n"/>
      <c r="K707" s="749">
        <f>G707*D707</f>
        <v/>
      </c>
      <c r="L707" s="748" t="n"/>
      <c r="M707" s="114" t="n"/>
    </row>
    <row r="708">
      <c r="A708" s="48" t="n">
        <v>43656</v>
      </c>
      <c r="B708" s="49" t="inlineStr">
        <is>
          <t>6638</t>
        </is>
      </c>
      <c r="C708" s="49" t="n"/>
      <c r="D708" s="71" t="n">
        <v>54</v>
      </c>
      <c r="E708" s="71" t="n"/>
      <c r="F708" s="55" t="n"/>
      <c r="G708" s="55" t="n">
        <v>25</v>
      </c>
      <c r="H708" s="55">
        <f>H707-G708</f>
        <v/>
      </c>
      <c r="I708" s="71" t="n"/>
      <c r="J708" s="749" t="n"/>
      <c r="K708" s="749">
        <f>G708*D708</f>
        <v/>
      </c>
      <c r="L708" s="748" t="n"/>
      <c r="M708" s="114" t="n"/>
    </row>
    <row r="709">
      <c r="A709" s="48" t="n">
        <v>43656</v>
      </c>
      <c r="B709" s="49" t="inlineStr">
        <is>
          <t>6639</t>
        </is>
      </c>
      <c r="C709" s="49" t="n"/>
      <c r="D709" s="71" t="n">
        <v>51</v>
      </c>
      <c r="E709" s="71" t="n"/>
      <c r="F709" s="55" t="n"/>
      <c r="G709" s="55" t="n">
        <v>50</v>
      </c>
      <c r="H709" s="55">
        <f>H708-G709</f>
        <v/>
      </c>
      <c r="I709" s="71" t="n"/>
      <c r="J709" s="749" t="n"/>
      <c r="K709" s="749">
        <f>G709*D709</f>
        <v/>
      </c>
      <c r="L709" s="748" t="n"/>
      <c r="M709" s="114" t="n"/>
    </row>
    <row r="710">
      <c r="A710" s="48" t="n">
        <v>43656</v>
      </c>
      <c r="B710" s="49" t="inlineStr">
        <is>
          <t>6640</t>
        </is>
      </c>
      <c r="C710" s="49" t="n"/>
      <c r="D710" s="71" t="n">
        <v>57</v>
      </c>
      <c r="E710" s="71" t="n"/>
      <c r="F710" s="55" t="n"/>
      <c r="G710" s="55" t="n">
        <v>30</v>
      </c>
      <c r="H710" s="55">
        <f>H709-G710</f>
        <v/>
      </c>
      <c r="I710" s="71" t="n"/>
      <c r="J710" s="749" t="n"/>
      <c r="K710" s="749">
        <f>G710*D710</f>
        <v/>
      </c>
      <c r="L710" s="748" t="n"/>
      <c r="M710" s="114" t="n"/>
    </row>
    <row r="711">
      <c r="A711" s="48" t="n">
        <v>43661</v>
      </c>
      <c r="B711" s="49" t="inlineStr">
        <is>
          <t>6644</t>
        </is>
      </c>
      <c r="C711" s="49" t="n"/>
      <c r="D711" s="71" t="n">
        <v>58.67</v>
      </c>
      <c r="E711" s="71" t="n"/>
      <c r="F711" s="55" t="n"/>
      <c r="G711" s="55" t="n">
        <v>90</v>
      </c>
      <c r="H711" s="55">
        <f>H710-G711</f>
        <v/>
      </c>
      <c r="I711" s="71" t="n"/>
      <c r="J711" s="749" t="n"/>
      <c r="K711" s="749">
        <f>G711*D711</f>
        <v/>
      </c>
      <c r="L711" s="748" t="n"/>
      <c r="M711" s="114" t="n"/>
    </row>
    <row r="712">
      <c r="A712" s="48" t="n">
        <v>43661</v>
      </c>
      <c r="B712" s="49" t="inlineStr">
        <is>
          <t>6648</t>
        </is>
      </c>
      <c r="C712" s="49" t="n"/>
      <c r="D712" s="71" t="n">
        <v>53</v>
      </c>
      <c r="E712" s="71" t="n"/>
      <c r="F712" s="55" t="n"/>
      <c r="G712" s="55" t="n">
        <v>30</v>
      </c>
      <c r="H712" s="55">
        <f>H711-G712</f>
        <v/>
      </c>
      <c r="I712" s="71" t="n"/>
      <c r="J712" s="749" t="n"/>
      <c r="K712" s="749">
        <f>G712*D712</f>
        <v/>
      </c>
      <c r="L712" s="748" t="n"/>
      <c r="M712" s="114" t="n"/>
    </row>
    <row r="713">
      <c r="A713" s="48" t="n">
        <v>43661</v>
      </c>
      <c r="B713" s="49" t="inlineStr">
        <is>
          <t>6649</t>
        </is>
      </c>
      <c r="C713" s="49" t="n"/>
      <c r="D713" s="71" t="n">
        <v>54</v>
      </c>
      <c r="E713" s="71" t="n"/>
      <c r="F713" s="55" t="n"/>
      <c r="G713" s="55" t="n">
        <v>15</v>
      </c>
      <c r="H713" s="55">
        <f>H712-G713</f>
        <v/>
      </c>
      <c r="I713" s="71" t="n"/>
      <c r="J713" s="749" t="n"/>
      <c r="K713" s="749">
        <f>G713*D713</f>
        <v/>
      </c>
      <c r="L713" s="748" t="n"/>
      <c r="M713" s="114" t="n"/>
    </row>
    <row r="714">
      <c r="A714" s="48" t="n">
        <v>43661</v>
      </c>
      <c r="B714" s="49" t="inlineStr">
        <is>
          <t>6650</t>
        </is>
      </c>
      <c r="C714" s="49" t="n"/>
      <c r="D714" s="71" t="n">
        <v>51</v>
      </c>
      <c r="E714" s="71" t="n"/>
      <c r="F714" s="55" t="n"/>
      <c r="G714" s="55" t="n">
        <v>50</v>
      </c>
      <c r="H714" s="55">
        <f>H713-G714</f>
        <v/>
      </c>
      <c r="I714" s="71" t="n"/>
      <c r="J714" s="749" t="n"/>
      <c r="K714" s="749">
        <f>G714*D714</f>
        <v/>
      </c>
      <c r="L714" s="748" t="n"/>
      <c r="M714" s="114" t="n"/>
    </row>
    <row r="715">
      <c r="A715" s="48" t="n">
        <v>43662</v>
      </c>
      <c r="B715" s="49" t="inlineStr">
        <is>
          <t>6651</t>
        </is>
      </c>
      <c r="C715" s="49" t="n"/>
      <c r="D715" s="71" t="n">
        <v>56</v>
      </c>
      <c r="E715" s="71" t="n"/>
      <c r="F715" s="55" t="n"/>
      <c r="G715" s="55" t="n">
        <v>20</v>
      </c>
      <c r="H715" s="55">
        <f>H714-G715</f>
        <v/>
      </c>
      <c r="I715" s="71" t="n"/>
      <c r="J715" s="749" t="n"/>
      <c r="K715" s="749">
        <f>G715*D715</f>
        <v/>
      </c>
      <c r="L715" s="748" t="n"/>
      <c r="M715" s="114" t="n"/>
    </row>
    <row r="716">
      <c r="A716" s="48" t="n">
        <v>43662</v>
      </c>
      <c r="B716" s="49" t="inlineStr">
        <is>
          <t>6652</t>
        </is>
      </c>
      <c r="C716" s="49" t="n"/>
      <c r="D716" s="71" t="n">
        <v>58</v>
      </c>
      <c r="E716" s="71" t="n"/>
      <c r="F716" s="55" t="n"/>
      <c r="G716" s="55" t="n">
        <v>80</v>
      </c>
      <c r="H716" s="55">
        <f>H715-G716</f>
        <v/>
      </c>
      <c r="I716" s="71" t="n"/>
      <c r="J716" s="749" t="n"/>
      <c r="K716" s="749">
        <f>G716*D716</f>
        <v/>
      </c>
      <c r="L716" s="748" t="n"/>
      <c r="M716" s="114" t="n"/>
    </row>
    <row r="717">
      <c r="A717" s="48" t="n">
        <v>43662</v>
      </c>
      <c r="B717" s="49" t="inlineStr">
        <is>
          <t>6655</t>
        </is>
      </c>
      <c r="C717" s="49" t="n"/>
      <c r="D717" s="71" t="n">
        <v>52.5</v>
      </c>
      <c r="E717" s="71" t="n"/>
      <c r="F717" s="55" t="n"/>
      <c r="G717" s="55" t="n">
        <v>40</v>
      </c>
      <c r="H717" s="55">
        <f>H716-G717</f>
        <v/>
      </c>
      <c r="I717" s="71" t="n"/>
      <c r="J717" s="749" t="n"/>
      <c r="K717" s="749">
        <f>G717*D717</f>
        <v/>
      </c>
      <c r="L717" s="748" t="n"/>
      <c r="M717" s="114" t="n"/>
    </row>
    <row r="718">
      <c r="A718" s="48" t="n">
        <v>43670</v>
      </c>
      <c r="B718" s="49" t="inlineStr">
        <is>
          <t>6664</t>
        </is>
      </c>
      <c r="C718" s="49" t="n"/>
      <c r="D718" s="71" t="n">
        <v>50</v>
      </c>
      <c r="E718" s="71" t="n"/>
      <c r="F718" s="55" t="n"/>
      <c r="G718" s="55" t="n">
        <v>10</v>
      </c>
      <c r="H718" s="55">
        <f>H717-G718</f>
        <v/>
      </c>
      <c r="I718" s="71" t="n"/>
      <c r="J718" s="749" t="n"/>
      <c r="K718" s="749">
        <f>G718*D718</f>
        <v/>
      </c>
      <c r="L718" s="748" t="n"/>
      <c r="M718" s="114" t="n"/>
    </row>
    <row r="719">
      <c r="A719" s="48" t="n">
        <v>43670</v>
      </c>
      <c r="B719" s="49" t="inlineStr">
        <is>
          <t>6665</t>
        </is>
      </c>
      <c r="C719" s="49" t="n"/>
      <c r="D719" s="71" t="n">
        <v>56</v>
      </c>
      <c r="E719" s="71" t="n"/>
      <c r="F719" s="55" t="n"/>
      <c r="G719" s="55" t="n">
        <v>60</v>
      </c>
      <c r="H719" s="55">
        <f>H718-G719</f>
        <v/>
      </c>
      <c r="I719" s="71" t="n"/>
      <c r="J719" s="749" t="n"/>
      <c r="K719" s="749">
        <f>G719*D719</f>
        <v/>
      </c>
      <c r="L719" s="748" t="n"/>
      <c r="M719" s="114" t="n"/>
    </row>
    <row r="720">
      <c r="A720" s="48" t="n">
        <v>43670</v>
      </c>
      <c r="B720" s="49" t="inlineStr">
        <is>
          <t>6667</t>
        </is>
      </c>
      <c r="C720" s="49" t="n"/>
      <c r="D720" s="71" t="n">
        <v>53</v>
      </c>
      <c r="E720" s="71" t="n"/>
      <c r="F720" s="55" t="n"/>
      <c r="G720" s="55" t="n">
        <v>15</v>
      </c>
      <c r="H720" s="55">
        <f>H719-G720</f>
        <v/>
      </c>
      <c r="I720" s="71" t="n"/>
      <c r="J720" s="749" t="n"/>
      <c r="K720" s="749">
        <f>G720*D720</f>
        <v/>
      </c>
      <c r="L720" s="748" t="n"/>
      <c r="M720" s="114" t="n"/>
    </row>
    <row r="721">
      <c r="A721" s="48" t="n">
        <v>43670</v>
      </c>
      <c r="B721" s="49" t="inlineStr">
        <is>
          <t>6670</t>
        </is>
      </c>
      <c r="C721" s="49" t="n"/>
      <c r="D721" s="71" t="n">
        <v>52.23</v>
      </c>
      <c r="E721" s="71" t="n"/>
      <c r="F721" s="55" t="n"/>
      <c r="G721" s="55" t="n">
        <v>35</v>
      </c>
      <c r="H721" s="55">
        <f>H720-G721</f>
        <v/>
      </c>
      <c r="I721" s="71" t="n"/>
      <c r="J721" s="749" t="n"/>
      <c r="K721" s="749">
        <f>G721*D721</f>
        <v/>
      </c>
      <c r="L721" s="748" t="n"/>
      <c r="M721" s="114" t="n"/>
    </row>
    <row r="722">
      <c r="A722" s="92" t="n">
        <v>43671</v>
      </c>
      <c r="B722" s="93" t="inlineStr">
        <is>
          <t>121626</t>
        </is>
      </c>
      <c r="C722" s="93" t="n"/>
      <c r="D722" s="94" t="n">
        <v>42.75</v>
      </c>
      <c r="E722" s="94" t="n"/>
      <c r="F722" s="95" t="n">
        <v>480</v>
      </c>
      <c r="G722" s="95" t="n"/>
      <c r="H722" s="95" t="n">
        <v>906</v>
      </c>
      <c r="I722" s="71" t="n"/>
      <c r="J722" s="749" t="n"/>
      <c r="K722" s="749" t="n"/>
      <c r="L722" s="748" t="n"/>
      <c r="M722" s="114" t="n"/>
    </row>
    <row r="723">
      <c r="A723" s="92" t="n">
        <v>43671</v>
      </c>
      <c r="B723" s="93" t="inlineStr">
        <is>
          <t>121626</t>
        </is>
      </c>
      <c r="C723" s="93" t="n"/>
      <c r="D723" s="94" t="n">
        <v>43.9</v>
      </c>
      <c r="E723" s="94" t="n"/>
      <c r="F723" s="95" t="n">
        <v>200</v>
      </c>
      <c r="G723" s="95" t="n"/>
      <c r="H723" s="95" t="n">
        <v>1106</v>
      </c>
      <c r="I723" s="71" t="n"/>
      <c r="J723" s="749" t="n"/>
      <c r="K723" s="749" t="n"/>
      <c r="L723" s="748" t="n"/>
      <c r="M723" s="114" t="n"/>
    </row>
    <row r="724">
      <c r="A724" s="48" t="n">
        <v>43677</v>
      </c>
      <c r="B724" s="49" t="inlineStr">
        <is>
          <t>6673</t>
        </is>
      </c>
      <c r="C724" s="49" t="n"/>
      <c r="D724" s="71" t="n">
        <v>53</v>
      </c>
      <c r="E724" s="71" t="n"/>
      <c r="F724" s="55" t="n"/>
      <c r="G724" s="55" t="n">
        <v>50</v>
      </c>
      <c r="H724" s="55" t="n">
        <v>1056</v>
      </c>
      <c r="I724" s="71" t="n"/>
      <c r="J724" s="749" t="n"/>
      <c r="K724" s="749">
        <f>G724*D724</f>
        <v/>
      </c>
      <c r="L724" s="748" t="n"/>
      <c r="M724" s="114" t="n"/>
    </row>
    <row r="725">
      <c r="A725" s="48" t="n">
        <v>43677</v>
      </c>
      <c r="B725" s="49" t="inlineStr">
        <is>
          <t>6675</t>
        </is>
      </c>
      <c r="C725" s="49" t="n"/>
      <c r="D725" s="71" t="n">
        <v>55.86</v>
      </c>
      <c r="E725" s="71" t="n"/>
      <c r="F725" s="55" t="n"/>
      <c r="G725" s="55" t="n">
        <v>41</v>
      </c>
      <c r="H725" s="55">
        <f>H724-G725</f>
        <v/>
      </c>
      <c r="I725" s="71" t="n"/>
      <c r="J725" s="749" t="n"/>
      <c r="K725" s="749">
        <f>G725*D725</f>
        <v/>
      </c>
      <c r="L725" s="748" t="n"/>
      <c r="M725" s="114" t="n"/>
    </row>
    <row r="726">
      <c r="A726" s="48" t="n">
        <v>43677</v>
      </c>
      <c r="B726" s="49" t="inlineStr">
        <is>
          <t>6677</t>
        </is>
      </c>
      <c r="C726" s="49" t="n"/>
      <c r="D726" s="71" t="n">
        <v>52.4</v>
      </c>
      <c r="E726" s="71" t="n"/>
      <c r="F726" s="55" t="n"/>
      <c r="G726" s="55" t="n">
        <v>35</v>
      </c>
      <c r="H726" s="55">
        <f>H725-G726</f>
        <v/>
      </c>
      <c r="I726" s="71" t="n"/>
      <c r="J726" s="749" t="n"/>
      <c r="K726" s="749">
        <f>G726*D726</f>
        <v/>
      </c>
      <c r="L726" s="748" t="n"/>
      <c r="M726" s="114" t="n"/>
    </row>
    <row r="727">
      <c r="A727" s="48" t="n">
        <v>43677</v>
      </c>
      <c r="B727" s="49" t="inlineStr">
        <is>
          <t>6678</t>
        </is>
      </c>
      <c r="C727" s="49" t="n"/>
      <c r="D727" s="71" t="n">
        <v>53</v>
      </c>
      <c r="E727" s="71" t="n"/>
      <c r="F727" s="55" t="n"/>
      <c r="G727" s="55" t="n">
        <v>80</v>
      </c>
      <c r="H727" s="55">
        <f>H726-G727</f>
        <v/>
      </c>
      <c r="I727" s="71" t="n"/>
      <c r="J727" s="749" t="n"/>
      <c r="K727" s="749">
        <f>G727*D727</f>
        <v/>
      </c>
      <c r="L727" s="748" t="n"/>
      <c r="M727" s="114" t="n"/>
    </row>
    <row r="728">
      <c r="A728" s="48" t="n">
        <v>43677</v>
      </c>
      <c r="B728" s="49" t="inlineStr">
        <is>
          <t>6684</t>
        </is>
      </c>
      <c r="C728" s="49" t="n"/>
      <c r="D728" s="71" t="n">
        <v>53</v>
      </c>
      <c r="E728" s="71" t="n"/>
      <c r="F728" s="55" t="n"/>
      <c r="G728" s="55" t="n">
        <v>30</v>
      </c>
      <c r="H728" s="55">
        <f>H727-G728</f>
        <v/>
      </c>
      <c r="I728" s="71" t="n"/>
      <c r="J728" s="749" t="n"/>
      <c r="K728" s="749">
        <f>G728*D728</f>
        <v/>
      </c>
      <c r="L728" s="748" t="n"/>
      <c r="M728" s="114" t="n"/>
    </row>
    <row r="729">
      <c r="A729" s="48" t="n">
        <v>43677</v>
      </c>
      <c r="B729" s="49" t="inlineStr">
        <is>
          <t>6686</t>
        </is>
      </c>
      <c r="C729" s="49" t="n"/>
      <c r="D729" s="71" t="n">
        <v>50</v>
      </c>
      <c r="E729" s="71" t="n"/>
      <c r="F729" s="55" t="n"/>
      <c r="G729" s="55" t="n">
        <v>30</v>
      </c>
      <c r="H729" s="55">
        <f>H728-G729</f>
        <v/>
      </c>
      <c r="I729" s="71" t="n"/>
      <c r="J729" s="749" t="n"/>
      <c r="K729" s="749">
        <f>G729*D729</f>
        <v/>
      </c>
      <c r="L729" s="748" t="n"/>
      <c r="M729" s="114" t="n"/>
    </row>
    <row r="730">
      <c r="A730" s="48" t="n">
        <v>43677</v>
      </c>
      <c r="B730" s="49" t="inlineStr">
        <is>
          <t>6687</t>
        </is>
      </c>
      <c r="C730" s="49" t="n"/>
      <c r="D730" s="71" t="n">
        <v>51</v>
      </c>
      <c r="E730" s="71" t="n"/>
      <c r="F730" s="55" t="n"/>
      <c r="G730" s="55" t="n">
        <v>50</v>
      </c>
      <c r="H730" s="55">
        <f>H729-G730</f>
        <v/>
      </c>
      <c r="I730" s="71" t="n"/>
      <c r="J730" s="749" t="n"/>
      <c r="K730" s="749">
        <f>G730*D730</f>
        <v/>
      </c>
      <c r="L730" s="748" t="n"/>
      <c r="M730" s="114" t="n"/>
    </row>
    <row r="731">
      <c r="A731" s="48" t="n">
        <v>43677</v>
      </c>
      <c r="B731" s="49" t="n"/>
      <c r="C731" s="49" t="n"/>
      <c r="D731" s="71" t="n">
        <v>62</v>
      </c>
      <c r="E731" s="71" t="n"/>
      <c r="F731" s="55" t="n"/>
      <c r="G731" s="55" t="n"/>
      <c r="H731" s="55">
        <f>H730-G731</f>
        <v/>
      </c>
      <c r="I731" s="71" t="n"/>
      <c r="J731" s="749" t="n"/>
      <c r="K731" s="749">
        <f>G731*D731</f>
        <v/>
      </c>
      <c r="L731" s="748" t="n"/>
      <c r="M731" s="114" t="n"/>
    </row>
    <row r="732">
      <c r="A732" s="76" t="n"/>
      <c r="B732" s="76" t="n"/>
      <c r="C732" s="76" t="n"/>
      <c r="D732" s="76" t="n"/>
      <c r="E732" s="76" t="n"/>
      <c r="F732" s="76" t="n"/>
      <c r="G732" s="76" t="n"/>
      <c r="H732" s="76" t="n"/>
      <c r="I732" s="76" t="n"/>
      <c r="J732" s="76" t="n"/>
      <c r="K732" s="76" t="n"/>
      <c r="L732" s="76" t="n"/>
      <c r="M732" s="114" t="n"/>
    </row>
    <row r="733">
      <c r="A733" s="76" t="n"/>
      <c r="B733" s="76" t="n"/>
      <c r="C733" s="76" t="n"/>
      <c r="D733" s="76" t="n"/>
      <c r="E733" s="76" t="n"/>
      <c r="F733" s="76" t="n"/>
      <c r="G733" s="76" t="n"/>
      <c r="H733" s="76" t="n"/>
      <c r="I733" s="76" t="n"/>
      <c r="J733" s="76" t="n"/>
      <c r="K733" s="76" t="n"/>
      <c r="L733" s="76" t="n"/>
      <c r="M733" s="114" t="n"/>
    </row>
    <row r="734">
      <c r="A734" s="76" t="n"/>
      <c r="B734" s="76" t="n"/>
      <c r="C734" s="76" t="n"/>
      <c r="D734" s="76" t="n"/>
      <c r="E734" s="76" t="n"/>
      <c r="F734" s="76" t="n"/>
      <c r="G734" s="76" t="n"/>
      <c r="H734" s="76" t="n"/>
      <c r="I734" s="76" t="n"/>
      <c r="J734" s="76" t="n"/>
      <c r="K734" s="76" t="n"/>
      <c r="L734" s="76" t="n"/>
      <c r="M734" s="114" t="n"/>
    </row>
    <row r="735" ht="15.75" customHeight="1" s="436" thickBot="1">
      <c r="A735" s="76" t="n"/>
      <c r="B735" s="76" t="n"/>
      <c r="C735" s="76" t="n"/>
      <c r="D735" s="76" t="n"/>
      <c r="E735" s="76" t="n"/>
      <c r="F735" s="76" t="n"/>
      <c r="G735" s="76" t="n"/>
      <c r="H735" s="76" t="n"/>
      <c r="I735" s="76" t="n"/>
      <c r="J735" s="76" t="n"/>
      <c r="K735" s="76" t="n"/>
      <c r="L735" s="76" t="n"/>
      <c r="M735" s="114" t="n"/>
    </row>
    <row r="736" ht="21.75" customHeight="1" s="436" thickBot="1">
      <c r="A736" s="744" t="inlineStr">
        <is>
          <t xml:space="preserve">021 - DENISE FURTADO DE SOUZA - ME </t>
        </is>
      </c>
      <c r="B736" s="737" t="n"/>
      <c r="C736" s="737" t="n"/>
      <c r="D736" s="737" t="n"/>
      <c r="E736" s="737" t="n"/>
      <c r="F736" s="737" t="n"/>
      <c r="G736" s="737" t="n"/>
      <c r="H736" s="737" t="n"/>
      <c r="I736" s="737" t="n"/>
      <c r="J736" s="737" t="n"/>
      <c r="K736" s="737" t="n"/>
      <c r="L736" s="736" t="n"/>
      <c r="M736" s="114" t="n"/>
    </row>
    <row r="737" ht="24" customHeight="1" s="436" thickBot="1">
      <c r="A737" s="745" t="inlineStr">
        <is>
          <t xml:space="preserve">  PRÉ MISTURA - 25 KG</t>
        </is>
      </c>
      <c r="B737" s="737" t="n"/>
      <c r="C737" s="737" t="n"/>
      <c r="D737" s="737" t="n"/>
      <c r="E737" s="737" t="n"/>
      <c r="F737" s="737" t="n"/>
      <c r="G737" s="737" t="n"/>
      <c r="H737" s="737" t="n"/>
      <c r="I737" s="737" t="n"/>
      <c r="J737" s="737" t="n"/>
      <c r="K737" s="737" t="n"/>
      <c r="L737" s="736" t="n"/>
      <c r="M737" s="114" t="n"/>
    </row>
    <row r="738">
      <c r="A738" s="746" t="inlineStr">
        <is>
          <t>DATA</t>
        </is>
      </c>
      <c r="B738" s="3" t="inlineStr">
        <is>
          <t>N.F.</t>
        </is>
      </c>
      <c r="C738" s="3" t="inlineStr">
        <is>
          <t>TIPO</t>
        </is>
      </c>
      <c r="D738" s="3" t="inlineStr">
        <is>
          <t>PREÇO UNITÁRIO</t>
        </is>
      </c>
      <c r="E738" s="736" t="n"/>
      <c r="F738" s="3" t="inlineStr">
        <is>
          <t>QUANTIDADE / KG</t>
        </is>
      </c>
      <c r="G738" s="737" t="n"/>
      <c r="H738" s="736" t="n"/>
      <c r="I738" s="631" t="inlineStr">
        <is>
          <t>PREÇO</t>
        </is>
      </c>
      <c r="J738" s="631" t="inlineStr">
        <is>
          <t>VALORES</t>
        </is>
      </c>
      <c r="K738" s="737" t="n"/>
      <c r="L738" s="736" t="n"/>
      <c r="M738" s="114" t="n"/>
    </row>
    <row r="739" ht="15.75" customHeight="1" s="436" thickBot="1">
      <c r="A739" s="703" t="n"/>
      <c r="B739" s="704" t="n"/>
      <c r="C739" s="704" t="n"/>
      <c r="D739" s="703" t="n"/>
      <c r="E739" s="701" t="n"/>
      <c r="F739" s="705" t="n"/>
      <c r="G739" s="706" t="n"/>
      <c r="H739" s="707" t="n"/>
      <c r="I739" s="704" t="n"/>
      <c r="J739" s="703" t="n"/>
      <c r="L739" s="701" t="n"/>
      <c r="M739" s="114" t="n"/>
    </row>
    <row r="740" ht="15.75" customHeight="1" s="436" thickBot="1">
      <c r="A740" s="703" t="n"/>
      <c r="B740" s="704" t="n"/>
      <c r="C740" s="704" t="n"/>
      <c r="D740" s="705" t="n"/>
      <c r="E740" s="707" t="n"/>
      <c r="F740" s="3" t="inlineStr">
        <is>
          <t>ENTRADA</t>
        </is>
      </c>
      <c r="G740" s="3" t="inlineStr">
        <is>
          <t>SAÍDA</t>
        </is>
      </c>
      <c r="H740" s="640" t="n"/>
      <c r="I740" s="633" t="inlineStr">
        <is>
          <t>MÉDIO</t>
        </is>
      </c>
      <c r="J740" s="652" t="inlineStr">
        <is>
          <t>SALDO EM 30/12/2017</t>
        </is>
      </c>
      <c r="K740" s="706" t="n"/>
      <c r="L740" s="17" t="n"/>
      <c r="M740" s="114" t="n"/>
    </row>
    <row r="741" ht="15.75" customHeight="1" s="436" thickBot="1">
      <c r="A741" s="705" t="n"/>
      <c r="B741" s="695" t="n"/>
      <c r="C741" s="695" t="n"/>
      <c r="D741" s="3" t="inlineStr">
        <is>
          <t>C/ICMS</t>
        </is>
      </c>
      <c r="E741" s="3" t="inlineStr">
        <is>
          <t>S/ICMS</t>
        </is>
      </c>
      <c r="F741" s="695" t="n"/>
      <c r="G741" s="695" t="n"/>
      <c r="H741" s="18" t="inlineStr">
        <is>
          <t>Saldo em 31/07</t>
        </is>
      </c>
      <c r="I741" s="695" t="n"/>
      <c r="J741" s="645" t="inlineStr">
        <is>
          <t>ENTRADA</t>
        </is>
      </c>
      <c r="K741" s="633" t="inlineStr">
        <is>
          <t>SAÍDA / CMV</t>
        </is>
      </c>
      <c r="L741" s="633" t="inlineStr">
        <is>
          <t>SALDO</t>
        </is>
      </c>
      <c r="M741" s="114" t="n"/>
    </row>
    <row r="742">
      <c r="A742" s="48" t="n"/>
      <c r="B742" s="49" t="n"/>
      <c r="C742" s="49" t="n"/>
      <c r="D742" s="71" t="n"/>
      <c r="E742" s="71" t="n"/>
      <c r="F742" s="55" t="n"/>
      <c r="G742" s="55" t="n">
        <v>0</v>
      </c>
      <c r="H742" s="55" t="n"/>
      <c r="I742" s="71" t="n"/>
      <c r="J742" s="747">
        <f>F742*I742</f>
        <v/>
      </c>
      <c r="K742" s="747" t="n">
        <v>0</v>
      </c>
      <c r="L742" s="748">
        <f>J742-K742</f>
        <v/>
      </c>
      <c r="M742" s="114" t="n"/>
    </row>
    <row r="743">
      <c r="A743" s="92" t="n">
        <v>43678</v>
      </c>
      <c r="B743" s="93" t="n"/>
      <c r="C743" s="96" t="n"/>
      <c r="D743" s="97" t="n"/>
      <c r="E743" s="97" t="n"/>
      <c r="F743" s="98" t="n"/>
      <c r="G743" s="98" t="n"/>
      <c r="H743" s="95" t="n">
        <v>790</v>
      </c>
      <c r="I743" s="51" t="n"/>
      <c r="J743" s="749" t="n"/>
      <c r="K743" s="749">
        <f>G743*D743</f>
        <v/>
      </c>
      <c r="L743" s="748" t="n"/>
      <c r="M743" s="114" t="n"/>
    </row>
    <row r="744">
      <c r="A744" s="48" t="n">
        <v>43678</v>
      </c>
      <c r="B744" s="49" t="inlineStr">
        <is>
          <t>6689</t>
        </is>
      </c>
      <c r="C744" s="50" t="n"/>
      <c r="D744" s="51" t="n">
        <v>50</v>
      </c>
      <c r="E744" s="51" t="n"/>
      <c r="F744" s="52" t="n"/>
      <c r="G744" s="52" t="n">
        <v>50</v>
      </c>
      <c r="H744" s="55">
        <f>H743-G744</f>
        <v/>
      </c>
      <c r="I744" s="51" t="n"/>
      <c r="J744" s="749" t="n"/>
      <c r="K744" s="749" t="n"/>
      <c r="L744" s="748" t="n"/>
      <c r="M744" s="114" t="n"/>
    </row>
    <row r="745">
      <c r="A745" s="48" t="n">
        <v>43683</v>
      </c>
      <c r="B745" s="49" t="inlineStr">
        <is>
          <t>6691</t>
        </is>
      </c>
      <c r="C745" s="50" t="n"/>
      <c r="D745" s="51" t="n">
        <v>52</v>
      </c>
      <c r="E745" s="51" t="n"/>
      <c r="F745" s="52" t="n"/>
      <c r="G745" s="52" t="n">
        <v>30</v>
      </c>
      <c r="H745" s="55">
        <f>H744-G745</f>
        <v/>
      </c>
      <c r="I745" s="51" t="n"/>
      <c r="J745" s="749" t="n"/>
      <c r="K745" s="749" t="n"/>
      <c r="L745" s="748" t="n"/>
      <c r="M745" s="114" t="n"/>
    </row>
    <row r="746">
      <c r="A746" s="48" t="n">
        <v>43683</v>
      </c>
      <c r="B746" s="49" t="inlineStr">
        <is>
          <t>6693</t>
        </is>
      </c>
      <c r="C746" s="50" t="n"/>
      <c r="D746" s="51" t="n">
        <v>53</v>
      </c>
      <c r="E746" s="51" t="n"/>
      <c r="F746" s="52" t="n"/>
      <c r="G746" s="52" t="n">
        <v>20</v>
      </c>
      <c r="H746" s="55">
        <f>H745-G746</f>
        <v/>
      </c>
      <c r="I746" s="51" t="n"/>
      <c r="J746" s="749" t="n"/>
      <c r="K746" s="749" t="n"/>
      <c r="L746" s="748" t="n"/>
      <c r="M746" s="114" t="n"/>
    </row>
    <row r="747">
      <c r="A747" s="48" t="n">
        <v>43683</v>
      </c>
      <c r="B747" s="49" t="inlineStr">
        <is>
          <t>6695</t>
        </is>
      </c>
      <c r="C747" s="50" t="n"/>
      <c r="D747" s="51" t="n">
        <v>52.4</v>
      </c>
      <c r="E747" s="51" t="n"/>
      <c r="F747" s="52" t="n"/>
      <c r="G747" s="52" t="n">
        <v>20</v>
      </c>
      <c r="H747" s="55">
        <f>H745-G747</f>
        <v/>
      </c>
      <c r="I747" s="51" t="n"/>
      <c r="J747" s="749" t="n"/>
      <c r="K747" s="749" t="n"/>
      <c r="L747" s="748" t="n"/>
      <c r="M747" s="114" t="n"/>
    </row>
    <row r="748">
      <c r="A748" s="48" t="n">
        <v>43685</v>
      </c>
      <c r="B748" s="49" t="inlineStr">
        <is>
          <t>6702</t>
        </is>
      </c>
      <c r="C748" s="50" t="n"/>
      <c r="D748" s="51" t="n">
        <v>53.3</v>
      </c>
      <c r="E748" s="51" t="n"/>
      <c r="F748" s="52" t="n"/>
      <c r="G748" s="52" t="n">
        <v>20</v>
      </c>
      <c r="H748" s="55">
        <f>H747-G748</f>
        <v/>
      </c>
      <c r="I748" s="51" t="n"/>
      <c r="J748" s="749" t="n"/>
      <c r="K748" s="749">
        <f>G748*D748</f>
        <v/>
      </c>
      <c r="L748" s="748" t="n"/>
      <c r="M748" s="114" t="n"/>
    </row>
    <row r="749">
      <c r="A749" s="48" t="n">
        <v>43689</v>
      </c>
      <c r="B749" s="49" t="inlineStr">
        <is>
          <t>6705</t>
        </is>
      </c>
      <c r="C749" s="49" t="n"/>
      <c r="D749" s="117" t="n">
        <v>51</v>
      </c>
      <c r="E749" s="71" t="n"/>
      <c r="F749" s="55" t="n"/>
      <c r="G749" s="55" t="n">
        <v>50</v>
      </c>
      <c r="H749" s="55">
        <f>H748-G749</f>
        <v/>
      </c>
      <c r="I749" s="71" t="n"/>
      <c r="J749" s="749" t="n"/>
      <c r="K749" s="749">
        <f>G749*D749</f>
        <v/>
      </c>
      <c r="L749" s="748" t="n"/>
      <c r="M749" s="114" t="n"/>
    </row>
    <row r="750">
      <c r="A750" s="48" t="n">
        <v>43689</v>
      </c>
      <c r="B750" s="49" t="inlineStr">
        <is>
          <t>6709</t>
        </is>
      </c>
      <c r="C750" s="49" t="n"/>
      <c r="D750" s="71" t="n">
        <v>52.67</v>
      </c>
      <c r="E750" s="71" t="n"/>
      <c r="F750" s="55" t="n"/>
      <c r="G750" s="55" t="n">
        <v>30</v>
      </c>
      <c r="H750" s="55">
        <f>H749-G750</f>
        <v/>
      </c>
      <c r="I750" s="71" t="n"/>
      <c r="J750" s="749" t="n"/>
      <c r="K750" s="749">
        <f>G750*D750</f>
        <v/>
      </c>
      <c r="L750" s="748" t="n"/>
      <c r="M750" s="114" t="n"/>
    </row>
    <row r="751">
      <c r="A751" s="48" t="n">
        <v>43691</v>
      </c>
      <c r="B751" s="49" t="inlineStr">
        <is>
          <t>6719</t>
        </is>
      </c>
      <c r="C751" s="49" t="n"/>
      <c r="D751" s="71" t="n">
        <v>53.8</v>
      </c>
      <c r="E751" s="71" t="n"/>
      <c r="F751" s="55" t="n"/>
      <c r="G751" s="55" t="n">
        <v>15</v>
      </c>
      <c r="H751" s="55">
        <f>H750-G751</f>
        <v/>
      </c>
      <c r="I751" s="71" t="n"/>
      <c r="J751" s="749" t="n"/>
      <c r="K751" s="749">
        <f>G751*D751</f>
        <v/>
      </c>
      <c r="L751" s="748" t="n"/>
      <c r="M751" s="114" t="n"/>
    </row>
    <row r="752">
      <c r="A752" s="48" t="n">
        <v>43691</v>
      </c>
      <c r="B752" s="49" t="inlineStr">
        <is>
          <t>6720</t>
        </is>
      </c>
      <c r="C752" s="49" t="n"/>
      <c r="D752" s="71" t="n">
        <v>58</v>
      </c>
      <c r="E752" s="71" t="n"/>
      <c r="F752" s="55" t="n"/>
      <c r="G752" s="55" t="n">
        <v>100</v>
      </c>
      <c r="H752" s="55">
        <f>H751-G752</f>
        <v/>
      </c>
      <c r="I752" s="71" t="n"/>
      <c r="J752" s="749" t="n"/>
      <c r="K752" s="749">
        <f>G752*D752</f>
        <v/>
      </c>
      <c r="L752" s="748" t="n"/>
      <c r="M752" s="114" t="n"/>
    </row>
    <row r="753">
      <c r="A753" s="48" t="n">
        <v>43696</v>
      </c>
      <c r="B753" s="49" t="inlineStr">
        <is>
          <t>6721</t>
        </is>
      </c>
      <c r="C753" s="49" t="n"/>
      <c r="D753" s="71" t="n">
        <v>52.5</v>
      </c>
      <c r="E753" s="71" t="n"/>
      <c r="F753" s="55" t="n"/>
      <c r="G753" s="55" t="n">
        <v>60</v>
      </c>
      <c r="H753" s="55">
        <f>H752-G753</f>
        <v/>
      </c>
      <c r="I753" s="71" t="n"/>
      <c r="J753" s="749" t="n"/>
      <c r="K753" s="749">
        <f>G753*D753</f>
        <v/>
      </c>
      <c r="L753" s="748" t="n"/>
      <c r="M753" s="114" t="n"/>
    </row>
    <row r="754">
      <c r="A754" s="48" t="n">
        <v>43696</v>
      </c>
      <c r="B754" s="49" t="inlineStr">
        <is>
          <t>6722</t>
        </is>
      </c>
      <c r="C754" s="49" t="n"/>
      <c r="D754" s="71" t="n">
        <v>53</v>
      </c>
      <c r="E754" s="71" t="n"/>
      <c r="F754" s="55" t="n"/>
      <c r="G754" s="55" t="n">
        <v>25</v>
      </c>
      <c r="H754" s="55">
        <f>H753-G754</f>
        <v/>
      </c>
      <c r="I754" s="71" t="n"/>
      <c r="J754" s="749" t="n"/>
      <c r="K754" s="749">
        <f>G754*D754</f>
        <v/>
      </c>
      <c r="L754" s="748" t="n"/>
      <c r="M754" s="114" t="n"/>
    </row>
    <row r="755">
      <c r="A755" s="48" t="n">
        <v>43696</v>
      </c>
      <c r="B755" s="49" t="inlineStr">
        <is>
          <t>6724</t>
        </is>
      </c>
      <c r="C755" s="49" t="n"/>
      <c r="D755" s="71" t="n">
        <v>51</v>
      </c>
      <c r="E755" s="71" t="n"/>
      <c r="F755" s="55" t="n"/>
      <c r="G755" s="55" t="n">
        <v>150</v>
      </c>
      <c r="H755" s="55">
        <f>H754-G755</f>
        <v/>
      </c>
      <c r="I755" s="71" t="n"/>
      <c r="J755" s="749" t="n"/>
      <c r="K755" s="749">
        <f>G755*D755</f>
        <v/>
      </c>
      <c r="L755" s="748" t="n"/>
      <c r="M755" s="114" t="n"/>
    </row>
    <row r="756">
      <c r="A756" s="48" t="n">
        <v>43698</v>
      </c>
      <c r="B756" s="49" t="inlineStr">
        <is>
          <t>6727</t>
        </is>
      </c>
      <c r="C756" s="49" t="n"/>
      <c r="D756" s="71" t="n">
        <v>53</v>
      </c>
      <c r="E756" s="71" t="n"/>
      <c r="F756" s="55" t="n"/>
      <c r="G756" s="55" t="n">
        <v>20</v>
      </c>
      <c r="H756" s="55">
        <f>H755-G756</f>
        <v/>
      </c>
      <c r="I756" s="71" t="n"/>
      <c r="J756" s="749" t="n"/>
      <c r="K756" s="749">
        <f>G756*D756</f>
        <v/>
      </c>
      <c r="L756" s="748" t="n"/>
      <c r="M756" s="114" t="n"/>
    </row>
    <row r="757">
      <c r="A757" s="48" t="n">
        <v>43698</v>
      </c>
      <c r="B757" s="49" t="inlineStr">
        <is>
          <t>6731</t>
        </is>
      </c>
      <c r="C757" s="49" t="n"/>
      <c r="D757" s="71" t="n">
        <v>52.5</v>
      </c>
      <c r="E757" s="71" t="n"/>
      <c r="F757" s="55" t="n"/>
      <c r="G757" s="55" t="n">
        <v>20</v>
      </c>
      <c r="H757" s="55">
        <f>H756-G757</f>
        <v/>
      </c>
      <c r="I757" s="71" t="n"/>
      <c r="J757" s="749" t="n"/>
      <c r="K757" s="749">
        <f>G757*D757</f>
        <v/>
      </c>
      <c r="L757" s="748" t="n"/>
      <c r="M757" s="114" t="n"/>
    </row>
    <row r="758">
      <c r="A758" s="48" t="n">
        <v>43698</v>
      </c>
      <c r="B758" s="49" t="inlineStr">
        <is>
          <t>6736</t>
        </is>
      </c>
      <c r="C758" s="49" t="n"/>
      <c r="D758" s="71" t="n">
        <v>53.6</v>
      </c>
      <c r="E758" s="71" t="n"/>
      <c r="F758" s="55" t="n"/>
      <c r="G758" s="55" t="n">
        <v>20</v>
      </c>
      <c r="H758" s="55">
        <f>H757-G758</f>
        <v/>
      </c>
      <c r="I758" s="71" t="n"/>
      <c r="J758" s="749" t="n"/>
      <c r="K758" s="749">
        <f>G758*D758</f>
        <v/>
      </c>
      <c r="L758" s="748" t="n"/>
      <c r="M758" s="114" t="n"/>
    </row>
    <row r="759">
      <c r="A759" s="92" t="n">
        <v>43699</v>
      </c>
      <c r="B759" s="93" t="inlineStr">
        <is>
          <t>123287</t>
        </is>
      </c>
      <c r="C759" s="93" t="n"/>
      <c r="D759" s="94" t="n">
        <v>42.75</v>
      </c>
      <c r="E759" s="94" t="n"/>
      <c r="F759" s="95" t="n">
        <v>450</v>
      </c>
      <c r="G759" s="95" t="n"/>
      <c r="H759" s="95" t="n">
        <v>630</v>
      </c>
      <c r="I759" s="71" t="n"/>
      <c r="J759" s="749" t="n"/>
      <c r="K759" s="749" t="n"/>
      <c r="L759" s="748" t="n"/>
      <c r="M759" s="114" t="n"/>
    </row>
    <row r="760">
      <c r="A760" s="48" t="n">
        <v>43704</v>
      </c>
      <c r="B760" s="49" t="inlineStr">
        <is>
          <t>6739</t>
        </is>
      </c>
      <c r="C760" s="49" t="n"/>
      <c r="D760" s="71" t="n">
        <v>53</v>
      </c>
      <c r="E760" s="71" t="n"/>
      <c r="F760" s="55" t="n"/>
      <c r="G760" s="55" t="n">
        <v>50</v>
      </c>
      <c r="H760" s="55">
        <f>H759-G760</f>
        <v/>
      </c>
      <c r="I760" s="71" t="n"/>
      <c r="J760" s="749" t="n"/>
      <c r="K760" s="749">
        <f>G760*D760</f>
        <v/>
      </c>
      <c r="L760" s="748" t="n"/>
      <c r="M760" s="114" t="n"/>
    </row>
    <row r="761">
      <c r="A761" s="48" t="n">
        <v>43704</v>
      </c>
      <c r="B761" s="49" t="inlineStr">
        <is>
          <t>6742</t>
        </is>
      </c>
      <c r="C761" s="49" t="n"/>
      <c r="D761" s="71" t="n">
        <v>56</v>
      </c>
      <c r="E761" s="71" t="n"/>
      <c r="F761" s="55" t="n"/>
      <c r="G761" s="55" t="n">
        <v>40</v>
      </c>
      <c r="H761" s="55">
        <f>H760-G761</f>
        <v/>
      </c>
      <c r="I761" s="71" t="n"/>
      <c r="J761" s="749" t="n"/>
      <c r="K761" s="749">
        <f>G761*D761</f>
        <v/>
      </c>
      <c r="L761" s="748" t="n"/>
      <c r="M761" s="114" t="n"/>
    </row>
    <row r="762">
      <c r="A762" s="48" t="n">
        <v>43704</v>
      </c>
      <c r="B762" s="49" t="inlineStr">
        <is>
          <t>6743</t>
        </is>
      </c>
      <c r="C762" s="49" t="n"/>
      <c r="D762" s="71" t="n">
        <v>52.4</v>
      </c>
      <c r="E762" s="71" t="n"/>
      <c r="F762" s="55" t="n"/>
      <c r="G762" s="55" t="n">
        <v>25</v>
      </c>
      <c r="H762" s="55">
        <f>H761-G762</f>
        <v/>
      </c>
      <c r="I762" s="71" t="n"/>
      <c r="J762" s="749" t="n"/>
      <c r="K762" s="749">
        <f>G762*D762</f>
        <v/>
      </c>
      <c r="L762" s="748" t="n"/>
      <c r="M762" s="114" t="n"/>
    </row>
    <row r="763">
      <c r="A763" s="48" t="n">
        <v>43706</v>
      </c>
      <c r="B763" s="49" t="inlineStr">
        <is>
          <t>6746</t>
        </is>
      </c>
      <c r="C763" s="49" t="n"/>
      <c r="D763" s="71" t="n">
        <v>53</v>
      </c>
      <c r="E763" s="71" t="n"/>
      <c r="F763" s="55" t="n"/>
      <c r="G763" s="55" t="n">
        <v>60</v>
      </c>
      <c r="H763" s="55">
        <f>H762-G763</f>
        <v/>
      </c>
      <c r="I763" s="71" t="n"/>
      <c r="J763" s="749" t="n"/>
      <c r="K763" s="749">
        <f>G763*D763</f>
        <v/>
      </c>
      <c r="L763" s="748" t="n"/>
      <c r="M763" s="114" t="n"/>
    </row>
    <row r="764">
      <c r="A764" s="48" t="n">
        <v>43706</v>
      </c>
      <c r="B764" s="49" t="inlineStr">
        <is>
          <t>6747</t>
        </is>
      </c>
      <c r="C764" s="49" t="n"/>
      <c r="D764" s="71" t="n">
        <v>54</v>
      </c>
      <c r="E764" s="71" t="n"/>
      <c r="F764" s="55" t="n"/>
      <c r="G764" s="55" t="n">
        <v>10</v>
      </c>
      <c r="H764" s="55">
        <f>H763-G764</f>
        <v/>
      </c>
      <c r="I764" s="71" t="n"/>
      <c r="J764" s="749" t="n"/>
      <c r="K764" s="749">
        <f>G764*D764</f>
        <v/>
      </c>
      <c r="L764" s="748" t="n"/>
      <c r="M764" s="114" t="n"/>
    </row>
    <row r="765">
      <c r="A765" s="48" t="n">
        <v>43706</v>
      </c>
      <c r="B765" s="49" t="inlineStr">
        <is>
          <t>6750</t>
        </is>
      </c>
      <c r="C765" s="49" t="n"/>
      <c r="D765" s="71" t="n">
        <v>54</v>
      </c>
      <c r="E765" s="71" t="n"/>
      <c r="F765" s="55" t="n"/>
      <c r="G765" s="55" t="n">
        <v>20</v>
      </c>
      <c r="H765" s="55">
        <f>H764-G765</f>
        <v/>
      </c>
      <c r="I765" s="71" t="n"/>
      <c r="J765" s="749" t="n"/>
      <c r="K765" s="749">
        <f>G765*D765</f>
        <v/>
      </c>
      <c r="L765" s="748" t="n"/>
      <c r="M765" s="114" t="n"/>
    </row>
    <row r="766">
      <c r="A766" s="48" t="n">
        <v>43706</v>
      </c>
      <c r="B766" s="49" t="inlineStr">
        <is>
          <t>6753</t>
        </is>
      </c>
      <c r="C766" s="49" t="n"/>
      <c r="D766" s="71" t="n">
        <v>50</v>
      </c>
      <c r="E766" s="71" t="n"/>
      <c r="F766" s="55" t="n"/>
      <c r="G766" s="55" t="n">
        <v>40</v>
      </c>
      <c r="H766" s="55">
        <f>H765-G766</f>
        <v/>
      </c>
      <c r="I766" s="71" t="n"/>
      <c r="J766" s="749" t="n"/>
      <c r="K766" s="749">
        <f>G766*D766</f>
        <v/>
      </c>
      <c r="L766" s="748" t="n"/>
      <c r="M766" s="114" t="n"/>
    </row>
    <row r="767">
      <c r="A767" s="92" t="n">
        <v>43707</v>
      </c>
      <c r="B767" s="93" t="inlineStr">
        <is>
          <t>123827</t>
        </is>
      </c>
      <c r="C767" s="93" t="n"/>
      <c r="D767" s="94" t="n">
        <v>42.75</v>
      </c>
      <c r="E767" s="94" t="n"/>
      <c r="F767" s="95" t="n">
        <v>200</v>
      </c>
      <c r="G767" s="95" t="n"/>
      <c r="H767" s="95" t="n">
        <v>585</v>
      </c>
      <c r="I767" s="71" t="n"/>
      <c r="J767" s="749" t="n"/>
      <c r="K767" s="749">
        <f>G767*D767</f>
        <v/>
      </c>
      <c r="L767" s="748" t="n"/>
      <c r="M767" s="114" t="n"/>
    </row>
    <row r="768">
      <c r="A768" s="92" t="n">
        <v>43707</v>
      </c>
      <c r="B768" s="93" t="inlineStr">
        <is>
          <t>123827</t>
        </is>
      </c>
      <c r="C768" s="93" t="n"/>
      <c r="D768" s="94" t="n">
        <v>43.9</v>
      </c>
      <c r="E768" s="94" t="n"/>
      <c r="F768" s="95" t="n">
        <v>200</v>
      </c>
      <c r="G768" s="95" t="n"/>
      <c r="H768" s="95" t="n">
        <v>785</v>
      </c>
      <c r="I768" s="71" t="n"/>
      <c r="J768" s="749" t="n"/>
      <c r="K768" s="749">
        <f>G768*D768</f>
        <v/>
      </c>
      <c r="L768" s="748" t="n"/>
      <c r="M768" s="114" t="n"/>
    </row>
    <row r="769">
      <c r="A769" s="48" t="n">
        <v>43703</v>
      </c>
      <c r="B769" s="49" t="n"/>
      <c r="C769" s="49" t="n"/>
      <c r="D769" s="71" t="n">
        <v>70.67</v>
      </c>
      <c r="E769" s="71" t="n"/>
      <c r="F769" s="55" t="n"/>
      <c r="G769" s="55" t="n"/>
      <c r="H769" s="55">
        <f>H768-G769</f>
        <v/>
      </c>
      <c r="I769" s="71" t="n"/>
      <c r="J769" s="749" t="n"/>
      <c r="K769" s="749">
        <f>G769*D769</f>
        <v/>
      </c>
      <c r="L769" s="748" t="n"/>
      <c r="M769" s="114" t="n"/>
    </row>
    <row r="770">
      <c r="A770" s="48" t="n">
        <v>43704</v>
      </c>
      <c r="B770" s="49" t="n"/>
      <c r="C770" s="49" t="n"/>
      <c r="D770" s="71" t="n">
        <v>71.67</v>
      </c>
      <c r="E770" s="71" t="n"/>
      <c r="F770" s="55" t="n"/>
      <c r="G770" s="55" t="n"/>
      <c r="H770" s="55">
        <f>H769-G770</f>
        <v/>
      </c>
      <c r="I770" s="71" t="n"/>
      <c r="J770" s="749" t="n"/>
      <c r="K770" s="749">
        <f>G770*D770</f>
        <v/>
      </c>
      <c r="L770" s="748" t="n"/>
      <c r="M770" s="114" t="n"/>
    </row>
    <row r="771">
      <c r="A771" s="48" t="n">
        <v>43705</v>
      </c>
      <c r="B771" s="49" t="n"/>
      <c r="C771" s="49" t="n"/>
      <c r="D771" s="71" t="n">
        <v>72.67</v>
      </c>
      <c r="E771" s="71" t="n"/>
      <c r="F771" s="55" t="n"/>
      <c r="G771" s="55" t="n"/>
      <c r="H771" s="55">
        <f>H770-G771</f>
        <v/>
      </c>
      <c r="I771" s="71" t="n"/>
      <c r="J771" s="749" t="n"/>
      <c r="K771" s="749">
        <f>G771*D771</f>
        <v/>
      </c>
      <c r="L771" s="748" t="n"/>
      <c r="M771" s="114" t="n"/>
    </row>
    <row r="772">
      <c r="A772" s="48" t="n">
        <v>43706</v>
      </c>
      <c r="B772" s="49" t="n"/>
      <c r="C772" s="49" t="n"/>
      <c r="D772" s="71" t="n">
        <v>73.67</v>
      </c>
      <c r="E772" s="71" t="n"/>
      <c r="F772" s="55" t="n"/>
      <c r="G772" s="55" t="n"/>
      <c r="H772" s="55">
        <f>H771-G772</f>
        <v/>
      </c>
      <c r="I772" s="71" t="n"/>
      <c r="J772" s="749" t="n"/>
      <c r="K772" s="749">
        <f>G772*D772</f>
        <v/>
      </c>
      <c r="L772" s="748" t="n"/>
      <c r="M772" s="114" t="n"/>
    </row>
    <row r="773">
      <c r="A773" s="48" t="n">
        <v>43707</v>
      </c>
      <c r="B773" s="49" t="n"/>
      <c r="C773" s="49" t="n"/>
      <c r="D773" s="71" t="n">
        <v>74.67</v>
      </c>
      <c r="E773" s="71" t="n"/>
      <c r="F773" s="55" t="n"/>
      <c r="G773" s="55" t="n"/>
      <c r="H773" s="55">
        <f>H772-G773</f>
        <v/>
      </c>
      <c r="I773" s="71" t="n"/>
      <c r="J773" s="749" t="n"/>
      <c r="K773" s="749">
        <f>G773*D773</f>
        <v/>
      </c>
      <c r="L773" s="748" t="n"/>
      <c r="M773" s="114" t="n"/>
    </row>
    <row r="774">
      <c r="A774" s="76" t="n"/>
      <c r="B774" s="76" t="n"/>
      <c r="C774" s="76" t="n"/>
      <c r="D774" s="76" t="n"/>
      <c r="E774" s="76" t="n"/>
      <c r="F774" s="76" t="n"/>
      <c r="G774" s="76" t="n"/>
      <c r="H774" s="76" t="n"/>
      <c r="I774" s="76" t="n"/>
      <c r="J774" s="76" t="n"/>
      <c r="K774" s="76" t="n"/>
      <c r="L774" s="76" t="n"/>
      <c r="M774" s="114" t="n"/>
    </row>
    <row r="775">
      <c r="A775" s="76" t="n"/>
      <c r="B775" s="76" t="n"/>
      <c r="C775" s="76" t="n"/>
      <c r="D775" s="76" t="n"/>
      <c r="E775" s="76" t="n"/>
      <c r="F775" s="76" t="n"/>
      <c r="G775" s="76" t="n"/>
      <c r="H775" s="76" t="n"/>
      <c r="I775" s="76" t="n"/>
      <c r="J775" s="76" t="n"/>
      <c r="K775" s="76" t="n"/>
      <c r="L775" s="76" t="n"/>
      <c r="M775" s="114" t="n"/>
    </row>
    <row r="776" ht="15.75" customHeight="1" s="436" thickBot="1">
      <c r="A776" s="76" t="n"/>
      <c r="B776" s="76" t="n"/>
      <c r="C776" s="76" t="n"/>
      <c r="D776" s="76" t="n"/>
      <c r="E776" s="76" t="n"/>
      <c r="F776" s="76" t="n"/>
      <c r="G776" s="76" t="n"/>
      <c r="H776" s="76" t="n"/>
      <c r="I776" s="76" t="n"/>
      <c r="J776" s="76" t="n"/>
      <c r="K776" s="76" t="n"/>
      <c r="L776" s="76" t="n"/>
      <c r="M776" s="114" t="n"/>
    </row>
    <row r="777" ht="21.75" customHeight="1" s="436" thickBot="1">
      <c r="A777" s="744" t="inlineStr">
        <is>
          <t xml:space="preserve">021 - DENISE FURTADO DE SOUZA - ME </t>
        </is>
      </c>
      <c r="B777" s="737" t="n"/>
      <c r="C777" s="737" t="n"/>
      <c r="D777" s="737" t="n"/>
      <c r="E777" s="737" t="n"/>
      <c r="F777" s="737" t="n"/>
      <c r="G777" s="737" t="n"/>
      <c r="H777" s="737" t="n"/>
      <c r="I777" s="737" t="n"/>
      <c r="J777" s="737" t="n"/>
      <c r="K777" s="737" t="n"/>
      <c r="L777" s="736" t="n"/>
      <c r="M777" s="114" t="n"/>
    </row>
    <row r="778" ht="24" customHeight="1" s="436" thickBot="1">
      <c r="A778" s="745" t="inlineStr">
        <is>
          <t xml:space="preserve">  PRÉ MISTURA - 25 KG</t>
        </is>
      </c>
      <c r="B778" s="737" t="n"/>
      <c r="C778" s="737" t="n"/>
      <c r="D778" s="737" t="n"/>
      <c r="E778" s="737" t="n"/>
      <c r="F778" s="737" t="n"/>
      <c r="G778" s="737" t="n"/>
      <c r="H778" s="737" t="n"/>
      <c r="I778" s="737" t="n"/>
      <c r="J778" s="737" t="n"/>
      <c r="K778" s="737" t="n"/>
      <c r="L778" s="736" t="n"/>
      <c r="M778" s="114" t="n"/>
    </row>
    <row r="779">
      <c r="A779" s="746" t="inlineStr">
        <is>
          <t>DATA</t>
        </is>
      </c>
      <c r="B779" s="3" t="inlineStr">
        <is>
          <t>N.F.</t>
        </is>
      </c>
      <c r="C779" s="3" t="inlineStr">
        <is>
          <t>TIPO</t>
        </is>
      </c>
      <c r="D779" s="3" t="inlineStr">
        <is>
          <t>PREÇO UNITÁRIO</t>
        </is>
      </c>
      <c r="E779" s="736" t="n"/>
      <c r="F779" s="3" t="inlineStr">
        <is>
          <t>QUANTIDADE / KG</t>
        </is>
      </c>
      <c r="G779" s="737" t="n"/>
      <c r="H779" s="736" t="n"/>
      <c r="I779" s="631" t="inlineStr">
        <is>
          <t>PREÇO</t>
        </is>
      </c>
      <c r="J779" s="631" t="inlineStr">
        <is>
          <t>VALORES</t>
        </is>
      </c>
      <c r="K779" s="737" t="n"/>
      <c r="L779" s="736" t="n"/>
      <c r="M779" s="114" t="n"/>
    </row>
    <row r="780" ht="15.75" customHeight="1" s="436" thickBot="1">
      <c r="A780" s="703" t="n"/>
      <c r="B780" s="704" t="n"/>
      <c r="C780" s="704" t="n"/>
      <c r="D780" s="703" t="n"/>
      <c r="E780" s="701" t="n"/>
      <c r="F780" s="705" t="n"/>
      <c r="G780" s="706" t="n"/>
      <c r="H780" s="707" t="n"/>
      <c r="I780" s="704" t="n"/>
      <c r="J780" s="703" t="n"/>
      <c r="L780" s="701" t="n"/>
      <c r="M780" s="114" t="n"/>
    </row>
    <row r="781" ht="15.75" customHeight="1" s="436" thickBot="1">
      <c r="A781" s="703" t="n"/>
      <c r="B781" s="704" t="n"/>
      <c r="C781" s="704" t="n"/>
      <c r="D781" s="705" t="n"/>
      <c r="E781" s="707" t="n"/>
      <c r="F781" s="3" t="inlineStr">
        <is>
          <t>ENTRADA</t>
        </is>
      </c>
      <c r="G781" s="3" t="inlineStr">
        <is>
          <t>SAÍDA</t>
        </is>
      </c>
      <c r="H781" s="640" t="n"/>
      <c r="I781" s="633" t="inlineStr">
        <is>
          <t>MÉDIO</t>
        </is>
      </c>
      <c r="J781" s="652" t="inlineStr">
        <is>
          <t>SALDO EM 30/12/2017</t>
        </is>
      </c>
      <c r="K781" s="706" t="n"/>
      <c r="L781" s="17" t="n"/>
      <c r="M781" s="114" t="n"/>
    </row>
    <row r="782" ht="15.75" customHeight="1" s="436" thickBot="1">
      <c r="A782" s="705" t="n"/>
      <c r="B782" s="695" t="n"/>
      <c r="C782" s="695" t="n"/>
      <c r="D782" s="3" t="inlineStr">
        <is>
          <t>C/ICMS</t>
        </is>
      </c>
      <c r="E782" s="3" t="inlineStr">
        <is>
          <t>S/ICMS</t>
        </is>
      </c>
      <c r="F782" s="695" t="n"/>
      <c r="G782" s="695" t="n"/>
      <c r="H782" s="18" t="inlineStr">
        <is>
          <t>Saldo em 30/08/2019</t>
        </is>
      </c>
      <c r="I782" s="695" t="n"/>
      <c r="J782" s="645" t="inlineStr">
        <is>
          <t>ENTRADA</t>
        </is>
      </c>
      <c r="K782" s="633" t="inlineStr">
        <is>
          <t>SAÍDA / CMV</t>
        </is>
      </c>
      <c r="L782" s="633" t="inlineStr">
        <is>
          <t>SALDO</t>
        </is>
      </c>
      <c r="M782" s="114" t="n"/>
    </row>
    <row r="783">
      <c r="A783" s="48" t="n"/>
      <c r="B783" s="49" t="n"/>
      <c r="C783" s="49" t="n"/>
      <c r="D783" s="71" t="n"/>
      <c r="E783" s="71" t="n"/>
      <c r="F783" s="55" t="n"/>
      <c r="G783" s="55" t="n">
        <v>0</v>
      </c>
      <c r="H783" s="55" t="n"/>
      <c r="I783" s="71" t="n"/>
      <c r="J783" s="747">
        <f>F783*I783</f>
        <v/>
      </c>
      <c r="K783" s="747" t="n">
        <v>0</v>
      </c>
      <c r="L783" s="748">
        <f>J783-K783</f>
        <v/>
      </c>
      <c r="M783" s="114" t="n"/>
    </row>
    <row r="784">
      <c r="A784" s="92" t="n">
        <v>43709</v>
      </c>
      <c r="B784" s="93" t="n"/>
      <c r="C784" s="96" t="n"/>
      <c r="D784" s="97" t="n"/>
      <c r="E784" s="97" t="n"/>
      <c r="F784" s="98" t="n"/>
      <c r="G784" s="98" t="n"/>
      <c r="H784" s="95" t="n">
        <v>785</v>
      </c>
      <c r="I784" s="51" t="n"/>
      <c r="J784" s="749" t="n"/>
      <c r="K784" s="749">
        <f>G784*D784</f>
        <v/>
      </c>
      <c r="L784" s="748" t="n"/>
      <c r="M784" s="114" t="n"/>
    </row>
    <row r="785">
      <c r="A785" s="48" t="n">
        <v>43711</v>
      </c>
      <c r="B785" s="49" t="inlineStr">
        <is>
          <t>6755</t>
        </is>
      </c>
      <c r="C785" s="50" t="n"/>
      <c r="D785" s="51" t="n">
        <v>53</v>
      </c>
      <c r="E785" s="51" t="n"/>
      <c r="F785" s="52" t="n"/>
      <c r="G785" s="52" t="n">
        <v>30</v>
      </c>
      <c r="H785" s="55">
        <f>H784-G785</f>
        <v/>
      </c>
      <c r="I785" s="51" t="n"/>
      <c r="J785" s="749" t="n"/>
      <c r="K785" s="749" t="n"/>
      <c r="L785" s="748" t="n"/>
      <c r="M785" s="114" t="n"/>
    </row>
    <row r="786">
      <c r="A786" s="48" t="n">
        <v>43711</v>
      </c>
      <c r="B786" s="49" t="inlineStr">
        <is>
          <t>6757</t>
        </is>
      </c>
      <c r="C786" s="50" t="n"/>
      <c r="D786" s="51" t="n">
        <v>53</v>
      </c>
      <c r="E786" s="51" t="n"/>
      <c r="F786" s="52" t="n"/>
      <c r="G786" s="52" t="n">
        <v>30</v>
      </c>
      <c r="H786" s="55">
        <f>H785-G786</f>
        <v/>
      </c>
      <c r="I786" s="51" t="n"/>
      <c r="J786" s="749" t="n"/>
      <c r="K786" s="749" t="n"/>
      <c r="L786" s="748" t="n"/>
      <c r="M786" s="114" t="n"/>
    </row>
    <row r="787">
      <c r="A787" s="48" t="n">
        <v>43711</v>
      </c>
      <c r="B787" s="49" t="inlineStr">
        <is>
          <t>6759</t>
        </is>
      </c>
      <c r="C787" s="50" t="n"/>
      <c r="D787" s="51" t="n">
        <v>53</v>
      </c>
      <c r="E787" s="51" t="n"/>
      <c r="F787" s="52" t="n"/>
      <c r="G787" s="52" t="n">
        <v>10</v>
      </c>
      <c r="H787" s="55">
        <f>H786-G787</f>
        <v/>
      </c>
      <c r="I787" s="51" t="n"/>
      <c r="J787" s="749" t="n"/>
      <c r="K787" s="749" t="n"/>
      <c r="L787" s="748" t="n"/>
      <c r="M787" s="114" t="n"/>
    </row>
    <row r="788">
      <c r="A788" s="48" t="n">
        <v>43711</v>
      </c>
      <c r="B788" s="49" t="inlineStr">
        <is>
          <t>6760</t>
        </is>
      </c>
      <c r="C788" s="50" t="n"/>
      <c r="D788" s="51" t="n">
        <v>50</v>
      </c>
      <c r="E788" s="51" t="n"/>
      <c r="F788" s="52" t="n"/>
      <c r="G788" s="52" t="n">
        <v>20</v>
      </c>
      <c r="H788" s="55">
        <f>H786-G788</f>
        <v/>
      </c>
      <c r="I788" s="51" t="n"/>
      <c r="J788" s="749" t="n"/>
      <c r="K788" s="749" t="n"/>
      <c r="L788" s="748" t="n"/>
      <c r="M788" s="114" t="n"/>
    </row>
    <row r="789">
      <c r="A789" s="48" t="n">
        <v>43711</v>
      </c>
      <c r="B789" s="49" t="inlineStr">
        <is>
          <t>6761</t>
        </is>
      </c>
      <c r="C789" s="50" t="n"/>
      <c r="D789" s="51" t="n">
        <v>57</v>
      </c>
      <c r="E789" s="51" t="n"/>
      <c r="F789" s="52" t="n"/>
      <c r="G789" s="52" t="n">
        <v>20</v>
      </c>
      <c r="H789" s="55">
        <f>H788-G789</f>
        <v/>
      </c>
      <c r="I789" s="51" t="n"/>
      <c r="J789" s="749" t="n"/>
      <c r="K789" s="749">
        <f>G789*D789</f>
        <v/>
      </c>
      <c r="L789" s="748" t="n"/>
      <c r="M789" s="114" t="n"/>
    </row>
    <row r="790">
      <c r="A790" s="48" t="n">
        <v>43711</v>
      </c>
      <c r="B790" s="49" t="inlineStr">
        <is>
          <t>6762</t>
        </is>
      </c>
      <c r="C790" s="49" t="n"/>
      <c r="D790" s="117" t="n">
        <v>51.16</v>
      </c>
      <c r="E790" s="71" t="n"/>
      <c r="F790" s="55" t="n"/>
      <c r="G790" s="55" t="n">
        <v>25</v>
      </c>
      <c r="H790" s="55">
        <f>H789-G790</f>
        <v/>
      </c>
      <c r="I790" s="71" t="n"/>
      <c r="J790" s="749" t="n"/>
      <c r="K790" s="749">
        <f>G790*D790</f>
        <v/>
      </c>
      <c r="L790" s="748" t="n"/>
      <c r="M790" s="114" t="n"/>
    </row>
    <row r="791">
      <c r="A791" s="48" t="n">
        <v>43711</v>
      </c>
      <c r="B791" s="49" t="inlineStr">
        <is>
          <t>6763</t>
        </is>
      </c>
      <c r="C791" s="49" t="n"/>
      <c r="D791" s="71" t="n">
        <v>53.2</v>
      </c>
      <c r="E791" s="71" t="n"/>
      <c r="F791" s="55" t="n"/>
      <c r="G791" s="55" t="n">
        <v>10</v>
      </c>
      <c r="H791" s="55">
        <f>H790-G791</f>
        <v/>
      </c>
      <c r="I791" s="71" t="n"/>
      <c r="J791" s="749" t="n"/>
      <c r="K791" s="749">
        <f>G791*D791</f>
        <v/>
      </c>
      <c r="L791" s="748" t="n"/>
      <c r="M791" s="114" t="n"/>
    </row>
    <row r="792">
      <c r="A792" s="48" t="n">
        <v>43712</v>
      </c>
      <c r="B792" s="49" t="inlineStr">
        <is>
          <t>6765</t>
        </is>
      </c>
      <c r="C792" s="49" t="n"/>
      <c r="D792" s="71" t="n">
        <v>52</v>
      </c>
      <c r="E792" s="71" t="n"/>
      <c r="F792" s="55" t="n"/>
      <c r="G792" s="55" t="n">
        <v>30</v>
      </c>
      <c r="H792" s="55">
        <f>H791-G792</f>
        <v/>
      </c>
      <c r="I792" s="71" t="n"/>
      <c r="J792" s="749" t="n"/>
      <c r="K792" s="749">
        <f>G792*D792</f>
        <v/>
      </c>
      <c r="L792" s="748" t="n"/>
      <c r="M792" s="114" t="n"/>
    </row>
    <row r="793">
      <c r="A793" s="48" t="n">
        <v>43717</v>
      </c>
      <c r="B793" s="49" t="inlineStr">
        <is>
          <t>6768</t>
        </is>
      </c>
      <c r="C793" s="49" t="n"/>
      <c r="D793" s="71" t="n">
        <v>51</v>
      </c>
      <c r="E793" s="71" t="n"/>
      <c r="F793" s="55" t="n"/>
      <c r="G793" s="55" t="n">
        <v>50</v>
      </c>
      <c r="H793" s="55">
        <f>H792-G793</f>
        <v/>
      </c>
      <c r="I793" s="71" t="n"/>
      <c r="J793" s="749" t="n"/>
      <c r="K793" s="749">
        <f>G793*D793</f>
        <v/>
      </c>
      <c r="L793" s="748" t="n"/>
      <c r="M793" s="114" t="n"/>
    </row>
    <row r="794">
      <c r="A794" s="48" t="n">
        <v>43717</v>
      </c>
      <c r="B794" s="49" t="inlineStr">
        <is>
          <t>6770</t>
        </is>
      </c>
      <c r="C794" s="49" t="n"/>
      <c r="D794" s="71" t="n">
        <v>53</v>
      </c>
      <c r="E794" s="71" t="n"/>
      <c r="F794" s="55" t="n"/>
      <c r="G794" s="55" t="n">
        <v>20</v>
      </c>
      <c r="H794" s="55">
        <f>H793-G794</f>
        <v/>
      </c>
      <c r="I794" s="71" t="n"/>
      <c r="J794" s="749" t="n"/>
      <c r="K794" s="749">
        <f>G794*D794</f>
        <v/>
      </c>
      <c r="L794" s="748" t="n"/>
      <c r="M794" s="114" t="n"/>
    </row>
    <row r="795">
      <c r="A795" s="48" t="n">
        <v>43719</v>
      </c>
      <c r="B795" s="49" t="inlineStr">
        <is>
          <t>6778</t>
        </is>
      </c>
      <c r="C795" s="49" t="n"/>
      <c r="D795" s="71" t="n">
        <v>52.47</v>
      </c>
      <c r="E795" s="71" t="n"/>
      <c r="F795" s="55" t="n"/>
      <c r="G795" s="55" t="n">
        <v>30</v>
      </c>
      <c r="H795" s="55">
        <f>H794-G795</f>
        <v/>
      </c>
      <c r="I795" s="71" t="n"/>
      <c r="J795" s="749" t="n"/>
      <c r="K795" s="749">
        <f>G795*D795</f>
        <v/>
      </c>
      <c r="L795" s="748" t="n"/>
      <c r="M795" s="114" t="n"/>
    </row>
    <row r="796">
      <c r="A796" s="48" t="n">
        <v>43719</v>
      </c>
      <c r="B796" s="49" t="inlineStr">
        <is>
          <t>6781</t>
        </is>
      </c>
      <c r="C796" s="49" t="n"/>
      <c r="D796" s="71" t="n">
        <v>54</v>
      </c>
      <c r="E796" s="71" t="n"/>
      <c r="F796" s="55" t="n"/>
      <c r="G796" s="55" t="n">
        <v>25</v>
      </c>
      <c r="H796" s="55">
        <f>H795-G796</f>
        <v/>
      </c>
      <c r="I796" s="71" t="n"/>
      <c r="J796" s="749" t="n"/>
      <c r="K796" s="749">
        <f>G796*D796</f>
        <v/>
      </c>
      <c r="L796" s="748" t="n"/>
      <c r="M796" s="114" t="n"/>
    </row>
    <row r="797">
      <c r="A797" s="48" t="n">
        <v>43719</v>
      </c>
      <c r="B797" s="49" t="inlineStr">
        <is>
          <t>6783</t>
        </is>
      </c>
      <c r="C797" s="49" t="n"/>
      <c r="D797" s="71" t="n">
        <v>51</v>
      </c>
      <c r="E797" s="71" t="n"/>
      <c r="F797" s="55" t="n"/>
      <c r="G797" s="55" t="n">
        <v>30</v>
      </c>
      <c r="H797" s="55">
        <f>H796-G797</f>
        <v/>
      </c>
      <c r="I797" s="71" t="n"/>
      <c r="J797" s="749" t="n"/>
      <c r="K797" s="749">
        <f>G797*D797</f>
        <v/>
      </c>
      <c r="L797" s="748" t="n"/>
      <c r="M797" s="114" t="n"/>
    </row>
    <row r="798">
      <c r="A798" s="48" t="n">
        <v>43719</v>
      </c>
      <c r="B798" s="49" t="inlineStr">
        <is>
          <t>6784</t>
        </is>
      </c>
      <c r="C798" s="49" t="n"/>
      <c r="D798" s="71" t="n">
        <v>52.8</v>
      </c>
      <c r="E798" s="71" t="n"/>
      <c r="F798" s="55" t="n"/>
      <c r="G798" s="55" t="n">
        <v>15</v>
      </c>
      <c r="H798" s="55">
        <f>H797-G798</f>
        <v/>
      </c>
      <c r="I798" s="71" t="n"/>
      <c r="J798" s="749" t="n"/>
      <c r="K798" s="749">
        <f>G798*D798</f>
        <v/>
      </c>
      <c r="L798" s="748" t="n"/>
      <c r="M798" s="114" t="n"/>
    </row>
    <row r="799">
      <c r="A799" s="48" t="n">
        <v>43724</v>
      </c>
      <c r="B799" s="49" t="inlineStr">
        <is>
          <t>6789</t>
        </is>
      </c>
      <c r="C799" s="49" t="n"/>
      <c r="D799" s="71" t="n">
        <v>52.47</v>
      </c>
      <c r="E799" s="71" t="n"/>
      <c r="F799" s="55" t="n"/>
      <c r="G799" s="55" t="n">
        <v>30</v>
      </c>
      <c r="H799" s="55">
        <f>H798-G799</f>
        <v/>
      </c>
      <c r="I799" s="71" t="n"/>
      <c r="J799" s="749" t="n"/>
      <c r="K799" s="749">
        <f>G799*D799</f>
        <v/>
      </c>
      <c r="L799" s="748" t="n"/>
      <c r="M799" s="114" t="n"/>
    </row>
    <row r="800">
      <c r="A800" s="48" t="n">
        <v>43724</v>
      </c>
      <c r="B800" s="49" t="inlineStr">
        <is>
          <t>6790</t>
        </is>
      </c>
      <c r="C800" s="49" t="n"/>
      <c r="D800" s="71" t="n">
        <v>52</v>
      </c>
      <c r="E800" s="71" t="n"/>
      <c r="F800" s="55" t="n"/>
      <c r="G800" s="55" t="n">
        <v>20</v>
      </c>
      <c r="H800" s="55">
        <f>H799-G800</f>
        <v/>
      </c>
      <c r="I800" s="71" t="n"/>
      <c r="J800" s="749" t="n"/>
      <c r="K800" s="749">
        <f>G800*D800</f>
        <v/>
      </c>
      <c r="L800" s="748" t="n"/>
      <c r="M800" s="114" t="n"/>
    </row>
    <row r="801">
      <c r="A801" s="48" t="n">
        <v>43727</v>
      </c>
      <c r="B801" s="49" t="inlineStr">
        <is>
          <t>6796</t>
        </is>
      </c>
      <c r="C801" s="49" t="n"/>
      <c r="D801" s="71" t="n">
        <v>52.8</v>
      </c>
      <c r="E801" s="71" t="n"/>
      <c r="F801" s="55" t="n"/>
      <c r="G801" s="55" t="n">
        <v>50</v>
      </c>
      <c r="H801" s="55">
        <f>H800-G801</f>
        <v/>
      </c>
      <c r="I801" s="71" t="n"/>
      <c r="J801" s="749" t="n"/>
      <c r="K801" s="749">
        <f>G801*D801</f>
        <v/>
      </c>
      <c r="L801" s="748" t="n"/>
      <c r="M801" s="114" t="n"/>
    </row>
    <row r="802">
      <c r="A802" s="48" t="n">
        <v>43731</v>
      </c>
      <c r="B802" s="49" t="inlineStr">
        <is>
          <t>6799</t>
        </is>
      </c>
      <c r="C802" s="49" t="n"/>
      <c r="D802" s="71" t="n">
        <v>53</v>
      </c>
      <c r="E802" s="71" t="n"/>
      <c r="F802" s="55" t="n"/>
      <c r="G802" s="55" t="n">
        <v>30</v>
      </c>
      <c r="H802" s="55">
        <f>H801-G802</f>
        <v/>
      </c>
      <c r="I802" s="71" t="n"/>
      <c r="J802" s="749" t="n"/>
      <c r="K802" s="749">
        <f>G802*D802</f>
        <v/>
      </c>
      <c r="L802" s="748" t="n"/>
      <c r="M802" s="114" t="n"/>
    </row>
    <row r="803">
      <c r="A803" s="48" t="n">
        <v>43731</v>
      </c>
      <c r="B803" s="49" t="inlineStr">
        <is>
          <t>6801</t>
        </is>
      </c>
      <c r="C803" s="49" t="n"/>
      <c r="D803" s="71" t="n">
        <v>54</v>
      </c>
      <c r="E803" s="71" t="n"/>
      <c r="F803" s="55" t="n"/>
      <c r="G803" s="55" t="n">
        <v>10</v>
      </c>
      <c r="H803" s="55">
        <f>H802-G803</f>
        <v/>
      </c>
      <c r="I803" s="71" t="n"/>
      <c r="J803" s="749" t="n"/>
      <c r="K803" s="749">
        <f>G803*D803</f>
        <v/>
      </c>
      <c r="L803" s="748" t="n"/>
      <c r="M803" s="114" t="n"/>
    </row>
    <row r="804">
      <c r="A804" s="48" t="n">
        <v>43731</v>
      </c>
      <c r="B804" s="49" t="inlineStr">
        <is>
          <t>6802</t>
        </is>
      </c>
      <c r="C804" s="49" t="n"/>
      <c r="D804" s="71" t="n">
        <v>54</v>
      </c>
      <c r="E804" s="71" t="n"/>
      <c r="F804" s="55" t="n"/>
      <c r="G804" s="55" t="n">
        <v>15</v>
      </c>
      <c r="H804" s="55">
        <f>H803-G804</f>
        <v/>
      </c>
      <c r="I804" s="71" t="n"/>
      <c r="J804" s="749" t="n"/>
      <c r="K804" s="749">
        <f>G804*D804</f>
        <v/>
      </c>
      <c r="L804" s="748" t="n"/>
      <c r="M804" s="114" t="n"/>
    </row>
    <row r="805">
      <c r="A805" s="48" t="n">
        <v>43731</v>
      </c>
      <c r="B805" s="49" t="inlineStr">
        <is>
          <t>6803</t>
        </is>
      </c>
      <c r="C805" s="49" t="n"/>
      <c r="D805" s="71" t="n">
        <v>51</v>
      </c>
      <c r="E805" s="71" t="n"/>
      <c r="F805" s="55" t="n"/>
      <c r="G805" s="55" t="n">
        <v>50</v>
      </c>
      <c r="H805" s="55">
        <f>H804-G805</f>
        <v/>
      </c>
      <c r="I805" s="71" t="n"/>
      <c r="J805" s="749" t="n"/>
      <c r="K805" s="749">
        <f>G805*D805</f>
        <v/>
      </c>
      <c r="L805" s="748" t="n"/>
      <c r="M805" s="114" t="n"/>
    </row>
    <row r="806">
      <c r="A806" s="48" t="n">
        <v>43731</v>
      </c>
      <c r="B806" s="49" t="inlineStr">
        <is>
          <t>6805</t>
        </is>
      </c>
      <c r="C806" s="49" t="n"/>
      <c r="D806" s="71" t="n">
        <v>51</v>
      </c>
      <c r="E806" s="71" t="n"/>
      <c r="F806" s="55" t="n"/>
      <c r="G806" s="55" t="n">
        <v>100</v>
      </c>
      <c r="H806" s="55">
        <f>H805-G806</f>
        <v/>
      </c>
      <c r="I806" s="71" t="n"/>
      <c r="J806" s="749" t="n"/>
      <c r="K806" s="749">
        <f>G806*D806</f>
        <v/>
      </c>
      <c r="L806" s="748" t="n"/>
      <c r="M806" s="114" t="n"/>
    </row>
    <row r="807">
      <c r="A807" s="48" t="n">
        <v>43733</v>
      </c>
      <c r="B807" s="49" t="inlineStr">
        <is>
          <t>6808</t>
        </is>
      </c>
      <c r="C807" s="49" t="n"/>
      <c r="D807" s="71" t="n">
        <v>51.77</v>
      </c>
      <c r="E807" s="71" t="n"/>
      <c r="F807" s="55" t="n"/>
      <c r="G807" s="55" t="n">
        <v>17</v>
      </c>
      <c r="H807" s="55">
        <f>H806-G807</f>
        <v/>
      </c>
      <c r="I807" s="71" t="n"/>
      <c r="J807" s="749" t="n"/>
      <c r="K807" s="749">
        <f>G807*D807</f>
        <v/>
      </c>
      <c r="L807" s="748" t="n"/>
      <c r="M807" s="114" t="n"/>
    </row>
    <row r="808">
      <c r="A808" s="48" t="n">
        <v>43733</v>
      </c>
      <c r="B808" s="49" t="inlineStr">
        <is>
          <t>6809</t>
        </is>
      </c>
      <c r="C808" s="49" t="n"/>
      <c r="D808" s="71" t="n">
        <v>53</v>
      </c>
      <c r="E808" s="71" t="n"/>
      <c r="F808" s="55" t="n"/>
      <c r="G808" s="55" t="n">
        <v>60</v>
      </c>
      <c r="H808" s="55">
        <f>H807-G808</f>
        <v/>
      </c>
      <c r="I808" s="71" t="n"/>
      <c r="J808" s="749" t="n"/>
      <c r="K808" s="749">
        <f>G808*D808</f>
        <v/>
      </c>
      <c r="L808" s="748" t="n"/>
      <c r="M808" s="114" t="n"/>
    </row>
    <row r="809">
      <c r="A809" s="48" t="n">
        <v>43733</v>
      </c>
      <c r="B809" s="49" t="inlineStr">
        <is>
          <t>6810</t>
        </is>
      </c>
      <c r="C809" s="49" t="n"/>
      <c r="D809" s="71" t="n">
        <v>54</v>
      </c>
      <c r="E809" s="71" t="n"/>
      <c r="F809" s="55" t="n"/>
      <c r="G809" s="55" t="n">
        <v>30</v>
      </c>
      <c r="H809" s="55">
        <f>H808-G809</f>
        <v/>
      </c>
      <c r="I809" s="71" t="n"/>
      <c r="J809" s="749" t="n"/>
      <c r="K809" s="749">
        <f>G809*D809</f>
        <v/>
      </c>
      <c r="L809" s="748" t="n"/>
      <c r="M809" s="114" t="n"/>
    </row>
    <row r="810">
      <c r="A810" s="48" t="n">
        <v>43738</v>
      </c>
      <c r="B810" s="49" t="inlineStr">
        <is>
          <t>6818</t>
        </is>
      </c>
      <c r="C810" s="49" t="n"/>
      <c r="D810" s="71" t="n">
        <v>50</v>
      </c>
      <c r="E810" s="71" t="n"/>
      <c r="F810" s="55" t="n"/>
      <c r="G810" s="55" t="n">
        <v>20</v>
      </c>
      <c r="H810" s="55">
        <f>H809-G810</f>
        <v/>
      </c>
      <c r="I810" s="71" t="n"/>
      <c r="J810" s="749" t="n"/>
      <c r="K810" s="749">
        <f>G810*D810</f>
        <v/>
      </c>
      <c r="L810" s="748" t="n"/>
      <c r="M810" s="114" t="n"/>
    </row>
    <row r="811">
      <c r="A811" s="48" t="n">
        <v>43738</v>
      </c>
      <c r="B811" s="49" t="inlineStr">
        <is>
          <t>6823</t>
        </is>
      </c>
      <c r="C811" s="49" t="n"/>
      <c r="D811" s="71" t="n">
        <v>52</v>
      </c>
      <c r="E811" s="71" t="n"/>
      <c r="F811" s="55" t="n"/>
      <c r="G811" s="55" t="n">
        <v>10</v>
      </c>
      <c r="H811" s="55">
        <f>H810-G811</f>
        <v/>
      </c>
      <c r="I811" s="71" t="n"/>
      <c r="J811" s="749" t="n"/>
      <c r="K811" s="749">
        <f>G811*D811</f>
        <v/>
      </c>
      <c r="L811" s="748" t="n"/>
      <c r="M811" s="114" t="n"/>
    </row>
    <row r="812">
      <c r="A812" s="48" t="n"/>
      <c r="B812" s="49" t="n"/>
      <c r="C812" s="49" t="n"/>
      <c r="D812" s="71" t="n"/>
      <c r="E812" s="71" t="n"/>
      <c r="F812" s="55" t="n"/>
      <c r="G812" s="55" t="n"/>
      <c r="H812" s="55">
        <f>H811-G812</f>
        <v/>
      </c>
      <c r="I812" s="71" t="n"/>
      <c r="J812" s="749" t="n"/>
      <c r="K812" s="749">
        <f>G812*D812</f>
        <v/>
      </c>
      <c r="L812" s="748" t="n"/>
      <c r="M812" s="114" t="n"/>
    </row>
    <row r="813">
      <c r="A813" s="48" t="n"/>
      <c r="B813" s="49" t="n"/>
      <c r="C813" s="49" t="n"/>
      <c r="D813" s="71" t="n"/>
      <c r="E813" s="71" t="n"/>
      <c r="F813" s="55" t="n"/>
      <c r="G813" s="55" t="n"/>
      <c r="H813" s="55">
        <f>H812-G813</f>
        <v/>
      </c>
      <c r="I813" s="71" t="n"/>
      <c r="J813" s="749" t="n"/>
      <c r="K813" s="749">
        <f>G813*D813</f>
        <v/>
      </c>
      <c r="L813" s="748" t="n"/>
      <c r="M813" s="114" t="n"/>
    </row>
    <row r="814">
      <c r="A814" s="48" t="n"/>
      <c r="B814" s="49" t="n"/>
      <c r="C814" s="49" t="n"/>
      <c r="D814" s="71" t="n"/>
      <c r="E814" s="71" t="n"/>
      <c r="F814" s="55" t="n"/>
      <c r="G814" s="55" t="n"/>
      <c r="H814" s="55">
        <f>H813-G814</f>
        <v/>
      </c>
      <c r="I814" s="71" t="n"/>
      <c r="J814" s="749" t="n"/>
      <c r="K814" s="749">
        <f>G814*D814</f>
        <v/>
      </c>
      <c r="L814" s="748" t="n"/>
      <c r="M814" s="114" t="n"/>
    </row>
    <row r="815">
      <c r="A815" s="249" t="n"/>
      <c r="B815" s="250" t="n"/>
      <c r="C815" s="250" t="n"/>
      <c r="D815" s="251" t="n"/>
      <c r="E815" s="251" t="n"/>
      <c r="F815" s="252" t="n"/>
      <c r="G815" s="252" t="n"/>
      <c r="H815" s="252">
        <f>H814-G815</f>
        <v/>
      </c>
      <c r="I815" s="251" t="n"/>
      <c r="J815" s="754" t="n"/>
      <c r="K815" s="754">
        <f>G815*D815</f>
        <v/>
      </c>
      <c r="L815" s="755" t="n"/>
      <c r="M815" s="114" t="n"/>
    </row>
    <row r="816">
      <c r="A816" s="255" t="n"/>
      <c r="B816" s="256" t="n"/>
      <c r="C816" s="256" t="n"/>
      <c r="D816" s="257" t="n"/>
      <c r="E816" s="257" t="n"/>
      <c r="F816" s="171" t="n"/>
      <c r="G816" s="171" t="n"/>
      <c r="H816" s="171" t="n"/>
      <c r="I816" s="257" t="n"/>
      <c r="J816" s="756" t="n"/>
      <c r="K816" s="756" t="n"/>
      <c r="L816" s="756" t="n"/>
      <c r="M816" s="114" t="n"/>
    </row>
    <row r="817">
      <c r="A817" s="255" t="n"/>
      <c r="B817" s="256" t="n"/>
      <c r="C817" s="256" t="n"/>
      <c r="D817" s="257" t="n"/>
      <c r="E817" s="257" t="n"/>
      <c r="F817" s="171" t="n"/>
      <c r="G817" s="171" t="n"/>
      <c r="H817" s="171" t="n"/>
      <c r="I817" s="257" t="n"/>
      <c r="J817" s="756" t="n"/>
      <c r="K817" s="756" t="n"/>
      <c r="L817" s="756" t="n"/>
      <c r="M817" s="114" t="n"/>
    </row>
    <row r="818">
      <c r="A818" s="255" t="n"/>
      <c r="B818" s="256" t="n"/>
      <c r="C818" s="256" t="n"/>
      <c r="D818" s="257" t="n"/>
      <c r="E818" s="257" t="n"/>
      <c r="F818" s="171" t="n"/>
      <c r="G818" s="171" t="n"/>
      <c r="H818" s="171" t="n"/>
      <c r="I818" s="257" t="n"/>
      <c r="J818" s="756" t="n"/>
      <c r="K818" s="756" t="n"/>
      <c r="L818" s="756" t="n"/>
      <c r="M818" s="114" t="n"/>
    </row>
    <row r="819" ht="15.75" customHeight="1" s="436" thickBot="1">
      <c r="A819" s="255" t="n"/>
      <c r="B819" s="256" t="n"/>
      <c r="C819" s="256" t="n"/>
      <c r="D819" s="257" t="n"/>
      <c r="E819" s="257" t="n"/>
      <c r="F819" s="171" t="n"/>
      <c r="G819" s="171" t="n"/>
      <c r="H819" s="171">
        <f>H818-G819</f>
        <v/>
      </c>
      <c r="I819" s="257" t="n"/>
      <c r="J819" s="756" t="n"/>
      <c r="K819" s="756">
        <f>G819*D819</f>
        <v/>
      </c>
      <c r="L819" s="756" t="n"/>
      <c r="M819" s="114" t="n"/>
    </row>
    <row r="820" ht="21.75" customHeight="1" s="436" thickBot="1">
      <c r="A820" s="699" t="inlineStr">
        <is>
          <t xml:space="preserve">021 - DENISE FURTADO DE SOUZA - ME </t>
        </is>
      </c>
      <c r="B820" s="697" t="n"/>
      <c r="C820" s="697" t="n"/>
      <c r="D820" s="697" t="n"/>
      <c r="E820" s="697" t="n"/>
      <c r="F820" s="697" t="n"/>
      <c r="G820" s="697" t="n"/>
      <c r="H820" s="697" t="n"/>
      <c r="I820" s="697" t="n"/>
      <c r="J820" s="697" t="n"/>
      <c r="K820" s="697" t="n"/>
      <c r="L820" s="698" t="n"/>
      <c r="M820" s="114" t="n"/>
    </row>
    <row r="821" ht="24" customHeight="1" s="436" thickBot="1">
      <c r="A821" s="745" t="inlineStr">
        <is>
          <t xml:space="preserve">  PRÉ MISTURA - 25 KG</t>
        </is>
      </c>
      <c r="B821" s="737" t="n"/>
      <c r="C821" s="737" t="n"/>
      <c r="D821" s="737" t="n"/>
      <c r="E821" s="737" t="n"/>
      <c r="F821" s="737" t="n"/>
      <c r="G821" s="737" t="n"/>
      <c r="H821" s="737" t="n"/>
      <c r="I821" s="737" t="n"/>
      <c r="J821" s="737" t="n"/>
      <c r="K821" s="737" t="n"/>
      <c r="L821" s="736" t="n"/>
      <c r="M821" s="114" t="n"/>
    </row>
    <row r="822">
      <c r="A822" s="746" t="inlineStr">
        <is>
          <t>DATA</t>
        </is>
      </c>
      <c r="B822" s="3" t="inlineStr">
        <is>
          <t>N.F.</t>
        </is>
      </c>
      <c r="C822" s="3" t="inlineStr">
        <is>
          <t>TIPO</t>
        </is>
      </c>
      <c r="D822" s="3" t="inlineStr">
        <is>
          <t>PREÇO UNITÁRIO</t>
        </is>
      </c>
      <c r="E822" s="736" t="n"/>
      <c r="F822" s="3" t="inlineStr">
        <is>
          <t>QUANTIDADE / KG</t>
        </is>
      </c>
      <c r="G822" s="737" t="n"/>
      <c r="H822" s="736" t="n"/>
      <c r="I822" s="631" t="inlineStr">
        <is>
          <t>PREÇO</t>
        </is>
      </c>
      <c r="J822" s="631" t="inlineStr">
        <is>
          <t>VALORES</t>
        </is>
      </c>
      <c r="K822" s="737" t="n"/>
      <c r="L822" s="736" t="n"/>
      <c r="M822" s="114" t="n"/>
    </row>
    <row r="823" ht="15.75" customHeight="1" s="436" thickBot="1">
      <c r="A823" s="703" t="n"/>
      <c r="B823" s="704" t="n"/>
      <c r="C823" s="704" t="n"/>
      <c r="D823" s="703" t="n"/>
      <c r="E823" s="701" t="n"/>
      <c r="F823" s="705" t="n"/>
      <c r="G823" s="706" t="n"/>
      <c r="H823" s="707" t="n"/>
      <c r="I823" s="704" t="n"/>
      <c r="J823" s="703" t="n"/>
      <c r="L823" s="701" t="n"/>
      <c r="M823" s="114" t="n"/>
    </row>
    <row r="824" ht="15.75" customHeight="1" s="436" thickBot="1">
      <c r="A824" s="703" t="n"/>
      <c r="B824" s="704" t="n"/>
      <c r="C824" s="704" t="n"/>
      <c r="D824" s="705" t="n"/>
      <c r="E824" s="707" t="n"/>
      <c r="F824" s="3" t="inlineStr">
        <is>
          <t>ENTRADA</t>
        </is>
      </c>
      <c r="G824" s="3" t="inlineStr">
        <is>
          <t>SAÍDA</t>
        </is>
      </c>
      <c r="H824" s="640" t="n"/>
      <c r="I824" s="633" t="inlineStr">
        <is>
          <t>MÉDIO</t>
        </is>
      </c>
      <c r="J824" s="652" t="inlineStr">
        <is>
          <t>SALDO EM 30/12/2017</t>
        </is>
      </c>
      <c r="K824" s="706" t="n"/>
      <c r="L824" s="17" t="n"/>
      <c r="M824" s="114" t="n"/>
    </row>
    <row r="825" ht="15.75" customHeight="1" s="436" thickBot="1">
      <c r="A825" s="705" t="n"/>
      <c r="B825" s="695" t="n"/>
      <c r="C825" s="695" t="n"/>
      <c r="D825" s="3" t="inlineStr">
        <is>
          <t>C/ICMS</t>
        </is>
      </c>
      <c r="E825" s="3" t="inlineStr">
        <is>
          <t>S/ICMS</t>
        </is>
      </c>
      <c r="F825" s="695" t="n"/>
      <c r="G825" s="695" t="n"/>
      <c r="H825" s="18" t="inlineStr">
        <is>
          <t>Saldo em 30/09/2019</t>
        </is>
      </c>
      <c r="I825" s="695" t="n"/>
      <c r="J825" s="645" t="inlineStr">
        <is>
          <t>ENTRADA</t>
        </is>
      </c>
      <c r="K825" s="633" t="inlineStr">
        <is>
          <t>SAÍDA / CMV</t>
        </is>
      </c>
      <c r="L825" s="633" t="inlineStr">
        <is>
          <t>SALDO</t>
        </is>
      </c>
      <c r="M825" s="114" t="n"/>
    </row>
    <row r="826">
      <c r="A826" s="48" t="n"/>
      <c r="B826" s="49" t="n"/>
      <c r="C826" s="49" t="n"/>
      <c r="D826" s="71" t="n"/>
      <c r="E826" s="71" t="n"/>
      <c r="F826" s="55" t="n"/>
      <c r="G826" s="55" t="n">
        <v>0</v>
      </c>
      <c r="H826" s="55" t="n"/>
      <c r="I826" s="71" t="n"/>
      <c r="J826" s="747">
        <f>F826*I826</f>
        <v/>
      </c>
      <c r="K826" s="747" t="n">
        <v>0</v>
      </c>
      <c r="L826" s="748">
        <f>J826-K826</f>
        <v/>
      </c>
      <c r="M826" s="114" t="n"/>
    </row>
    <row r="827">
      <c r="A827" s="92" t="n">
        <v>43739</v>
      </c>
      <c r="B827" s="93" t="n"/>
      <c r="C827" s="96" t="n"/>
      <c r="D827" s="97" t="n"/>
      <c r="E827" s="97" t="n"/>
      <c r="F827" s="98" t="n"/>
      <c r="G827" s="98" t="n"/>
      <c r="H827" s="55" t="n">
        <v>8</v>
      </c>
      <c r="I827" s="51" t="n"/>
      <c r="J827" s="749" t="n"/>
      <c r="K827" s="749">
        <f>G827*D827</f>
        <v/>
      </c>
      <c r="L827" s="748" t="n"/>
      <c r="M827" s="114" t="n"/>
    </row>
    <row r="828">
      <c r="A828" s="48" t="n">
        <v>43740</v>
      </c>
      <c r="B828" s="49" t="inlineStr">
        <is>
          <t>6829</t>
        </is>
      </c>
      <c r="C828" s="50" t="n"/>
      <c r="D828" s="51" t="n">
        <v>56</v>
      </c>
      <c r="E828" s="51" t="n"/>
      <c r="F828" s="52" t="n"/>
      <c r="G828" s="55" t="n">
        <v>20</v>
      </c>
      <c r="H828" s="55">
        <f>H827-G828</f>
        <v/>
      </c>
      <c r="I828" s="51" t="n"/>
      <c r="J828" s="749" t="n"/>
      <c r="K828" s="749" t="n"/>
      <c r="L828" s="748" t="n"/>
      <c r="M828" s="114" t="n"/>
    </row>
    <row r="829">
      <c r="A829" s="48" t="n">
        <v>43740</v>
      </c>
      <c r="B829" s="49" t="inlineStr">
        <is>
          <t>6830</t>
        </is>
      </c>
      <c r="C829" s="50" t="n"/>
      <c r="D829" s="51" t="n">
        <v>52.6</v>
      </c>
      <c r="E829" s="51" t="n"/>
      <c r="F829" s="52" t="n"/>
      <c r="G829" s="52" t="n">
        <v>20</v>
      </c>
      <c r="H829" s="55">
        <f>H828-G829</f>
        <v/>
      </c>
      <c r="I829" s="51" t="n"/>
      <c r="J829" s="749" t="n"/>
      <c r="K829" s="749" t="n"/>
      <c r="L829" s="748" t="n"/>
      <c r="M829" s="114" t="n"/>
    </row>
    <row r="830">
      <c r="A830" s="92" t="n">
        <v>43745</v>
      </c>
      <c r="B830" s="93" t="inlineStr">
        <is>
          <t>126211</t>
        </is>
      </c>
      <c r="C830" s="96" t="n"/>
      <c r="D830" s="97" t="n">
        <v>43.24</v>
      </c>
      <c r="E830" s="97" t="n"/>
      <c r="F830" s="98" t="n">
        <v>150</v>
      </c>
      <c r="G830" s="98" t="n"/>
      <c r="H830" s="95" t="n">
        <v>118</v>
      </c>
      <c r="I830" s="51" t="n"/>
      <c r="J830" s="749" t="n"/>
      <c r="K830" s="749" t="n"/>
      <c r="L830" s="748" t="n"/>
      <c r="M830" s="114" t="n"/>
    </row>
    <row r="831">
      <c r="A831" s="92" t="n">
        <v>43745</v>
      </c>
      <c r="B831" s="93" t="inlineStr">
        <is>
          <t>126211</t>
        </is>
      </c>
      <c r="C831" s="96" t="n"/>
      <c r="D831" s="97" t="n">
        <v>41.1</v>
      </c>
      <c r="E831" s="97" t="n"/>
      <c r="F831" s="98" t="n">
        <v>500</v>
      </c>
      <c r="G831" s="98" t="n"/>
      <c r="H831" s="95" t="n">
        <v>618</v>
      </c>
      <c r="I831" s="51" t="n"/>
      <c r="J831" s="749" t="n"/>
      <c r="K831" s="749" t="n"/>
      <c r="L831" s="748" t="n"/>
      <c r="M831" s="114" t="n"/>
    </row>
    <row r="832">
      <c r="A832" s="48" t="n">
        <v>43745</v>
      </c>
      <c r="B832" s="49" t="inlineStr">
        <is>
          <t>6834</t>
        </is>
      </c>
      <c r="C832" s="50" t="n"/>
      <c r="D832" s="51" t="n">
        <v>50</v>
      </c>
      <c r="E832" s="51" t="n"/>
      <c r="F832" s="52" t="n"/>
      <c r="G832" s="52" t="n">
        <v>100</v>
      </c>
      <c r="H832" s="55">
        <f>H831-G832</f>
        <v/>
      </c>
      <c r="I832" s="51" t="n"/>
      <c r="J832" s="749" t="n"/>
      <c r="K832" s="749">
        <f>G832*D832</f>
        <v/>
      </c>
      <c r="L832" s="748" t="n"/>
      <c r="M832" s="114" t="n"/>
    </row>
    <row r="833">
      <c r="A833" s="48" t="n">
        <v>43745</v>
      </c>
      <c r="B833" s="49" t="inlineStr">
        <is>
          <t>6836</t>
        </is>
      </c>
      <c r="C833" s="49" t="n"/>
      <c r="D833" s="117" t="n">
        <v>52.5</v>
      </c>
      <c r="E833" s="71" t="n"/>
      <c r="F833" s="55" t="n"/>
      <c r="G833" s="55" t="n">
        <v>40</v>
      </c>
      <c r="H833" s="55">
        <f>H832-G833</f>
        <v/>
      </c>
      <c r="I833" s="71" t="n"/>
      <c r="J833" s="749" t="n"/>
      <c r="K833" s="749">
        <f>G833*D833</f>
        <v/>
      </c>
      <c r="L833" s="748" t="n"/>
      <c r="M833" s="114" t="n"/>
    </row>
    <row r="834">
      <c r="A834" s="48" t="n">
        <v>43745</v>
      </c>
      <c r="B834" s="49" t="inlineStr">
        <is>
          <t>6837</t>
        </is>
      </c>
      <c r="C834" s="49" t="n"/>
      <c r="D834" s="71" t="n">
        <v>53</v>
      </c>
      <c r="E834" s="71" t="n"/>
      <c r="F834" s="55" t="n"/>
      <c r="G834" s="55" t="n">
        <v>20</v>
      </c>
      <c r="H834" s="55">
        <f>H833-G834</f>
        <v/>
      </c>
      <c r="I834" s="71" t="n"/>
      <c r="J834" s="749" t="n"/>
      <c r="K834" s="749">
        <f>G834*D834</f>
        <v/>
      </c>
      <c r="L834" s="748" t="n"/>
      <c r="M834" s="114" t="n"/>
    </row>
    <row r="835">
      <c r="A835" s="48" t="n">
        <v>43746</v>
      </c>
      <c r="B835" s="49" t="inlineStr">
        <is>
          <t>6839</t>
        </is>
      </c>
      <c r="C835" s="49" t="n"/>
      <c r="D835" s="71" t="n">
        <v>52</v>
      </c>
      <c r="E835" s="71" t="n"/>
      <c r="F835" s="55" t="n"/>
      <c r="G835" s="55" t="n">
        <v>50</v>
      </c>
      <c r="H835" s="55">
        <f>H834-G835</f>
        <v/>
      </c>
      <c r="I835" s="71" t="n"/>
      <c r="J835" s="749" t="n"/>
      <c r="K835" s="749">
        <f>G835*D835</f>
        <v/>
      </c>
      <c r="L835" s="748" t="n"/>
      <c r="M835" s="114" t="n"/>
    </row>
    <row r="836">
      <c r="A836" s="48" t="n">
        <v>43748</v>
      </c>
      <c r="B836" s="49" t="inlineStr">
        <is>
          <t>6841</t>
        </is>
      </c>
      <c r="C836" s="49" t="n"/>
      <c r="D836" s="71" t="n">
        <v>52</v>
      </c>
      <c r="E836" s="71" t="n"/>
      <c r="F836" s="55" t="n"/>
      <c r="G836" s="55" t="n">
        <v>15</v>
      </c>
      <c r="H836" s="55">
        <f>H835-G836</f>
        <v/>
      </c>
      <c r="I836" s="71" t="n"/>
      <c r="J836" s="749" t="n"/>
      <c r="K836" s="749">
        <f>G836*D836</f>
        <v/>
      </c>
      <c r="L836" s="748" t="n"/>
      <c r="M836" s="114" t="n"/>
    </row>
    <row r="837">
      <c r="A837" s="48" t="n">
        <v>43748</v>
      </c>
      <c r="B837" s="49" t="inlineStr">
        <is>
          <t>6844</t>
        </is>
      </c>
      <c r="C837" s="49" t="n"/>
      <c r="D837" s="71" t="n">
        <v>52</v>
      </c>
      <c r="E837" s="71" t="n"/>
      <c r="F837" s="55" t="n"/>
      <c r="G837" s="55" t="n">
        <v>100</v>
      </c>
      <c r="H837" s="55">
        <f>H836-G837</f>
        <v/>
      </c>
      <c r="I837" s="71" t="n"/>
      <c r="J837" s="749" t="n"/>
      <c r="K837" s="749">
        <f>G837*D837</f>
        <v/>
      </c>
      <c r="L837" s="748" t="n"/>
      <c r="M837" s="114" t="n"/>
    </row>
    <row r="838">
      <c r="A838" s="48" t="n">
        <v>43748</v>
      </c>
      <c r="B838" s="49" t="inlineStr">
        <is>
          <t>6845</t>
        </is>
      </c>
      <c r="C838" s="49" t="n"/>
      <c r="D838" s="71" t="n">
        <v>54</v>
      </c>
      <c r="E838" s="71" t="n"/>
      <c r="F838" s="55" t="n"/>
      <c r="G838" s="55" t="n">
        <v>20</v>
      </c>
      <c r="H838" s="55">
        <f>H837-G838</f>
        <v/>
      </c>
      <c r="I838" s="71" t="n"/>
      <c r="J838" s="749" t="n"/>
      <c r="K838" s="749">
        <f>G838*D838</f>
        <v/>
      </c>
      <c r="L838" s="748" t="n"/>
      <c r="M838" s="114" t="n"/>
    </row>
    <row r="839">
      <c r="A839" s="48" t="n">
        <v>43752</v>
      </c>
      <c r="B839" s="49" t="inlineStr">
        <is>
          <t>6848</t>
        </is>
      </c>
      <c r="C839" s="49" t="n"/>
      <c r="D839" s="71" t="n">
        <v>53</v>
      </c>
      <c r="E839" s="71" t="n"/>
      <c r="F839" s="55" t="n"/>
      <c r="G839" s="55" t="n">
        <v>15</v>
      </c>
      <c r="H839" s="55">
        <f>H838-G839</f>
        <v/>
      </c>
      <c r="I839" s="71" t="n"/>
      <c r="J839" s="749" t="n"/>
      <c r="K839" s="749">
        <f>G839*D839</f>
        <v/>
      </c>
      <c r="L839" s="748" t="n"/>
      <c r="M839" s="114" t="n"/>
    </row>
    <row r="840">
      <c r="A840" s="48" t="n">
        <v>43752</v>
      </c>
      <c r="B840" s="49" t="inlineStr">
        <is>
          <t>6853</t>
        </is>
      </c>
      <c r="C840" s="49" t="n"/>
      <c r="D840" s="71" t="n">
        <v>55</v>
      </c>
      <c r="E840" s="71" t="n"/>
      <c r="F840" s="55" t="n"/>
      <c r="G840" s="55" t="n">
        <v>70</v>
      </c>
      <c r="H840" s="55">
        <f>H839-G840</f>
        <v/>
      </c>
      <c r="I840" s="71" t="n"/>
      <c r="J840" s="749" t="n"/>
      <c r="K840" s="749">
        <f>G840*D840</f>
        <v/>
      </c>
      <c r="L840" s="748" t="n"/>
      <c r="M840" s="114" t="n"/>
    </row>
    <row r="841">
      <c r="A841" s="48" t="n">
        <v>43752</v>
      </c>
      <c r="B841" s="49" t="inlineStr">
        <is>
          <t>6854</t>
        </is>
      </c>
      <c r="C841" s="49" t="n"/>
      <c r="D841" s="71" t="n">
        <v>53.6</v>
      </c>
      <c r="E841" s="71" t="n"/>
      <c r="F841" s="55" t="n"/>
      <c r="G841" s="55" t="n">
        <v>50</v>
      </c>
      <c r="H841" s="55">
        <f>H840-G841</f>
        <v/>
      </c>
      <c r="I841" s="71" t="n"/>
      <c r="J841" s="749" t="n"/>
      <c r="K841" s="749">
        <f>G841*D841</f>
        <v/>
      </c>
      <c r="L841" s="748" t="n"/>
      <c r="M841" s="114" t="n"/>
    </row>
    <row r="842">
      <c r="A842" s="48" t="n">
        <v>43754</v>
      </c>
      <c r="B842" s="49" t="inlineStr">
        <is>
          <t>6858</t>
        </is>
      </c>
      <c r="C842" s="49" t="n"/>
      <c r="D842" s="71" t="n">
        <v>53</v>
      </c>
      <c r="E842" s="71" t="n"/>
      <c r="F842" s="55" t="n"/>
      <c r="G842" s="55" t="n">
        <v>50</v>
      </c>
      <c r="H842" s="55">
        <f>H841-G842</f>
        <v/>
      </c>
      <c r="I842" s="71" t="n"/>
      <c r="J842" s="749" t="n"/>
      <c r="K842" s="749">
        <f>G842*D842</f>
        <v/>
      </c>
      <c r="L842" s="748" t="n"/>
      <c r="M842" s="114" t="n"/>
    </row>
    <row r="843">
      <c r="A843" s="48" t="n">
        <v>43759</v>
      </c>
      <c r="B843" s="49" t="inlineStr">
        <is>
          <t>6859</t>
        </is>
      </c>
      <c r="C843" s="49" t="n"/>
      <c r="D843" s="71" t="n">
        <v>51.67</v>
      </c>
      <c r="E843" s="71" t="n"/>
      <c r="F843" s="55" t="n"/>
      <c r="G843" s="55" t="n">
        <v>150</v>
      </c>
      <c r="H843" s="55">
        <f>H842-G843</f>
        <v/>
      </c>
      <c r="I843" s="71" t="n"/>
      <c r="J843" s="749" t="n"/>
      <c r="K843" s="749">
        <f>G843*D843</f>
        <v/>
      </c>
      <c r="L843" s="748" t="n"/>
      <c r="M843" s="114" t="n"/>
    </row>
    <row r="844">
      <c r="A844" s="48" t="n">
        <v>43761</v>
      </c>
      <c r="B844" s="49" t="inlineStr">
        <is>
          <t>6871</t>
        </is>
      </c>
      <c r="C844" s="49" t="n"/>
      <c r="D844" s="71" t="n">
        <v>52.27</v>
      </c>
      <c r="E844" s="71" t="n"/>
      <c r="F844" s="55" t="n"/>
      <c r="G844" s="55" t="n">
        <v>30</v>
      </c>
      <c r="H844" s="55">
        <f>H843-G844</f>
        <v/>
      </c>
      <c r="I844" s="71" t="n"/>
      <c r="J844" s="749" t="n"/>
      <c r="K844" s="749">
        <f>G844*D844</f>
        <v/>
      </c>
      <c r="L844" s="748" t="n"/>
      <c r="M844" s="114" t="n"/>
    </row>
    <row r="845">
      <c r="A845" s="92" t="n">
        <v>43767</v>
      </c>
      <c r="B845" s="93" t="inlineStr">
        <is>
          <t>127533</t>
        </is>
      </c>
      <c r="C845" s="93" t="n"/>
      <c r="D845" s="94" t="n">
        <v>43.24</v>
      </c>
      <c r="E845" s="94" t="n"/>
      <c r="F845" s="95" t="n">
        <v>200</v>
      </c>
      <c r="G845" s="95" t="n"/>
      <c r="H845" s="95" t="n">
        <v>108</v>
      </c>
      <c r="I845" s="71" t="n"/>
      <c r="J845" s="749" t="n"/>
      <c r="K845" s="749" t="n"/>
      <c r="L845" s="748" t="n"/>
      <c r="M845" s="114" t="n"/>
    </row>
    <row r="846">
      <c r="A846" s="92" t="n">
        <v>43767</v>
      </c>
      <c r="B846" s="93" t="inlineStr">
        <is>
          <t>127533</t>
        </is>
      </c>
      <c r="C846" s="93" t="n"/>
      <c r="D846" s="94" t="n">
        <v>42.1</v>
      </c>
      <c r="E846" s="94" t="n"/>
      <c r="F846" s="95" t="n">
        <v>300</v>
      </c>
      <c r="G846" s="95" t="n"/>
      <c r="H846" s="95" t="n">
        <v>408</v>
      </c>
      <c r="I846" s="71" t="n"/>
      <c r="J846" s="749" t="n"/>
      <c r="K846" s="749" t="n"/>
      <c r="L846" s="748" t="n"/>
      <c r="M846" s="114" t="n"/>
    </row>
    <row r="847">
      <c r="A847" s="48" t="n">
        <v>43766</v>
      </c>
      <c r="B847" s="49" t="inlineStr">
        <is>
          <t>6878</t>
        </is>
      </c>
      <c r="C847" s="49" t="n"/>
      <c r="D847" s="71" t="n">
        <v>50</v>
      </c>
      <c r="E847" s="71" t="n"/>
      <c r="F847" s="55" t="n"/>
      <c r="G847" s="55" t="n">
        <v>100</v>
      </c>
      <c r="H847" s="55">
        <f>H846-G847</f>
        <v/>
      </c>
      <c r="I847" s="71" t="n"/>
      <c r="J847" s="749" t="n"/>
      <c r="K847" s="749">
        <f>G847*D847</f>
        <v/>
      </c>
      <c r="L847" s="748" t="n"/>
      <c r="M847" s="114" t="n"/>
    </row>
    <row r="848">
      <c r="A848" s="48" t="n">
        <v>43768</v>
      </c>
      <c r="B848" s="49" t="inlineStr">
        <is>
          <t>6883</t>
        </is>
      </c>
      <c r="C848" s="49" t="n"/>
      <c r="D848" s="71" t="n">
        <v>51</v>
      </c>
      <c r="E848" s="71" t="n"/>
      <c r="F848" s="55" t="n"/>
      <c r="G848" s="55" t="n">
        <v>30</v>
      </c>
      <c r="H848" s="55">
        <f>H847-G848</f>
        <v/>
      </c>
      <c r="I848" s="71" t="n"/>
      <c r="J848" s="749" t="n"/>
      <c r="K848" s="749">
        <f>G848*D848</f>
        <v/>
      </c>
      <c r="L848" s="748" t="n"/>
      <c r="M848" s="114" t="n"/>
    </row>
    <row r="849">
      <c r="A849" s="48" t="n">
        <v>43768</v>
      </c>
      <c r="B849" s="49" t="inlineStr">
        <is>
          <t>6886</t>
        </is>
      </c>
      <c r="C849" s="49" t="n"/>
      <c r="D849" s="71" t="n">
        <v>52.33</v>
      </c>
      <c r="E849" s="71" t="n"/>
      <c r="F849" s="55" t="n"/>
      <c r="G849" s="55" t="n">
        <v>23</v>
      </c>
      <c r="H849" s="55">
        <f>H848-G849</f>
        <v/>
      </c>
      <c r="I849" s="71" t="n"/>
      <c r="J849" s="749" t="n"/>
      <c r="K849" s="749">
        <f>G849*D849</f>
        <v/>
      </c>
      <c r="L849" s="748" t="n"/>
    </row>
    <row r="850">
      <c r="A850" s="48" t="n">
        <v>43768</v>
      </c>
      <c r="B850" s="49" t="inlineStr">
        <is>
          <t>6890</t>
        </is>
      </c>
      <c r="C850" s="49" t="n"/>
      <c r="D850" s="71" t="n">
        <v>56</v>
      </c>
      <c r="E850" s="71" t="n"/>
      <c r="F850" s="55" t="n"/>
      <c r="G850" s="55" t="n">
        <v>15</v>
      </c>
      <c r="H850" s="55">
        <f>H849-G850</f>
        <v/>
      </c>
      <c r="I850" s="71" t="n"/>
      <c r="J850" s="749" t="n"/>
      <c r="K850" s="749">
        <f>G850*D850</f>
        <v/>
      </c>
      <c r="L850" s="748" t="n"/>
    </row>
    <row r="851">
      <c r="A851" s="48" t="n"/>
      <c r="B851" s="49" t="n"/>
      <c r="C851" s="49" t="n"/>
      <c r="D851" s="71" t="n"/>
      <c r="E851" s="71" t="n"/>
      <c r="F851" s="55" t="n"/>
      <c r="G851" s="55" t="n"/>
      <c r="H851" s="55">
        <f>H850-G851</f>
        <v/>
      </c>
      <c r="I851" s="71" t="n"/>
      <c r="J851" s="749" t="n"/>
      <c r="K851" s="749">
        <f>G851*D851</f>
        <v/>
      </c>
      <c r="L851" s="748" t="n"/>
    </row>
    <row r="852">
      <c r="A852" s="48" t="n"/>
      <c r="B852" s="49" t="n"/>
      <c r="C852" s="49" t="n"/>
      <c r="D852" s="71" t="n"/>
      <c r="E852" s="71" t="n"/>
      <c r="F852" s="55" t="n"/>
      <c r="G852" s="55" t="n"/>
      <c r="H852" s="55">
        <f>H851-G852</f>
        <v/>
      </c>
      <c r="I852" s="71" t="n"/>
      <c r="J852" s="749" t="n"/>
      <c r="K852" s="749">
        <f>G852*D852</f>
        <v/>
      </c>
      <c r="L852" s="748" t="n"/>
    </row>
    <row r="853">
      <c r="A853" s="48" t="n"/>
      <c r="B853" s="49" t="n"/>
      <c r="C853" s="49" t="n"/>
      <c r="D853" s="71" t="n"/>
      <c r="E853" s="71" t="n"/>
      <c r="F853" s="55" t="n"/>
      <c r="G853" s="55" t="n"/>
      <c r="H853" s="55">
        <f>H852-G853</f>
        <v/>
      </c>
      <c r="I853" s="71" t="n"/>
      <c r="J853" s="749" t="n"/>
      <c r="K853" s="749">
        <f>G853*D853</f>
        <v/>
      </c>
      <c r="L853" s="748" t="n"/>
    </row>
    <row r="854">
      <c r="A854" s="48" t="n"/>
      <c r="B854" s="49" t="n"/>
      <c r="C854" s="49" t="n"/>
      <c r="D854" s="71" t="n"/>
      <c r="E854" s="71" t="n"/>
      <c r="F854" s="55" t="n"/>
      <c r="G854" s="55" t="n"/>
      <c r="H854" s="55">
        <f>H853-G854</f>
        <v/>
      </c>
      <c r="I854" s="71" t="n"/>
      <c r="J854" s="749" t="n"/>
      <c r="K854" s="749">
        <f>G854*D854</f>
        <v/>
      </c>
      <c r="L854" s="748" t="n"/>
    </row>
    <row r="855">
      <c r="A855" s="48" t="n"/>
      <c r="B855" s="49" t="n"/>
      <c r="C855" s="49" t="n"/>
      <c r="D855" s="71" t="n"/>
      <c r="E855" s="71" t="n"/>
      <c r="F855" s="55" t="n"/>
      <c r="G855" s="55" t="n"/>
      <c r="H855" s="55">
        <f>H854-G855</f>
        <v/>
      </c>
      <c r="I855" s="71" t="n"/>
      <c r="J855" s="749" t="n"/>
      <c r="K855" s="749">
        <f>G855*D855</f>
        <v/>
      </c>
      <c r="L855" s="748" t="n"/>
    </row>
    <row r="856">
      <c r="A856" s="48" t="n"/>
      <c r="B856" s="49" t="n"/>
      <c r="C856" s="49" t="n"/>
      <c r="D856" s="71" t="n"/>
      <c r="E856" s="71" t="n"/>
      <c r="F856" s="55" t="n"/>
      <c r="G856" s="55" t="n"/>
      <c r="H856" s="55">
        <f>H855-G856</f>
        <v/>
      </c>
      <c r="I856" s="71" t="n"/>
      <c r="J856" s="749" t="n"/>
      <c r="K856" s="749">
        <f>G856*D856</f>
        <v/>
      </c>
      <c r="L856" s="748" t="n"/>
    </row>
    <row r="857">
      <c r="A857" s="48" t="n"/>
      <c r="B857" s="49" t="n"/>
      <c r="C857" s="49" t="n"/>
      <c r="D857" s="71" t="n"/>
      <c r="E857" s="71" t="n"/>
      <c r="F857" s="55" t="n"/>
      <c r="G857" s="55" t="n"/>
      <c r="H857" s="55">
        <f>H856-G857</f>
        <v/>
      </c>
      <c r="I857" s="71" t="n"/>
      <c r="J857" s="749" t="n"/>
      <c r="K857" s="749">
        <f>G857*D857</f>
        <v/>
      </c>
      <c r="L857" s="748" t="n"/>
    </row>
    <row r="858" ht="15.75" customHeight="1" s="436" thickBot="1">
      <c r="A858" s="255" t="n"/>
      <c r="B858" s="256" t="n"/>
      <c r="C858" s="256" t="n"/>
      <c r="D858" s="257" t="n"/>
      <c r="E858" s="257" t="n"/>
      <c r="F858" s="171" t="n"/>
      <c r="G858" s="171" t="n"/>
      <c r="H858" s="171" t="n"/>
      <c r="I858" s="257" t="n"/>
      <c r="J858" s="756" t="n"/>
      <c r="K858" s="756" t="n"/>
      <c r="L858" s="756" t="n"/>
    </row>
    <row r="859" ht="21.75" customHeight="1" s="436" thickBot="1">
      <c r="A859" s="757" t="n">
        <v>43770</v>
      </c>
      <c r="B859" s="697" t="n"/>
      <c r="C859" s="697" t="n"/>
      <c r="D859" s="697" t="n"/>
      <c r="E859" s="697" t="n"/>
      <c r="F859" s="697" t="n"/>
      <c r="G859" s="697" t="n"/>
      <c r="H859" s="697" t="n"/>
      <c r="I859" s="697" t="n"/>
      <c r="J859" s="697" t="n"/>
      <c r="K859" s="697" t="n"/>
      <c r="L859" s="698" t="n"/>
    </row>
    <row r="860" ht="21.75" customHeight="1" s="436" thickBot="1">
      <c r="A860" s="699" t="inlineStr">
        <is>
          <t xml:space="preserve">021 - DENISE FURTADO DE SOUZA - ME </t>
        </is>
      </c>
      <c r="B860" s="697" t="n"/>
      <c r="C860" s="697" t="n"/>
      <c r="D860" s="697" t="n"/>
      <c r="E860" s="697" t="n"/>
      <c r="F860" s="697" t="n"/>
      <c r="G860" s="697" t="n"/>
      <c r="H860" s="697" t="n"/>
      <c r="I860" s="697" t="n"/>
      <c r="J860" s="697" t="n"/>
      <c r="K860" s="697" t="n"/>
      <c r="L860" s="698" t="n"/>
    </row>
    <row r="861" ht="24" customHeight="1" s="436" thickBot="1">
      <c r="A861" s="745" t="inlineStr">
        <is>
          <t xml:space="preserve">  PRÉ MISTURA - 25 KG</t>
        </is>
      </c>
      <c r="B861" s="737" t="n"/>
      <c r="C861" s="737" t="n"/>
      <c r="D861" s="737" t="n"/>
      <c r="E861" s="737" t="n"/>
      <c r="F861" s="737" t="n"/>
      <c r="G861" s="737" t="n"/>
      <c r="H861" s="737" t="n"/>
      <c r="I861" s="737" t="n"/>
      <c r="J861" s="737" t="n"/>
      <c r="K861" s="737" t="n"/>
      <c r="L861" s="736" t="n"/>
    </row>
    <row r="862">
      <c r="A862" s="746" t="inlineStr">
        <is>
          <t>DATA</t>
        </is>
      </c>
      <c r="B862" s="3" t="inlineStr">
        <is>
          <t>N.F.</t>
        </is>
      </c>
      <c r="C862" s="3" t="inlineStr">
        <is>
          <t>TIPO</t>
        </is>
      </c>
      <c r="D862" s="3" t="inlineStr">
        <is>
          <t>PREÇO UNITÁRIO</t>
        </is>
      </c>
      <c r="E862" s="736" t="n"/>
      <c r="F862" s="3" t="inlineStr">
        <is>
          <t>QUANTIDADE / KG</t>
        </is>
      </c>
      <c r="G862" s="737" t="n"/>
      <c r="H862" s="736" t="n"/>
      <c r="I862" s="631" t="inlineStr">
        <is>
          <t>PREÇO</t>
        </is>
      </c>
      <c r="J862" s="631" t="inlineStr">
        <is>
          <t>VALORES</t>
        </is>
      </c>
      <c r="K862" s="737" t="n"/>
      <c r="L862" s="736" t="n"/>
    </row>
    <row r="863" ht="15.75" customHeight="1" s="436" thickBot="1">
      <c r="A863" s="703" t="n"/>
      <c r="B863" s="704" t="n"/>
      <c r="C863" s="704" t="n"/>
      <c r="D863" s="703" t="n"/>
      <c r="E863" s="701" t="n"/>
      <c r="F863" s="705" t="n"/>
      <c r="G863" s="706" t="n"/>
      <c r="H863" s="707" t="n"/>
      <c r="I863" s="704" t="n"/>
      <c r="J863" s="703" t="n"/>
      <c r="L863" s="701" t="n"/>
    </row>
    <row r="864" ht="15.75" customHeight="1" s="436" thickBot="1">
      <c r="A864" s="703" t="n"/>
      <c r="B864" s="704" t="n"/>
      <c r="C864" s="704" t="n"/>
      <c r="D864" s="705" t="n"/>
      <c r="E864" s="707" t="n"/>
      <c r="F864" s="3" t="inlineStr">
        <is>
          <t>ENTRADA</t>
        </is>
      </c>
      <c r="G864" s="3" t="inlineStr">
        <is>
          <t>SAÍDA</t>
        </is>
      </c>
      <c r="H864" s="640" t="n"/>
      <c r="I864" s="633" t="inlineStr">
        <is>
          <t>MÉDIO</t>
        </is>
      </c>
      <c r="J864" s="652" t="inlineStr">
        <is>
          <t>SALDO EM 30/12/2017</t>
        </is>
      </c>
      <c r="K864" s="706" t="n"/>
      <c r="L864" s="17" t="n"/>
    </row>
    <row r="865" ht="15.75" customHeight="1" s="436" thickBot="1">
      <c r="A865" s="705" t="n"/>
      <c r="B865" s="695" t="n"/>
      <c r="C865" s="695" t="n"/>
      <c r="D865" s="3" t="inlineStr">
        <is>
          <t>C/ICMS</t>
        </is>
      </c>
      <c r="E865" s="3" t="inlineStr">
        <is>
          <t>S/ICMS</t>
        </is>
      </c>
      <c r="F865" s="695" t="n"/>
      <c r="G865" s="695" t="n"/>
      <c r="H865" s="18" t="inlineStr">
        <is>
          <t>Saldo em31/10/2019</t>
        </is>
      </c>
      <c r="I865" s="695" t="n"/>
      <c r="J865" s="645" t="inlineStr">
        <is>
          <t>ENTRADA</t>
        </is>
      </c>
      <c r="K865" s="633" t="inlineStr">
        <is>
          <t>SAÍDA / CMV</t>
        </is>
      </c>
      <c r="L865" s="633" t="inlineStr">
        <is>
          <t>SALDO</t>
        </is>
      </c>
    </row>
    <row r="866">
      <c r="A866" s="48" t="n"/>
      <c r="B866" s="49" t="n"/>
      <c r="C866" s="49" t="n"/>
      <c r="D866" s="71" t="n"/>
      <c r="E866" s="71" t="n"/>
      <c r="F866" s="55" t="n"/>
      <c r="G866" s="55" t="n">
        <v>0</v>
      </c>
      <c r="H866" s="55" t="n"/>
      <c r="I866" s="71" t="n"/>
      <c r="J866" s="747">
        <f>F866*I866</f>
        <v/>
      </c>
      <c r="K866" s="747" t="n">
        <v>0</v>
      </c>
      <c r="L866" s="748">
        <f>J866-K866</f>
        <v/>
      </c>
    </row>
    <row r="867">
      <c r="A867" s="92" t="n">
        <v>43769</v>
      </c>
      <c r="B867" s="93" t="n"/>
      <c r="C867" s="96" t="n"/>
      <c r="D867" s="97" t="n"/>
      <c r="E867" s="97" t="n"/>
      <c r="F867" s="98" t="n"/>
      <c r="G867" s="98" t="n"/>
      <c r="H867" s="55" t="n">
        <v>240</v>
      </c>
      <c r="I867" s="51" t="n"/>
      <c r="J867" s="749" t="n"/>
      <c r="K867" s="749">
        <f>G867*D867</f>
        <v/>
      </c>
      <c r="L867" s="748" t="n"/>
    </row>
    <row r="868">
      <c r="A868" s="92" t="n">
        <v>43773</v>
      </c>
      <c r="B868" s="93" t="inlineStr">
        <is>
          <t>6893</t>
        </is>
      </c>
      <c r="C868" s="96" t="n"/>
      <c r="D868" s="97" t="n">
        <v>49</v>
      </c>
      <c r="E868" s="97" t="n"/>
      <c r="F868" s="98" t="n"/>
      <c r="G868" s="98" t="n">
        <v>50</v>
      </c>
      <c r="H868" s="55">
        <f>H867-G868</f>
        <v/>
      </c>
      <c r="I868" s="51" t="n"/>
      <c r="J868" s="749" t="n"/>
      <c r="K868" s="749" t="n"/>
      <c r="L868" s="748" t="n"/>
    </row>
    <row r="869">
      <c r="A869" s="92" t="n">
        <v>43776</v>
      </c>
      <c r="B869" s="93" t="inlineStr">
        <is>
          <t>6906</t>
        </is>
      </c>
      <c r="C869" s="96" t="n"/>
      <c r="D869" s="97" t="n">
        <v>52.42</v>
      </c>
      <c r="E869" s="97" t="n"/>
      <c r="F869" s="98" t="n"/>
      <c r="G869" s="98" t="n">
        <v>24</v>
      </c>
      <c r="H869" s="55">
        <f>H868-G869</f>
        <v/>
      </c>
      <c r="I869" s="51" t="n"/>
      <c r="J869" s="749" t="n"/>
      <c r="K869" s="749" t="n"/>
      <c r="L869" s="748" t="n"/>
    </row>
    <row r="870">
      <c r="A870" s="92" t="n">
        <v>43780</v>
      </c>
      <c r="B870" s="93" t="inlineStr">
        <is>
          <t>6909</t>
        </is>
      </c>
      <c r="C870" s="96" t="n"/>
      <c r="D870" s="97" t="n">
        <v>51</v>
      </c>
      <c r="E870" s="97" t="n"/>
      <c r="F870" s="98" t="n"/>
      <c r="G870" s="98" t="n">
        <v>30</v>
      </c>
      <c r="H870" s="55">
        <f>H869-G870</f>
        <v/>
      </c>
      <c r="I870" s="51" t="n"/>
      <c r="J870" s="749" t="n"/>
      <c r="K870" s="749" t="n"/>
      <c r="L870" s="748" t="n"/>
    </row>
    <row r="871">
      <c r="A871" s="92" t="n">
        <v>43780</v>
      </c>
      <c r="B871" s="93" t="inlineStr">
        <is>
          <t>6913</t>
        </is>
      </c>
      <c r="C871" s="96" t="n"/>
      <c r="D871" s="97" t="n">
        <v>53.6</v>
      </c>
      <c r="E871" s="97" t="n"/>
      <c r="F871" s="98" t="n"/>
      <c r="G871" s="98" t="n">
        <v>50</v>
      </c>
      <c r="H871" s="55">
        <f>H870-G871</f>
        <v/>
      </c>
      <c r="I871" s="51" t="n"/>
      <c r="J871" s="749" t="n"/>
      <c r="K871" s="749">
        <f>G871*D871</f>
        <v/>
      </c>
      <c r="L871" s="748" t="n"/>
    </row>
    <row r="872">
      <c r="A872" s="92" t="n">
        <v>43780</v>
      </c>
      <c r="B872" s="93" t="inlineStr">
        <is>
          <t>6914</t>
        </is>
      </c>
      <c r="C872" s="96" t="n"/>
      <c r="D872" s="97" t="n">
        <v>59</v>
      </c>
      <c r="E872" s="97" t="n"/>
      <c r="F872" s="98" t="n"/>
      <c r="G872" s="98" t="n">
        <v>20</v>
      </c>
      <c r="H872" s="55">
        <f>H871-G872</f>
        <v/>
      </c>
      <c r="I872" s="51" t="n"/>
      <c r="J872" s="749" t="n"/>
      <c r="K872" s="749">
        <f>G872*D872</f>
        <v/>
      </c>
      <c r="L872" s="748" t="n"/>
    </row>
    <row r="873">
      <c r="A873" s="48" t="n">
        <v>43781</v>
      </c>
      <c r="B873" s="49" t="inlineStr">
        <is>
          <t>128367</t>
        </is>
      </c>
      <c r="C873" s="50" t="n"/>
      <c r="D873" s="51" t="n">
        <v>42.1</v>
      </c>
      <c r="E873" s="51" t="n"/>
      <c r="F873" s="52" t="n">
        <v>100</v>
      </c>
      <c r="G873" s="52" t="n"/>
      <c r="H873" s="55" t="n">
        <v>166</v>
      </c>
      <c r="I873" s="51" t="n"/>
      <c r="J873" s="749" t="n"/>
      <c r="K873" s="749" t="n"/>
      <c r="L873" s="748" t="n"/>
    </row>
    <row r="874">
      <c r="A874" s="48" t="n">
        <v>43781</v>
      </c>
      <c r="B874" s="49" t="inlineStr">
        <is>
          <t>128367</t>
        </is>
      </c>
      <c r="C874" s="50" t="n"/>
      <c r="D874" s="51" t="n">
        <v>43.24</v>
      </c>
      <c r="E874" s="51" t="n"/>
      <c r="F874" s="52" t="n">
        <v>400</v>
      </c>
      <c r="G874" s="52" t="n"/>
      <c r="H874" s="55" t="n">
        <v>566</v>
      </c>
      <c r="I874" s="51" t="n"/>
      <c r="J874" s="749" t="n"/>
      <c r="K874" s="749" t="n"/>
      <c r="L874" s="748" t="n"/>
    </row>
    <row r="875">
      <c r="A875" s="92" t="n">
        <v>43782</v>
      </c>
      <c r="B875" s="93" t="inlineStr">
        <is>
          <t>6919</t>
        </is>
      </c>
      <c r="C875" s="96" t="n"/>
      <c r="D875" s="97" t="n">
        <v>52</v>
      </c>
      <c r="E875" s="97" t="n"/>
      <c r="F875" s="98" t="n"/>
      <c r="G875" s="98" t="n">
        <v>50</v>
      </c>
      <c r="H875" s="55">
        <f>H874-G875</f>
        <v/>
      </c>
      <c r="I875" s="51" t="n"/>
      <c r="J875" s="749" t="n"/>
      <c r="K875" s="749">
        <f>G875*D875</f>
        <v/>
      </c>
      <c r="L875" s="748" t="n"/>
    </row>
    <row r="876">
      <c r="A876" s="92" t="n">
        <v>43782</v>
      </c>
      <c r="B876" s="93" t="inlineStr">
        <is>
          <t>6920</t>
        </is>
      </c>
      <c r="C876" s="96" t="n"/>
      <c r="D876" s="97" t="n">
        <v>54.2</v>
      </c>
      <c r="E876" s="97" t="n"/>
      <c r="F876" s="98" t="n"/>
      <c r="G876" s="98" t="n">
        <v>100</v>
      </c>
      <c r="H876" s="55">
        <f>H875-G876</f>
        <v/>
      </c>
      <c r="I876" s="51" t="n"/>
      <c r="J876" s="749" t="n"/>
      <c r="K876" s="749">
        <f>G876*D876</f>
        <v/>
      </c>
      <c r="L876" s="748" t="n"/>
    </row>
    <row r="877">
      <c r="A877" s="92" t="n">
        <v>43782</v>
      </c>
      <c r="B877" s="93" t="inlineStr">
        <is>
          <t>6923</t>
        </is>
      </c>
      <c r="C877" s="96" t="n"/>
      <c r="D877" s="97" t="n">
        <v>52.3</v>
      </c>
      <c r="E877" s="97" t="n"/>
      <c r="F877" s="98" t="n"/>
      <c r="G877" s="98" t="n">
        <v>20</v>
      </c>
      <c r="H877" s="55">
        <f>H876-G877</f>
        <v/>
      </c>
      <c r="I877" s="51" t="n"/>
      <c r="J877" s="749" t="n"/>
      <c r="K877" s="749">
        <f>G877*D877</f>
        <v/>
      </c>
      <c r="L877" s="748" t="n"/>
    </row>
    <row r="878">
      <c r="A878" s="92" t="n">
        <v>43787</v>
      </c>
      <c r="B878" s="93" t="inlineStr">
        <is>
          <t>6927</t>
        </is>
      </c>
      <c r="C878" s="96" t="n"/>
      <c r="D878" s="97" t="n">
        <v>52</v>
      </c>
      <c r="E878" s="97" t="n"/>
      <c r="F878" s="98" t="n"/>
      <c r="G878" s="98" t="n">
        <v>150</v>
      </c>
      <c r="H878" s="55">
        <f>H877-G878</f>
        <v/>
      </c>
      <c r="I878" s="51" t="n"/>
      <c r="J878" s="749" t="n"/>
      <c r="K878" s="749">
        <f>G878*D878</f>
        <v/>
      </c>
      <c r="L878" s="748" t="n"/>
    </row>
    <row r="879">
      <c r="A879" s="92" t="n">
        <v>43787</v>
      </c>
      <c r="B879" s="93" t="inlineStr">
        <is>
          <t>6928</t>
        </is>
      </c>
      <c r="C879" s="96" t="n"/>
      <c r="D879" s="97" t="n">
        <v>56</v>
      </c>
      <c r="E879" s="97" t="n"/>
      <c r="F879" s="98" t="n"/>
      <c r="G879" s="98" t="n">
        <v>15</v>
      </c>
      <c r="H879" s="55">
        <f>H878-G879</f>
        <v/>
      </c>
      <c r="I879" s="51" t="n"/>
      <c r="J879" s="749" t="n"/>
      <c r="K879" s="749">
        <f>G879*D879</f>
        <v/>
      </c>
      <c r="L879" s="748" t="n"/>
    </row>
    <row r="880">
      <c r="A880" s="92" t="n">
        <v>43789</v>
      </c>
      <c r="B880" s="93" t="inlineStr">
        <is>
          <t>6938</t>
        </is>
      </c>
      <c r="C880" s="96" t="n"/>
      <c r="D880" s="97" t="n">
        <v>50.32</v>
      </c>
      <c r="E880" s="97" t="n"/>
      <c r="F880" s="98" t="n"/>
      <c r="G880" s="98" t="n">
        <v>25</v>
      </c>
      <c r="H880" s="55">
        <f>H879-G880</f>
        <v/>
      </c>
      <c r="I880" s="51" t="n"/>
      <c r="J880" s="749" t="n"/>
      <c r="K880" s="749">
        <f>G880*D880</f>
        <v/>
      </c>
      <c r="L880" s="748" t="n"/>
    </row>
    <row r="881">
      <c r="A881" s="92" t="n">
        <v>43789</v>
      </c>
      <c r="B881" s="93" t="inlineStr">
        <is>
          <t>6940</t>
        </is>
      </c>
      <c r="C881" s="96" t="n"/>
      <c r="D881" s="97" t="n">
        <v>53</v>
      </c>
      <c r="E881" s="97" t="n"/>
      <c r="F881" s="98" t="n"/>
      <c r="G881" s="98" t="n">
        <v>20</v>
      </c>
      <c r="H881" s="55">
        <f>H880-G881</f>
        <v/>
      </c>
      <c r="I881" s="51" t="n"/>
      <c r="J881" s="749" t="n"/>
      <c r="K881" s="749">
        <f>G881*D881</f>
        <v/>
      </c>
      <c r="L881" s="748" t="n"/>
    </row>
    <row r="882">
      <c r="A882" s="48" t="n">
        <v>43791</v>
      </c>
      <c r="B882" s="49" t="inlineStr">
        <is>
          <t>129367</t>
        </is>
      </c>
      <c r="C882" s="50" t="n"/>
      <c r="D882" s="51" t="n">
        <v>42.1</v>
      </c>
      <c r="E882" s="51" t="n"/>
      <c r="F882" s="52" t="n">
        <v>640</v>
      </c>
      <c r="G882" s="52" t="n"/>
      <c r="H882" s="55" t="n">
        <v>826</v>
      </c>
      <c r="I882" s="51" t="n"/>
      <c r="J882" s="749" t="n"/>
      <c r="K882" s="749" t="n"/>
      <c r="L882" s="748" t="n"/>
    </row>
    <row r="883">
      <c r="A883" s="92" t="n">
        <v>43795</v>
      </c>
      <c r="B883" s="93" t="inlineStr">
        <is>
          <t>6942</t>
        </is>
      </c>
      <c r="C883" s="96" t="n"/>
      <c r="D883" s="97" t="n">
        <v>53</v>
      </c>
      <c r="E883" s="97" t="n"/>
      <c r="F883" s="98" t="n"/>
      <c r="G883" s="98" t="n">
        <v>30</v>
      </c>
      <c r="H883" s="55">
        <f>H882-G883</f>
        <v/>
      </c>
      <c r="I883" s="51" t="n"/>
      <c r="J883" s="749" t="n"/>
      <c r="K883" s="749">
        <f>G883*D883</f>
        <v/>
      </c>
      <c r="L883" s="748" t="n"/>
    </row>
    <row r="884">
      <c r="A884" s="92" t="n">
        <v>43797</v>
      </c>
      <c r="B884" s="93" t="inlineStr">
        <is>
          <t>6951</t>
        </is>
      </c>
      <c r="C884" s="96" t="n"/>
      <c r="D884" s="97" t="n">
        <v>52.64</v>
      </c>
      <c r="E884" s="97" t="n"/>
      <c r="F884" s="98" t="n"/>
      <c r="G884" s="98" t="n">
        <v>25</v>
      </c>
      <c r="H884" s="55">
        <f>H883-G884</f>
        <v/>
      </c>
      <c r="I884" s="51" t="n"/>
      <c r="J884" s="749" t="n"/>
      <c r="K884" s="749">
        <f>G884*D884</f>
        <v/>
      </c>
      <c r="L884" s="748" t="n"/>
    </row>
    <row r="885">
      <c r="A885" s="92" t="n">
        <v>43797</v>
      </c>
      <c r="B885" s="93" t="inlineStr">
        <is>
          <t>6953</t>
        </is>
      </c>
      <c r="C885" s="96" t="n"/>
      <c r="D885" s="97" t="n">
        <v>56</v>
      </c>
      <c r="E885" s="97" t="n"/>
      <c r="F885" s="98" t="n"/>
      <c r="G885" s="98" t="n">
        <v>20</v>
      </c>
      <c r="H885" s="55">
        <f>H884-G885</f>
        <v/>
      </c>
      <c r="I885" s="51" t="n"/>
      <c r="J885" s="749" t="n"/>
      <c r="K885" s="749">
        <f>G885*D885</f>
        <v/>
      </c>
      <c r="L885" s="748" t="n"/>
    </row>
    <row r="886">
      <c r="A886" s="92" t="n"/>
      <c r="B886" s="93" t="n"/>
      <c r="C886" s="96" t="n"/>
      <c r="D886" s="97" t="n"/>
      <c r="E886" s="97" t="n"/>
      <c r="F886" s="98" t="n"/>
      <c r="G886" s="98" t="n"/>
      <c r="H886" s="55">
        <f>H885-G886</f>
        <v/>
      </c>
      <c r="I886" s="51" t="n"/>
      <c r="J886" s="749" t="n"/>
      <c r="K886" s="749">
        <f>G886*D886</f>
        <v/>
      </c>
      <c r="L886" s="748" t="n"/>
    </row>
    <row r="887">
      <c r="A887" s="92" t="n"/>
      <c r="B887" s="93" t="n"/>
      <c r="C887" s="96" t="n"/>
      <c r="D887" s="97" t="n"/>
      <c r="E887" s="97" t="n"/>
      <c r="F887" s="98" t="n"/>
      <c r="G887" s="98" t="n"/>
      <c r="H887" s="55">
        <f>H886-G887</f>
        <v/>
      </c>
      <c r="I887" s="51" t="n"/>
      <c r="J887" s="749" t="n"/>
      <c r="K887" s="749">
        <f>G887*D887</f>
        <v/>
      </c>
      <c r="L887" s="748" t="n"/>
    </row>
    <row r="888">
      <c r="A888" s="92" t="n"/>
      <c r="B888" s="93" t="n"/>
      <c r="C888" s="96" t="n"/>
      <c r="D888" s="97" t="n"/>
      <c r="E888" s="97" t="n"/>
      <c r="F888" s="98" t="n"/>
      <c r="G888" s="98" t="n"/>
      <c r="H888" s="55">
        <f>H887-G888</f>
        <v/>
      </c>
      <c r="I888" s="51" t="n"/>
      <c r="J888" s="749" t="n"/>
      <c r="K888" s="749">
        <f>G888*D888</f>
        <v/>
      </c>
      <c r="L888" s="748" t="n"/>
    </row>
    <row r="889">
      <c r="A889" s="92" t="n"/>
      <c r="B889" s="93" t="n"/>
      <c r="C889" s="96" t="n"/>
      <c r="D889" s="97" t="n"/>
      <c r="E889" s="97" t="n"/>
      <c r="F889" s="98" t="n"/>
      <c r="G889" s="98" t="n"/>
      <c r="H889" s="55">
        <f>H888-G889</f>
        <v/>
      </c>
      <c r="I889" s="51" t="n"/>
      <c r="J889" s="749" t="n"/>
      <c r="K889" s="749">
        <f>G889*D889</f>
        <v/>
      </c>
      <c r="L889" s="748" t="n"/>
    </row>
    <row r="890">
      <c r="A890" s="92" t="n"/>
      <c r="B890" s="93" t="n"/>
      <c r="C890" s="96" t="n"/>
      <c r="D890" s="97" t="n"/>
      <c r="E890" s="97" t="n"/>
      <c r="F890" s="98" t="n"/>
      <c r="G890" s="98" t="n"/>
      <c r="H890" s="55">
        <f>H889-G890</f>
        <v/>
      </c>
      <c r="I890" s="51" t="n"/>
      <c r="J890" s="749" t="n"/>
      <c r="K890" s="749">
        <f>G890*D890</f>
        <v/>
      </c>
      <c r="L890" s="748" t="n"/>
    </row>
    <row r="891" ht="15.75" customHeight="1" s="436" thickBot="1"/>
    <row r="892" ht="21.75" customHeight="1" s="436" thickBot="1">
      <c r="A892" s="757" t="inlineStr">
        <is>
          <t>Dezembro</t>
        </is>
      </c>
      <c r="B892" s="697" t="n"/>
      <c r="C892" s="697" t="n"/>
      <c r="D892" s="697" t="n"/>
      <c r="E892" s="697" t="n"/>
      <c r="F892" s="697" t="n"/>
      <c r="G892" s="697" t="n"/>
      <c r="H892" s="697" t="n"/>
      <c r="I892" s="697" t="n"/>
      <c r="J892" s="697" t="n"/>
      <c r="K892" s="697" t="n"/>
      <c r="L892" s="698" t="n"/>
    </row>
    <row r="893" ht="21.75" customHeight="1" s="436" thickBot="1">
      <c r="A893" s="699" t="inlineStr">
        <is>
          <t xml:space="preserve">021 - DENISE FURTADO DE SOUZA - ME </t>
        </is>
      </c>
      <c r="B893" s="697" t="n"/>
      <c r="C893" s="697" t="n"/>
      <c r="D893" s="697" t="n"/>
      <c r="E893" s="697" t="n"/>
      <c r="F893" s="697" t="n"/>
      <c r="G893" s="697" t="n"/>
      <c r="H893" s="697" t="n"/>
      <c r="I893" s="697" t="n"/>
      <c r="J893" s="697" t="n"/>
      <c r="K893" s="697" t="n"/>
      <c r="L893" s="698" t="n"/>
    </row>
    <row r="894" ht="24" customHeight="1" s="436" thickBot="1">
      <c r="A894" s="745" t="inlineStr">
        <is>
          <t xml:space="preserve">  PRÉ MISTURA - 25 KG</t>
        </is>
      </c>
      <c r="B894" s="737" t="n"/>
      <c r="C894" s="737" t="n"/>
      <c r="D894" s="737" t="n"/>
      <c r="E894" s="737" t="n"/>
      <c r="F894" s="737" t="n"/>
      <c r="G894" s="737" t="n"/>
      <c r="H894" s="737" t="n"/>
      <c r="I894" s="737" t="n"/>
      <c r="J894" s="737" t="n"/>
      <c r="K894" s="737" t="n"/>
      <c r="L894" s="736" t="n"/>
    </row>
    <row r="895">
      <c r="A895" s="746" t="inlineStr">
        <is>
          <t>DATA</t>
        </is>
      </c>
      <c r="B895" s="3" t="inlineStr">
        <is>
          <t>N.F.</t>
        </is>
      </c>
      <c r="C895" s="3" t="inlineStr">
        <is>
          <t>TIPO</t>
        </is>
      </c>
      <c r="D895" s="3" t="inlineStr">
        <is>
          <t>PREÇO UNITÁRIO</t>
        </is>
      </c>
      <c r="E895" s="736" t="n"/>
      <c r="F895" s="3" t="inlineStr">
        <is>
          <t>QUANTIDADE / KG</t>
        </is>
      </c>
      <c r="G895" s="737" t="n"/>
      <c r="H895" s="736" t="n"/>
      <c r="I895" s="631" t="inlineStr">
        <is>
          <t>PREÇO</t>
        </is>
      </c>
      <c r="J895" s="631" t="inlineStr">
        <is>
          <t>VALORES</t>
        </is>
      </c>
      <c r="K895" s="737" t="n"/>
      <c r="L895" s="736" t="n"/>
    </row>
    <row r="896" ht="15.75" customHeight="1" s="436" thickBot="1">
      <c r="A896" s="703" t="n"/>
      <c r="B896" s="704" t="n"/>
      <c r="C896" s="704" t="n"/>
      <c r="D896" s="703" t="n"/>
      <c r="E896" s="701" t="n"/>
      <c r="F896" s="705" t="n"/>
      <c r="G896" s="706" t="n"/>
      <c r="H896" s="707" t="n"/>
      <c r="I896" s="704" t="n"/>
      <c r="J896" s="703" t="n"/>
      <c r="L896" s="701" t="n"/>
    </row>
    <row r="897" ht="15.75" customHeight="1" s="436" thickBot="1">
      <c r="A897" s="703" t="n"/>
      <c r="B897" s="704" t="n"/>
      <c r="C897" s="704" t="n"/>
      <c r="D897" s="705" t="n"/>
      <c r="E897" s="707" t="n"/>
      <c r="F897" s="3" t="inlineStr">
        <is>
          <t>ENTRADA</t>
        </is>
      </c>
      <c r="G897" s="3" t="inlineStr">
        <is>
          <t>SAÍDA</t>
        </is>
      </c>
      <c r="H897" s="640" t="n"/>
      <c r="I897" s="633" t="inlineStr">
        <is>
          <t>MÉDIO</t>
        </is>
      </c>
      <c r="J897" s="652" t="inlineStr">
        <is>
          <t>SALDO EM 30/12/2017</t>
        </is>
      </c>
      <c r="K897" s="706" t="n"/>
      <c r="L897" s="17" t="n"/>
    </row>
    <row r="898" ht="15.75" customHeight="1" s="436" thickBot="1">
      <c r="A898" s="705" t="n"/>
      <c r="B898" s="695" t="n"/>
      <c r="C898" s="695" t="n"/>
      <c r="D898" s="3" t="inlineStr">
        <is>
          <t>C/ICMS</t>
        </is>
      </c>
      <c r="E898" s="3" t="inlineStr">
        <is>
          <t>S/ICMS</t>
        </is>
      </c>
      <c r="F898" s="695" t="n"/>
      <c r="G898" s="695" t="n"/>
      <c r="H898" s="18" t="inlineStr">
        <is>
          <t>Saldo em 30/11/2019</t>
        </is>
      </c>
      <c r="I898" s="695" t="n"/>
      <c r="J898" s="645" t="inlineStr">
        <is>
          <t>ENTRADA</t>
        </is>
      </c>
      <c r="K898" s="633" t="inlineStr">
        <is>
          <t>SAÍDA / CMV</t>
        </is>
      </c>
      <c r="L898" s="633" t="inlineStr">
        <is>
          <t>SALDO</t>
        </is>
      </c>
    </row>
    <row r="899">
      <c r="A899" s="48" t="n"/>
      <c r="B899" s="49" t="n"/>
      <c r="C899" s="49" t="n"/>
      <c r="D899" s="71" t="n"/>
      <c r="E899" s="71" t="n"/>
      <c r="F899" s="55" t="n"/>
      <c r="G899" s="55" t="n">
        <v>0</v>
      </c>
      <c r="H899" s="55" t="n"/>
      <c r="I899" s="71" t="n"/>
      <c r="J899" s="747">
        <f>F899*I899</f>
        <v/>
      </c>
      <c r="K899" s="747" t="n">
        <v>0</v>
      </c>
      <c r="L899" s="748">
        <f>J899-K899</f>
        <v/>
      </c>
    </row>
    <row r="900">
      <c r="A900" s="92" t="n">
        <v>43799</v>
      </c>
      <c r="B900" s="93" t="n"/>
      <c r="C900" s="96" t="n"/>
      <c r="D900" s="97" t="n"/>
      <c r="E900" s="97" t="n"/>
      <c r="F900" s="98" t="n"/>
      <c r="G900" s="98" t="n"/>
      <c r="H900" s="55" t="n">
        <v>751</v>
      </c>
      <c r="I900" s="51" t="n"/>
      <c r="J900" s="749" t="n"/>
      <c r="K900" s="749">
        <f>G900*D900</f>
        <v/>
      </c>
      <c r="L900" s="748" t="n"/>
    </row>
    <row r="901">
      <c r="A901" s="92" t="n">
        <v>43802</v>
      </c>
      <c r="B901" s="93" t="inlineStr">
        <is>
          <t>6955</t>
        </is>
      </c>
      <c r="C901" s="96" t="n"/>
      <c r="D901" s="97" t="n">
        <v>53</v>
      </c>
      <c r="E901" s="97" t="n"/>
      <c r="F901" s="98" t="n"/>
      <c r="G901" s="98" t="n">
        <v>20</v>
      </c>
      <c r="H901" s="55">
        <f>H900-G901</f>
        <v/>
      </c>
      <c r="I901" s="51" t="n"/>
      <c r="J901" s="749" t="n"/>
      <c r="K901" s="749">
        <f>G901*D901</f>
        <v/>
      </c>
      <c r="L901" s="748" t="n"/>
    </row>
    <row r="902">
      <c r="A902" s="92" t="n">
        <v>43802</v>
      </c>
      <c r="B902" s="93" t="inlineStr">
        <is>
          <t>6957</t>
        </is>
      </c>
      <c r="C902" s="96" t="n"/>
      <c r="D902" s="97" t="n">
        <v>53.6</v>
      </c>
      <c r="E902" s="97" t="n"/>
      <c r="F902" s="98" t="n"/>
      <c r="G902" s="98" t="n">
        <v>50</v>
      </c>
      <c r="H902" s="55">
        <f>H901-G902</f>
        <v/>
      </c>
      <c r="I902" s="51" t="n"/>
      <c r="J902" s="749" t="n"/>
      <c r="K902" s="749">
        <f>G902*D902</f>
        <v/>
      </c>
      <c r="L902" s="748" t="n"/>
    </row>
    <row r="903">
      <c r="A903" s="92" t="n">
        <v>43802</v>
      </c>
      <c r="B903" s="93" t="inlineStr">
        <is>
          <t>6959</t>
        </is>
      </c>
      <c r="C903" s="96" t="n"/>
      <c r="D903" s="97" t="n">
        <v>51.67</v>
      </c>
      <c r="E903" s="97" t="n"/>
      <c r="F903" s="98" t="n"/>
      <c r="G903" s="98" t="n">
        <v>150</v>
      </c>
      <c r="H903" s="55">
        <f>H902-G903</f>
        <v/>
      </c>
      <c r="I903" s="51" t="n"/>
      <c r="J903" s="749" t="n"/>
      <c r="K903" s="749">
        <f>G903*D903</f>
        <v/>
      </c>
      <c r="L903" s="748" t="n"/>
    </row>
    <row r="904">
      <c r="A904" s="92" t="n">
        <v>43802</v>
      </c>
      <c r="B904" s="93" t="inlineStr">
        <is>
          <t>6960</t>
        </is>
      </c>
      <c r="C904" s="96" t="n"/>
      <c r="D904" s="97" t="n">
        <v>53</v>
      </c>
      <c r="E904" s="97" t="n"/>
      <c r="F904" s="98" t="n"/>
      <c r="G904" s="98" t="n">
        <v>20</v>
      </c>
      <c r="H904" s="55">
        <f>H903-G904</f>
        <v/>
      </c>
      <c r="I904" s="51" t="n"/>
      <c r="J904" s="749" t="n"/>
      <c r="K904" s="749">
        <f>G904*D904</f>
        <v/>
      </c>
      <c r="L904" s="748" t="n"/>
    </row>
    <row r="905">
      <c r="A905" s="92" t="n">
        <v>43802</v>
      </c>
      <c r="B905" s="93" t="inlineStr">
        <is>
          <t>6961</t>
        </is>
      </c>
      <c r="C905" s="96" t="n"/>
      <c r="D905" s="97" t="n">
        <v>53</v>
      </c>
      <c r="E905" s="97" t="n"/>
      <c r="F905" s="98" t="n"/>
      <c r="G905" s="98" t="n">
        <v>20</v>
      </c>
      <c r="H905" s="55">
        <f>H904-G905</f>
        <v/>
      </c>
      <c r="I905" s="51" t="n"/>
      <c r="J905" s="749" t="n"/>
      <c r="K905" s="749">
        <f>G905*D905</f>
        <v/>
      </c>
      <c r="L905" s="748" t="n"/>
    </row>
    <row r="906">
      <c r="A906" s="92" t="n">
        <v>43804</v>
      </c>
      <c r="B906" s="93" t="inlineStr">
        <is>
          <t>6967</t>
        </is>
      </c>
      <c r="C906" s="96" t="n"/>
      <c r="D906" s="97" t="n">
        <v>50</v>
      </c>
      <c r="E906" s="97" t="n"/>
      <c r="F906" s="98" t="n"/>
      <c r="G906" s="98" t="n">
        <v>15</v>
      </c>
      <c r="H906" s="55">
        <f>H905-G906</f>
        <v/>
      </c>
      <c r="I906" s="51" t="n"/>
      <c r="J906" s="749" t="n"/>
      <c r="K906" s="749">
        <f>G906*D906</f>
        <v/>
      </c>
      <c r="L906" s="748" t="n"/>
    </row>
    <row r="907">
      <c r="A907" s="92" t="n">
        <v>43804</v>
      </c>
      <c r="B907" s="93" t="inlineStr">
        <is>
          <t>6968</t>
        </is>
      </c>
      <c r="C907" s="96" t="n"/>
      <c r="D907" s="97" t="n">
        <v>56</v>
      </c>
      <c r="E907" s="97" t="n"/>
      <c r="F907" s="98" t="n"/>
      <c r="G907" s="98" t="n">
        <v>30</v>
      </c>
      <c r="H907" s="55">
        <f>H906-G907</f>
        <v/>
      </c>
      <c r="I907" s="51" t="n"/>
      <c r="J907" s="749" t="n"/>
      <c r="K907" s="749">
        <f>G907*D907</f>
        <v/>
      </c>
      <c r="L907" s="748" t="n"/>
    </row>
    <row r="908">
      <c r="A908" s="92" t="n">
        <v>43804</v>
      </c>
      <c r="B908" s="93" t="inlineStr">
        <is>
          <t>6971</t>
        </is>
      </c>
      <c r="C908" s="96" t="n"/>
      <c r="D908" s="97" t="n">
        <v>55</v>
      </c>
      <c r="E908" s="97" t="n"/>
      <c r="F908" s="98" t="n"/>
      <c r="G908" s="98" t="n">
        <v>60</v>
      </c>
      <c r="H908" s="55">
        <f>H907-G908</f>
        <v/>
      </c>
      <c r="I908" s="51" t="n"/>
      <c r="J908" s="749" t="n"/>
      <c r="K908" s="749">
        <f>G908*D908</f>
        <v/>
      </c>
      <c r="L908" s="748" t="n"/>
    </row>
    <row r="909">
      <c r="A909" s="273" t="n">
        <v>43809</v>
      </c>
      <c r="B909" s="274" t="inlineStr">
        <is>
          <t>130909</t>
        </is>
      </c>
      <c r="C909" s="275" t="n"/>
      <c r="D909" s="276" t="n">
        <v>43.24</v>
      </c>
      <c r="E909" s="276" t="n"/>
      <c r="F909" s="277" t="n">
        <v>290</v>
      </c>
      <c r="G909" s="277" t="n"/>
      <c r="H909" s="278" t="n">
        <v>676</v>
      </c>
      <c r="I909" s="51" t="n"/>
      <c r="J909" s="749" t="n"/>
      <c r="K909" s="749" t="n"/>
      <c r="L909" s="748" t="n"/>
    </row>
    <row r="910">
      <c r="A910" s="92" t="n">
        <v>43506</v>
      </c>
      <c r="B910" s="93" t="inlineStr">
        <is>
          <t>6975</t>
        </is>
      </c>
      <c r="C910" s="96" t="n"/>
      <c r="D910" s="97" t="n">
        <v>51.6</v>
      </c>
      <c r="E910" s="97" t="n"/>
      <c r="F910" s="98" t="n"/>
      <c r="G910" s="98" t="n">
        <v>150</v>
      </c>
      <c r="H910" s="55">
        <f>H909-G910</f>
        <v/>
      </c>
      <c r="I910" s="51" t="n"/>
      <c r="J910" s="749" t="n"/>
      <c r="K910" s="749">
        <f>G910*D910</f>
        <v/>
      </c>
      <c r="L910" s="748" t="n"/>
    </row>
    <row r="911">
      <c r="A911" s="92" t="n">
        <v>43815</v>
      </c>
      <c r="B911" s="93" t="inlineStr">
        <is>
          <t>6988</t>
        </is>
      </c>
      <c r="C911" s="96" t="n"/>
      <c r="D911" s="97" t="n">
        <v>53</v>
      </c>
      <c r="E911" s="97" t="n"/>
      <c r="F911" s="98" t="n"/>
      <c r="G911" s="98" t="n">
        <v>20</v>
      </c>
      <c r="H911" s="55">
        <f>H910-G911</f>
        <v/>
      </c>
      <c r="I911" s="51" t="n"/>
      <c r="J911" s="749" t="n"/>
      <c r="K911" s="749">
        <f>G911*D911</f>
        <v/>
      </c>
      <c r="L911" s="748" t="n"/>
    </row>
    <row r="912">
      <c r="A912" s="92" t="n">
        <v>43815</v>
      </c>
      <c r="B912" s="93" t="inlineStr">
        <is>
          <t>6989</t>
        </is>
      </c>
      <c r="C912" s="96" t="n"/>
      <c r="D912" s="97" t="n">
        <v>51</v>
      </c>
      <c r="E912" s="97" t="n"/>
      <c r="F912" s="98" t="n"/>
      <c r="G912" s="98" t="n">
        <v>30</v>
      </c>
      <c r="H912" s="55">
        <f>H911-G912</f>
        <v/>
      </c>
      <c r="I912" s="51" t="n"/>
      <c r="J912" s="749" t="n"/>
      <c r="K912" s="749">
        <f>G912*D912</f>
        <v/>
      </c>
      <c r="L912" s="748" t="n"/>
    </row>
    <row r="913">
      <c r="A913" s="92" t="n">
        <v>43815</v>
      </c>
      <c r="B913" s="93" t="inlineStr">
        <is>
          <t>6990</t>
        </is>
      </c>
      <c r="C913" s="96" t="n"/>
      <c r="D913" s="97" t="n">
        <v>54</v>
      </c>
      <c r="E913" s="97" t="n"/>
      <c r="F913" s="98" t="n"/>
      <c r="G913" s="98" t="n">
        <v>15</v>
      </c>
      <c r="H913" s="55">
        <f>H912-G913</f>
        <v/>
      </c>
      <c r="I913" s="51" t="n"/>
      <c r="J913" s="749" t="n"/>
      <c r="K913" s="749">
        <f>G913*D913</f>
        <v/>
      </c>
      <c r="L913" s="748" t="n"/>
    </row>
    <row r="914">
      <c r="A914" s="92" t="n">
        <v>43816</v>
      </c>
      <c r="B914" s="93" t="inlineStr">
        <is>
          <t>6997</t>
        </is>
      </c>
      <c r="C914" s="96" t="n"/>
      <c r="D914" s="97" t="n">
        <v>49</v>
      </c>
      <c r="E914" s="97" t="n"/>
      <c r="F914" s="98" t="n"/>
      <c r="G914" s="98" t="n">
        <v>150</v>
      </c>
      <c r="H914" s="55">
        <f>H913-G914</f>
        <v/>
      </c>
      <c r="I914" s="51" t="n"/>
      <c r="J914" s="749" t="n"/>
      <c r="K914" s="749">
        <f>G914*D914</f>
        <v/>
      </c>
      <c r="L914" s="748" t="n"/>
    </row>
    <row r="915">
      <c r="A915" s="92" t="n">
        <v>43817</v>
      </c>
      <c r="B915" s="93" t="inlineStr">
        <is>
          <t>6999</t>
        </is>
      </c>
      <c r="C915" s="96" t="n"/>
      <c r="D915" s="97" t="n">
        <v>52</v>
      </c>
      <c r="E915" s="97" t="n"/>
      <c r="F915" s="98" t="n"/>
      <c r="G915" s="98" t="n">
        <v>30</v>
      </c>
      <c r="H915" s="55">
        <f>H914-G915</f>
        <v/>
      </c>
      <c r="I915" s="51" t="n"/>
      <c r="J915" s="749" t="n"/>
      <c r="K915" s="749">
        <f>G915*D915</f>
        <v/>
      </c>
      <c r="L915" s="748" t="n"/>
    </row>
    <row r="916">
      <c r="A916" s="92" t="n">
        <v>43817</v>
      </c>
      <c r="B916" s="93" t="inlineStr">
        <is>
          <t>7001</t>
        </is>
      </c>
      <c r="C916" s="96" t="n"/>
      <c r="D916" s="97" t="n">
        <v>53</v>
      </c>
      <c r="E916" s="97" t="n"/>
      <c r="F916" s="98" t="n"/>
      <c r="G916" s="98" t="n">
        <v>30</v>
      </c>
      <c r="H916" s="55">
        <f>H915-G916</f>
        <v/>
      </c>
      <c r="I916" s="51" t="n"/>
      <c r="J916" s="749" t="n"/>
      <c r="K916" s="749">
        <f>G916*D916</f>
        <v/>
      </c>
      <c r="L916" s="748" t="n"/>
    </row>
    <row r="917">
      <c r="A917" s="92" t="n">
        <v>43817</v>
      </c>
      <c r="B917" s="93" t="n"/>
      <c r="C917" s="96" t="n"/>
      <c r="D917" s="97" t="n"/>
      <c r="E917" s="97" t="n"/>
      <c r="F917" s="98" t="n"/>
      <c r="G917" s="98" t="n"/>
      <c r="H917" s="55">
        <f>H916-G917</f>
        <v/>
      </c>
      <c r="I917" s="51" t="n"/>
      <c r="J917" s="749" t="n"/>
      <c r="K917" s="749">
        <f>G917*D917</f>
        <v/>
      </c>
      <c r="L917" s="748" t="n"/>
    </row>
    <row r="918">
      <c r="A918" s="92" t="n"/>
      <c r="B918" s="93" t="n"/>
      <c r="C918" s="96" t="n"/>
      <c r="D918" s="97" t="n"/>
      <c r="E918" s="97" t="n"/>
      <c r="F918" s="98" t="n"/>
      <c r="G918" s="98" t="n"/>
      <c r="H918" s="55">
        <f>H917-G918</f>
        <v/>
      </c>
      <c r="I918" s="51" t="n"/>
      <c r="J918" s="749" t="n"/>
      <c r="K918" s="749">
        <f>G918*D918</f>
        <v/>
      </c>
      <c r="L918" s="748" t="n"/>
    </row>
    <row r="919">
      <c r="A919" s="92" t="n"/>
      <c r="B919" s="93" t="n"/>
      <c r="C919" s="96" t="n"/>
      <c r="D919" s="97" t="n"/>
      <c r="E919" s="97" t="n"/>
      <c r="F919" s="98" t="n"/>
      <c r="G919" s="98" t="n"/>
      <c r="H919" s="55">
        <f>H918-G919</f>
        <v/>
      </c>
      <c r="I919" s="51" t="n"/>
      <c r="J919" s="749" t="n"/>
      <c r="K919" s="749">
        <f>G919*D919</f>
        <v/>
      </c>
      <c r="L919" s="748" t="n"/>
    </row>
    <row r="920" ht="15.75" customHeight="1" s="436" thickBot="1">
      <c r="A920" s="92" t="n"/>
      <c r="B920" s="93" t="n"/>
      <c r="C920" s="96" t="n"/>
      <c r="D920" s="97" t="n"/>
      <c r="E920" s="97" t="n"/>
      <c r="F920" s="98" t="n"/>
      <c r="G920" s="98" t="n"/>
      <c r="H920" s="55">
        <f>H919-G920</f>
        <v/>
      </c>
      <c r="I920" s="51" t="n"/>
      <c r="J920" s="749" t="n"/>
      <c r="K920" s="749">
        <f>G920*D920</f>
        <v/>
      </c>
      <c r="L920" s="748" t="n"/>
    </row>
    <row r="921" ht="21.75" customHeight="1" s="436" thickBot="1">
      <c r="A921" s="757" t="inlineStr">
        <is>
          <t>Janeiro</t>
        </is>
      </c>
      <c r="B921" s="697" t="n"/>
      <c r="C921" s="697" t="n"/>
      <c r="D921" s="697" t="n"/>
      <c r="E921" s="697" t="n"/>
      <c r="F921" s="697" t="n"/>
      <c r="G921" s="697" t="n"/>
      <c r="H921" s="697" t="n"/>
      <c r="I921" s="697" t="n"/>
      <c r="J921" s="697" t="n"/>
      <c r="K921" s="697" t="n"/>
      <c r="L921" s="698" t="n"/>
    </row>
    <row r="922" ht="21.75" customHeight="1" s="436" thickBot="1">
      <c r="A922" s="699" t="inlineStr">
        <is>
          <t xml:space="preserve">021 - DENISE FURTADO DE SOUZA - ME </t>
        </is>
      </c>
      <c r="B922" s="697" t="n"/>
      <c r="C922" s="697" t="n"/>
      <c r="D922" s="697" t="n"/>
      <c r="E922" s="697" t="n"/>
      <c r="F922" s="697" t="n"/>
      <c r="G922" s="697" t="n"/>
      <c r="H922" s="697" t="n"/>
      <c r="I922" s="697" t="n"/>
      <c r="J922" s="697" t="n"/>
      <c r="K922" s="697" t="n"/>
      <c r="L922" s="698" t="n"/>
    </row>
    <row r="923" ht="24" customHeight="1" s="436" thickBot="1">
      <c r="A923" s="745" t="inlineStr">
        <is>
          <t xml:space="preserve">  PRÉ MISTURA - 25 KG</t>
        </is>
      </c>
      <c r="B923" s="737" t="n"/>
      <c r="C923" s="737" t="n"/>
      <c r="D923" s="737" t="n"/>
      <c r="E923" s="737" t="n"/>
      <c r="F923" s="737" t="n"/>
      <c r="G923" s="737" t="n"/>
      <c r="H923" s="737" t="n"/>
      <c r="I923" s="737" t="n"/>
      <c r="J923" s="737" t="n"/>
      <c r="K923" s="737" t="n"/>
      <c r="L923" s="736" t="n"/>
    </row>
    <row r="924">
      <c r="A924" s="746" t="inlineStr">
        <is>
          <t>DATA</t>
        </is>
      </c>
      <c r="B924" s="3" t="inlineStr">
        <is>
          <t>N.F.</t>
        </is>
      </c>
      <c r="C924" s="3" t="inlineStr">
        <is>
          <t>TIPO</t>
        </is>
      </c>
      <c r="D924" s="3" t="inlineStr">
        <is>
          <t>PREÇO UNITÁRIO</t>
        </is>
      </c>
      <c r="E924" s="736" t="n"/>
      <c r="F924" s="3" t="inlineStr">
        <is>
          <t>QUANTIDADE / KG</t>
        </is>
      </c>
      <c r="G924" s="737" t="n"/>
      <c r="H924" s="736" t="n"/>
      <c r="I924" s="631" t="inlineStr">
        <is>
          <t>PREÇO</t>
        </is>
      </c>
      <c r="J924" s="631" t="inlineStr">
        <is>
          <t>VALORES</t>
        </is>
      </c>
      <c r="K924" s="737" t="n"/>
      <c r="L924" s="736" t="n"/>
    </row>
    <row r="925" ht="15.75" customHeight="1" s="436" thickBot="1">
      <c r="A925" s="703" t="n"/>
      <c r="B925" s="704" t="n"/>
      <c r="C925" s="704" t="n"/>
      <c r="D925" s="703" t="n"/>
      <c r="E925" s="701" t="n"/>
      <c r="F925" s="705" t="n"/>
      <c r="G925" s="706" t="n"/>
      <c r="H925" s="707" t="n"/>
      <c r="I925" s="704" t="n"/>
      <c r="J925" s="703" t="n"/>
      <c r="L925" s="701" t="n"/>
    </row>
    <row r="926" ht="15.75" customHeight="1" s="436" thickBot="1">
      <c r="A926" s="703" t="n"/>
      <c r="B926" s="704" t="n"/>
      <c r="C926" s="704" t="n"/>
      <c r="D926" s="705" t="n"/>
      <c r="E926" s="707" t="n"/>
      <c r="F926" s="3" t="inlineStr">
        <is>
          <t>ENTRADA</t>
        </is>
      </c>
      <c r="G926" s="3" t="inlineStr">
        <is>
          <t>SAÍDA</t>
        </is>
      </c>
      <c r="H926" s="640" t="n"/>
      <c r="I926" s="633" t="inlineStr">
        <is>
          <t>MÉDIO</t>
        </is>
      </c>
      <c r="J926" s="652" t="inlineStr">
        <is>
          <t>SALDO EM 30/12/2017</t>
        </is>
      </c>
      <c r="K926" s="706" t="n"/>
      <c r="L926" s="17" t="n"/>
    </row>
    <row r="927" ht="15.75" customHeight="1" s="436" thickBot="1">
      <c r="A927" s="705" t="n"/>
      <c r="B927" s="695" t="n"/>
      <c r="C927" s="695" t="n"/>
      <c r="D927" s="3" t="inlineStr">
        <is>
          <t>C/ICMS</t>
        </is>
      </c>
      <c r="E927" s="3" t="inlineStr">
        <is>
          <t>S/ICMS</t>
        </is>
      </c>
      <c r="F927" s="695" t="n"/>
      <c r="G927" s="695" t="n"/>
      <c r="H927" s="18" t="inlineStr">
        <is>
          <t>Saldo em 31/12/2019</t>
        </is>
      </c>
      <c r="I927" s="695" t="n"/>
      <c r="J927" s="645" t="inlineStr">
        <is>
          <t>ENTRADA</t>
        </is>
      </c>
      <c r="K927" s="633" t="inlineStr">
        <is>
          <t>SAÍDA / CMV</t>
        </is>
      </c>
      <c r="L927" s="633" t="inlineStr">
        <is>
          <t>SALDO</t>
        </is>
      </c>
    </row>
    <row r="928">
      <c r="A928" s="48" t="n"/>
      <c r="B928" s="49" t="n"/>
      <c r="C928" s="49" t="n"/>
      <c r="D928" s="71" t="n"/>
      <c r="E928" s="71" t="n"/>
      <c r="F928" s="55" t="n"/>
      <c r="G928" s="55" t="n">
        <v>0</v>
      </c>
      <c r="H928" s="55" t="n"/>
      <c r="I928" s="71" t="n"/>
      <c r="J928" s="747">
        <f>F928*I928</f>
        <v/>
      </c>
      <c r="K928" s="747" t="n"/>
      <c r="L928" s="748">
        <f>J928-K928</f>
        <v/>
      </c>
    </row>
    <row r="929">
      <c r="A929" s="92" t="n"/>
      <c r="B929" s="93" t="n"/>
      <c r="C929" s="96" t="n"/>
      <c r="D929" s="97" t="n"/>
      <c r="E929" s="97" t="n"/>
      <c r="F929" s="98" t="n"/>
      <c r="G929" s="98" t="n"/>
      <c r="H929" s="55" t="n">
        <v>251</v>
      </c>
      <c r="I929" s="51" t="n"/>
      <c r="J929" s="749" t="n"/>
      <c r="K929" s="749" t="n"/>
      <c r="L929" s="748" t="n"/>
    </row>
    <row r="930">
      <c r="A930" s="92" t="n">
        <v>43831</v>
      </c>
      <c r="B930" s="93" t="inlineStr">
        <is>
          <t>7005</t>
        </is>
      </c>
      <c r="C930" s="96" t="n"/>
      <c r="D930" s="97" t="n">
        <v>51</v>
      </c>
      <c r="E930" s="97" t="n"/>
      <c r="F930" s="98" t="n"/>
      <c r="G930" s="98" t="n">
        <v>30</v>
      </c>
      <c r="H930" s="55">
        <f>H929-G930</f>
        <v/>
      </c>
      <c r="I930" s="51" t="n"/>
      <c r="J930" s="749" t="n"/>
      <c r="K930" s="749" t="n"/>
      <c r="L930" s="748" t="n"/>
    </row>
    <row r="931">
      <c r="A931" s="92" t="n"/>
      <c r="B931" s="93" t="n"/>
      <c r="C931" s="96" t="n"/>
      <c r="D931" s="97" t="n"/>
      <c r="E931" s="97" t="n"/>
      <c r="F931" s="98" t="n"/>
      <c r="G931" s="98" t="n"/>
      <c r="H931" s="55">
        <f>H930-G931</f>
        <v/>
      </c>
      <c r="I931" s="51" t="n"/>
      <c r="J931" s="749" t="n"/>
      <c r="K931" s="749" t="n"/>
      <c r="L931" s="748" t="n"/>
    </row>
    <row r="932">
      <c r="A932" s="92" t="n"/>
      <c r="B932" s="93" t="n"/>
      <c r="C932" s="96" t="n"/>
      <c r="D932" s="97" t="n"/>
      <c r="E932" s="97" t="n"/>
      <c r="F932" s="98" t="n"/>
      <c r="G932" s="98" t="n"/>
      <c r="H932" s="55">
        <f>H931-G932</f>
        <v/>
      </c>
      <c r="I932" s="51" t="n"/>
      <c r="J932" s="749" t="n"/>
      <c r="K932" s="749" t="n"/>
      <c r="L932" s="748" t="n"/>
    </row>
    <row r="933">
      <c r="A933" s="92" t="n"/>
      <c r="B933" s="93" t="n"/>
      <c r="C933" s="96" t="n"/>
      <c r="D933" s="97" t="n"/>
      <c r="E933" s="97" t="n"/>
      <c r="F933" s="98" t="n"/>
      <c r="G933" s="98" t="n"/>
      <c r="H933" s="55">
        <f>H932-G933</f>
        <v/>
      </c>
      <c r="I933" s="51" t="n"/>
      <c r="J933" s="749" t="n"/>
      <c r="K933" s="749" t="n"/>
      <c r="L933" s="748" t="n"/>
    </row>
    <row r="934">
      <c r="A934" s="92" t="n">
        <v>43832</v>
      </c>
      <c r="B934" s="93" t="inlineStr">
        <is>
          <t>7021</t>
        </is>
      </c>
      <c r="C934" s="96" t="n"/>
      <c r="D934" s="97" t="n">
        <v>53</v>
      </c>
      <c r="E934" s="97" t="n"/>
      <c r="F934" s="98" t="n"/>
      <c r="G934" s="98" t="n">
        <v>35</v>
      </c>
      <c r="H934" s="55">
        <f>H933-G934</f>
        <v/>
      </c>
      <c r="I934" s="51" t="n"/>
      <c r="J934" s="749" t="n"/>
      <c r="K934" s="749" t="n"/>
      <c r="L934" s="748" t="n"/>
    </row>
    <row r="935">
      <c r="A935" s="92" t="n">
        <v>43832</v>
      </c>
      <c r="B935" s="93" t="inlineStr">
        <is>
          <t>7022</t>
        </is>
      </c>
      <c r="C935" s="96" t="n"/>
      <c r="D935" s="97" t="n">
        <v>52.93</v>
      </c>
      <c r="E935" s="97" t="n"/>
      <c r="F935" s="98" t="n"/>
      <c r="G935" s="98" t="n">
        <v>65</v>
      </c>
      <c r="H935" s="55">
        <f>H934-G935</f>
        <v/>
      </c>
      <c r="I935" s="51" t="n"/>
      <c r="J935" s="749" t="n"/>
      <c r="K935" s="749" t="n"/>
      <c r="L935" s="748" t="n"/>
    </row>
    <row r="936">
      <c r="A936" s="273" t="n">
        <v>43833</v>
      </c>
      <c r="B936" s="274" t="inlineStr">
        <is>
          <t>132788</t>
        </is>
      </c>
      <c r="C936" s="275" t="n"/>
      <c r="D936" s="276" t="n">
        <v>43.24</v>
      </c>
      <c r="E936" s="276" t="n"/>
      <c r="F936" s="277" t="n">
        <v>290</v>
      </c>
      <c r="G936" s="277" t="n"/>
      <c r="H936" s="278" t="n">
        <v>411</v>
      </c>
      <c r="I936" s="51" t="n"/>
      <c r="J936" s="749" t="n"/>
      <c r="K936" s="749" t="n"/>
      <c r="L936" s="748" t="n"/>
    </row>
    <row r="937">
      <c r="A937" s="273" t="n">
        <v>43833</v>
      </c>
      <c r="B937" s="274" t="inlineStr">
        <is>
          <t>132788</t>
        </is>
      </c>
      <c r="C937" s="275" t="n"/>
      <c r="D937" s="276" t="n">
        <v>42.1</v>
      </c>
      <c r="E937" s="276" t="n"/>
      <c r="F937" s="277" t="n">
        <v>240</v>
      </c>
      <c r="G937" s="277" t="n"/>
      <c r="H937" s="278" t="n">
        <v>651</v>
      </c>
      <c r="I937" s="51" t="n"/>
      <c r="J937" s="749" t="n"/>
      <c r="K937" s="749" t="n"/>
      <c r="L937" s="748" t="n"/>
    </row>
    <row r="938">
      <c r="A938" s="92" t="n">
        <v>43836</v>
      </c>
      <c r="B938" s="93" t="inlineStr">
        <is>
          <t>7028</t>
        </is>
      </c>
      <c r="C938" s="96" t="n"/>
      <c r="D938" s="97" t="n">
        <v>51</v>
      </c>
      <c r="E938" s="97" t="n"/>
      <c r="F938" s="98" t="n"/>
      <c r="G938" s="98" t="n">
        <v>30</v>
      </c>
      <c r="H938" s="55">
        <f>H937-G938</f>
        <v/>
      </c>
      <c r="I938" s="51" t="n"/>
      <c r="J938" s="749" t="n"/>
      <c r="K938" s="749" t="n"/>
      <c r="L938" s="748" t="n"/>
    </row>
    <row r="939">
      <c r="A939" s="92" t="n">
        <v>43836</v>
      </c>
      <c r="B939" s="93" t="inlineStr">
        <is>
          <t>7030</t>
        </is>
      </c>
      <c r="C939" s="96" t="n"/>
      <c r="D939" s="97" t="n">
        <v>54</v>
      </c>
      <c r="E939" s="97" t="n"/>
      <c r="F939" s="98" t="n"/>
      <c r="G939" s="98" t="n">
        <v>50</v>
      </c>
      <c r="H939" s="55">
        <f>H938-G939</f>
        <v/>
      </c>
      <c r="I939" s="51" t="n"/>
      <c r="J939" s="749" t="n"/>
      <c r="K939" s="749" t="n"/>
      <c r="L939" s="748" t="n"/>
    </row>
    <row r="940">
      <c r="A940" s="92" t="n">
        <v>43838</v>
      </c>
      <c r="B940" s="93" t="inlineStr">
        <is>
          <t>7032</t>
        </is>
      </c>
      <c r="C940" s="96" t="n"/>
      <c r="D940" s="97" t="n">
        <v>54</v>
      </c>
      <c r="E940" s="97" t="n"/>
      <c r="F940" s="98" t="n"/>
      <c r="G940" s="98" t="n">
        <v>10</v>
      </c>
      <c r="H940" s="55">
        <f>H939-G940</f>
        <v/>
      </c>
      <c r="I940" s="51" t="n"/>
      <c r="J940" s="749" t="n"/>
      <c r="K940" s="749" t="n"/>
      <c r="L940" s="748" t="n"/>
    </row>
    <row r="941">
      <c r="A941" s="92" t="n">
        <v>43838</v>
      </c>
      <c r="B941" s="93" t="inlineStr">
        <is>
          <t>7035</t>
        </is>
      </c>
      <c r="C941" s="96" t="n"/>
      <c r="D941" s="97" t="n">
        <v>53.55</v>
      </c>
      <c r="E941" s="97" t="n"/>
      <c r="F941" s="98" t="n"/>
      <c r="G941" s="98" t="n">
        <v>11</v>
      </c>
      <c r="H941" s="55">
        <f>H940-G941</f>
        <v/>
      </c>
      <c r="I941" s="51" t="n"/>
      <c r="J941" s="749" t="n"/>
      <c r="K941" s="749" t="n"/>
      <c r="L941" s="748" t="n"/>
    </row>
    <row r="942">
      <c r="A942" s="92" t="n">
        <v>43838</v>
      </c>
      <c r="B942" s="93" t="inlineStr">
        <is>
          <t>7036</t>
        </is>
      </c>
      <c r="C942" s="96" t="n"/>
      <c r="D942" s="97" t="n">
        <v>50</v>
      </c>
      <c r="E942" s="97" t="n"/>
      <c r="F942" s="98" t="n"/>
      <c r="G942" s="98" t="n">
        <v>15</v>
      </c>
      <c r="H942" s="55">
        <f>H941-G942</f>
        <v/>
      </c>
      <c r="I942" s="51" t="n"/>
      <c r="J942" s="749" t="n"/>
      <c r="K942" s="749" t="n"/>
      <c r="L942" s="748" t="n"/>
    </row>
    <row r="943">
      <c r="A943" s="92" t="n">
        <v>43838</v>
      </c>
      <c r="B943" s="93" t="inlineStr">
        <is>
          <t>7037</t>
        </is>
      </c>
      <c r="C943" s="96" t="n"/>
      <c r="D943" s="97" t="n">
        <v>51.67</v>
      </c>
      <c r="E943" s="97" t="n"/>
      <c r="F943" s="98" t="n"/>
      <c r="G943" s="98" t="n">
        <v>150</v>
      </c>
      <c r="H943" s="55">
        <f>H942-G943</f>
        <v/>
      </c>
      <c r="I943" s="51" t="n"/>
      <c r="J943" s="749" t="n"/>
      <c r="K943" s="749" t="n"/>
      <c r="L943" s="748" t="n"/>
    </row>
    <row r="944">
      <c r="A944" s="92" t="n">
        <v>43844</v>
      </c>
      <c r="B944" s="93" t="inlineStr">
        <is>
          <t>7043</t>
        </is>
      </c>
      <c r="C944" s="96" t="n"/>
      <c r="D944" s="97" t="n">
        <v>55</v>
      </c>
      <c r="E944" s="97" t="n"/>
      <c r="F944" s="98" t="n"/>
      <c r="G944" s="98" t="n">
        <v>20</v>
      </c>
      <c r="H944" s="55">
        <f>H943-G944</f>
        <v/>
      </c>
      <c r="I944" s="51" t="n"/>
      <c r="J944" s="749" t="n"/>
      <c r="K944" s="749" t="n"/>
      <c r="L944" s="748" t="n"/>
    </row>
    <row r="945">
      <c r="A945" s="92" t="n">
        <v>43844</v>
      </c>
      <c r="B945" s="93" t="inlineStr">
        <is>
          <t>7045</t>
        </is>
      </c>
      <c r="C945" s="96" t="n"/>
      <c r="D945" s="97" t="n">
        <v>51.67</v>
      </c>
      <c r="E945" s="97" t="n"/>
      <c r="F945" s="98" t="n"/>
      <c r="G945" s="98" t="n">
        <v>150</v>
      </c>
      <c r="H945" s="55">
        <f>H944-G945</f>
        <v/>
      </c>
      <c r="I945" s="51" t="n"/>
      <c r="J945" s="749" t="n"/>
      <c r="K945" s="749" t="n"/>
      <c r="L945" s="748" t="n"/>
    </row>
    <row r="946">
      <c r="A946" s="92" t="n">
        <v>43851</v>
      </c>
      <c r="B946" s="93" t="inlineStr">
        <is>
          <t>7052</t>
        </is>
      </c>
      <c r="C946" s="96" t="n"/>
      <c r="D946" s="97" t="n">
        <v>56</v>
      </c>
      <c r="E946" s="97" t="n"/>
      <c r="F946" s="98" t="n"/>
      <c r="G946" s="98" t="n">
        <v>20</v>
      </c>
      <c r="H946" s="55">
        <f>H945-G946</f>
        <v/>
      </c>
      <c r="I946" s="51" t="n"/>
      <c r="J946" s="749" t="n"/>
      <c r="K946" s="749" t="n"/>
      <c r="L946" s="748" t="n"/>
    </row>
    <row r="947">
      <c r="A947" s="92" t="n">
        <v>43851</v>
      </c>
      <c r="B947" s="93" t="inlineStr">
        <is>
          <t>7053</t>
        </is>
      </c>
      <c r="C947" s="96" t="n"/>
      <c r="D947" s="97" t="n">
        <v>54.67</v>
      </c>
      <c r="E947" s="97" t="n"/>
      <c r="F947" s="98" t="n"/>
      <c r="G947" s="98" t="n">
        <v>30</v>
      </c>
      <c r="H947" s="55">
        <f>H946-G947</f>
        <v/>
      </c>
      <c r="I947" s="51" t="n"/>
      <c r="J947" s="749" t="n"/>
      <c r="K947" s="749" t="n"/>
      <c r="L947" s="748" t="n"/>
    </row>
    <row r="948">
      <c r="A948" s="92" t="n">
        <v>43851</v>
      </c>
      <c r="B948" s="93" t="inlineStr">
        <is>
          <t>7055</t>
        </is>
      </c>
      <c r="C948" s="96" t="n"/>
      <c r="D948" s="97" t="n">
        <v>50</v>
      </c>
      <c r="E948" s="97" t="n"/>
      <c r="F948" s="98" t="n"/>
      <c r="G948" s="98" t="n">
        <v>20</v>
      </c>
      <c r="H948" s="55">
        <f>H947-G948</f>
        <v/>
      </c>
      <c r="I948" s="51" t="n"/>
      <c r="J948" s="749" t="n"/>
      <c r="K948" s="749" t="n"/>
      <c r="L948" s="748" t="n"/>
    </row>
    <row r="949">
      <c r="A949" s="92" t="n">
        <v>43851</v>
      </c>
      <c r="B949" s="93" t="inlineStr">
        <is>
          <t>7056</t>
        </is>
      </c>
      <c r="C949" s="96" t="n"/>
      <c r="D949" s="97" t="n">
        <v>51.67</v>
      </c>
      <c r="E949" s="97" t="n"/>
      <c r="F949" s="98" t="n"/>
      <c r="G949" s="98" t="n">
        <v>150</v>
      </c>
      <c r="H949" s="55">
        <f>H948-G949</f>
        <v/>
      </c>
      <c r="I949" s="51" t="n"/>
      <c r="J949" s="749" t="n"/>
      <c r="K949" s="749" t="n"/>
      <c r="L949" s="748" t="n"/>
    </row>
    <row r="950">
      <c r="A950" s="273" t="n">
        <v>43854</v>
      </c>
      <c r="B950" s="274" t="inlineStr">
        <is>
          <t>134444</t>
        </is>
      </c>
      <c r="C950" s="275" t="n"/>
      <c r="D950" s="276" t="n">
        <v>45</v>
      </c>
      <c r="E950" s="276" t="n"/>
      <c r="F950" s="277" t="n">
        <v>300</v>
      </c>
      <c r="G950" s="277" t="n"/>
      <c r="H950" s="278" t="n">
        <v>295</v>
      </c>
      <c r="I950" s="51" t="n"/>
      <c r="J950" s="749" t="n"/>
      <c r="K950" s="749" t="n"/>
      <c r="L950" s="748" t="n"/>
    </row>
    <row r="951">
      <c r="A951" s="92" t="n">
        <v>43857</v>
      </c>
      <c r="B951" s="93" t="inlineStr">
        <is>
          <t>7061</t>
        </is>
      </c>
      <c r="C951" s="96" t="n"/>
      <c r="D951" s="97" t="n">
        <v>53</v>
      </c>
      <c r="E951" s="97" t="n"/>
      <c r="F951" s="98" t="n"/>
      <c r="G951" s="98" t="n">
        <v>30</v>
      </c>
      <c r="H951" s="55">
        <f>H950-G951</f>
        <v/>
      </c>
      <c r="I951" s="51" t="n"/>
      <c r="J951" s="749" t="n"/>
      <c r="K951" s="749" t="n"/>
      <c r="L951" s="748" t="n"/>
    </row>
    <row r="952">
      <c r="A952" s="92" t="n">
        <v>43857</v>
      </c>
      <c r="B952" s="93" t="inlineStr">
        <is>
          <t>7064</t>
        </is>
      </c>
      <c r="C952" s="96" t="n"/>
      <c r="D952" s="97" t="n">
        <v>50</v>
      </c>
      <c r="E952" s="97" t="n"/>
      <c r="F952" s="98" t="n"/>
      <c r="G952" s="98" t="n">
        <v>50</v>
      </c>
      <c r="H952" s="55">
        <f>H951-G952</f>
        <v/>
      </c>
      <c r="I952" s="51" t="n"/>
      <c r="J952" s="749" t="n"/>
      <c r="K952" s="749" t="n"/>
      <c r="L952" s="748" t="n"/>
    </row>
    <row r="953">
      <c r="A953" s="92" t="n">
        <v>43859</v>
      </c>
      <c r="B953" s="93" t="inlineStr">
        <is>
          <t>7075</t>
        </is>
      </c>
      <c r="C953" s="96" t="n"/>
      <c r="D953" s="97" t="n">
        <v>50</v>
      </c>
      <c r="E953" s="97" t="n"/>
      <c r="F953" s="98" t="n"/>
      <c r="G953" s="98" t="n">
        <v>20</v>
      </c>
      <c r="H953" s="55">
        <f>H952-G953</f>
        <v/>
      </c>
      <c r="I953" s="51" t="n"/>
      <c r="J953" s="749" t="n"/>
      <c r="K953" s="749" t="n"/>
      <c r="L953" s="748" t="n"/>
    </row>
    <row r="954">
      <c r="A954" s="273" t="n">
        <v>43860</v>
      </c>
      <c r="B954" s="274" t="inlineStr">
        <is>
          <t>134919</t>
        </is>
      </c>
      <c r="C954" s="275" t="n"/>
      <c r="D954" s="276" t="n">
        <v>45</v>
      </c>
      <c r="E954" s="276" t="n"/>
      <c r="F954" s="277" t="n">
        <v>340</v>
      </c>
      <c r="G954" s="277" t="n"/>
      <c r="H954" s="278" t="n">
        <v>535</v>
      </c>
      <c r="I954" s="51" t="n"/>
      <c r="J954" s="749" t="n"/>
      <c r="K954" s="749" t="n"/>
      <c r="L954" s="748" t="n"/>
    </row>
    <row r="955" ht="15.75" customHeight="1" s="436" thickBot="1">
      <c r="A955" s="92" t="n"/>
      <c r="B955" s="93" t="n"/>
      <c r="C955" s="96" t="n"/>
      <c r="D955" s="97" t="n"/>
      <c r="E955" s="97" t="n"/>
      <c r="F955" s="98" t="n"/>
      <c r="G955" s="98" t="n"/>
      <c r="H955" s="55" t="n"/>
      <c r="I955" s="51" t="n"/>
      <c r="J955" s="749" t="n"/>
      <c r="K955" s="749" t="n"/>
      <c r="L955" s="748" t="n"/>
    </row>
    <row r="956" ht="21.75" customHeight="1" s="436" thickBot="1">
      <c r="A956" s="757" t="inlineStr">
        <is>
          <t>Fevereiro</t>
        </is>
      </c>
      <c r="B956" s="697" t="n"/>
      <c r="C956" s="697" t="n"/>
      <c r="D956" s="697" t="n"/>
      <c r="E956" s="697" t="n"/>
      <c r="F956" s="697" t="n"/>
      <c r="G956" s="697" t="n"/>
      <c r="H956" s="697" t="n"/>
      <c r="I956" s="697" t="n"/>
      <c r="J956" s="697" t="n"/>
      <c r="K956" s="697" t="n"/>
      <c r="L956" s="698" t="n"/>
    </row>
    <row r="957" ht="21.75" customHeight="1" s="436" thickBot="1">
      <c r="A957" s="699" t="inlineStr">
        <is>
          <t xml:space="preserve">021 - DENISE FURTADO DE SOUZA - ME </t>
        </is>
      </c>
      <c r="B957" s="697" t="n"/>
      <c r="C957" s="697" t="n"/>
      <c r="D957" s="697" t="n"/>
      <c r="E957" s="697" t="n"/>
      <c r="F957" s="697" t="n"/>
      <c r="G957" s="697" t="n"/>
      <c r="H957" s="697" t="n"/>
      <c r="I957" s="697" t="n"/>
      <c r="J957" s="697" t="n"/>
      <c r="K957" s="697" t="n"/>
      <c r="L957" s="698" t="n"/>
    </row>
    <row r="958" ht="24" customHeight="1" s="436" thickBot="1">
      <c r="A958" s="745" t="inlineStr">
        <is>
          <t xml:space="preserve">  PRÉ MISTURA - 25 KG</t>
        </is>
      </c>
      <c r="B958" s="737" t="n"/>
      <c r="C958" s="737" t="n"/>
      <c r="D958" s="737" t="n"/>
      <c r="E958" s="737" t="n"/>
      <c r="F958" s="737" t="n"/>
      <c r="G958" s="737" t="n"/>
      <c r="H958" s="737" t="n"/>
      <c r="I958" s="737" t="n"/>
      <c r="J958" s="737" t="n"/>
      <c r="K958" s="737" t="n"/>
      <c r="L958" s="736" t="n"/>
    </row>
    <row r="959">
      <c r="A959" s="746" t="inlineStr">
        <is>
          <t>DATA</t>
        </is>
      </c>
      <c r="B959" s="3" t="inlineStr">
        <is>
          <t>N.F.</t>
        </is>
      </c>
      <c r="C959" s="3" t="inlineStr">
        <is>
          <t>TIPO</t>
        </is>
      </c>
      <c r="D959" s="3" t="inlineStr">
        <is>
          <t>PREÇO UNITÁRIO</t>
        </is>
      </c>
      <c r="E959" s="736" t="n"/>
      <c r="F959" s="3" t="inlineStr">
        <is>
          <t>QUANTIDADE / KG</t>
        </is>
      </c>
      <c r="G959" s="737" t="n"/>
      <c r="H959" s="736" t="n"/>
      <c r="I959" s="631" t="inlineStr">
        <is>
          <t>PREÇO</t>
        </is>
      </c>
      <c r="J959" s="631" t="inlineStr">
        <is>
          <t>VALORES</t>
        </is>
      </c>
      <c r="K959" s="737" t="n"/>
      <c r="L959" s="736" t="n"/>
    </row>
    <row r="960" ht="15.75" customHeight="1" s="436" thickBot="1">
      <c r="A960" s="703" t="n"/>
      <c r="B960" s="704" t="n"/>
      <c r="C960" s="704" t="n"/>
      <c r="D960" s="703" t="n"/>
      <c r="E960" s="701" t="n"/>
      <c r="F960" s="705" t="n"/>
      <c r="G960" s="706" t="n"/>
      <c r="H960" s="707" t="n"/>
      <c r="I960" s="704" t="n"/>
      <c r="J960" s="703" t="n"/>
      <c r="L960" s="701" t="n"/>
    </row>
    <row r="961" ht="15.75" customHeight="1" s="436" thickBot="1">
      <c r="A961" s="703" t="n"/>
      <c r="B961" s="704" t="n"/>
      <c r="C961" s="704" t="n"/>
      <c r="D961" s="705" t="n"/>
      <c r="E961" s="707" t="n"/>
      <c r="F961" s="3" t="inlineStr">
        <is>
          <t>ENTRADA</t>
        </is>
      </c>
      <c r="G961" s="3" t="inlineStr">
        <is>
          <t>SAÍDA</t>
        </is>
      </c>
      <c r="H961" s="640" t="n"/>
      <c r="I961" s="633" t="inlineStr">
        <is>
          <t>MÉDIO</t>
        </is>
      </c>
      <c r="J961" s="652" t="inlineStr">
        <is>
          <t>SALDO EM 30/12/2017</t>
        </is>
      </c>
      <c r="K961" s="706" t="n"/>
      <c r="L961" s="17" t="n"/>
    </row>
    <row r="962" ht="15.75" customHeight="1" s="436" thickBot="1">
      <c r="A962" s="705" t="n"/>
      <c r="B962" s="695" t="n"/>
      <c r="C962" s="695" t="n"/>
      <c r="D962" s="3" t="inlineStr">
        <is>
          <t>C/ICMS</t>
        </is>
      </c>
      <c r="E962" s="3" t="inlineStr">
        <is>
          <t>S/ICMS</t>
        </is>
      </c>
      <c r="F962" s="695" t="n"/>
      <c r="G962" s="695" t="n"/>
      <c r="H962" s="18" t="inlineStr">
        <is>
          <t>Saldo em 31/12/2019</t>
        </is>
      </c>
      <c r="I962" s="695" t="n"/>
      <c r="J962" s="645" t="inlineStr">
        <is>
          <t>ENTRADA</t>
        </is>
      </c>
      <c r="K962" s="633" t="inlineStr">
        <is>
          <t>SAÍDA / CMV</t>
        </is>
      </c>
      <c r="L962" s="633" t="inlineStr">
        <is>
          <t>SALDO</t>
        </is>
      </c>
    </row>
    <row r="963">
      <c r="A963" s="48" t="n"/>
      <c r="B963" s="49" t="n"/>
      <c r="C963" s="49" t="n"/>
      <c r="D963" s="71" t="n"/>
      <c r="E963" s="71" t="n"/>
      <c r="F963" s="55" t="n"/>
      <c r="G963" s="55" t="n">
        <v>0</v>
      </c>
      <c r="H963" s="55" t="n"/>
      <c r="I963" s="71" t="n"/>
      <c r="J963" s="747">
        <f>F963*I963</f>
        <v/>
      </c>
      <c r="K963" s="747" t="n"/>
      <c r="L963" s="748">
        <f>J963-K963</f>
        <v/>
      </c>
    </row>
    <row r="964">
      <c r="A964" s="92" t="n">
        <v>43861</v>
      </c>
      <c r="B964" s="93" t="n"/>
      <c r="C964" s="96" t="n"/>
      <c r="D964" s="97" t="n"/>
      <c r="E964" s="97" t="n"/>
      <c r="F964" s="98" t="n"/>
      <c r="G964" s="98" t="n"/>
      <c r="H964" s="55" t="n">
        <v>535</v>
      </c>
      <c r="I964" s="51" t="n"/>
      <c r="J964" s="749" t="n"/>
      <c r="K964" s="749" t="n"/>
      <c r="L964" s="748" t="n"/>
    </row>
    <row r="965">
      <c r="A965" s="92" t="n">
        <v>43865</v>
      </c>
      <c r="B965" s="93" t="inlineStr">
        <is>
          <t>7083</t>
        </is>
      </c>
      <c r="C965" s="96" t="n"/>
      <c r="D965" s="97" t="n">
        <v>55</v>
      </c>
      <c r="E965" s="97" t="n"/>
      <c r="F965" s="98" t="n"/>
      <c r="G965" s="98" t="n">
        <v>30</v>
      </c>
      <c r="H965" s="55">
        <f>H964-G965</f>
        <v/>
      </c>
      <c r="I965" s="51" t="n"/>
      <c r="J965" s="749" t="n"/>
      <c r="K965" s="749" t="n"/>
      <c r="L965" s="748" t="n"/>
    </row>
    <row r="966">
      <c r="A966" s="92" t="n">
        <v>43865</v>
      </c>
      <c r="B966" s="93" t="inlineStr">
        <is>
          <t>7084</t>
        </is>
      </c>
      <c r="C966" s="96" t="n"/>
      <c r="D966" s="97" t="n">
        <v>55</v>
      </c>
      <c r="E966" s="97" t="n"/>
      <c r="F966" s="98" t="n"/>
      <c r="G966" s="98" t="n">
        <v>30</v>
      </c>
      <c r="H966" s="55">
        <f>H965-G966</f>
        <v/>
      </c>
      <c r="I966" s="51" t="n"/>
      <c r="J966" s="749" t="n"/>
      <c r="K966" s="749" t="n"/>
      <c r="L966" s="748" t="n"/>
    </row>
    <row r="967">
      <c r="A967" s="92" t="n">
        <v>43865</v>
      </c>
      <c r="B967" s="93" t="inlineStr">
        <is>
          <t>7085</t>
        </is>
      </c>
      <c r="C967" s="96" t="n"/>
      <c r="D967" s="97" t="n">
        <v>53</v>
      </c>
      <c r="E967" s="97" t="n"/>
      <c r="F967" s="98" t="n"/>
      <c r="G967" s="98" t="n">
        <v>10</v>
      </c>
      <c r="H967" s="55">
        <f>H966-G967</f>
        <v/>
      </c>
      <c r="I967" s="51" t="n"/>
      <c r="J967" s="749" t="n"/>
      <c r="K967" s="749" t="n"/>
      <c r="L967" s="748" t="n"/>
    </row>
    <row r="968">
      <c r="A968" s="92" t="n">
        <v>43873</v>
      </c>
      <c r="B968" s="93" t="inlineStr">
        <is>
          <t>7099</t>
        </is>
      </c>
      <c r="C968" s="96" t="n"/>
      <c r="D968" s="97" t="n">
        <v>55</v>
      </c>
      <c r="E968" s="97" t="n"/>
      <c r="F968" s="98" t="n"/>
      <c r="G968" s="98" t="n">
        <v>5</v>
      </c>
      <c r="H968" s="55">
        <f>H967-G968</f>
        <v/>
      </c>
      <c r="I968" s="51" t="n"/>
      <c r="J968" s="749" t="n"/>
      <c r="K968" s="749" t="n"/>
      <c r="L968" s="748" t="n"/>
    </row>
    <row r="969">
      <c r="A969" s="92" t="n">
        <v>43873</v>
      </c>
      <c r="B969" s="93" t="inlineStr">
        <is>
          <t>7100</t>
        </is>
      </c>
      <c r="C969" s="96" t="n"/>
      <c r="D969" s="97" t="n">
        <v>56</v>
      </c>
      <c r="E969" s="97" t="n"/>
      <c r="F969" s="98" t="n"/>
      <c r="G969" s="98" t="n">
        <v>50</v>
      </c>
      <c r="H969" s="55">
        <f>H968-G969</f>
        <v/>
      </c>
      <c r="I969" s="51" t="n"/>
      <c r="J969" s="749" t="n"/>
      <c r="K969" s="749" t="n"/>
      <c r="L969" s="748" t="n"/>
    </row>
    <row r="970">
      <c r="A970" s="92" t="n">
        <v>43879</v>
      </c>
      <c r="B970" s="93" t="inlineStr">
        <is>
          <t>7107</t>
        </is>
      </c>
      <c r="C970" s="96" t="n"/>
      <c r="D970" s="97" t="n">
        <v>54</v>
      </c>
      <c r="E970" s="97" t="n"/>
      <c r="F970" s="98" t="n"/>
      <c r="G970" s="98" t="n">
        <v>100</v>
      </c>
      <c r="H970" s="55">
        <f>H969-G970</f>
        <v/>
      </c>
      <c r="I970" s="51" t="n"/>
      <c r="J970" s="749" t="n"/>
      <c r="K970" s="749" t="n"/>
      <c r="L970" s="748" t="n"/>
    </row>
    <row r="971">
      <c r="A971" s="92" t="n">
        <v>43879</v>
      </c>
      <c r="B971" s="93" t="inlineStr">
        <is>
          <t>7108</t>
        </is>
      </c>
      <c r="C971" s="96" t="n"/>
      <c r="D971" s="97" t="n">
        <v>53</v>
      </c>
      <c r="E971" s="97" t="n"/>
      <c r="F971" s="98" t="n"/>
      <c r="G971" s="98" t="n">
        <v>20</v>
      </c>
      <c r="H971" s="55">
        <f>H970-G971</f>
        <v/>
      </c>
      <c r="I971" s="51" t="n"/>
      <c r="J971" s="749" t="n"/>
      <c r="K971" s="749" t="n"/>
      <c r="L971" s="748" t="n"/>
    </row>
    <row r="972">
      <c r="A972" s="92" t="n">
        <v>43880</v>
      </c>
      <c r="B972" s="93" t="inlineStr">
        <is>
          <t>7113</t>
        </is>
      </c>
      <c r="C972" s="96" t="n"/>
      <c r="D972" s="97" t="n">
        <v>55</v>
      </c>
      <c r="E972" s="97" t="n"/>
      <c r="F972" s="98" t="n"/>
      <c r="G972" s="98" t="n">
        <v>10</v>
      </c>
      <c r="H972" s="55">
        <f>H971-G972</f>
        <v/>
      </c>
      <c r="I972" s="51" t="n"/>
      <c r="J972" s="749" t="n"/>
      <c r="K972" s="749" t="n"/>
      <c r="L972" s="748" t="n"/>
    </row>
    <row r="973">
      <c r="A973" s="92" t="n">
        <v>43881</v>
      </c>
      <c r="B973" s="93" t="inlineStr">
        <is>
          <t>7122</t>
        </is>
      </c>
      <c r="C973" s="96" t="n"/>
      <c r="D973" s="97" t="n">
        <v>55</v>
      </c>
      <c r="E973" s="97" t="n"/>
      <c r="F973" s="98" t="n"/>
      <c r="G973" s="98" t="n">
        <v>30</v>
      </c>
      <c r="H973" s="55">
        <f>H972-G973</f>
        <v/>
      </c>
      <c r="I973" s="51" t="n"/>
      <c r="J973" s="749" t="n"/>
      <c r="K973" s="749" t="n"/>
      <c r="L973" s="748" t="n"/>
    </row>
    <row r="974">
      <c r="A974" s="92" t="n">
        <v>43886</v>
      </c>
      <c r="B974" s="93" t="inlineStr">
        <is>
          <t>7127</t>
        </is>
      </c>
      <c r="C974" s="96" t="n"/>
      <c r="D974" s="97" t="n">
        <v>55.75</v>
      </c>
      <c r="E974" s="97" t="n"/>
      <c r="F974" s="98" t="n"/>
      <c r="G974" s="98" t="n">
        <v>40</v>
      </c>
      <c r="H974" s="55">
        <f>H973-G974</f>
        <v/>
      </c>
      <c r="I974" s="51" t="n"/>
      <c r="J974" s="749" t="n"/>
      <c r="K974" s="749" t="n"/>
      <c r="L974" s="748" t="n"/>
    </row>
    <row r="975">
      <c r="A975" s="273" t="n">
        <v>43886</v>
      </c>
      <c r="B975" s="274" t="inlineStr">
        <is>
          <t>137076</t>
        </is>
      </c>
      <c r="C975" s="275" t="n"/>
      <c r="D975" s="276" t="n">
        <v>47</v>
      </c>
      <c r="E975" s="276" t="n"/>
      <c r="F975" s="277" t="n">
        <v>380</v>
      </c>
      <c r="G975" s="277" t="n"/>
      <c r="H975" s="278" t="n">
        <v>590</v>
      </c>
      <c r="I975" s="51" t="n"/>
      <c r="J975" s="749" t="n"/>
      <c r="K975" s="749" t="n"/>
      <c r="L975" s="748" t="n"/>
    </row>
    <row r="976">
      <c r="A976" s="92" t="n">
        <v>43887</v>
      </c>
      <c r="B976" s="93" t="inlineStr">
        <is>
          <t>7129</t>
        </is>
      </c>
      <c r="C976" s="96" t="n"/>
      <c r="D976" s="97" t="n">
        <v>55.34</v>
      </c>
      <c r="E976" s="97" t="n"/>
      <c r="F976" s="98" t="n"/>
      <c r="G976" s="98" t="n">
        <v>60</v>
      </c>
      <c r="H976" s="55">
        <f>H975-G976</f>
        <v/>
      </c>
      <c r="I976" s="51" t="n"/>
      <c r="J976" s="749" t="n"/>
      <c r="K976" s="749" t="n"/>
      <c r="L976" s="748" t="n"/>
    </row>
    <row r="977">
      <c r="A977" s="92" t="n"/>
      <c r="B977" s="93" t="n"/>
      <c r="C977" s="96" t="n"/>
      <c r="D977" s="97" t="n"/>
      <c r="E977" s="97" t="n"/>
      <c r="F977" s="98" t="n"/>
      <c r="G977" s="98" t="n"/>
      <c r="H977" s="55">
        <f>H976-G977</f>
        <v/>
      </c>
      <c r="I977" s="51" t="n"/>
      <c r="J977" s="749" t="n"/>
      <c r="K977" s="749" t="n"/>
      <c r="L977" s="748" t="n"/>
    </row>
    <row r="978">
      <c r="A978" s="92" t="n"/>
      <c r="B978" s="93" t="n"/>
      <c r="C978" s="96" t="n"/>
      <c r="D978" s="97" t="n"/>
      <c r="E978" s="97" t="n"/>
      <c r="F978" s="98" t="n"/>
      <c r="G978" s="98" t="n"/>
      <c r="H978" s="55">
        <f>H977-G978</f>
        <v/>
      </c>
      <c r="I978" s="51" t="n"/>
      <c r="J978" s="749" t="n"/>
      <c r="K978" s="749" t="n"/>
      <c r="L978" s="748" t="n"/>
    </row>
    <row r="979">
      <c r="A979" s="92" t="n"/>
      <c r="B979" s="93" t="n"/>
      <c r="C979" s="96" t="n"/>
      <c r="D979" s="97" t="n"/>
      <c r="E979" s="97" t="n"/>
      <c r="F979" s="98" t="n"/>
      <c r="G979" s="98" t="n"/>
      <c r="H979" s="55">
        <f>H978-G979</f>
        <v/>
      </c>
      <c r="I979" s="51" t="n"/>
      <c r="J979" s="749" t="n"/>
      <c r="K979" s="749" t="n"/>
      <c r="L979" s="748" t="n"/>
    </row>
    <row r="980">
      <c r="A980" s="92" t="n"/>
      <c r="B980" s="93" t="n"/>
      <c r="C980" s="96" t="n"/>
      <c r="D980" s="97" t="n"/>
      <c r="E980" s="97" t="n"/>
      <c r="F980" s="98" t="n"/>
      <c r="G980" s="98" t="n"/>
      <c r="H980" s="55">
        <f>H979-G980</f>
        <v/>
      </c>
      <c r="I980" s="51" t="n"/>
      <c r="J980" s="749" t="n"/>
      <c r="K980" s="749" t="n"/>
      <c r="L980" s="748" t="n"/>
    </row>
    <row r="981">
      <c r="A981" s="92" t="n"/>
      <c r="B981" s="93" t="n"/>
      <c r="C981" s="96" t="n"/>
      <c r="D981" s="97" t="n"/>
      <c r="E981" s="97" t="n"/>
      <c r="F981" s="98" t="n"/>
      <c r="G981" s="98" t="n"/>
      <c r="H981" s="55">
        <f>H980-G981</f>
        <v/>
      </c>
      <c r="I981" s="51" t="n"/>
      <c r="J981" s="749" t="n"/>
      <c r="K981" s="749" t="n"/>
      <c r="L981" s="748" t="n"/>
    </row>
    <row r="982">
      <c r="A982" s="92" t="n"/>
      <c r="B982" s="93" t="n"/>
      <c r="C982" s="96" t="n"/>
      <c r="D982" s="97" t="n"/>
      <c r="E982" s="97" t="n"/>
      <c r="F982" s="98" t="n"/>
      <c r="G982" s="98" t="n"/>
      <c r="H982" s="55">
        <f>H981-G982</f>
        <v/>
      </c>
      <c r="I982" s="51" t="n"/>
      <c r="J982" s="749" t="n"/>
      <c r="K982" s="749" t="n"/>
      <c r="L982" s="748" t="n"/>
    </row>
    <row r="983"/>
    <row r="984" ht="15.75" customHeight="1" s="436" thickBot="1"/>
    <row r="985" ht="21.75" customHeight="1" s="436" thickBot="1">
      <c r="A985" s="757" t="inlineStr">
        <is>
          <t>Março</t>
        </is>
      </c>
      <c r="B985" s="697" t="n"/>
      <c r="C985" s="697" t="n"/>
      <c r="D985" s="697" t="n"/>
      <c r="E985" s="697" t="n"/>
      <c r="F985" s="697" t="n"/>
      <c r="G985" s="697" t="n"/>
      <c r="H985" s="697" t="n"/>
      <c r="I985" s="697" t="n"/>
      <c r="J985" s="697" t="n"/>
      <c r="K985" s="697" t="n"/>
      <c r="L985" s="698" t="n"/>
    </row>
    <row r="986" ht="21.75" customHeight="1" s="436" thickBot="1">
      <c r="A986" s="699" t="inlineStr">
        <is>
          <t xml:space="preserve">021 - DENISE FURTADO DE SOUZA - ME </t>
        </is>
      </c>
      <c r="B986" s="697" t="n"/>
      <c r="C986" s="697" t="n"/>
      <c r="D986" s="697" t="n"/>
      <c r="E986" s="697" t="n"/>
      <c r="F986" s="697" t="n"/>
      <c r="G986" s="697" t="n"/>
      <c r="H986" s="697" t="n"/>
      <c r="I986" s="697" t="n"/>
      <c r="J986" s="697" t="n"/>
      <c r="K986" s="697" t="n"/>
      <c r="L986" s="698" t="n"/>
    </row>
    <row r="987" ht="24" customHeight="1" s="436" thickBot="1">
      <c r="A987" s="745" t="inlineStr">
        <is>
          <t xml:space="preserve">  PRÉ MISTURA - 25 KG</t>
        </is>
      </c>
      <c r="B987" s="737" t="n"/>
      <c r="C987" s="737" t="n"/>
      <c r="D987" s="737" t="n"/>
      <c r="E987" s="737" t="n"/>
      <c r="F987" s="737" t="n"/>
      <c r="G987" s="737" t="n"/>
      <c r="H987" s="737" t="n"/>
      <c r="I987" s="737" t="n"/>
      <c r="J987" s="737" t="n"/>
      <c r="K987" s="737" t="n"/>
      <c r="L987" s="736" t="n"/>
    </row>
    <row r="988">
      <c r="A988" s="746" t="inlineStr">
        <is>
          <t>DATA</t>
        </is>
      </c>
      <c r="B988" s="3" t="inlineStr">
        <is>
          <t>N.F.</t>
        </is>
      </c>
      <c r="C988" s="3" t="inlineStr">
        <is>
          <t>TIPO</t>
        </is>
      </c>
      <c r="D988" s="3" t="inlineStr">
        <is>
          <t>PREÇO UNITÁRIO</t>
        </is>
      </c>
      <c r="E988" s="736" t="n"/>
      <c r="F988" s="3" t="inlineStr">
        <is>
          <t>QUANTIDADE / KG</t>
        </is>
      </c>
      <c r="G988" s="737" t="n"/>
      <c r="H988" s="736" t="n"/>
      <c r="I988" s="631" t="inlineStr">
        <is>
          <t>PREÇO</t>
        </is>
      </c>
      <c r="J988" s="631" t="inlineStr">
        <is>
          <t>VALORES</t>
        </is>
      </c>
      <c r="K988" s="737" t="n"/>
      <c r="L988" s="736" t="n"/>
    </row>
    <row r="989" ht="15.75" customHeight="1" s="436" thickBot="1">
      <c r="A989" s="703" t="n"/>
      <c r="B989" s="704" t="n"/>
      <c r="C989" s="704" t="n"/>
      <c r="D989" s="703" t="n"/>
      <c r="E989" s="701" t="n"/>
      <c r="F989" s="705" t="n"/>
      <c r="G989" s="706" t="n"/>
      <c r="H989" s="707" t="n"/>
      <c r="I989" s="704" t="n"/>
      <c r="J989" s="703" t="n"/>
      <c r="L989" s="701" t="n"/>
    </row>
    <row r="990" ht="15.75" customHeight="1" s="436" thickBot="1">
      <c r="A990" s="703" t="n"/>
      <c r="B990" s="704" t="n"/>
      <c r="C990" s="704" t="n"/>
      <c r="D990" s="705" t="n"/>
      <c r="E990" s="707" t="n"/>
      <c r="F990" s="3" t="inlineStr">
        <is>
          <t>ENTRADA</t>
        </is>
      </c>
      <c r="G990" s="3" t="inlineStr">
        <is>
          <t>SAÍDA</t>
        </is>
      </c>
      <c r="H990" s="640" t="n"/>
      <c r="I990" s="633" t="inlineStr">
        <is>
          <t>MÉDIO</t>
        </is>
      </c>
      <c r="J990" s="652" t="inlineStr">
        <is>
          <t>SALDO EM 30/12/2017</t>
        </is>
      </c>
      <c r="K990" s="706" t="n"/>
      <c r="L990" s="17" t="n"/>
    </row>
    <row r="991" ht="15.75" customHeight="1" s="436" thickBot="1">
      <c r="A991" s="705" t="n"/>
      <c r="B991" s="695" t="n"/>
      <c r="C991" s="695" t="n"/>
      <c r="D991" s="3" t="inlineStr">
        <is>
          <t>C/ICMS</t>
        </is>
      </c>
      <c r="E991" s="3" t="inlineStr">
        <is>
          <t>S/ICMS</t>
        </is>
      </c>
      <c r="F991" s="695" t="n"/>
      <c r="G991" s="695" t="n"/>
      <c r="H991" s="18" t="inlineStr">
        <is>
          <t>Saldo em 29/02/2020</t>
        </is>
      </c>
      <c r="I991" s="695" t="n"/>
      <c r="J991" s="645" t="inlineStr">
        <is>
          <t>ENTRADA</t>
        </is>
      </c>
      <c r="K991" s="633" t="inlineStr">
        <is>
          <t>SAÍDA / CMV</t>
        </is>
      </c>
      <c r="L991" s="633" t="inlineStr">
        <is>
          <t>SALDO</t>
        </is>
      </c>
    </row>
    <row r="992">
      <c r="A992" s="48" t="n"/>
      <c r="B992" s="49" t="n"/>
      <c r="C992" s="49" t="n"/>
      <c r="D992" s="71" t="n"/>
      <c r="E992" s="71" t="n"/>
      <c r="F992" s="55" t="n"/>
      <c r="G992" s="55" t="n">
        <v>0</v>
      </c>
      <c r="H992" s="55" t="n"/>
      <c r="I992" s="71" t="n"/>
      <c r="J992" s="747">
        <f>F992*I992</f>
        <v/>
      </c>
      <c r="K992" s="747" t="n"/>
      <c r="L992" s="748">
        <f>J992-K992</f>
        <v/>
      </c>
    </row>
    <row r="993">
      <c r="A993" s="92" t="inlineStr">
        <is>
          <t>29/02/20220</t>
        </is>
      </c>
      <c r="B993" s="93" t="n"/>
      <c r="C993" s="96" t="n"/>
      <c r="D993" s="97" t="n"/>
      <c r="E993" s="97" t="n"/>
      <c r="F993" s="98" t="n"/>
      <c r="G993" s="98" t="n"/>
      <c r="H993" s="55" t="n">
        <v>530</v>
      </c>
      <c r="I993" s="51" t="n"/>
      <c r="J993" s="749" t="n"/>
      <c r="K993" s="749" t="n"/>
      <c r="L993" s="748" t="n"/>
    </row>
    <row r="994">
      <c r="A994" s="92" t="n">
        <v>43893</v>
      </c>
      <c r="B994" s="93" t="inlineStr">
        <is>
          <t>7132</t>
        </is>
      </c>
      <c r="C994" s="96" t="n"/>
      <c r="D994" s="97" t="n">
        <v>55</v>
      </c>
      <c r="E994" s="97" t="n"/>
      <c r="F994" s="98" t="n"/>
      <c r="G994" s="98" t="n">
        <v>20</v>
      </c>
      <c r="H994" s="55">
        <f>H993-G994</f>
        <v/>
      </c>
      <c r="I994" s="51" t="n"/>
      <c r="J994" s="749" t="n"/>
      <c r="K994" s="749" t="n"/>
      <c r="L994" s="748" t="n"/>
    </row>
    <row r="995">
      <c r="A995" s="92" t="n">
        <v>43893</v>
      </c>
      <c r="B995" s="93" t="inlineStr">
        <is>
          <t>7134</t>
        </is>
      </c>
      <c r="C995" s="96" t="n"/>
      <c r="D995" s="97" t="n">
        <v>50</v>
      </c>
      <c r="E995" s="97" t="n"/>
      <c r="F995" s="98" t="n"/>
      <c r="G995" s="98" t="n">
        <v>40</v>
      </c>
      <c r="H995" s="55">
        <f>H994-G995</f>
        <v/>
      </c>
      <c r="I995" s="51" t="n"/>
      <c r="J995" s="749" t="n"/>
      <c r="K995" s="749" t="n"/>
      <c r="L995" s="748" t="n"/>
    </row>
    <row r="996">
      <c r="A996" s="92" t="n">
        <v>43893</v>
      </c>
      <c r="B996" s="93" t="inlineStr">
        <is>
          <t>7137</t>
        </is>
      </c>
      <c r="C996" s="96" t="n"/>
      <c r="D996" s="97" t="n">
        <v>55</v>
      </c>
      <c r="E996" s="97" t="n"/>
      <c r="F996" s="98" t="n"/>
      <c r="G996" s="98" t="n">
        <v>50</v>
      </c>
      <c r="H996" s="55">
        <f>H995-G996</f>
        <v/>
      </c>
      <c r="I996" s="51" t="n"/>
      <c r="J996" s="749" t="n"/>
      <c r="K996" s="749" t="n"/>
      <c r="L996" s="748" t="n"/>
    </row>
    <row r="997">
      <c r="A997" s="92" t="n">
        <v>43895</v>
      </c>
      <c r="B997" s="93" t="inlineStr">
        <is>
          <t>7145</t>
        </is>
      </c>
      <c r="C997" s="96" t="n"/>
      <c r="D997" s="97" t="n">
        <v>50</v>
      </c>
      <c r="E997" s="97" t="n"/>
      <c r="F997" s="98" t="n"/>
      <c r="G997" s="98" t="n">
        <v>30</v>
      </c>
      <c r="H997" s="55">
        <f>H996-G997</f>
        <v/>
      </c>
      <c r="I997" s="51" t="n"/>
      <c r="J997" s="749" t="n"/>
      <c r="K997" s="749" t="n"/>
      <c r="L997" s="748" t="n"/>
    </row>
    <row r="998">
      <c r="A998" s="92" t="n">
        <v>43895</v>
      </c>
      <c r="B998" s="93" t="inlineStr">
        <is>
          <t>7148</t>
        </is>
      </c>
      <c r="C998" s="96" t="n"/>
      <c r="D998" s="97" t="n">
        <v>54</v>
      </c>
      <c r="E998" s="97" t="n"/>
      <c r="F998" s="98" t="n"/>
      <c r="G998" s="98" t="n">
        <v>30</v>
      </c>
      <c r="H998" s="55">
        <f>H997-G998</f>
        <v/>
      </c>
      <c r="I998" s="51" t="n"/>
      <c r="J998" s="749" t="n"/>
      <c r="K998" s="749" t="n"/>
      <c r="L998" s="748" t="n"/>
    </row>
    <row r="999">
      <c r="A999" s="92" t="n">
        <v>43900</v>
      </c>
      <c r="B999" s="93" t="inlineStr">
        <is>
          <t>7151</t>
        </is>
      </c>
      <c r="C999" s="96" t="n"/>
      <c r="D999" s="97" t="n">
        <v>50</v>
      </c>
      <c r="E999" s="97" t="n"/>
      <c r="F999" s="98" t="n"/>
      <c r="G999" s="98" t="n">
        <v>20</v>
      </c>
      <c r="H999" s="55">
        <f>H998-G999</f>
        <v/>
      </c>
      <c r="I999" s="51" t="n"/>
      <c r="J999" s="749" t="n"/>
      <c r="K999" s="749" t="n"/>
      <c r="L999" s="748" t="n"/>
    </row>
    <row r="1000">
      <c r="A1000" s="92" t="n">
        <v>43900</v>
      </c>
      <c r="B1000" s="93" t="inlineStr">
        <is>
          <t>7152</t>
        </is>
      </c>
      <c r="C1000" s="96" t="n"/>
      <c r="D1000" s="97" t="n">
        <v>50</v>
      </c>
      <c r="E1000" s="97" t="n"/>
      <c r="F1000" s="98" t="n"/>
      <c r="G1000" s="98" t="n">
        <v>15</v>
      </c>
      <c r="H1000" s="55">
        <f>H999-G1000</f>
        <v/>
      </c>
      <c r="I1000" s="51" t="n"/>
      <c r="J1000" s="749" t="n"/>
      <c r="K1000" s="749" t="n"/>
      <c r="L1000" s="748" t="n"/>
    </row>
    <row r="1001">
      <c r="A1001" s="92" t="n">
        <v>43900</v>
      </c>
      <c r="B1001" s="93" t="inlineStr">
        <is>
          <t>7156</t>
        </is>
      </c>
      <c r="C1001" s="96" t="n"/>
      <c r="D1001" s="97" t="n">
        <v>54</v>
      </c>
      <c r="E1001" s="97" t="n"/>
      <c r="F1001" s="98" t="n"/>
      <c r="G1001" s="98" t="n">
        <v>10</v>
      </c>
      <c r="H1001" s="55">
        <f>H1000-G1001</f>
        <v/>
      </c>
      <c r="I1001" s="51" t="n"/>
      <c r="J1001" s="749" t="n"/>
      <c r="K1001" s="749" t="n"/>
      <c r="L1001" s="748" t="n"/>
    </row>
    <row r="1002">
      <c r="A1002" s="92" t="n">
        <v>43900</v>
      </c>
      <c r="B1002" s="93" t="inlineStr">
        <is>
          <t>7158</t>
        </is>
      </c>
      <c r="C1002" s="96" t="n"/>
      <c r="D1002" s="97" t="n">
        <v>54</v>
      </c>
      <c r="E1002" s="97" t="n"/>
      <c r="F1002" s="98" t="n"/>
      <c r="G1002" s="98" t="n">
        <v>150</v>
      </c>
      <c r="H1002" s="55">
        <f>H1001-G1002</f>
        <v/>
      </c>
      <c r="I1002" s="51" t="n"/>
      <c r="J1002" s="749" t="n"/>
      <c r="K1002" s="749" t="n"/>
      <c r="L1002" s="748" t="n"/>
    </row>
    <row r="1003">
      <c r="A1003" s="273" t="n">
        <v>43902</v>
      </c>
      <c r="B1003" s="274" t="inlineStr">
        <is>
          <t>138080</t>
        </is>
      </c>
      <c r="C1003" s="275" t="n"/>
      <c r="D1003" s="276" t="n">
        <v>46.5</v>
      </c>
      <c r="E1003" s="276" t="n"/>
      <c r="F1003" s="277" t="n">
        <v>200</v>
      </c>
      <c r="G1003" s="277" t="n"/>
      <c r="H1003" s="278" t="n">
        <v>365</v>
      </c>
      <c r="I1003" s="51" t="n"/>
      <c r="J1003" s="749" t="n"/>
      <c r="K1003" s="749" t="n"/>
      <c r="L1003" s="748" t="n"/>
    </row>
    <row r="1004">
      <c r="A1004" s="92" t="n">
        <v>43907</v>
      </c>
      <c r="B1004" s="93" t="inlineStr">
        <is>
          <t>7161</t>
        </is>
      </c>
      <c r="C1004" s="96" t="n"/>
      <c r="D1004" s="97" t="n">
        <v>50</v>
      </c>
      <c r="E1004" s="97" t="n"/>
      <c r="F1004" s="98" t="n"/>
      <c r="G1004" s="98" t="n">
        <v>10</v>
      </c>
      <c r="H1004" s="55">
        <f>H1003-G1004</f>
        <v/>
      </c>
      <c r="I1004" s="51" t="n"/>
      <c r="J1004" s="749" t="n"/>
      <c r="K1004" s="749" t="n"/>
      <c r="L1004" s="748" t="n"/>
    </row>
    <row r="1005">
      <c r="A1005" s="92" t="n">
        <v>43907</v>
      </c>
      <c r="B1005" s="93" t="inlineStr">
        <is>
          <t>7163</t>
        </is>
      </c>
      <c r="C1005" s="96" t="n"/>
      <c r="D1005" s="97" t="n">
        <v>50</v>
      </c>
      <c r="E1005" s="97" t="n"/>
      <c r="F1005" s="98" t="n"/>
      <c r="G1005" s="98" t="n">
        <v>30</v>
      </c>
      <c r="H1005" s="55">
        <f>H1004-G1005</f>
        <v/>
      </c>
      <c r="I1005" s="51" t="n"/>
      <c r="J1005" s="749" t="n"/>
      <c r="K1005" s="749" t="n"/>
      <c r="L1005" s="748" t="n"/>
    </row>
    <row r="1006">
      <c r="A1006" s="92" t="n">
        <v>43907</v>
      </c>
      <c r="B1006" s="93" t="inlineStr">
        <is>
          <t>7164</t>
        </is>
      </c>
      <c r="C1006" s="96" t="n"/>
      <c r="D1006" s="97" t="n">
        <v>53</v>
      </c>
      <c r="E1006" s="97" t="n"/>
      <c r="F1006" s="98" t="n"/>
      <c r="G1006" s="98" t="n">
        <v>30</v>
      </c>
      <c r="H1006" s="55">
        <f>H1005-G1006</f>
        <v/>
      </c>
      <c r="I1006" s="51" t="n"/>
      <c r="J1006" s="749" t="n"/>
      <c r="K1006" s="749" t="n"/>
      <c r="L1006" s="748" t="n"/>
    </row>
    <row r="1007">
      <c r="A1007" s="92" t="n">
        <v>43913</v>
      </c>
      <c r="B1007" s="93" t="inlineStr">
        <is>
          <t>7166</t>
        </is>
      </c>
      <c r="C1007" s="96" t="n"/>
      <c r="D1007" s="97" t="n">
        <v>55</v>
      </c>
      <c r="E1007" s="97" t="n"/>
      <c r="F1007" s="98" t="n"/>
      <c r="G1007" s="98" t="n">
        <v>30</v>
      </c>
      <c r="H1007" s="55">
        <f>H1006-G1007</f>
        <v/>
      </c>
      <c r="I1007" s="51" t="n"/>
      <c r="J1007" s="749" t="n"/>
      <c r="K1007" s="749" t="n"/>
      <c r="L1007" s="748" t="n"/>
    </row>
    <row r="1008">
      <c r="A1008" s="92" t="n">
        <v>43913</v>
      </c>
      <c r="B1008" s="93" t="inlineStr">
        <is>
          <t>7173</t>
        </is>
      </c>
      <c r="C1008" s="96" t="n"/>
      <c r="D1008" s="97" t="n">
        <v>56.67</v>
      </c>
      <c r="E1008" s="97" t="n"/>
      <c r="F1008" s="98" t="n"/>
      <c r="G1008" s="98" t="n">
        <v>60</v>
      </c>
      <c r="H1008" s="55">
        <f>H1007-G1008</f>
        <v/>
      </c>
      <c r="I1008" s="51" t="n"/>
      <c r="J1008" s="749" t="n"/>
      <c r="K1008" s="749" t="n"/>
      <c r="L1008" s="748" t="n"/>
    </row>
    <row r="1009">
      <c r="A1009" s="92" t="n">
        <v>43913</v>
      </c>
      <c r="B1009" s="93" t="inlineStr">
        <is>
          <t>7176</t>
        </is>
      </c>
      <c r="C1009" s="96" t="n"/>
      <c r="D1009" s="97" t="n">
        <v>56</v>
      </c>
      <c r="E1009" s="97" t="n"/>
      <c r="F1009" s="98" t="n"/>
      <c r="G1009" s="98" t="n">
        <v>40</v>
      </c>
      <c r="H1009" s="55">
        <f>H1008-G1009</f>
        <v/>
      </c>
      <c r="I1009" s="51" t="n"/>
      <c r="J1009" s="749" t="n"/>
      <c r="K1009" s="749" t="n"/>
      <c r="L1009" s="748" t="n"/>
    </row>
    <row r="1010">
      <c r="A1010" s="92" t="n">
        <v>43913</v>
      </c>
      <c r="B1010" s="93" t="inlineStr">
        <is>
          <t>7177</t>
        </is>
      </c>
      <c r="C1010" s="96" t="n"/>
      <c r="D1010" s="97" t="n">
        <v>54</v>
      </c>
      <c r="E1010" s="97" t="n"/>
      <c r="F1010" s="98" t="n"/>
      <c r="G1010" s="98" t="n">
        <v>20</v>
      </c>
      <c r="H1010" s="55">
        <f>H1009-G1010</f>
        <v/>
      </c>
      <c r="I1010" s="51" t="n"/>
      <c r="J1010" s="749" t="n"/>
      <c r="K1010" s="749" t="n"/>
      <c r="L1010" s="748" t="n"/>
    </row>
    <row r="1011">
      <c r="A1011" s="92" t="n">
        <v>43913</v>
      </c>
      <c r="B1011" s="93" t="inlineStr">
        <is>
          <t>7180</t>
        </is>
      </c>
      <c r="C1011" s="96" t="n"/>
      <c r="D1011" s="97" t="n">
        <v>56.34</v>
      </c>
      <c r="E1011" s="97" t="n"/>
      <c r="F1011" s="98" t="n"/>
      <c r="G1011" s="98" t="n">
        <v>30</v>
      </c>
      <c r="H1011" s="55">
        <f>H1010-G1011</f>
        <v/>
      </c>
      <c r="I1011" s="51" t="n"/>
      <c r="J1011" s="749" t="n"/>
      <c r="K1011" s="749" t="n"/>
      <c r="L1011" s="748" t="n"/>
    </row>
    <row r="1012">
      <c r="A1012" s="92" t="n">
        <v>43916</v>
      </c>
      <c r="B1012" s="93" t="inlineStr">
        <is>
          <t>7188</t>
        </is>
      </c>
      <c r="C1012" s="96" t="n"/>
      <c r="D1012" s="97" t="n">
        <v>55</v>
      </c>
      <c r="E1012" s="97" t="n"/>
      <c r="F1012" s="98" t="n"/>
      <c r="G1012" s="98" t="n">
        <v>20</v>
      </c>
      <c r="H1012" s="55">
        <f>H1011-G1012</f>
        <v/>
      </c>
      <c r="I1012" s="51" t="n"/>
      <c r="J1012" s="749" t="n"/>
      <c r="K1012" s="749" t="n"/>
      <c r="L1012" s="748" t="n"/>
    </row>
    <row r="1013">
      <c r="A1013" s="273" t="n">
        <v>43921</v>
      </c>
      <c r="B1013" s="274" t="inlineStr">
        <is>
          <t>139104</t>
        </is>
      </c>
      <c r="C1013" s="275" t="n"/>
      <c r="D1013" s="276" t="n">
        <v>46.5</v>
      </c>
      <c r="E1013" s="276" t="n"/>
      <c r="F1013" s="277" t="n">
        <v>1000</v>
      </c>
      <c r="G1013" s="277" t="n"/>
      <c r="H1013" s="278" t="n">
        <v>1095</v>
      </c>
      <c r="I1013" s="51" t="n"/>
      <c r="J1013" s="749" t="n"/>
      <c r="K1013" s="749" t="n"/>
      <c r="L1013" s="748" t="n"/>
    </row>
    <row r="1014">
      <c r="A1014" s="92" t="n"/>
      <c r="B1014" s="93" t="n"/>
      <c r="C1014" s="96" t="n"/>
      <c r="D1014" s="97" t="n"/>
      <c r="E1014" s="97" t="n"/>
      <c r="F1014" s="98" t="n"/>
      <c r="G1014" s="98" t="n"/>
      <c r="H1014" s="55">
        <f>H1013-G1014</f>
        <v/>
      </c>
      <c r="I1014" s="51" t="n"/>
      <c r="J1014" s="749" t="n"/>
      <c r="K1014" s="749" t="n"/>
      <c r="L1014" s="748" t="n"/>
    </row>
    <row r="1015">
      <c r="A1015" s="92" t="n"/>
      <c r="B1015" s="93" t="n"/>
      <c r="C1015" s="96" t="n"/>
      <c r="D1015" s="97" t="n"/>
      <c r="E1015" s="97" t="n"/>
      <c r="F1015" s="98" t="n"/>
      <c r="G1015" s="98" t="n"/>
      <c r="H1015" s="55">
        <f>H1014-G1015</f>
        <v/>
      </c>
      <c r="I1015" s="51" t="n"/>
      <c r="J1015" s="749" t="n"/>
      <c r="K1015" s="749" t="n"/>
      <c r="L1015" s="748" t="n"/>
    </row>
    <row r="1016">
      <c r="A1016" s="92" t="n"/>
      <c r="B1016" s="93" t="n"/>
      <c r="C1016" s="96" t="n"/>
      <c r="D1016" s="97" t="n"/>
      <c r="E1016" s="97" t="n"/>
      <c r="F1016" s="98" t="n"/>
      <c r="G1016" s="98" t="n"/>
      <c r="H1016" s="55">
        <f>H1015-G1016</f>
        <v/>
      </c>
      <c r="I1016" s="51" t="n"/>
      <c r="J1016" s="749" t="n"/>
      <c r="K1016" s="749" t="n"/>
      <c r="L1016" s="748" t="n"/>
    </row>
    <row r="1017" ht="15.75" customHeight="1" s="436" thickBot="1"/>
    <row r="1018" ht="21.75" customHeight="1" s="436" thickBot="1">
      <c r="A1018" s="757" t="inlineStr">
        <is>
          <t>Abril</t>
        </is>
      </c>
      <c r="B1018" s="697" t="n"/>
      <c r="C1018" s="697" t="n"/>
      <c r="D1018" s="697" t="n"/>
      <c r="E1018" s="697" t="n"/>
      <c r="F1018" s="697" t="n"/>
      <c r="G1018" s="697" t="n"/>
      <c r="H1018" s="697" t="n"/>
      <c r="I1018" s="697" t="n"/>
      <c r="J1018" s="697" t="n"/>
      <c r="K1018" s="697" t="n"/>
      <c r="L1018" s="698" t="n"/>
    </row>
    <row r="1019" ht="21.75" customHeight="1" s="436" thickBot="1">
      <c r="A1019" s="699" t="inlineStr">
        <is>
          <t xml:space="preserve">021 - DENISE FURTADO DE SOUZA - ME </t>
        </is>
      </c>
      <c r="B1019" s="697" t="n"/>
      <c r="C1019" s="697" t="n"/>
      <c r="D1019" s="697" t="n"/>
      <c r="E1019" s="697" t="n"/>
      <c r="F1019" s="697" t="n"/>
      <c r="G1019" s="697" t="n"/>
      <c r="H1019" s="697" t="n"/>
      <c r="I1019" s="697" t="n"/>
      <c r="J1019" s="697" t="n"/>
      <c r="K1019" s="697" t="n"/>
      <c r="L1019" s="698" t="n"/>
    </row>
    <row r="1020" ht="24" customHeight="1" s="436" thickBot="1">
      <c r="A1020" s="745" t="inlineStr">
        <is>
          <t xml:space="preserve">  PRÉ MISTURA - 25 KG</t>
        </is>
      </c>
      <c r="B1020" s="737" t="n"/>
      <c r="C1020" s="737" t="n"/>
      <c r="D1020" s="737" t="n"/>
      <c r="E1020" s="737" t="n"/>
      <c r="F1020" s="737" t="n"/>
      <c r="G1020" s="737" t="n"/>
      <c r="H1020" s="737" t="n"/>
      <c r="I1020" s="737" t="n"/>
      <c r="J1020" s="737" t="n"/>
      <c r="K1020" s="737" t="n"/>
      <c r="L1020" s="736" t="n"/>
    </row>
    <row r="1021">
      <c r="A1021" s="746" t="inlineStr">
        <is>
          <t>DATA</t>
        </is>
      </c>
      <c r="B1021" s="3" t="inlineStr">
        <is>
          <t>N.F.</t>
        </is>
      </c>
      <c r="C1021" s="3" t="inlineStr">
        <is>
          <t>TIPO</t>
        </is>
      </c>
      <c r="D1021" s="3" t="inlineStr">
        <is>
          <t>PREÇO UNITÁRIO</t>
        </is>
      </c>
      <c r="E1021" s="736" t="n"/>
      <c r="F1021" s="3" t="inlineStr">
        <is>
          <t>QUANTIDADE / KG</t>
        </is>
      </c>
      <c r="G1021" s="737" t="n"/>
      <c r="H1021" s="736" t="n"/>
      <c r="I1021" s="631" t="inlineStr">
        <is>
          <t>PREÇO</t>
        </is>
      </c>
      <c r="J1021" s="631" t="inlineStr">
        <is>
          <t>VALORES</t>
        </is>
      </c>
      <c r="K1021" s="737" t="n"/>
      <c r="L1021" s="736" t="n"/>
    </row>
    <row r="1022" ht="15.75" customHeight="1" s="436" thickBot="1">
      <c r="A1022" s="703" t="n"/>
      <c r="B1022" s="704" t="n"/>
      <c r="C1022" s="704" t="n"/>
      <c r="D1022" s="703" t="n"/>
      <c r="E1022" s="701" t="n"/>
      <c r="F1022" s="705" t="n"/>
      <c r="G1022" s="706" t="n"/>
      <c r="H1022" s="707" t="n"/>
      <c r="I1022" s="704" t="n"/>
      <c r="J1022" s="703" t="n"/>
      <c r="L1022" s="701" t="n"/>
    </row>
    <row r="1023" ht="15.75" customHeight="1" s="436" thickBot="1">
      <c r="A1023" s="703" t="n"/>
      <c r="B1023" s="704" t="n"/>
      <c r="C1023" s="704" t="n"/>
      <c r="D1023" s="705" t="n"/>
      <c r="E1023" s="707" t="n"/>
      <c r="F1023" s="3" t="inlineStr">
        <is>
          <t>ENTRADA</t>
        </is>
      </c>
      <c r="G1023" s="3" t="inlineStr">
        <is>
          <t>SAÍDA</t>
        </is>
      </c>
      <c r="H1023" s="640" t="n"/>
      <c r="I1023" s="633" t="inlineStr">
        <is>
          <t>MÉDIO</t>
        </is>
      </c>
      <c r="J1023" s="652" t="inlineStr">
        <is>
          <t>SALDO EM 30/12/2017</t>
        </is>
      </c>
      <c r="K1023" s="706" t="n"/>
      <c r="L1023" s="17" t="n"/>
    </row>
    <row r="1024" ht="15.75" customHeight="1" s="436" thickBot="1">
      <c r="A1024" s="705" t="n"/>
      <c r="B1024" s="695" t="n"/>
      <c r="C1024" s="695" t="n"/>
      <c r="D1024" s="3" t="inlineStr">
        <is>
          <t>C/ICMS</t>
        </is>
      </c>
      <c r="E1024" s="3" t="inlineStr">
        <is>
          <t>S/ICMS</t>
        </is>
      </c>
      <c r="F1024" s="695" t="n"/>
      <c r="G1024" s="695" t="n"/>
      <c r="H1024" s="18" t="inlineStr">
        <is>
          <t>Saldo em 29/02/2020</t>
        </is>
      </c>
      <c r="I1024" s="695" t="n"/>
      <c r="J1024" s="645" t="inlineStr">
        <is>
          <t>ENTRADA</t>
        </is>
      </c>
      <c r="K1024" s="633" t="inlineStr">
        <is>
          <t>SAÍDA / CMV</t>
        </is>
      </c>
      <c r="L1024" s="633" t="inlineStr">
        <is>
          <t>SALDO</t>
        </is>
      </c>
    </row>
    <row r="1025">
      <c r="A1025" s="48" t="n"/>
      <c r="B1025" s="49" t="n"/>
      <c r="C1025" s="49" t="n"/>
      <c r="D1025" s="71" t="n"/>
      <c r="E1025" s="71" t="n"/>
      <c r="F1025" s="55" t="n"/>
      <c r="G1025" s="55" t="n">
        <v>0</v>
      </c>
      <c r="H1025" s="55" t="n"/>
      <c r="I1025" s="71" t="n"/>
      <c r="J1025" s="747">
        <f>F1025*I1025</f>
        <v/>
      </c>
      <c r="K1025" s="747" t="n"/>
      <c r="L1025" s="748">
        <f>J1025-K1025</f>
        <v/>
      </c>
    </row>
    <row r="1026">
      <c r="A1026" s="92" t="n">
        <v>43921</v>
      </c>
      <c r="B1026" s="93" t="n"/>
      <c r="C1026" s="96" t="n"/>
      <c r="D1026" s="97" t="n"/>
      <c r="E1026" s="97" t="n"/>
      <c r="F1026" s="98" t="n"/>
      <c r="G1026" s="98" t="n"/>
      <c r="H1026" s="55" t="n">
        <v>1095</v>
      </c>
      <c r="I1026" s="51" t="n"/>
      <c r="J1026" s="749" t="n"/>
      <c r="K1026" s="749" t="n"/>
      <c r="L1026" s="748" t="n"/>
    </row>
    <row r="1027">
      <c r="A1027" s="297" t="n">
        <v>43922</v>
      </c>
      <c r="B1027" s="96" t="inlineStr">
        <is>
          <t>7194</t>
        </is>
      </c>
      <c r="C1027" s="96" t="n"/>
      <c r="D1027" s="97" t="n">
        <v>55</v>
      </c>
      <c r="E1027" s="97" t="n"/>
      <c r="F1027" s="98" t="n"/>
      <c r="G1027" s="98" t="n">
        <v>30</v>
      </c>
      <c r="H1027" s="52">
        <f>H1026-G1027</f>
        <v/>
      </c>
      <c r="I1027" s="51" t="n"/>
      <c r="J1027" s="749" t="n"/>
      <c r="K1027" s="749" t="n"/>
      <c r="L1027" s="749" t="n"/>
    </row>
    <row r="1028">
      <c r="A1028" s="568" t="n">
        <v>43928</v>
      </c>
      <c r="B1028" s="392" t="n">
        <v>7200</v>
      </c>
      <c r="C1028" s="392" t="n"/>
      <c r="D1028" s="299" t="n">
        <v>55</v>
      </c>
      <c r="E1028" s="392" t="n"/>
      <c r="F1028" s="392" t="n"/>
      <c r="G1028" s="392" t="n">
        <v>20</v>
      </c>
      <c r="H1028" s="52">
        <f>H1027-G1028</f>
        <v/>
      </c>
      <c r="I1028" s="392" t="n"/>
      <c r="J1028" s="392" t="n"/>
      <c r="K1028" s="392" t="n"/>
      <c r="L1028" s="392" t="n"/>
    </row>
    <row r="1029">
      <c r="A1029" s="568" t="n">
        <v>43928</v>
      </c>
      <c r="B1029" s="392" t="n">
        <v>7202</v>
      </c>
      <c r="C1029" s="392" t="n"/>
      <c r="D1029" s="299" t="n">
        <v>54</v>
      </c>
      <c r="E1029" s="392" t="n"/>
      <c r="F1029" s="392" t="n"/>
      <c r="G1029" s="392" t="n">
        <v>20</v>
      </c>
      <c r="H1029" s="52">
        <f>H1028-G1029</f>
        <v/>
      </c>
      <c r="I1029" s="392" t="n"/>
      <c r="J1029" s="392" t="n"/>
      <c r="K1029" s="392" t="n"/>
      <c r="L1029" s="392" t="n"/>
    </row>
    <row r="1030">
      <c r="A1030" s="568" t="n">
        <v>43928</v>
      </c>
      <c r="B1030" s="392" t="n">
        <v>7203</v>
      </c>
      <c r="C1030" s="392" t="n"/>
      <c r="D1030" s="299" t="n">
        <v>54</v>
      </c>
      <c r="E1030" s="392" t="n"/>
      <c r="F1030" s="392" t="n"/>
      <c r="G1030" s="392" t="n">
        <v>20</v>
      </c>
      <c r="H1030" s="52">
        <f>H1029-G1030</f>
        <v/>
      </c>
      <c r="I1030" s="392" t="n"/>
      <c r="J1030" s="392" t="n"/>
      <c r="K1030" s="392" t="n"/>
      <c r="L1030" s="392" t="n"/>
    </row>
    <row r="1031">
      <c r="A1031" s="568" t="n">
        <v>43928</v>
      </c>
      <c r="B1031" s="392" t="n">
        <v>7204</v>
      </c>
      <c r="C1031" s="392" t="n"/>
      <c r="D1031" s="299" t="n">
        <v>55</v>
      </c>
      <c r="E1031" s="392" t="n"/>
      <c r="F1031" s="392" t="n"/>
      <c r="G1031" s="392" t="n">
        <v>20</v>
      </c>
      <c r="H1031" s="52">
        <f>H1030-G1031</f>
        <v/>
      </c>
      <c r="I1031" s="392" t="n"/>
      <c r="J1031" s="392" t="n"/>
      <c r="K1031" s="392" t="n"/>
      <c r="L1031" s="392" t="n"/>
    </row>
    <row r="1032">
      <c r="A1032" s="568" t="n">
        <v>43928</v>
      </c>
      <c r="B1032" s="392" t="n">
        <v>7206</v>
      </c>
      <c r="C1032" s="392" t="n"/>
      <c r="D1032" s="299" t="n">
        <v>50</v>
      </c>
      <c r="E1032" s="392" t="n"/>
      <c r="F1032" s="392" t="n"/>
      <c r="G1032" s="392" t="n">
        <v>30</v>
      </c>
      <c r="H1032" s="52">
        <f>H1031-G1032</f>
        <v/>
      </c>
      <c r="I1032" s="392" t="n"/>
      <c r="J1032" s="392" t="n"/>
      <c r="K1032" s="392" t="n"/>
      <c r="L1032" s="392" t="n"/>
    </row>
    <row r="1033">
      <c r="A1033" s="568" t="n">
        <v>43934</v>
      </c>
      <c r="B1033" s="392" t="n">
        <v>7210</v>
      </c>
      <c r="C1033" s="392" t="n"/>
      <c r="D1033" s="299" t="n">
        <v>52</v>
      </c>
      <c r="E1033" s="392" t="n"/>
      <c r="F1033" s="392" t="n"/>
      <c r="G1033" s="392" t="n">
        <v>30</v>
      </c>
      <c r="H1033" s="52">
        <f>H1032-G1033</f>
        <v/>
      </c>
      <c r="I1033" s="392" t="n"/>
      <c r="J1033" s="392" t="n"/>
      <c r="K1033" s="392" t="n"/>
      <c r="L1033" s="392" t="n"/>
    </row>
    <row r="1034">
      <c r="A1034" s="568" t="n">
        <v>43934</v>
      </c>
      <c r="B1034" s="392" t="n">
        <v>7213</v>
      </c>
      <c r="C1034" s="392" t="n"/>
      <c r="D1034" s="299" t="n">
        <v>50</v>
      </c>
      <c r="E1034" s="392" t="n"/>
      <c r="F1034" s="392" t="n"/>
      <c r="G1034" s="392" t="n">
        <v>50</v>
      </c>
      <c r="H1034" s="52">
        <f>H1033-G1034</f>
        <v/>
      </c>
      <c r="I1034" s="392" t="n"/>
      <c r="J1034" s="392" t="n"/>
      <c r="K1034" s="392" t="n"/>
      <c r="L1034" s="392" t="n"/>
    </row>
    <row r="1035">
      <c r="A1035" s="568" t="n">
        <v>43936</v>
      </c>
      <c r="B1035" s="392" t="n">
        <v>7216</v>
      </c>
      <c r="C1035" s="392" t="n"/>
      <c r="D1035" s="299" t="n">
        <v>56.34</v>
      </c>
      <c r="E1035" s="392" t="n"/>
      <c r="F1035" s="392" t="n"/>
      <c r="G1035" s="392" t="n">
        <v>45</v>
      </c>
      <c r="H1035" s="52">
        <f>H1034-G1035</f>
        <v/>
      </c>
      <c r="I1035" s="392" t="n"/>
      <c r="J1035" s="392" t="n"/>
      <c r="K1035" s="392" t="n"/>
      <c r="L1035" s="392" t="n"/>
    </row>
    <row r="1036">
      <c r="A1036" s="568" t="n">
        <v>43936</v>
      </c>
      <c r="B1036" s="392" t="n">
        <v>7218</v>
      </c>
      <c r="C1036" s="392" t="n"/>
      <c r="D1036" s="299" t="n">
        <v>55</v>
      </c>
      <c r="E1036" s="392" t="n"/>
      <c r="F1036" s="392" t="n"/>
      <c r="G1036" s="392" t="n">
        <v>50</v>
      </c>
      <c r="H1036" s="52">
        <f>H1035-G1036</f>
        <v/>
      </c>
      <c r="I1036" s="392" t="n"/>
      <c r="J1036" s="392" t="n"/>
      <c r="K1036" s="392" t="n"/>
      <c r="L1036" s="392" t="n"/>
    </row>
    <row r="1037">
      <c r="A1037" s="568" t="n">
        <v>43936</v>
      </c>
      <c r="B1037" s="392" t="n">
        <v>7220</v>
      </c>
      <c r="C1037" s="392" t="n"/>
      <c r="D1037" s="299" t="n">
        <v>56</v>
      </c>
      <c r="E1037" s="392" t="n"/>
      <c r="F1037" s="392" t="n"/>
      <c r="G1037" s="392" t="n">
        <v>80</v>
      </c>
      <c r="H1037" s="52">
        <f>H1036-G1037</f>
        <v/>
      </c>
      <c r="I1037" s="392" t="n"/>
      <c r="J1037" s="392" t="n"/>
      <c r="K1037" s="392" t="n"/>
      <c r="L1037" s="392" t="n"/>
    </row>
    <row r="1038">
      <c r="A1038" s="568" t="n">
        <v>43936</v>
      </c>
      <c r="B1038" s="392" t="n">
        <v>7223</v>
      </c>
      <c r="C1038" s="392" t="n"/>
      <c r="D1038" s="299" t="n">
        <v>60</v>
      </c>
      <c r="E1038" s="392" t="n"/>
      <c r="F1038" s="392" t="n"/>
      <c r="G1038" s="392" t="n">
        <v>20</v>
      </c>
      <c r="H1038" s="52">
        <f>H1037-G1038</f>
        <v/>
      </c>
      <c r="I1038" s="392" t="n"/>
      <c r="J1038" s="392" t="n"/>
      <c r="K1038" s="392" t="n"/>
      <c r="L1038" s="392" t="n"/>
    </row>
    <row r="1039">
      <c r="A1039" s="568" t="n">
        <v>43936</v>
      </c>
      <c r="B1039" s="392" t="n">
        <v>7224</v>
      </c>
      <c r="C1039" s="392" t="n"/>
      <c r="D1039" s="299" t="n">
        <v>56.25</v>
      </c>
      <c r="E1039" s="392" t="n"/>
      <c r="F1039" s="392" t="n"/>
      <c r="G1039" s="392" t="n">
        <v>20</v>
      </c>
      <c r="H1039" s="52">
        <f>H1038-G1039</f>
        <v/>
      </c>
      <c r="I1039" s="392" t="n"/>
      <c r="J1039" s="392" t="n"/>
      <c r="K1039" s="392" t="n"/>
      <c r="L1039" s="392" t="n"/>
    </row>
    <row r="1040">
      <c r="A1040" s="304" t="n">
        <v>43938</v>
      </c>
      <c r="B1040" s="401" t="n">
        <v>139928</v>
      </c>
      <c r="C1040" s="401" t="n"/>
      <c r="D1040" s="306" t="n">
        <v>48</v>
      </c>
      <c r="E1040" s="401" t="n"/>
      <c r="F1040" s="401" t="n">
        <v>210</v>
      </c>
      <c r="G1040" s="401" t="n"/>
      <c r="H1040" s="277" t="n">
        <v>870</v>
      </c>
      <c r="I1040" s="392" t="n"/>
      <c r="J1040" s="392" t="n"/>
      <c r="K1040" s="392" t="n"/>
      <c r="L1040" s="392" t="n"/>
    </row>
    <row r="1041">
      <c r="A1041" s="568" t="n">
        <v>43942</v>
      </c>
      <c r="B1041" s="392" t="n">
        <v>7225</v>
      </c>
      <c r="C1041" s="392" t="n"/>
      <c r="D1041" s="299" t="n">
        <v>50</v>
      </c>
      <c r="E1041" s="392" t="n"/>
      <c r="F1041" s="392" t="n"/>
      <c r="G1041" s="392" t="n">
        <v>30</v>
      </c>
      <c r="H1041" s="52">
        <f>H1040-G1041</f>
        <v/>
      </c>
      <c r="I1041" s="392" t="n"/>
      <c r="J1041" s="392" t="n"/>
      <c r="K1041" s="392" t="n"/>
      <c r="L1041" s="392" t="n"/>
    </row>
    <row r="1042">
      <c r="A1042" s="568" t="n">
        <v>43942</v>
      </c>
      <c r="B1042" s="392" t="n">
        <v>7230</v>
      </c>
      <c r="C1042" s="392" t="n"/>
      <c r="D1042" s="299" t="n">
        <v>57</v>
      </c>
      <c r="E1042" s="392" t="n"/>
      <c r="F1042" s="392" t="n"/>
      <c r="G1042" s="392" t="n">
        <v>20</v>
      </c>
      <c r="H1042" s="52">
        <f>H1041-G1042</f>
        <v/>
      </c>
      <c r="I1042" s="392" t="n"/>
      <c r="J1042" s="392" t="n"/>
      <c r="K1042" s="392" t="n"/>
      <c r="L1042" s="392" t="n"/>
    </row>
    <row r="1043">
      <c r="A1043" s="568" t="n">
        <v>43942</v>
      </c>
      <c r="B1043" s="392" t="n">
        <v>7233</v>
      </c>
      <c r="C1043" s="392" t="n"/>
      <c r="D1043" s="299" t="n">
        <v>50</v>
      </c>
      <c r="E1043" s="392" t="n"/>
      <c r="F1043" s="392" t="n"/>
      <c r="G1043" s="392" t="n">
        <v>20</v>
      </c>
      <c r="H1043" s="52">
        <f>H1042-G1043</f>
        <v/>
      </c>
      <c r="I1043" s="392" t="n"/>
      <c r="J1043" s="392" t="n"/>
      <c r="K1043" s="392" t="n"/>
      <c r="L1043" s="392" t="n"/>
    </row>
    <row r="1044">
      <c r="A1044" s="568" t="n">
        <v>43942</v>
      </c>
      <c r="B1044" s="392" t="n">
        <v>7235</v>
      </c>
      <c r="C1044" s="392" t="n"/>
      <c r="D1044" s="299" t="n">
        <v>50</v>
      </c>
      <c r="E1044" s="392" t="n"/>
      <c r="F1044" s="392" t="n"/>
      <c r="G1044" s="392" t="n">
        <v>80</v>
      </c>
      <c r="H1044" s="52">
        <f>H1043-G1044</f>
        <v/>
      </c>
      <c r="I1044" s="392" t="n"/>
      <c r="J1044" s="392" t="n"/>
      <c r="K1044" s="392" t="n"/>
      <c r="L1044" s="392" t="n"/>
    </row>
    <row r="1045">
      <c r="A1045" s="568" t="n">
        <v>43942</v>
      </c>
      <c r="B1045" s="392" t="n">
        <v>7237</v>
      </c>
      <c r="C1045" s="392" t="n"/>
      <c r="D1045" s="299" t="n">
        <v>54</v>
      </c>
      <c r="E1045" s="392" t="n"/>
      <c r="F1045" s="392" t="n"/>
      <c r="G1045" s="392" t="n">
        <v>20</v>
      </c>
      <c r="H1045" s="52">
        <f>H1044-G1045</f>
        <v/>
      </c>
      <c r="I1045" s="392" t="n"/>
      <c r="J1045" s="392" t="n"/>
      <c r="K1045" s="392" t="n"/>
      <c r="L1045" s="392" t="n"/>
    </row>
    <row r="1046">
      <c r="A1046" s="568" t="n">
        <v>43949</v>
      </c>
      <c r="B1046" s="392" t="n">
        <v>7249</v>
      </c>
      <c r="C1046" s="392" t="n"/>
      <c r="D1046" s="299" t="n">
        <v>57</v>
      </c>
      <c r="E1046" s="392" t="n"/>
      <c r="F1046" s="392" t="n"/>
      <c r="G1046" s="392" t="n">
        <v>50</v>
      </c>
      <c r="H1046" s="52">
        <f>H1045-G1046</f>
        <v/>
      </c>
      <c r="I1046" s="392" t="n"/>
      <c r="J1046" s="392" t="n"/>
      <c r="K1046" s="392" t="n"/>
      <c r="L1046" s="392" t="n"/>
    </row>
    <row r="1047">
      <c r="A1047" s="568" t="n">
        <v>43950</v>
      </c>
      <c r="B1047" s="392" t="n">
        <v>140605</v>
      </c>
      <c r="C1047" s="392" t="n"/>
      <c r="D1047" s="299" t="n">
        <v>48</v>
      </c>
      <c r="E1047" s="392" t="n"/>
      <c r="F1047" s="392" t="n">
        <v>480</v>
      </c>
      <c r="G1047" s="392" t="n"/>
      <c r="H1047" s="52" t="n">
        <v>1130</v>
      </c>
      <c r="I1047" s="392" t="n"/>
      <c r="J1047" s="392" t="n"/>
      <c r="K1047" s="392" t="n"/>
      <c r="L1047" s="392" t="n"/>
    </row>
    <row r="1048">
      <c r="A1048" s="392" t="n"/>
      <c r="B1048" s="392" t="n"/>
      <c r="C1048" s="392" t="n"/>
      <c r="D1048" s="299" t="n"/>
      <c r="E1048" s="392" t="n"/>
      <c r="F1048" s="392" t="n"/>
      <c r="G1048" s="392" t="n"/>
      <c r="H1048" s="52">
        <f>H1047-G1048</f>
        <v/>
      </c>
      <c r="I1048" s="392" t="n"/>
      <c r="J1048" s="392" t="n"/>
      <c r="K1048" s="392" t="n"/>
      <c r="L1048" s="392" t="n"/>
    </row>
    <row r="1049">
      <c r="A1049" s="392" t="n"/>
      <c r="B1049" s="392" t="n"/>
      <c r="C1049" s="392" t="n"/>
      <c r="D1049" s="299" t="n"/>
      <c r="E1049" s="392" t="n"/>
      <c r="F1049" s="392" t="n"/>
      <c r="G1049" s="392" t="n"/>
      <c r="H1049" s="52">
        <f>H1048-G1049</f>
        <v/>
      </c>
      <c r="I1049" s="392" t="n"/>
      <c r="J1049" s="392" t="n"/>
      <c r="K1049" s="392" t="n"/>
      <c r="L1049" s="392" t="n"/>
    </row>
    <row r="1050" ht="15.75" customHeight="1" s="436" thickBot="1"/>
    <row r="1051" ht="21.75" customHeight="1" s="436" thickBot="1">
      <c r="A1051" s="757" t="inlineStr">
        <is>
          <t>Maio</t>
        </is>
      </c>
      <c r="B1051" s="697" t="n"/>
      <c r="C1051" s="697" t="n"/>
      <c r="D1051" s="697" t="n"/>
      <c r="E1051" s="697" t="n"/>
      <c r="F1051" s="697" t="n"/>
      <c r="G1051" s="697" t="n"/>
      <c r="H1051" s="697" t="n"/>
      <c r="I1051" s="697" t="n"/>
      <c r="J1051" s="697" t="n"/>
      <c r="K1051" s="697" t="n"/>
      <c r="L1051" s="698" t="n"/>
    </row>
    <row r="1052" ht="21.75" customHeight="1" s="436" thickBot="1">
      <c r="A1052" s="699" t="inlineStr">
        <is>
          <t xml:space="preserve">021 - DENISE FURTADO DE SOUZA - ME </t>
        </is>
      </c>
      <c r="B1052" s="697" t="n"/>
      <c r="C1052" s="697" t="n"/>
      <c r="D1052" s="697" t="n"/>
      <c r="E1052" s="697" t="n"/>
      <c r="F1052" s="697" t="n"/>
      <c r="G1052" s="697" t="n"/>
      <c r="H1052" s="697" t="n"/>
      <c r="I1052" s="697" t="n"/>
      <c r="J1052" s="697" t="n"/>
      <c r="K1052" s="697" t="n"/>
      <c r="L1052" s="698" t="n"/>
    </row>
    <row r="1053" ht="24" customHeight="1" s="436" thickBot="1">
      <c r="A1053" s="745" t="inlineStr">
        <is>
          <t xml:space="preserve">  PRÉ MISTURA - 25 KG</t>
        </is>
      </c>
      <c r="B1053" s="737" t="n"/>
      <c r="C1053" s="737" t="n"/>
      <c r="D1053" s="737" t="n"/>
      <c r="E1053" s="737" t="n"/>
      <c r="F1053" s="737" t="n"/>
      <c r="G1053" s="737" t="n"/>
      <c r="H1053" s="737" t="n"/>
      <c r="I1053" s="737" t="n"/>
      <c r="J1053" s="737" t="n"/>
      <c r="K1053" s="737" t="n"/>
      <c r="L1053" s="736" t="n"/>
    </row>
    <row r="1054">
      <c r="A1054" s="746" t="inlineStr">
        <is>
          <t>DATA</t>
        </is>
      </c>
      <c r="B1054" s="3" t="inlineStr">
        <is>
          <t>N.F.</t>
        </is>
      </c>
      <c r="C1054" s="3" t="inlineStr">
        <is>
          <t>TIPO</t>
        </is>
      </c>
      <c r="D1054" s="3" t="inlineStr">
        <is>
          <t>PREÇO UNITÁRIO</t>
        </is>
      </c>
      <c r="E1054" s="736" t="n"/>
      <c r="F1054" s="3" t="inlineStr">
        <is>
          <t>QUANTIDADE / KG</t>
        </is>
      </c>
      <c r="G1054" s="737" t="n"/>
      <c r="H1054" s="736" t="n"/>
      <c r="I1054" s="631" t="inlineStr">
        <is>
          <t>PREÇO</t>
        </is>
      </c>
      <c r="J1054" s="631" t="inlineStr">
        <is>
          <t>VALORES</t>
        </is>
      </c>
      <c r="K1054" s="737" t="n"/>
      <c r="L1054" s="736" t="n"/>
    </row>
    <row r="1055" ht="15.75" customHeight="1" s="436" thickBot="1">
      <c r="A1055" s="703" t="n"/>
      <c r="B1055" s="704" t="n"/>
      <c r="C1055" s="704" t="n"/>
      <c r="D1055" s="703" t="n"/>
      <c r="E1055" s="701" t="n"/>
      <c r="F1055" s="705" t="n"/>
      <c r="G1055" s="706" t="n"/>
      <c r="H1055" s="707" t="n"/>
      <c r="I1055" s="704" t="n"/>
      <c r="J1055" s="703" t="n"/>
      <c r="L1055" s="701" t="n"/>
    </row>
    <row r="1056" ht="15.75" customHeight="1" s="436" thickBot="1">
      <c r="A1056" s="703" t="n"/>
      <c r="B1056" s="704" t="n"/>
      <c r="C1056" s="704" t="n"/>
      <c r="D1056" s="705" t="n"/>
      <c r="E1056" s="707" t="n"/>
      <c r="F1056" s="3" t="inlineStr">
        <is>
          <t>ENTRADA</t>
        </is>
      </c>
      <c r="G1056" s="3" t="inlineStr">
        <is>
          <t>SAÍDA</t>
        </is>
      </c>
      <c r="H1056" s="640" t="n"/>
      <c r="I1056" s="633" t="inlineStr">
        <is>
          <t>MÉDIO</t>
        </is>
      </c>
      <c r="J1056" s="652" t="inlineStr">
        <is>
          <t>SALDO EM 30/12/2017</t>
        </is>
      </c>
      <c r="K1056" s="706" t="n"/>
      <c r="L1056" s="17" t="n"/>
    </row>
    <row r="1057" ht="15.75" customHeight="1" s="436" thickBot="1">
      <c r="A1057" s="705" t="n"/>
      <c r="B1057" s="695" t="n"/>
      <c r="C1057" s="695" t="n"/>
      <c r="D1057" s="3" t="inlineStr">
        <is>
          <t>C/ICMS</t>
        </is>
      </c>
      <c r="E1057" s="3" t="inlineStr">
        <is>
          <t>S/ICMS</t>
        </is>
      </c>
      <c r="F1057" s="695" t="n"/>
      <c r="G1057" s="695" t="n"/>
      <c r="H1057" s="18" t="inlineStr">
        <is>
          <t>Saldo em 29/02/2020</t>
        </is>
      </c>
      <c r="I1057" s="695" t="n"/>
      <c r="J1057" s="645" t="inlineStr">
        <is>
          <t>ENTRADA</t>
        </is>
      </c>
      <c r="K1057" s="633" t="inlineStr">
        <is>
          <t>SAÍDA / CMV</t>
        </is>
      </c>
      <c r="L1057" s="633" t="inlineStr">
        <is>
          <t>SALDO</t>
        </is>
      </c>
    </row>
    <row r="1058">
      <c r="A1058" s="48" t="n"/>
      <c r="B1058" s="49" t="n"/>
      <c r="C1058" s="49" t="n"/>
      <c r="D1058" s="71" t="n"/>
      <c r="E1058" s="71" t="n"/>
      <c r="F1058" s="55" t="n"/>
      <c r="G1058" s="55" t="n">
        <v>0</v>
      </c>
      <c r="H1058" s="55" t="n"/>
      <c r="I1058" s="71" t="n"/>
      <c r="J1058" s="747">
        <f>F1058*I1058</f>
        <v/>
      </c>
      <c r="K1058" s="747" t="n"/>
      <c r="L1058" s="748">
        <f>J1058-K1058</f>
        <v/>
      </c>
    </row>
    <row r="1059">
      <c r="A1059" s="92" t="n">
        <v>43951</v>
      </c>
      <c r="B1059" s="93" t="n"/>
      <c r="C1059" s="96" t="n"/>
      <c r="D1059" s="97" t="n"/>
      <c r="E1059" s="97" t="n"/>
      <c r="F1059" s="98" t="n"/>
      <c r="G1059" s="98" t="n"/>
      <c r="H1059" s="55" t="n">
        <v>1130</v>
      </c>
      <c r="I1059" s="51" t="n"/>
      <c r="J1059" s="749" t="n"/>
      <c r="K1059" s="749" t="n"/>
      <c r="L1059" s="748" t="n"/>
    </row>
    <row r="1060">
      <c r="A1060" s="297" t="n">
        <v>43952</v>
      </c>
      <c r="B1060" s="96" t="inlineStr">
        <is>
          <t>7251</t>
        </is>
      </c>
      <c r="C1060" s="96" t="n"/>
      <c r="D1060" s="97" t="n">
        <v>50</v>
      </c>
      <c r="E1060" s="97" t="n"/>
      <c r="F1060" s="98" t="n"/>
      <c r="G1060" s="98" t="n">
        <v>80</v>
      </c>
      <c r="H1060" s="52">
        <f>H1059-G1060</f>
        <v/>
      </c>
      <c r="I1060" s="51" t="n"/>
      <c r="J1060" s="749" t="n"/>
      <c r="K1060" s="749" t="n"/>
      <c r="L1060" s="758" t="n"/>
    </row>
    <row r="1061">
      <c r="A1061" s="307" t="n">
        <v>43952</v>
      </c>
      <c r="B1061" s="93" t="inlineStr">
        <is>
          <t>7255</t>
        </is>
      </c>
      <c r="C1061" s="96" t="n"/>
      <c r="D1061" s="97" t="n">
        <v>50</v>
      </c>
      <c r="E1061" s="97" t="n"/>
      <c r="F1061" s="98" t="n"/>
      <c r="G1061" s="98" t="n">
        <v>50</v>
      </c>
      <c r="H1061" s="52">
        <f>H1060-G1061</f>
        <v/>
      </c>
      <c r="I1061" s="51" t="n"/>
      <c r="J1061" s="749" t="n"/>
      <c r="K1061" s="749" t="n"/>
      <c r="L1061" s="758" t="n"/>
    </row>
    <row r="1062">
      <c r="A1062" s="307" t="n">
        <v>43956</v>
      </c>
      <c r="B1062" s="93" t="inlineStr">
        <is>
          <t>7260</t>
        </is>
      </c>
      <c r="C1062" s="96" t="n"/>
      <c r="D1062" s="97" t="n">
        <v>57</v>
      </c>
      <c r="E1062" s="97" t="n"/>
      <c r="F1062" s="98" t="n"/>
      <c r="G1062" s="98" t="n">
        <v>40</v>
      </c>
      <c r="H1062" s="52">
        <f>H1061-G1062</f>
        <v/>
      </c>
      <c r="I1062" s="51" t="n"/>
      <c r="J1062" s="749" t="n"/>
      <c r="K1062" s="749" t="n"/>
      <c r="L1062" s="758" t="n"/>
    </row>
    <row r="1063">
      <c r="A1063" s="307" t="n">
        <v>43956</v>
      </c>
      <c r="B1063" s="93" t="inlineStr">
        <is>
          <t>7264</t>
        </is>
      </c>
      <c r="C1063" s="96" t="n"/>
      <c r="D1063" s="97" t="n">
        <v>57</v>
      </c>
      <c r="E1063" s="97" t="n"/>
      <c r="F1063" s="98" t="n"/>
      <c r="G1063" s="98" t="n">
        <v>35</v>
      </c>
      <c r="H1063" s="52">
        <f>H1062-G1063</f>
        <v/>
      </c>
      <c r="I1063" s="51" t="n"/>
      <c r="J1063" s="749" t="n"/>
      <c r="K1063" s="749" t="n"/>
      <c r="L1063" s="758" t="n"/>
    </row>
    <row r="1064">
      <c r="A1064" s="307" t="n">
        <v>43956</v>
      </c>
      <c r="B1064" s="93" t="inlineStr">
        <is>
          <t>7265</t>
        </is>
      </c>
      <c r="C1064" s="96" t="n"/>
      <c r="D1064" s="97" t="n">
        <v>57</v>
      </c>
      <c r="E1064" s="97" t="n"/>
      <c r="F1064" s="98" t="n"/>
      <c r="G1064" s="98" t="n">
        <v>15</v>
      </c>
      <c r="H1064" s="52">
        <f>H1063-G1064</f>
        <v/>
      </c>
      <c r="I1064" s="51" t="n"/>
      <c r="J1064" s="749" t="n"/>
      <c r="K1064" s="749" t="n"/>
      <c r="L1064" s="758" t="n"/>
    </row>
    <row r="1065">
      <c r="A1065" s="296" t="n">
        <v>43958</v>
      </c>
      <c r="B1065" s="35" t="inlineStr">
        <is>
          <t>7270</t>
        </is>
      </c>
      <c r="C1065" s="35" t="n"/>
      <c r="D1065" s="36" t="n">
        <v>55</v>
      </c>
      <c r="E1065" s="36" t="n"/>
      <c r="F1065" s="37" t="n"/>
      <c r="G1065" s="37" t="n">
        <v>30</v>
      </c>
      <c r="H1065" s="52">
        <f>H1064-G1065</f>
        <v/>
      </c>
      <c r="I1065" s="51" t="n"/>
      <c r="J1065" s="749" t="n"/>
      <c r="K1065" s="749" t="n"/>
      <c r="L1065" s="758" t="n"/>
    </row>
    <row r="1066">
      <c r="A1066" s="307" t="n">
        <v>43958</v>
      </c>
      <c r="B1066" s="93" t="inlineStr">
        <is>
          <t>7271</t>
        </is>
      </c>
      <c r="C1066" s="96" t="n"/>
      <c r="D1066" s="97" t="n">
        <v>57</v>
      </c>
      <c r="E1066" s="97" t="n"/>
      <c r="F1066" s="98" t="n"/>
      <c r="G1066" s="98" t="n">
        <v>20</v>
      </c>
      <c r="H1066" s="52">
        <f>H1065-G1066</f>
        <v/>
      </c>
      <c r="I1066" s="51" t="n"/>
      <c r="J1066" s="749" t="n"/>
      <c r="K1066" s="749" t="n"/>
      <c r="L1066" s="758" t="n"/>
    </row>
    <row r="1067">
      <c r="A1067" s="307" t="n">
        <v>43958</v>
      </c>
      <c r="B1067" s="93" t="inlineStr">
        <is>
          <t>7272</t>
        </is>
      </c>
      <c r="C1067" s="96" t="n"/>
      <c r="D1067" s="97" t="n">
        <v>58</v>
      </c>
      <c r="E1067" s="97" t="n"/>
      <c r="F1067" s="98" t="n"/>
      <c r="G1067" s="98" t="n">
        <v>50</v>
      </c>
      <c r="H1067" s="52">
        <f>H1066-G1067</f>
        <v/>
      </c>
      <c r="I1067" s="51" t="n"/>
      <c r="J1067" s="749" t="n"/>
      <c r="K1067" s="749" t="n"/>
      <c r="L1067" s="758" t="n"/>
    </row>
    <row r="1068">
      <c r="A1068" s="307" t="n">
        <v>43962</v>
      </c>
      <c r="B1068" s="93" t="inlineStr">
        <is>
          <t>7275</t>
        </is>
      </c>
      <c r="C1068" s="96" t="n"/>
      <c r="D1068" s="97" t="n">
        <v>62</v>
      </c>
      <c r="E1068" s="97" t="n"/>
      <c r="F1068" s="98" t="n"/>
      <c r="G1068" s="98" t="n">
        <v>10</v>
      </c>
      <c r="H1068" s="52">
        <f>H1067-G1068</f>
        <v/>
      </c>
      <c r="I1068" s="51" t="n"/>
      <c r="J1068" s="749" t="n"/>
      <c r="K1068" s="749" t="n"/>
      <c r="L1068" s="758" t="n"/>
    </row>
    <row r="1069">
      <c r="A1069" s="307" t="n">
        <v>43962</v>
      </c>
      <c r="B1069" s="93" t="inlineStr">
        <is>
          <t>7276</t>
        </is>
      </c>
      <c r="C1069" s="96" t="n"/>
      <c r="D1069" s="97" t="n">
        <v>58</v>
      </c>
      <c r="E1069" s="97" t="n"/>
      <c r="F1069" s="98" t="n"/>
      <c r="G1069" s="98" t="n">
        <v>60</v>
      </c>
      <c r="H1069" s="52">
        <f>H1068-G1069</f>
        <v/>
      </c>
      <c r="I1069" s="51" t="n"/>
      <c r="J1069" s="749" t="n"/>
      <c r="K1069" s="749" t="n"/>
      <c r="L1069" s="758" t="n"/>
    </row>
    <row r="1070">
      <c r="A1070" s="307" t="n">
        <v>43962</v>
      </c>
      <c r="B1070" s="93" t="inlineStr">
        <is>
          <t>7279</t>
        </is>
      </c>
      <c r="C1070" s="96" t="n"/>
      <c r="D1070" s="97" t="n">
        <v>58</v>
      </c>
      <c r="E1070" s="97" t="n"/>
      <c r="F1070" s="98" t="n"/>
      <c r="G1070" s="98" t="n">
        <v>50</v>
      </c>
      <c r="H1070" s="52">
        <f>H1069-G1070</f>
        <v/>
      </c>
      <c r="I1070" s="51" t="n"/>
      <c r="J1070" s="749" t="n"/>
      <c r="K1070" s="749" t="n"/>
      <c r="L1070" s="758" t="n"/>
    </row>
    <row r="1071">
      <c r="A1071" s="307" t="n">
        <v>43962</v>
      </c>
      <c r="B1071" s="93" t="inlineStr">
        <is>
          <t>7280</t>
        </is>
      </c>
      <c r="C1071" s="96" t="n"/>
      <c r="D1071" s="97" t="n">
        <v>57</v>
      </c>
      <c r="E1071" s="97" t="n"/>
      <c r="F1071" s="98" t="n"/>
      <c r="G1071" s="98" t="n">
        <v>20</v>
      </c>
      <c r="H1071" s="52">
        <f>H1070-G1071</f>
        <v/>
      </c>
      <c r="I1071" s="51" t="n"/>
      <c r="J1071" s="749" t="n"/>
      <c r="K1071" s="749" t="n"/>
      <c r="L1071" s="758" t="n"/>
    </row>
    <row r="1072">
      <c r="A1072" s="307" t="n">
        <v>43964</v>
      </c>
      <c r="B1072" s="93" t="inlineStr">
        <is>
          <t>7283</t>
        </is>
      </c>
      <c r="C1072" s="96" t="n"/>
      <c r="D1072" s="97" t="n">
        <v>58</v>
      </c>
      <c r="E1072" s="97" t="n"/>
      <c r="F1072" s="98" t="n"/>
      <c r="G1072" s="98" t="n">
        <v>100</v>
      </c>
      <c r="H1072" s="52">
        <f>H1071-G1072</f>
        <v/>
      </c>
      <c r="I1072" s="51" t="n"/>
      <c r="J1072" s="749" t="n"/>
      <c r="K1072" s="749" t="n"/>
      <c r="L1072" s="758" t="n"/>
    </row>
    <row r="1073">
      <c r="A1073" s="309" t="n">
        <v>43965</v>
      </c>
      <c r="B1073" s="274" t="inlineStr">
        <is>
          <t>141556</t>
        </is>
      </c>
      <c r="C1073" s="275" t="n"/>
      <c r="D1073" s="276" t="n">
        <v>50.5</v>
      </c>
      <c r="E1073" s="276" t="n"/>
      <c r="F1073" s="277" t="n">
        <v>500</v>
      </c>
      <c r="G1073" s="277" t="n"/>
      <c r="H1073" s="277" t="n">
        <v>1070</v>
      </c>
      <c r="I1073" s="51" t="n"/>
      <c r="J1073" s="749" t="n"/>
      <c r="K1073" s="749" t="n"/>
      <c r="L1073" s="758" t="n"/>
    </row>
    <row r="1074">
      <c r="A1074" s="568" t="n">
        <v>43971</v>
      </c>
      <c r="B1074" s="392" t="n">
        <v>7289</v>
      </c>
      <c r="C1074" s="392" t="n"/>
      <c r="D1074" s="36" t="n">
        <v>58</v>
      </c>
      <c r="E1074" s="392" t="n"/>
      <c r="F1074" s="392" t="n"/>
      <c r="G1074" s="392" t="n">
        <v>40</v>
      </c>
      <c r="H1074" s="52">
        <f>H1073-G1074</f>
        <v/>
      </c>
      <c r="I1074" s="51" t="n"/>
      <c r="J1074" s="749" t="n"/>
      <c r="K1074" s="749" t="n"/>
      <c r="L1074" s="758" t="n"/>
    </row>
    <row r="1075">
      <c r="A1075" s="307" t="n">
        <v>43971</v>
      </c>
      <c r="B1075" s="93" t="inlineStr">
        <is>
          <t>7291</t>
        </is>
      </c>
      <c r="C1075" s="96" t="n"/>
      <c r="D1075" s="97" t="n">
        <v>58</v>
      </c>
      <c r="E1075" s="97" t="n"/>
      <c r="F1075" s="98" t="n"/>
      <c r="G1075" s="98" t="n">
        <v>10</v>
      </c>
      <c r="H1075" s="52">
        <f>H1074-G1075</f>
        <v/>
      </c>
      <c r="I1075" s="51" t="n"/>
      <c r="J1075" s="749" t="n"/>
      <c r="K1075" s="749" t="n"/>
      <c r="L1075" s="758" t="n"/>
    </row>
    <row r="1076">
      <c r="A1076" s="307" t="n">
        <v>43971</v>
      </c>
      <c r="B1076" s="93" t="inlineStr">
        <is>
          <t>7292</t>
        </is>
      </c>
      <c r="C1076" s="96" t="n"/>
      <c r="D1076" s="97" t="n">
        <v>59</v>
      </c>
      <c r="E1076" s="97" t="n"/>
      <c r="F1076" s="98" t="n"/>
      <c r="G1076" s="98" t="n">
        <v>15</v>
      </c>
      <c r="H1076" s="52">
        <f>H1075-G1076</f>
        <v/>
      </c>
      <c r="I1076" s="51" t="n"/>
      <c r="J1076" s="749" t="n"/>
      <c r="K1076" s="749" t="n"/>
      <c r="L1076" s="758" t="n"/>
    </row>
    <row r="1077">
      <c r="A1077" s="307" t="n">
        <v>43971</v>
      </c>
      <c r="B1077" s="93" t="inlineStr">
        <is>
          <t>7293</t>
        </is>
      </c>
      <c r="C1077" s="96" t="n"/>
      <c r="D1077" s="97" t="n">
        <v>59</v>
      </c>
      <c r="E1077" s="97" t="n"/>
      <c r="F1077" s="98" t="n"/>
      <c r="G1077" s="98" t="n">
        <v>30</v>
      </c>
      <c r="H1077" s="52">
        <f>H1076-G1077</f>
        <v/>
      </c>
      <c r="I1077" s="51" t="n"/>
      <c r="J1077" s="749" t="n"/>
      <c r="K1077" s="749" t="n"/>
      <c r="L1077" s="758" t="n"/>
    </row>
    <row r="1078">
      <c r="A1078" s="307" t="n">
        <v>43976</v>
      </c>
      <c r="B1078" s="93" t="inlineStr">
        <is>
          <t>7295</t>
        </is>
      </c>
      <c r="C1078" s="96" t="n"/>
      <c r="D1078" s="97" t="n">
        <v>55</v>
      </c>
      <c r="E1078" s="97" t="n"/>
      <c r="F1078" s="98" t="n"/>
      <c r="G1078" s="98" t="n">
        <v>50</v>
      </c>
      <c r="H1078" s="52">
        <f>H1077-G1078</f>
        <v/>
      </c>
      <c r="I1078" s="51" t="n"/>
      <c r="J1078" s="749" t="n"/>
      <c r="K1078" s="749" t="n"/>
      <c r="L1078" s="758" t="n"/>
    </row>
    <row r="1079">
      <c r="A1079" s="307" t="n">
        <v>43977</v>
      </c>
      <c r="B1079" s="93" t="inlineStr">
        <is>
          <t>7297</t>
        </is>
      </c>
      <c r="C1079" s="96" t="n"/>
      <c r="D1079" s="97" t="n">
        <v>55</v>
      </c>
      <c r="E1079" s="97" t="n"/>
      <c r="F1079" s="98" t="n"/>
      <c r="G1079" s="98" t="n">
        <v>20</v>
      </c>
      <c r="H1079" s="52">
        <f>H1078-G1079</f>
        <v/>
      </c>
      <c r="I1079" s="51" t="n"/>
      <c r="J1079" s="749" t="n"/>
      <c r="K1079" s="749" t="n"/>
      <c r="L1079" s="758" t="n"/>
    </row>
    <row r="1080">
      <c r="A1080" s="307" t="n">
        <v>43977</v>
      </c>
      <c r="B1080" s="93" t="inlineStr">
        <is>
          <t>7298</t>
        </is>
      </c>
      <c r="C1080" s="96" t="n"/>
      <c r="D1080" s="97" t="n">
        <v>59</v>
      </c>
      <c r="E1080" s="97" t="n"/>
      <c r="F1080" s="98" t="n"/>
      <c r="G1080" s="98" t="n">
        <v>40</v>
      </c>
      <c r="H1080" s="52">
        <f>H1079-G1080</f>
        <v/>
      </c>
      <c r="I1080" s="51" t="n"/>
      <c r="J1080" s="749" t="n"/>
      <c r="K1080" s="749" t="n"/>
      <c r="L1080" s="758" t="n"/>
    </row>
    <row r="1081">
      <c r="A1081" s="307" t="n">
        <v>43977</v>
      </c>
      <c r="B1081" s="93" t="inlineStr">
        <is>
          <t>7302</t>
        </is>
      </c>
      <c r="C1081" s="96" t="n"/>
      <c r="D1081" s="97" t="n">
        <v>57</v>
      </c>
      <c r="E1081" s="97" t="n"/>
      <c r="F1081" s="98" t="n"/>
      <c r="G1081" s="98" t="n">
        <v>20</v>
      </c>
      <c r="H1081" s="52">
        <f>H1080-G1081</f>
        <v/>
      </c>
      <c r="I1081" s="51" t="n"/>
      <c r="J1081" s="749" t="n"/>
      <c r="K1081" s="749" t="n"/>
      <c r="L1081" s="758" t="n"/>
    </row>
    <row r="1082">
      <c r="A1082" s="307" t="n">
        <v>43977</v>
      </c>
      <c r="B1082" s="93" t="inlineStr">
        <is>
          <t>7305</t>
        </is>
      </c>
      <c r="C1082" s="96" t="n"/>
      <c r="D1082" s="97" t="n">
        <v>62</v>
      </c>
      <c r="E1082" s="97" t="n"/>
      <c r="F1082" s="98" t="n"/>
      <c r="G1082" s="98" t="n">
        <v>50</v>
      </c>
      <c r="H1082" s="52">
        <f>H1081-G1082</f>
        <v/>
      </c>
      <c r="I1082" s="51" t="n"/>
      <c r="J1082" s="749" t="n"/>
      <c r="K1082" s="749" t="n"/>
      <c r="L1082" s="758" t="n"/>
    </row>
    <row r="1083">
      <c r="A1083" s="307" t="n">
        <v>43979</v>
      </c>
      <c r="B1083" s="93" t="inlineStr">
        <is>
          <t>7310</t>
        </is>
      </c>
      <c r="C1083" s="96" t="n"/>
      <c r="D1083" s="97" t="n">
        <v>55</v>
      </c>
      <c r="E1083" s="97" t="n"/>
      <c r="F1083" s="98" t="n"/>
      <c r="G1083" s="98" t="n">
        <v>55</v>
      </c>
      <c r="H1083" s="52">
        <f>H1082-G1083</f>
        <v/>
      </c>
      <c r="I1083" s="51" t="n"/>
      <c r="J1083" s="749" t="n"/>
      <c r="K1083" s="749" t="n"/>
      <c r="L1083" s="758" t="n"/>
    </row>
    <row r="1084">
      <c r="A1084" s="307" t="n">
        <v>43979</v>
      </c>
      <c r="B1084" s="93" t="inlineStr">
        <is>
          <t>7311</t>
        </is>
      </c>
      <c r="C1084" s="96" t="n"/>
      <c r="D1084" s="97" t="n">
        <v>57</v>
      </c>
      <c r="E1084" s="97" t="n"/>
      <c r="F1084" s="98" t="n"/>
      <c r="G1084" s="98" t="n">
        <v>10</v>
      </c>
      <c r="H1084" s="52">
        <f>H1083-G1084</f>
        <v/>
      </c>
      <c r="I1084" s="51" t="n"/>
      <c r="J1084" s="749" t="n"/>
      <c r="K1084" s="749" t="n"/>
      <c r="L1084" s="758" t="n"/>
    </row>
    <row r="1085">
      <c r="A1085" s="309" t="n">
        <v>43980</v>
      </c>
      <c r="B1085" s="274" t="inlineStr">
        <is>
          <t>141556</t>
        </is>
      </c>
      <c r="C1085" s="275" t="n"/>
      <c r="D1085" s="276" t="n">
        <v>51.5</v>
      </c>
      <c r="E1085" s="276" t="n"/>
      <c r="F1085" s="277" t="n">
        <v>1000</v>
      </c>
      <c r="G1085" s="277" t="n"/>
      <c r="H1085" s="277" t="n">
        <v>1730</v>
      </c>
      <c r="I1085" s="51" t="n"/>
      <c r="J1085" s="749" t="n"/>
      <c r="K1085" s="749" t="n"/>
      <c r="L1085" s="758" t="n"/>
    </row>
    <row r="1086">
      <c r="A1086" s="307" t="n"/>
      <c r="B1086" s="93" t="n"/>
      <c r="C1086" s="96" t="n"/>
      <c r="D1086" s="97" t="n"/>
      <c r="E1086" s="97" t="n"/>
      <c r="F1086" s="98" t="n"/>
      <c r="G1086" s="98" t="n"/>
      <c r="H1086" s="52">
        <f>H1085-G1086</f>
        <v/>
      </c>
      <c r="I1086" s="51" t="n"/>
      <c r="J1086" s="749" t="n"/>
      <c r="K1086" s="749" t="n"/>
      <c r="L1086" s="758" t="n"/>
    </row>
    <row r="1087">
      <c r="A1087" s="297" t="n"/>
      <c r="B1087" s="96" t="n"/>
      <c r="C1087" s="96" t="n"/>
      <c r="D1087" s="97" t="n"/>
      <c r="E1087" s="97" t="n"/>
      <c r="F1087" s="98" t="n"/>
      <c r="G1087" s="98" t="n"/>
      <c r="H1087" s="52">
        <f>H1086-G1087</f>
        <v/>
      </c>
      <c r="I1087" s="51" t="n"/>
      <c r="J1087" s="749" t="n"/>
      <c r="K1087" s="749" t="n"/>
      <c r="L1087" s="749" t="n"/>
    </row>
    <row r="1088" ht="15.75" customHeight="1" s="436" thickBot="1"/>
    <row r="1089" ht="21.75" customHeight="1" s="436" thickBot="1">
      <c r="A1089" s="757" t="inlineStr">
        <is>
          <t>JUNHO</t>
        </is>
      </c>
      <c r="B1089" s="697" t="n"/>
      <c r="C1089" s="697" t="n"/>
      <c r="D1089" s="697" t="n"/>
      <c r="E1089" s="697" t="n"/>
      <c r="F1089" s="697" t="n"/>
      <c r="G1089" s="697" t="n"/>
      <c r="H1089" s="697" t="n"/>
      <c r="I1089" s="697" t="n"/>
      <c r="J1089" s="697" t="n"/>
      <c r="K1089" s="697" t="n"/>
      <c r="L1089" s="698" t="n"/>
    </row>
    <row r="1090" ht="21.75" customHeight="1" s="436" thickBot="1">
      <c r="A1090" s="699" t="inlineStr">
        <is>
          <t xml:space="preserve">021 - DENISE FURTADO DE SOUZA - ME </t>
        </is>
      </c>
      <c r="B1090" s="697" t="n"/>
      <c r="C1090" s="697" t="n"/>
      <c r="D1090" s="697" t="n"/>
      <c r="E1090" s="697" t="n"/>
      <c r="F1090" s="697" t="n"/>
      <c r="G1090" s="697" t="n"/>
      <c r="H1090" s="697" t="n"/>
      <c r="I1090" s="697" t="n"/>
      <c r="J1090" s="697" t="n"/>
      <c r="K1090" s="697" t="n"/>
      <c r="L1090" s="698" t="n"/>
    </row>
    <row r="1091" ht="24" customHeight="1" s="436" thickBot="1">
      <c r="A1091" s="745" t="inlineStr">
        <is>
          <t xml:space="preserve">  PRÉ MISTURA - 25 KG</t>
        </is>
      </c>
      <c r="B1091" s="737" t="n"/>
      <c r="C1091" s="737" t="n"/>
      <c r="D1091" s="737" t="n"/>
      <c r="E1091" s="737" t="n"/>
      <c r="F1091" s="737" t="n"/>
      <c r="G1091" s="737" t="n"/>
      <c r="H1091" s="737" t="n"/>
      <c r="I1091" s="737" t="n"/>
      <c r="J1091" s="737" t="n"/>
      <c r="K1091" s="737" t="n"/>
      <c r="L1091" s="736" t="n"/>
    </row>
    <row r="1092">
      <c r="A1092" s="746" t="inlineStr">
        <is>
          <t>DATA</t>
        </is>
      </c>
      <c r="B1092" s="3" t="inlineStr">
        <is>
          <t>N.F.</t>
        </is>
      </c>
      <c r="C1092" s="3" t="inlineStr">
        <is>
          <t>TIPO</t>
        </is>
      </c>
      <c r="D1092" s="3" t="inlineStr">
        <is>
          <t>PREÇO UNITÁRIO</t>
        </is>
      </c>
      <c r="E1092" s="736" t="n"/>
      <c r="F1092" s="3" t="inlineStr">
        <is>
          <t>QUANTIDADE / KG</t>
        </is>
      </c>
      <c r="G1092" s="737" t="n"/>
      <c r="H1092" s="736" t="n"/>
      <c r="I1092" s="631" t="inlineStr">
        <is>
          <t>PREÇO</t>
        </is>
      </c>
      <c r="J1092" s="631" t="inlineStr">
        <is>
          <t>VALORES</t>
        </is>
      </c>
      <c r="K1092" s="737" t="n"/>
      <c r="L1092" s="736" t="n"/>
    </row>
    <row r="1093" ht="15.75" customHeight="1" s="436" thickBot="1">
      <c r="A1093" s="703" t="n"/>
      <c r="B1093" s="704" t="n"/>
      <c r="C1093" s="704" t="n"/>
      <c r="D1093" s="703" t="n"/>
      <c r="E1093" s="701" t="n"/>
      <c r="F1093" s="705" t="n"/>
      <c r="G1093" s="706" t="n"/>
      <c r="H1093" s="707" t="n"/>
      <c r="I1093" s="704" t="n"/>
      <c r="J1093" s="703" t="n"/>
      <c r="L1093" s="701" t="n"/>
    </row>
    <row r="1094" ht="15.75" customHeight="1" s="436" thickBot="1">
      <c r="A1094" s="703" t="n"/>
      <c r="B1094" s="704" t="n"/>
      <c r="C1094" s="704" t="n"/>
      <c r="D1094" s="705" t="n"/>
      <c r="E1094" s="707" t="n"/>
      <c r="F1094" s="3" t="inlineStr">
        <is>
          <t>ENTRADA</t>
        </is>
      </c>
      <c r="G1094" s="3" t="inlineStr">
        <is>
          <t>SAÍDA</t>
        </is>
      </c>
      <c r="H1094" s="640" t="n"/>
      <c r="I1094" s="633" t="inlineStr">
        <is>
          <t>MÉDIO</t>
        </is>
      </c>
      <c r="J1094" s="652" t="inlineStr">
        <is>
          <t>SALDO EM 30/12/2017</t>
        </is>
      </c>
      <c r="K1094" s="706" t="n"/>
      <c r="L1094" s="17" t="n"/>
    </row>
    <row r="1095" ht="15.75" customHeight="1" s="436" thickBot="1">
      <c r="A1095" s="705" t="n"/>
      <c r="B1095" s="695" t="n"/>
      <c r="C1095" s="695" t="n"/>
      <c r="D1095" s="3" t="inlineStr">
        <is>
          <t>C/ICMS</t>
        </is>
      </c>
      <c r="E1095" s="3" t="inlineStr">
        <is>
          <t>S/ICMS</t>
        </is>
      </c>
      <c r="F1095" s="695" t="n"/>
      <c r="G1095" s="695" t="n"/>
      <c r="H1095" s="18" t="inlineStr">
        <is>
          <t>Saldo em 29/02/2020</t>
        </is>
      </c>
      <c r="I1095" s="695" t="n"/>
      <c r="J1095" s="645" t="inlineStr">
        <is>
          <t>ENTRADA</t>
        </is>
      </c>
      <c r="K1095" s="633" t="inlineStr">
        <is>
          <t>SAÍDA / CMV</t>
        </is>
      </c>
      <c r="L1095" s="633" t="inlineStr">
        <is>
          <t>SALDO</t>
        </is>
      </c>
    </row>
    <row r="1096">
      <c r="A1096" s="48" t="n"/>
      <c r="B1096" s="49" t="n"/>
      <c r="C1096" s="49" t="n"/>
      <c r="D1096" s="71" t="n"/>
      <c r="E1096" s="71" t="n"/>
      <c r="F1096" s="55" t="n"/>
      <c r="G1096" s="55" t="n">
        <v>0</v>
      </c>
      <c r="H1096" s="55" t="n">
        <v>1730</v>
      </c>
      <c r="I1096" s="71" t="n"/>
      <c r="J1096" s="747">
        <f>F1096*I1096</f>
        <v/>
      </c>
      <c r="K1096" s="747" t="n"/>
      <c r="L1096" s="748">
        <f>J1096-K1096</f>
        <v/>
      </c>
    </row>
    <row r="1097">
      <c r="A1097" s="92" t="n">
        <v>43982</v>
      </c>
      <c r="B1097" s="93" t="n"/>
      <c r="C1097" s="96" t="n"/>
      <c r="D1097" s="97" t="n"/>
      <c r="E1097" s="97" t="n"/>
      <c r="F1097" s="98" t="n"/>
      <c r="G1097" s="98" t="n"/>
      <c r="H1097" s="55">
        <f>H1096-G1097</f>
        <v/>
      </c>
      <c r="I1097" s="51" t="n"/>
      <c r="J1097" s="749" t="n"/>
      <c r="K1097" s="749" t="n"/>
      <c r="L1097" s="748" t="n"/>
    </row>
    <row r="1098">
      <c r="A1098" s="568" t="n">
        <v>43985</v>
      </c>
      <c r="B1098" s="392" t="n">
        <v>7316</v>
      </c>
      <c r="C1098" s="392" t="n"/>
      <c r="D1098" s="392" t="n">
        <v>59.14</v>
      </c>
      <c r="E1098" s="392" t="n"/>
      <c r="F1098" s="392" t="n"/>
      <c r="G1098" s="392" t="n">
        <v>60</v>
      </c>
      <c r="H1098" s="55">
        <f>H1097-G1098</f>
        <v/>
      </c>
      <c r="I1098" s="392" t="n"/>
      <c r="J1098" s="392" t="n"/>
      <c r="K1098" s="392" t="n"/>
      <c r="L1098" s="392" t="n"/>
    </row>
    <row r="1099">
      <c r="A1099" s="568" t="n">
        <v>43985</v>
      </c>
      <c r="B1099" s="392" t="n">
        <v>7319</v>
      </c>
      <c r="C1099" s="392" t="n"/>
      <c r="D1099" s="392" t="n">
        <v>58</v>
      </c>
      <c r="E1099" s="392" t="n"/>
      <c r="F1099" s="392" t="n"/>
      <c r="G1099" s="392" t="n">
        <v>10</v>
      </c>
      <c r="H1099" s="55">
        <f>H1098-G1099</f>
        <v/>
      </c>
      <c r="I1099" s="392" t="n"/>
      <c r="J1099" s="392" t="n"/>
      <c r="K1099" s="392" t="n"/>
      <c r="L1099" s="392" t="n"/>
    </row>
    <row r="1100">
      <c r="A1100" s="568" t="n">
        <v>43985</v>
      </c>
      <c r="B1100" s="392" t="n">
        <v>7320</v>
      </c>
      <c r="C1100" s="392" t="n"/>
      <c r="D1100" s="392" t="n">
        <v>58.25</v>
      </c>
      <c r="E1100" s="392" t="n"/>
      <c r="F1100" s="392" t="n"/>
      <c r="G1100" s="392" t="n">
        <v>40</v>
      </c>
      <c r="H1100" s="55">
        <f>H1099-G1100</f>
        <v/>
      </c>
      <c r="I1100" s="392" t="n"/>
      <c r="J1100" s="392" t="n"/>
      <c r="K1100" s="392" t="n"/>
      <c r="L1100" s="392" t="n"/>
    </row>
    <row r="1101">
      <c r="A1101" s="568" t="n">
        <v>43985</v>
      </c>
      <c r="B1101" s="392" t="n">
        <v>7323</v>
      </c>
      <c r="C1101" s="392" t="n"/>
      <c r="D1101" s="392" t="n">
        <v>59</v>
      </c>
      <c r="E1101" s="392" t="n"/>
      <c r="F1101" s="392" t="n"/>
      <c r="G1101" s="392" t="n">
        <v>50</v>
      </c>
      <c r="H1101" s="55">
        <f>H1100-G1101</f>
        <v/>
      </c>
      <c r="I1101" s="392" t="n"/>
      <c r="J1101" s="392" t="n"/>
      <c r="K1101" s="392" t="n"/>
      <c r="L1101" s="392" t="n"/>
    </row>
    <row r="1102">
      <c r="A1102" s="568" t="n">
        <v>43985</v>
      </c>
      <c r="B1102" s="392" t="n">
        <v>7325</v>
      </c>
      <c r="C1102" s="392" t="n"/>
      <c r="D1102" s="392" t="n">
        <v>59</v>
      </c>
      <c r="E1102" s="392" t="n"/>
      <c r="F1102" s="392" t="n"/>
      <c r="G1102" s="392" t="n">
        <v>32</v>
      </c>
      <c r="H1102" s="55">
        <f>H1101-G1102</f>
        <v/>
      </c>
      <c r="I1102" s="392" t="n"/>
      <c r="J1102" s="392" t="n"/>
      <c r="K1102" s="392" t="n"/>
      <c r="L1102" s="392" t="n"/>
    </row>
    <row r="1103">
      <c r="A1103" s="568" t="n">
        <v>43985</v>
      </c>
      <c r="B1103" s="392" t="n">
        <v>7328</v>
      </c>
      <c r="C1103" s="392" t="n"/>
      <c r="D1103" s="392" t="n">
        <v>59</v>
      </c>
      <c r="E1103" s="392" t="n"/>
      <c r="F1103" s="392" t="n"/>
      <c r="G1103" s="392" t="n">
        <v>10</v>
      </c>
      <c r="H1103" s="55">
        <f>H1102-G1103</f>
        <v/>
      </c>
      <c r="I1103" s="392" t="n"/>
      <c r="J1103" s="392" t="n"/>
      <c r="K1103" s="392" t="n"/>
      <c r="L1103" s="392" t="n"/>
    </row>
    <row r="1104">
      <c r="A1104" s="568" t="n">
        <v>43986</v>
      </c>
      <c r="B1104" s="392" t="n">
        <v>7329</v>
      </c>
      <c r="C1104" s="392" t="n"/>
      <c r="D1104" s="392" t="n">
        <v>58</v>
      </c>
      <c r="E1104" s="392" t="n"/>
      <c r="F1104" s="392" t="n"/>
      <c r="G1104" s="392" t="n">
        <v>100</v>
      </c>
      <c r="H1104" s="55">
        <f>H1103-G1104</f>
        <v/>
      </c>
      <c r="I1104" s="392" t="n"/>
      <c r="J1104" s="392" t="n"/>
      <c r="K1104" s="392" t="n"/>
      <c r="L1104" s="392" t="n"/>
    </row>
    <row r="1105">
      <c r="A1105" s="568" t="n">
        <v>43992</v>
      </c>
      <c r="B1105" s="392" t="n">
        <v>7334</v>
      </c>
      <c r="C1105" s="392" t="n"/>
      <c r="D1105" s="392" t="n">
        <v>57</v>
      </c>
      <c r="E1105" s="392" t="n"/>
      <c r="F1105" s="392" t="n"/>
      <c r="G1105" s="392" t="n">
        <v>30</v>
      </c>
      <c r="H1105" s="55">
        <f>H1104-G1105</f>
        <v/>
      </c>
      <c r="I1105" s="392" t="n"/>
      <c r="J1105" s="392" t="n"/>
      <c r="K1105" s="392" t="n"/>
      <c r="L1105" s="392" t="n"/>
    </row>
    <row r="1106">
      <c r="A1106" s="568" t="n">
        <v>43992</v>
      </c>
      <c r="B1106" s="392" t="n">
        <v>7335</v>
      </c>
      <c r="C1106" s="392" t="n"/>
      <c r="D1106" s="392" t="n">
        <v>62</v>
      </c>
      <c r="E1106" s="392" t="n"/>
      <c r="F1106" s="392" t="n"/>
      <c r="G1106" s="392" t="n">
        <v>10</v>
      </c>
      <c r="H1106" s="55">
        <f>H1105-G1106</f>
        <v/>
      </c>
      <c r="I1106" s="392" t="n"/>
      <c r="J1106" s="392" t="n"/>
      <c r="K1106" s="392" t="n"/>
      <c r="L1106" s="392" t="n"/>
    </row>
    <row r="1107">
      <c r="A1107" s="568" t="n">
        <v>43995</v>
      </c>
      <c r="B1107" s="392" t="n">
        <v>7346</v>
      </c>
      <c r="C1107" s="392" t="n"/>
      <c r="D1107" s="392" t="n">
        <v>58</v>
      </c>
      <c r="E1107" s="392" t="n"/>
      <c r="F1107" s="392" t="n"/>
      <c r="G1107" s="392" t="n">
        <v>50</v>
      </c>
      <c r="H1107" s="55">
        <f>H1106-G1107</f>
        <v/>
      </c>
      <c r="I1107" s="392" t="n"/>
      <c r="J1107" s="392" t="n"/>
      <c r="K1107" s="392" t="n"/>
      <c r="L1107" s="392" t="n"/>
    </row>
    <row r="1108">
      <c r="A1108" s="568" t="n">
        <v>43998</v>
      </c>
      <c r="B1108" s="392" t="n">
        <v>7354</v>
      </c>
      <c r="C1108" s="392" t="n"/>
      <c r="D1108" s="392" t="n">
        <v>58</v>
      </c>
      <c r="E1108" s="392" t="n"/>
      <c r="F1108" s="392" t="n"/>
      <c r="G1108" s="392" t="n">
        <v>20</v>
      </c>
      <c r="H1108" s="55">
        <f>H1107-G1108</f>
        <v/>
      </c>
      <c r="I1108" s="392" t="n"/>
      <c r="J1108" s="392" t="n"/>
      <c r="K1108" s="392" t="n"/>
      <c r="L1108" s="392" t="n"/>
    </row>
    <row r="1109">
      <c r="A1109" s="568" t="n">
        <v>43998</v>
      </c>
      <c r="B1109" s="392" t="n">
        <v>7355</v>
      </c>
      <c r="C1109" s="392" t="n"/>
      <c r="D1109" s="392" t="n">
        <v>57</v>
      </c>
      <c r="E1109" s="392" t="n"/>
      <c r="F1109" s="392" t="n"/>
      <c r="G1109" s="392" t="n">
        <v>50</v>
      </c>
      <c r="H1109" s="55">
        <f>H1108-G1109</f>
        <v/>
      </c>
      <c r="I1109" s="392" t="n"/>
      <c r="J1109" s="392" t="n"/>
      <c r="K1109" s="392" t="n"/>
      <c r="L1109" s="392" t="n"/>
    </row>
    <row r="1110">
      <c r="A1110" s="568" t="n">
        <v>43998</v>
      </c>
      <c r="B1110" s="392" t="n">
        <v>7359</v>
      </c>
      <c r="C1110" s="392" t="n"/>
      <c r="D1110" s="392" t="n">
        <v>58.5</v>
      </c>
      <c r="E1110" s="392" t="n"/>
      <c r="F1110" s="392" t="n"/>
      <c r="G1110" s="392" t="n">
        <v>10</v>
      </c>
      <c r="H1110" s="55">
        <f>H1109-G1110</f>
        <v/>
      </c>
      <c r="I1110" s="392" t="n"/>
      <c r="J1110" s="392" t="n"/>
      <c r="K1110" s="392" t="n"/>
      <c r="L1110" s="392" t="n"/>
    </row>
    <row r="1111">
      <c r="A1111" s="568" t="n">
        <v>44000</v>
      </c>
      <c r="B1111" s="392" t="n">
        <v>7362</v>
      </c>
      <c r="C1111" s="392" t="n"/>
      <c r="D1111" s="392" t="n">
        <v>58</v>
      </c>
      <c r="E1111" s="392" t="n"/>
      <c r="F1111" s="392" t="n"/>
      <c r="G1111" s="392" t="n">
        <v>20</v>
      </c>
      <c r="H1111" s="55">
        <f>H1110-G1111</f>
        <v/>
      </c>
      <c r="I1111" s="392" t="n"/>
      <c r="J1111" s="392" t="n"/>
      <c r="K1111" s="392" t="n"/>
      <c r="L1111" s="392" t="n"/>
    </row>
    <row r="1112">
      <c r="A1112" s="568" t="n">
        <v>44000</v>
      </c>
      <c r="B1112" s="392" t="n">
        <v>7366</v>
      </c>
      <c r="C1112" s="392" t="n"/>
      <c r="D1112" s="392" t="n">
        <v>50</v>
      </c>
      <c r="E1112" s="392" t="n"/>
      <c r="F1112" s="392" t="n"/>
      <c r="G1112" s="392" t="n">
        <v>50</v>
      </c>
      <c r="H1112" s="55">
        <f>H1111-G1112</f>
        <v/>
      </c>
      <c r="I1112" s="392" t="n"/>
      <c r="J1112" s="392" t="n"/>
      <c r="K1112" s="392" t="n"/>
      <c r="L1112" s="392" t="n"/>
    </row>
    <row r="1113">
      <c r="A1113" s="568" t="n">
        <v>44004</v>
      </c>
      <c r="B1113" s="392" t="n">
        <v>7371</v>
      </c>
      <c r="C1113" s="392" t="n"/>
      <c r="D1113" s="392" t="n">
        <v>58</v>
      </c>
      <c r="E1113" s="392" t="n"/>
      <c r="F1113" s="392" t="n"/>
      <c r="G1113" s="392" t="n">
        <v>15</v>
      </c>
      <c r="H1113" s="55">
        <f>H1112-G1113</f>
        <v/>
      </c>
      <c r="I1113" s="392" t="n"/>
      <c r="J1113" s="392" t="n"/>
      <c r="K1113" s="392" t="n"/>
      <c r="L1113" s="392" t="n"/>
    </row>
    <row r="1114">
      <c r="A1114" s="568" t="n">
        <v>44004</v>
      </c>
      <c r="B1114" s="392" t="n">
        <v>7374</v>
      </c>
      <c r="C1114" s="392" t="n"/>
      <c r="D1114" s="392" t="n">
        <v>59</v>
      </c>
      <c r="E1114" s="392" t="n"/>
      <c r="F1114" s="392" t="n"/>
      <c r="G1114" s="392" t="n">
        <v>20</v>
      </c>
      <c r="H1114" s="55">
        <f>H1113-G1114</f>
        <v/>
      </c>
      <c r="I1114" s="392" t="n"/>
      <c r="J1114" s="392" t="n"/>
      <c r="K1114" s="392" t="n"/>
      <c r="L1114" s="392" t="n"/>
    </row>
    <row r="1115">
      <c r="A1115" s="568" t="n">
        <v>44004</v>
      </c>
      <c r="B1115" s="392" t="n">
        <v>7375</v>
      </c>
      <c r="C1115" s="392" t="n"/>
      <c r="D1115" s="392" t="n">
        <v>59.86</v>
      </c>
      <c r="E1115" s="392" t="n"/>
      <c r="F1115" s="392" t="n"/>
      <c r="G1115" s="392" t="n">
        <v>35</v>
      </c>
      <c r="H1115" s="55">
        <f>H1114-G1115</f>
        <v/>
      </c>
      <c r="I1115" s="392" t="n"/>
      <c r="J1115" s="392" t="n"/>
      <c r="K1115" s="392" t="n"/>
      <c r="L1115" s="392" t="n"/>
    </row>
    <row r="1116">
      <c r="A1116" s="568" t="n">
        <v>44006</v>
      </c>
      <c r="B1116" s="392" t="n">
        <v>7382</v>
      </c>
      <c r="C1116" s="392" t="n"/>
      <c r="D1116" s="392" t="n">
        <v>59</v>
      </c>
      <c r="E1116" s="392" t="n"/>
      <c r="F1116" s="392" t="n"/>
      <c r="G1116" s="392" t="n">
        <v>50</v>
      </c>
      <c r="H1116" s="55">
        <f>H1115-G1116</f>
        <v/>
      </c>
      <c r="I1116" s="392" t="n"/>
      <c r="J1116" s="392" t="n"/>
      <c r="K1116" s="392" t="n"/>
      <c r="L1116" s="392" t="n"/>
    </row>
    <row r="1117">
      <c r="A1117" s="568" t="n">
        <v>44011</v>
      </c>
      <c r="B1117" s="392" t="n">
        <v>7387</v>
      </c>
      <c r="C1117" s="392" t="n"/>
      <c r="D1117" s="392" t="n">
        <v>59</v>
      </c>
      <c r="E1117" s="392" t="n"/>
      <c r="F1117" s="392" t="n"/>
      <c r="G1117" s="392" t="n">
        <v>35</v>
      </c>
      <c r="H1117" s="55">
        <f>H1116-G1117</f>
        <v/>
      </c>
      <c r="I1117" s="392" t="n"/>
      <c r="J1117" s="392" t="n"/>
      <c r="K1117" s="392" t="n"/>
      <c r="L1117" s="392" t="n"/>
    </row>
    <row r="1118">
      <c r="A1118" s="568" t="n">
        <v>44011</v>
      </c>
      <c r="B1118" s="392" t="n">
        <v>7391</v>
      </c>
      <c r="C1118" s="392" t="n"/>
      <c r="D1118" s="392" t="n">
        <v>59</v>
      </c>
      <c r="E1118" s="392" t="n"/>
      <c r="F1118" s="392" t="n"/>
      <c r="G1118" s="392" t="n">
        <v>20</v>
      </c>
      <c r="H1118" s="55">
        <f>H1117-G1118</f>
        <v/>
      </c>
      <c r="I1118" s="392" t="n"/>
      <c r="J1118" s="392" t="n"/>
      <c r="K1118" s="392" t="n"/>
      <c r="L1118" s="392" t="n"/>
    </row>
    <row r="1119">
      <c r="A1119" s="568" t="n">
        <v>44011</v>
      </c>
      <c r="B1119" s="392" t="n">
        <v>7392</v>
      </c>
      <c r="C1119" s="392" t="n"/>
      <c r="D1119" s="392" t="n">
        <v>50</v>
      </c>
      <c r="E1119" s="392" t="n"/>
      <c r="F1119" s="392" t="n"/>
      <c r="G1119" s="392" t="n">
        <v>40</v>
      </c>
      <c r="H1119" s="55">
        <f>H1118-G1119</f>
        <v/>
      </c>
      <c r="I1119" s="392" t="n"/>
      <c r="J1119" s="392" t="n"/>
      <c r="K1119" s="392" t="n"/>
      <c r="L1119" s="392" t="n"/>
    </row>
    <row r="1120">
      <c r="A1120" s="568" t="n">
        <v>44011</v>
      </c>
      <c r="B1120" s="392" t="n">
        <v>7393</v>
      </c>
      <c r="C1120" s="392" t="n"/>
      <c r="D1120" s="392" t="n">
        <v>59.21</v>
      </c>
      <c r="E1120" s="392" t="n"/>
      <c r="F1120" s="392" t="n"/>
      <c r="G1120" s="392" t="n">
        <v>43</v>
      </c>
      <c r="H1120" s="55">
        <f>H1119-G1120</f>
        <v/>
      </c>
      <c r="I1120" s="392" t="n"/>
      <c r="J1120" s="392" t="n"/>
      <c r="K1120" s="392" t="n"/>
      <c r="L1120" s="392" t="n"/>
    </row>
    <row r="1121">
      <c r="A1121" s="568" t="n">
        <v>44011</v>
      </c>
      <c r="B1121" s="392" t="n">
        <v>7395</v>
      </c>
      <c r="C1121" s="392" t="n"/>
      <c r="D1121" s="392" t="n">
        <v>59</v>
      </c>
      <c r="E1121" s="392" t="n"/>
      <c r="F1121" s="392" t="n"/>
      <c r="G1121" s="392" t="n">
        <v>20</v>
      </c>
      <c r="H1121" s="55">
        <f>H1120-G1121</f>
        <v/>
      </c>
      <c r="I1121" s="392" t="n"/>
      <c r="J1121" s="392" t="n"/>
      <c r="K1121" s="392" t="n"/>
      <c r="L1121" s="392" t="n"/>
    </row>
    <row r="1122">
      <c r="A1122" s="568" t="n">
        <v>44011</v>
      </c>
      <c r="B1122" s="392" t="n">
        <v>7396</v>
      </c>
      <c r="C1122" s="392" t="n"/>
      <c r="D1122" s="392" t="n">
        <v>59</v>
      </c>
      <c r="E1122" s="392" t="n"/>
      <c r="F1122" s="392" t="n"/>
      <c r="G1122" s="392" t="n">
        <v>15</v>
      </c>
      <c r="H1122" s="55">
        <f>H1121-G1122</f>
        <v/>
      </c>
      <c r="I1122" s="392" t="n"/>
      <c r="J1122" s="392" t="n"/>
      <c r="K1122" s="392" t="n"/>
      <c r="L1122" s="392" t="n"/>
    </row>
    <row r="1123">
      <c r="A1123" s="568" t="n">
        <v>44012</v>
      </c>
      <c r="B1123" s="392" t="n">
        <v>7397</v>
      </c>
      <c r="C1123" s="392" t="n"/>
      <c r="D1123" s="392" t="n">
        <v>58.8</v>
      </c>
      <c r="E1123" s="392" t="n"/>
      <c r="F1123" s="392" t="n"/>
      <c r="G1123" s="392" t="n">
        <v>50</v>
      </c>
      <c r="H1123" s="55">
        <f>H1122-G1123</f>
        <v/>
      </c>
      <c r="I1123" s="392" t="n"/>
      <c r="J1123" s="392" t="n"/>
      <c r="K1123" s="392" t="n"/>
      <c r="L1123" s="392" t="n"/>
    </row>
    <row r="1124">
      <c r="A1124" s="392" t="n"/>
      <c r="B1124" s="392" t="n"/>
      <c r="C1124" s="392" t="n"/>
      <c r="D1124" s="392" t="n"/>
      <c r="E1124" s="392" t="n"/>
      <c r="F1124" s="392" t="n"/>
      <c r="G1124" s="392" t="n"/>
      <c r="H1124" s="55">
        <f>H1123-G1124</f>
        <v/>
      </c>
      <c r="I1124" s="392" t="n"/>
      <c r="J1124" s="392" t="n"/>
      <c r="K1124" s="392" t="n"/>
      <c r="L1124" s="392" t="n"/>
    </row>
    <row r="1125">
      <c r="A1125" s="392" t="n"/>
      <c r="B1125" s="392" t="n"/>
      <c r="C1125" s="392" t="n"/>
      <c r="D1125" s="392" t="n"/>
      <c r="E1125" s="392" t="n"/>
      <c r="F1125" s="392" t="n"/>
      <c r="G1125" s="392" t="n"/>
      <c r="H1125" s="392" t="n"/>
      <c r="I1125" s="392" t="n"/>
      <c r="J1125" s="392" t="n"/>
      <c r="K1125" s="392" t="n"/>
      <c r="L1125" s="392" t="n"/>
    </row>
    <row r="1126" ht="15.75" customHeight="1" s="436" thickBot="1">
      <c r="A1126" s="392" t="n"/>
      <c r="B1126" s="392" t="n"/>
      <c r="C1126" s="392" t="n"/>
      <c r="D1126" s="392" t="n"/>
      <c r="E1126" s="392" t="n"/>
      <c r="F1126" s="392" t="n"/>
      <c r="G1126" s="392" t="n"/>
      <c r="H1126" s="392" t="n"/>
      <c r="I1126" s="392" t="n"/>
      <c r="J1126" s="392" t="n"/>
      <c r="K1126" s="392" t="n"/>
      <c r="L1126" s="392" t="n"/>
    </row>
    <row r="1127" ht="21.75" customHeight="1" s="436" thickBot="1">
      <c r="A1127" s="757" t="inlineStr">
        <is>
          <t>JULHO</t>
        </is>
      </c>
      <c r="B1127" s="697" t="n"/>
      <c r="C1127" s="697" t="n"/>
      <c r="D1127" s="697" t="n"/>
      <c r="E1127" s="697" t="n"/>
      <c r="F1127" s="697" t="n"/>
      <c r="G1127" s="697" t="n"/>
      <c r="H1127" s="697" t="n"/>
      <c r="I1127" s="697" t="n"/>
      <c r="J1127" s="697" t="n"/>
      <c r="K1127" s="697" t="n"/>
      <c r="L1127" s="698" t="n"/>
    </row>
    <row r="1128" ht="21.75" customHeight="1" s="436" thickBot="1">
      <c r="A1128" s="699" t="inlineStr">
        <is>
          <t xml:space="preserve">021 - DENISE FURTADO DE SOUZA - ME </t>
        </is>
      </c>
      <c r="B1128" s="697" t="n"/>
      <c r="C1128" s="697" t="n"/>
      <c r="D1128" s="697" t="n"/>
      <c r="E1128" s="697" t="n"/>
      <c r="F1128" s="697" t="n"/>
      <c r="G1128" s="697" t="n"/>
      <c r="H1128" s="697" t="n"/>
      <c r="I1128" s="697" t="n"/>
      <c r="J1128" s="697" t="n"/>
      <c r="K1128" s="697" t="n"/>
      <c r="L1128" s="698" t="n"/>
    </row>
    <row r="1129" ht="24" customHeight="1" s="436" thickBot="1">
      <c r="A1129" s="745" t="inlineStr">
        <is>
          <t xml:space="preserve">  PRÉ MISTURA - 25 KG</t>
        </is>
      </c>
      <c r="B1129" s="737" t="n"/>
      <c r="C1129" s="737" t="n"/>
      <c r="D1129" s="737" t="n"/>
      <c r="E1129" s="737" t="n"/>
      <c r="F1129" s="737" t="n"/>
      <c r="G1129" s="737" t="n"/>
      <c r="H1129" s="737" t="n"/>
      <c r="I1129" s="737" t="n"/>
      <c r="J1129" s="737" t="n"/>
      <c r="K1129" s="737" t="n"/>
      <c r="L1129" s="736" t="n"/>
    </row>
    <row r="1130">
      <c r="A1130" s="746" t="inlineStr">
        <is>
          <t>DATA</t>
        </is>
      </c>
      <c r="B1130" s="3" t="inlineStr">
        <is>
          <t>N.F.</t>
        </is>
      </c>
      <c r="C1130" s="3" t="inlineStr">
        <is>
          <t>TIPO</t>
        </is>
      </c>
      <c r="D1130" s="3" t="inlineStr">
        <is>
          <t>PREÇO UNITÁRIO</t>
        </is>
      </c>
      <c r="E1130" s="736" t="n"/>
      <c r="F1130" s="3" t="inlineStr">
        <is>
          <t>QUANTIDADE / KG</t>
        </is>
      </c>
      <c r="G1130" s="737" t="n"/>
      <c r="H1130" s="736" t="n"/>
      <c r="I1130" s="631" t="inlineStr">
        <is>
          <t>PREÇO</t>
        </is>
      </c>
      <c r="J1130" s="631" t="inlineStr">
        <is>
          <t>VALORES</t>
        </is>
      </c>
      <c r="K1130" s="737" t="n"/>
      <c r="L1130" s="736" t="n"/>
    </row>
    <row r="1131" ht="15.75" customHeight="1" s="436" thickBot="1">
      <c r="A1131" s="703" t="n"/>
      <c r="B1131" s="704" t="n"/>
      <c r="C1131" s="704" t="n"/>
      <c r="D1131" s="703" t="n"/>
      <c r="E1131" s="701" t="n"/>
      <c r="F1131" s="705" t="n"/>
      <c r="G1131" s="706" t="n"/>
      <c r="H1131" s="707" t="n"/>
      <c r="I1131" s="704" t="n"/>
      <c r="J1131" s="703" t="n"/>
      <c r="L1131" s="701" t="n"/>
    </row>
    <row r="1132" ht="15.75" customHeight="1" s="436" thickBot="1">
      <c r="A1132" s="703" t="n"/>
      <c r="B1132" s="704" t="n"/>
      <c r="C1132" s="704" t="n"/>
      <c r="D1132" s="705" t="n"/>
      <c r="E1132" s="707" t="n"/>
      <c r="F1132" s="3" t="inlineStr">
        <is>
          <t>ENTRADA</t>
        </is>
      </c>
      <c r="G1132" s="3" t="inlineStr">
        <is>
          <t>SAÍDA</t>
        </is>
      </c>
      <c r="H1132" s="640" t="n"/>
      <c r="I1132" s="633" t="inlineStr">
        <is>
          <t>MÉDIO</t>
        </is>
      </c>
      <c r="J1132" s="652" t="inlineStr">
        <is>
          <t>SALDO EM 30/12/2017</t>
        </is>
      </c>
      <c r="K1132" s="706" t="n"/>
      <c r="L1132" s="17" t="n"/>
    </row>
    <row r="1133" ht="15.75" customHeight="1" s="436" thickBot="1">
      <c r="A1133" s="705" t="n"/>
      <c r="B1133" s="695" t="n"/>
      <c r="C1133" s="695" t="n"/>
      <c r="D1133" s="3" t="inlineStr">
        <is>
          <t>C/ICMS</t>
        </is>
      </c>
      <c r="E1133" s="3" t="inlineStr">
        <is>
          <t>S/ICMS</t>
        </is>
      </c>
      <c r="F1133" s="695" t="n"/>
      <c r="G1133" s="695" t="n"/>
      <c r="H1133" s="18" t="inlineStr">
        <is>
          <t>Saldo em 30/06/2020</t>
        </is>
      </c>
      <c r="I1133" s="695" t="n"/>
      <c r="J1133" s="645" t="inlineStr">
        <is>
          <t>ENTRADA</t>
        </is>
      </c>
      <c r="K1133" s="633" t="inlineStr">
        <is>
          <t>SAÍDA / CMV</t>
        </is>
      </c>
      <c r="L1133" s="633" t="inlineStr">
        <is>
          <t>SALDO</t>
        </is>
      </c>
    </row>
    <row r="1134">
      <c r="A1134" s="48" t="n"/>
      <c r="B1134" s="49" t="n"/>
      <c r="C1134" s="49" t="n"/>
      <c r="D1134" s="71" t="n"/>
      <c r="E1134" s="71" t="n"/>
      <c r="F1134" s="55" t="n"/>
      <c r="G1134" s="55" t="n">
        <v>0</v>
      </c>
      <c r="H1134" s="55" t="n">
        <v>845</v>
      </c>
      <c r="I1134" s="71" t="n"/>
      <c r="J1134" s="747">
        <f>F1134*I1134</f>
        <v/>
      </c>
      <c r="K1134" s="747" t="n"/>
      <c r="L1134" s="748">
        <f>J1134-K1134</f>
        <v/>
      </c>
    </row>
    <row r="1135">
      <c r="A1135" s="568" t="n">
        <v>44019</v>
      </c>
      <c r="B1135" s="392" t="n">
        <v>7407</v>
      </c>
      <c r="C1135" s="392" t="n"/>
      <c r="D1135" s="392" t="n">
        <v>60</v>
      </c>
      <c r="E1135" s="392" t="n"/>
      <c r="F1135" s="392" t="n"/>
      <c r="G1135" s="392" t="n">
        <v>30</v>
      </c>
      <c r="H1135" s="55">
        <f>H1134-G1135</f>
        <v/>
      </c>
      <c r="I1135" s="392" t="n"/>
      <c r="J1135" s="392" t="n"/>
      <c r="K1135" s="392" t="n"/>
      <c r="L1135" s="392" t="n"/>
    </row>
    <row r="1136">
      <c r="A1136" s="568" t="n">
        <v>44019</v>
      </c>
      <c r="B1136" s="392" t="n">
        <v>7408</v>
      </c>
      <c r="C1136" s="392" t="n"/>
      <c r="D1136" s="392" t="n">
        <v>58.67</v>
      </c>
      <c r="E1136" s="392" t="n"/>
      <c r="F1136" s="392" t="n"/>
      <c r="G1136" s="392" t="n">
        <v>15</v>
      </c>
      <c r="H1136" s="55">
        <f>H1135-G1136</f>
        <v/>
      </c>
      <c r="I1136" s="392" t="n"/>
      <c r="J1136" s="392" t="n"/>
      <c r="K1136" s="392" t="n"/>
      <c r="L1136" s="392" t="n"/>
    </row>
    <row r="1137">
      <c r="A1137" s="568" t="n">
        <v>44025</v>
      </c>
      <c r="B1137" s="392" t="n">
        <v>7420</v>
      </c>
      <c r="C1137" s="392" t="n"/>
      <c r="D1137" s="392" t="n">
        <v>62</v>
      </c>
      <c r="E1137" s="392" t="n"/>
      <c r="F1137" s="392" t="n"/>
      <c r="G1137" s="392" t="n">
        <v>50</v>
      </c>
      <c r="H1137" s="55">
        <f>H1136-G1137</f>
        <v/>
      </c>
      <c r="I1137" s="392" t="n"/>
      <c r="J1137" s="392" t="n"/>
      <c r="K1137" s="392" t="n"/>
      <c r="L1137" s="392" t="n"/>
    </row>
    <row r="1138">
      <c r="A1138" s="568" t="n">
        <v>44027</v>
      </c>
      <c r="B1138" s="392" t="n">
        <v>7431</v>
      </c>
      <c r="C1138" s="392" t="n"/>
      <c r="D1138" s="392" t="n">
        <v>62</v>
      </c>
      <c r="E1138" s="392" t="n"/>
      <c r="F1138" s="392" t="n"/>
      <c r="G1138" s="392" t="n">
        <v>30</v>
      </c>
      <c r="H1138" s="55">
        <f>H1137-G1138</f>
        <v/>
      </c>
      <c r="I1138" s="392" t="n"/>
      <c r="J1138" s="392" t="n"/>
      <c r="K1138" s="392" t="n"/>
      <c r="L1138" s="392" t="n"/>
    </row>
    <row r="1139">
      <c r="A1139" s="568" t="n">
        <v>44033</v>
      </c>
      <c r="B1139" s="392" t="n">
        <v>7439</v>
      </c>
      <c r="C1139" s="392" t="n"/>
      <c r="D1139" s="392" t="n">
        <v>60</v>
      </c>
      <c r="E1139" s="392" t="n"/>
      <c r="F1139" s="392" t="n"/>
      <c r="G1139" s="392" t="n">
        <v>40</v>
      </c>
      <c r="H1139" s="55">
        <f>H1138-G1139</f>
        <v/>
      </c>
      <c r="I1139" s="392" t="n"/>
      <c r="J1139" s="392" t="n"/>
      <c r="K1139" s="392" t="n"/>
      <c r="L1139" s="392" t="n"/>
    </row>
    <row r="1140">
      <c r="A1140" s="568" t="n">
        <v>44033</v>
      </c>
      <c r="B1140" s="392" t="n">
        <v>7440</v>
      </c>
      <c r="C1140" s="392" t="n"/>
      <c r="D1140" s="392" t="n">
        <v>58</v>
      </c>
      <c r="E1140" s="392" t="n"/>
      <c r="F1140" s="392" t="n"/>
      <c r="G1140" s="392" t="n">
        <v>50</v>
      </c>
      <c r="H1140" s="55">
        <f>H1139-G1140</f>
        <v/>
      </c>
      <c r="I1140" s="392" t="n"/>
      <c r="J1140" s="392" t="n"/>
      <c r="K1140" s="392" t="n"/>
      <c r="L1140" s="392" t="n"/>
    </row>
    <row r="1141">
      <c r="A1141" s="568" t="n">
        <v>44033</v>
      </c>
      <c r="B1141" s="392" t="n">
        <v>7442</v>
      </c>
      <c r="C1141" s="392" t="n"/>
      <c r="D1141" s="392" t="n">
        <v>60</v>
      </c>
      <c r="E1141" s="392" t="n"/>
      <c r="F1141" s="392" t="n"/>
      <c r="G1141" s="392" t="n">
        <v>20</v>
      </c>
      <c r="H1141" s="55">
        <f>H1140-G1141</f>
        <v/>
      </c>
      <c r="I1141" s="392" t="n"/>
      <c r="J1141" s="392" t="n"/>
      <c r="K1141" s="392" t="n"/>
      <c r="L1141" s="392" t="n"/>
    </row>
    <row r="1142">
      <c r="A1142" s="568" t="n">
        <v>44033</v>
      </c>
      <c r="B1142" s="392" t="n">
        <v>7444</v>
      </c>
      <c r="C1142" s="392" t="n"/>
      <c r="D1142" s="392" t="n">
        <v>60.46</v>
      </c>
      <c r="E1142" s="392" t="n"/>
      <c r="F1142" s="392" t="n"/>
      <c r="G1142" s="392" t="n">
        <v>22</v>
      </c>
      <c r="H1142" s="55">
        <f>H1141-G1142</f>
        <v/>
      </c>
      <c r="I1142" s="392" t="n"/>
      <c r="J1142" s="392" t="n"/>
      <c r="K1142" s="392" t="n"/>
      <c r="L1142" s="392" t="n"/>
    </row>
    <row r="1143">
      <c r="A1143" s="568" t="n">
        <v>44035</v>
      </c>
      <c r="B1143" s="392" t="n">
        <v>7445</v>
      </c>
      <c r="C1143" s="392" t="n"/>
      <c r="D1143" s="392" t="n">
        <v>60</v>
      </c>
      <c r="E1143" s="392" t="n"/>
      <c r="F1143" s="392" t="n"/>
      <c r="G1143" s="392" t="n">
        <v>30</v>
      </c>
      <c r="H1143" s="55">
        <f>H1142-G1143</f>
        <v/>
      </c>
      <c r="I1143" s="392" t="n"/>
      <c r="J1143" s="392" t="n"/>
      <c r="K1143" s="392" t="n"/>
      <c r="L1143" s="392" t="n"/>
    </row>
    <row r="1144">
      <c r="A1144" s="568" t="n">
        <v>44039</v>
      </c>
      <c r="B1144" s="392" t="n">
        <v>7453</v>
      </c>
      <c r="C1144" s="392" t="n"/>
      <c r="D1144" s="392" t="n">
        <v>58</v>
      </c>
      <c r="E1144" s="392" t="n"/>
      <c r="F1144" s="392" t="n"/>
      <c r="G1144" s="392" t="n">
        <v>50</v>
      </c>
      <c r="H1144" s="55">
        <f>H1143-G1144</f>
        <v/>
      </c>
      <c r="I1144" s="392" t="n"/>
      <c r="J1144" s="392" t="n"/>
      <c r="K1144" s="392" t="n"/>
      <c r="L1144" s="392" t="n"/>
    </row>
    <row r="1145">
      <c r="A1145" s="568" t="n">
        <v>44039</v>
      </c>
      <c r="B1145" s="392" t="n">
        <v>7456</v>
      </c>
      <c r="C1145" s="392" t="n"/>
      <c r="D1145" s="392" t="n">
        <v>60</v>
      </c>
      <c r="E1145" s="392" t="n"/>
      <c r="F1145" s="392" t="n"/>
      <c r="G1145" s="392" t="n">
        <v>20</v>
      </c>
      <c r="H1145" s="55">
        <f>H1144-G1145</f>
        <v/>
      </c>
      <c r="I1145" s="392" t="n"/>
      <c r="J1145" s="392" t="n"/>
      <c r="K1145" s="392" t="n"/>
      <c r="L1145" s="392" t="n"/>
    </row>
    <row r="1146">
      <c r="A1146" s="568" t="n">
        <v>44041</v>
      </c>
      <c r="B1146" s="392" t="n">
        <v>7464</v>
      </c>
      <c r="C1146" s="392" t="n"/>
      <c r="D1146" s="392" t="n">
        <v>55</v>
      </c>
      <c r="E1146" s="392" t="n"/>
      <c r="F1146" s="392" t="n"/>
      <c r="G1146" s="392" t="n">
        <v>80</v>
      </c>
      <c r="H1146" s="55">
        <f>H1145-G1146</f>
        <v/>
      </c>
      <c r="I1146" s="392" t="n"/>
      <c r="J1146" s="392" t="n"/>
      <c r="K1146" s="392" t="n"/>
      <c r="L1146" s="392" t="n"/>
    </row>
    <row r="1147">
      <c r="A1147" s="392" t="n"/>
      <c r="B1147" s="392" t="n"/>
      <c r="C1147" s="392" t="n"/>
      <c r="D1147" s="392" t="n"/>
      <c r="E1147" s="392" t="n"/>
      <c r="F1147" s="392" t="n"/>
      <c r="G1147" s="392" t="n"/>
      <c r="H1147" s="55">
        <f>H1146-G1147</f>
        <v/>
      </c>
      <c r="I1147" s="392" t="n"/>
      <c r="J1147" s="392" t="n"/>
      <c r="K1147" s="392" t="n"/>
      <c r="L1147" s="392" t="n"/>
    </row>
    <row r="1148">
      <c r="A1148" s="392" t="n"/>
      <c r="B1148" s="392" t="n"/>
      <c r="C1148" s="392" t="n"/>
      <c r="D1148" s="392" t="n"/>
      <c r="E1148" s="392" t="n"/>
      <c r="F1148" s="392" t="n"/>
      <c r="G1148" s="392" t="n"/>
      <c r="H1148" s="55">
        <f>H1147-G1148</f>
        <v/>
      </c>
      <c r="I1148" s="392" t="n"/>
      <c r="J1148" s="392" t="n"/>
      <c r="K1148" s="392" t="n"/>
      <c r="L1148" s="392" t="n"/>
    </row>
    <row r="1149">
      <c r="A1149" s="392" t="n"/>
      <c r="B1149" s="392" t="n"/>
      <c r="C1149" s="392" t="n"/>
      <c r="D1149" s="392" t="n"/>
      <c r="E1149" s="392" t="n"/>
      <c r="F1149" s="392" t="n"/>
      <c r="G1149" s="392" t="n"/>
      <c r="H1149" s="55">
        <f>H1148-G1149</f>
        <v/>
      </c>
      <c r="I1149" s="392" t="n"/>
      <c r="J1149" s="392" t="n"/>
      <c r="K1149" s="392" t="n"/>
      <c r="L1149" s="392" t="n"/>
    </row>
    <row r="1150" ht="15.75" customHeight="1" s="436" thickBot="1">
      <c r="A1150" s="392" t="n"/>
      <c r="B1150" s="392" t="n"/>
      <c r="C1150" s="392" t="n"/>
      <c r="D1150" s="392" t="n"/>
      <c r="E1150" s="392" t="n"/>
      <c r="F1150" s="392" t="n"/>
      <c r="G1150" s="392" t="n"/>
      <c r="H1150" s="55">
        <f>H1149-G1150</f>
        <v/>
      </c>
      <c r="I1150" s="392" t="n"/>
      <c r="J1150" s="392" t="n"/>
      <c r="K1150" s="392" t="n"/>
      <c r="L1150" s="392" t="n"/>
    </row>
    <row r="1151" ht="21.75" customHeight="1" s="436" thickBot="1">
      <c r="A1151" s="757" t="inlineStr">
        <is>
          <t>AGOSTO</t>
        </is>
      </c>
      <c r="B1151" s="697" t="n"/>
      <c r="C1151" s="697" t="n"/>
      <c r="D1151" s="697" t="n"/>
      <c r="E1151" s="697" t="n"/>
      <c r="F1151" s="697" t="n"/>
      <c r="G1151" s="697" t="n"/>
      <c r="H1151" s="697" t="n"/>
      <c r="I1151" s="697" t="n"/>
      <c r="J1151" s="697" t="n"/>
      <c r="K1151" s="697" t="n"/>
      <c r="L1151" s="698" t="n"/>
    </row>
    <row r="1152" ht="21.75" customHeight="1" s="436" thickBot="1">
      <c r="A1152" s="699" t="inlineStr">
        <is>
          <t xml:space="preserve">021 - DENISE FURTADO DE SOUZA - ME </t>
        </is>
      </c>
      <c r="B1152" s="697" t="n"/>
      <c r="C1152" s="697" t="n"/>
      <c r="D1152" s="697" t="n"/>
      <c r="E1152" s="697" t="n"/>
      <c r="F1152" s="697" t="n"/>
      <c r="G1152" s="697" t="n"/>
      <c r="H1152" s="697" t="n"/>
      <c r="I1152" s="697" t="n"/>
      <c r="J1152" s="697" t="n"/>
      <c r="K1152" s="697" t="n"/>
      <c r="L1152" s="698" t="n"/>
    </row>
    <row r="1153" ht="24" customHeight="1" s="436" thickBot="1">
      <c r="A1153" s="745" t="inlineStr">
        <is>
          <t xml:space="preserve">  PRÉ MISTURA - 25 KG</t>
        </is>
      </c>
      <c r="B1153" s="737" t="n"/>
      <c r="C1153" s="737" t="n"/>
      <c r="D1153" s="737" t="n"/>
      <c r="E1153" s="737" t="n"/>
      <c r="F1153" s="737" t="n"/>
      <c r="G1153" s="737" t="n"/>
      <c r="H1153" s="737" t="n"/>
      <c r="I1153" s="737" t="n"/>
      <c r="J1153" s="737" t="n"/>
      <c r="K1153" s="737" t="n"/>
      <c r="L1153" s="736" t="n"/>
    </row>
    <row r="1154">
      <c r="A1154" s="746" t="inlineStr">
        <is>
          <t>DATA</t>
        </is>
      </c>
      <c r="B1154" s="3" t="inlineStr">
        <is>
          <t>N.F.</t>
        </is>
      </c>
      <c r="C1154" s="3" t="inlineStr">
        <is>
          <t>TIPO</t>
        </is>
      </c>
      <c r="D1154" s="3" t="inlineStr">
        <is>
          <t>PREÇO UNITÁRIO</t>
        </is>
      </c>
      <c r="E1154" s="736" t="n"/>
      <c r="F1154" s="3" t="inlineStr">
        <is>
          <t>QUANTIDADE / KG</t>
        </is>
      </c>
      <c r="G1154" s="737" t="n"/>
      <c r="H1154" s="736" t="n"/>
      <c r="I1154" s="631" t="inlineStr">
        <is>
          <t>PREÇO</t>
        </is>
      </c>
      <c r="J1154" s="631" t="inlineStr">
        <is>
          <t>VALORES</t>
        </is>
      </c>
      <c r="K1154" s="737" t="n"/>
      <c r="L1154" s="736" t="n"/>
    </row>
    <row r="1155" ht="15.75" customHeight="1" s="436" thickBot="1">
      <c r="A1155" s="703" t="n"/>
      <c r="B1155" s="704" t="n"/>
      <c r="C1155" s="704" t="n"/>
      <c r="D1155" s="703" t="n"/>
      <c r="E1155" s="701" t="n"/>
      <c r="F1155" s="705" t="n"/>
      <c r="G1155" s="706" t="n"/>
      <c r="H1155" s="707" t="n"/>
      <c r="I1155" s="704" t="n"/>
      <c r="J1155" s="703" t="n"/>
      <c r="L1155" s="701" t="n"/>
    </row>
    <row r="1156" ht="15.75" customHeight="1" s="436" thickBot="1">
      <c r="A1156" s="703" t="n"/>
      <c r="B1156" s="704" t="n"/>
      <c r="C1156" s="704" t="n"/>
      <c r="D1156" s="705" t="n"/>
      <c r="E1156" s="707" t="n"/>
      <c r="F1156" s="3" t="inlineStr">
        <is>
          <t>ENTRADA</t>
        </is>
      </c>
      <c r="G1156" s="3" t="inlineStr">
        <is>
          <t>SAÍDA</t>
        </is>
      </c>
      <c r="H1156" s="640" t="n"/>
      <c r="I1156" s="633" t="inlineStr">
        <is>
          <t>MÉDIO</t>
        </is>
      </c>
      <c r="J1156" s="652" t="inlineStr">
        <is>
          <t>SALDO EM 30/12/2017</t>
        </is>
      </c>
      <c r="K1156" s="706" t="n"/>
      <c r="L1156" s="17" t="n"/>
    </row>
    <row r="1157" ht="15.75" customHeight="1" s="436" thickBot="1">
      <c r="A1157" s="705" t="n"/>
      <c r="B1157" s="695" t="n"/>
      <c r="C1157" s="695" t="n"/>
      <c r="D1157" s="3" t="inlineStr">
        <is>
          <t>C/ICMS</t>
        </is>
      </c>
      <c r="E1157" s="3" t="inlineStr">
        <is>
          <t>S/ICMS</t>
        </is>
      </c>
      <c r="F1157" s="695" t="n"/>
      <c r="G1157" s="695" t="n"/>
      <c r="H1157" s="18" t="inlineStr">
        <is>
          <t>Saldo em 31/07/2020</t>
        </is>
      </c>
      <c r="I1157" s="695" t="n"/>
      <c r="J1157" s="645" t="inlineStr">
        <is>
          <t>ENTRADA</t>
        </is>
      </c>
      <c r="K1157" s="633" t="inlineStr">
        <is>
          <t>SAÍDA / CMV</t>
        </is>
      </c>
      <c r="L1157" s="633" t="inlineStr">
        <is>
          <t>SALDO</t>
        </is>
      </c>
    </row>
    <row r="1158">
      <c r="A1158" s="48" t="n"/>
      <c r="B1158" s="49" t="n"/>
      <c r="C1158" s="49" t="n"/>
      <c r="D1158" s="71" t="n"/>
      <c r="E1158" s="71" t="n"/>
      <c r="F1158" s="55" t="n"/>
      <c r="G1158" s="55" t="n">
        <v>0</v>
      </c>
      <c r="H1158" s="55" t="n">
        <v>408</v>
      </c>
      <c r="I1158" s="71" t="n"/>
      <c r="J1158" s="747">
        <f>F1158*I1158</f>
        <v/>
      </c>
      <c r="K1158" s="747" t="n"/>
      <c r="L1158" s="748">
        <f>J1158-K1158</f>
        <v/>
      </c>
    </row>
    <row r="1159">
      <c r="A1159" s="568" t="n">
        <v>44046</v>
      </c>
      <c r="B1159" s="392" t="n">
        <v>7467</v>
      </c>
      <c r="C1159" s="392" t="n"/>
      <c r="D1159" s="392" t="n">
        <v>61.25</v>
      </c>
      <c r="E1159" s="392" t="n"/>
      <c r="F1159" s="392" t="n"/>
      <c r="G1159" s="392" t="n">
        <v>40</v>
      </c>
      <c r="H1159" s="52">
        <f>H1158-G1159</f>
        <v/>
      </c>
      <c r="I1159" s="392" t="n"/>
      <c r="J1159" s="392" t="n"/>
      <c r="K1159" s="392" t="n"/>
      <c r="L1159" s="392" t="n"/>
    </row>
    <row r="1160">
      <c r="A1160" s="568" t="n">
        <v>44046</v>
      </c>
      <c r="B1160" s="392" t="n">
        <v>7468</v>
      </c>
      <c r="C1160" s="392" t="n"/>
      <c r="D1160" s="392" t="n">
        <v>60</v>
      </c>
      <c r="E1160" s="392" t="n"/>
      <c r="F1160" s="392" t="n"/>
      <c r="G1160" s="392" t="n">
        <v>50</v>
      </c>
      <c r="H1160" s="52">
        <f>H1159-G1160</f>
        <v/>
      </c>
      <c r="I1160" s="392" t="n"/>
      <c r="J1160" s="392" t="n"/>
      <c r="K1160" s="392" t="n"/>
      <c r="L1160" s="392" t="n"/>
    </row>
    <row r="1161">
      <c r="A1161" s="568" t="n">
        <v>44047</v>
      </c>
      <c r="B1161" s="392" t="n">
        <v>7472</v>
      </c>
      <c r="C1161" s="392" t="n"/>
      <c r="D1161" s="392" t="n">
        <v>61.58</v>
      </c>
      <c r="E1161" s="392" t="n"/>
      <c r="F1161" s="392" t="n"/>
      <c r="G1161" s="392" t="n">
        <v>35</v>
      </c>
      <c r="H1161" s="52">
        <f>H1160-G1161</f>
        <v/>
      </c>
      <c r="I1161" s="392" t="n"/>
      <c r="J1161" s="392" t="n"/>
      <c r="K1161" s="392" t="n"/>
      <c r="L1161" s="392" t="n"/>
    </row>
    <row r="1162">
      <c r="A1162" s="568" t="n">
        <v>44049</v>
      </c>
      <c r="B1162" s="392" t="n">
        <v>7483</v>
      </c>
      <c r="C1162" s="392" t="n"/>
      <c r="D1162" s="392" t="n">
        <v>62</v>
      </c>
      <c r="E1162" s="392" t="n"/>
      <c r="F1162" s="392" t="n"/>
      <c r="G1162" s="392" t="n">
        <v>20</v>
      </c>
      <c r="H1162" s="52">
        <f>H1161-G1162</f>
        <v/>
      </c>
      <c r="I1162" s="392" t="n"/>
      <c r="J1162" s="392" t="n"/>
      <c r="K1162" s="392" t="n"/>
      <c r="L1162" s="392" t="n"/>
    </row>
    <row r="1163">
      <c r="A1163" s="568" t="n">
        <v>44049</v>
      </c>
      <c r="B1163" s="392" t="n">
        <v>7484</v>
      </c>
      <c r="C1163" s="392" t="n"/>
      <c r="D1163" s="392" t="n">
        <v>61.25</v>
      </c>
      <c r="E1163" s="392" t="n"/>
      <c r="F1163" s="392" t="n"/>
      <c r="G1163" s="392" t="n">
        <v>40</v>
      </c>
      <c r="H1163" s="52">
        <f>H1162-G1163</f>
        <v/>
      </c>
      <c r="I1163" s="392" t="n"/>
      <c r="J1163" s="392" t="n"/>
      <c r="K1163" s="392" t="n"/>
      <c r="L1163" s="392" t="n"/>
    </row>
    <row r="1164">
      <c r="A1164" s="568" t="n">
        <v>44049</v>
      </c>
      <c r="B1164" s="392" t="n">
        <v>7487</v>
      </c>
      <c r="C1164" s="392" t="n"/>
      <c r="D1164" s="392" t="n">
        <v>50</v>
      </c>
      <c r="E1164" s="392" t="n"/>
      <c r="F1164" s="392" t="n"/>
      <c r="G1164" s="392" t="n">
        <v>150</v>
      </c>
      <c r="H1164" s="52">
        <f>H1163-G1164</f>
        <v/>
      </c>
      <c r="I1164" s="392" t="n"/>
      <c r="J1164" s="392" t="n"/>
      <c r="K1164" s="392" t="n"/>
      <c r="L1164" s="392" t="n"/>
    </row>
    <row r="1165">
      <c r="A1165" s="568" t="n">
        <v>44049</v>
      </c>
      <c r="B1165" s="392" t="n">
        <v>7488</v>
      </c>
      <c r="C1165" s="392" t="n"/>
      <c r="D1165" s="392" t="n">
        <v>60.63</v>
      </c>
      <c r="E1165" s="392" t="n"/>
      <c r="F1165" s="392" t="n"/>
      <c r="G1165" s="392" t="n">
        <v>40</v>
      </c>
      <c r="H1165" s="52">
        <f>H1164-G1165</f>
        <v/>
      </c>
      <c r="I1165" s="392" t="n"/>
      <c r="J1165" s="392" t="n"/>
      <c r="K1165" s="392" t="n"/>
      <c r="L1165" s="392" t="n"/>
    </row>
    <row r="1166">
      <c r="A1166" s="304" t="n">
        <v>44053</v>
      </c>
      <c r="B1166" s="401" t="n">
        <v>147140</v>
      </c>
      <c r="C1166" s="401" t="n"/>
      <c r="D1166" s="401" t="n">
        <v>53.2</v>
      </c>
      <c r="E1166" s="401" t="n"/>
      <c r="F1166" s="401" t="n">
        <v>540</v>
      </c>
      <c r="G1166" s="401" t="n"/>
      <c r="H1166" s="277" t="n">
        <v>573</v>
      </c>
      <c r="I1166" s="392" t="n"/>
      <c r="J1166" s="392" t="n"/>
      <c r="K1166" s="392" t="n"/>
      <c r="L1166" s="392" t="n"/>
    </row>
    <row r="1167">
      <c r="A1167" s="568" t="n">
        <v>44055</v>
      </c>
      <c r="B1167" s="392" t="n">
        <v>7492</v>
      </c>
      <c r="C1167" s="392" t="n"/>
      <c r="D1167" s="392" t="n">
        <v>60</v>
      </c>
      <c r="E1167" s="392" t="n"/>
      <c r="F1167" s="392" t="n"/>
      <c r="G1167" s="392" t="n">
        <v>20</v>
      </c>
      <c r="H1167" s="52">
        <f>H1166-G1167</f>
        <v/>
      </c>
      <c r="I1167" s="392" t="n"/>
      <c r="J1167" s="392" t="n"/>
      <c r="K1167" s="392" t="n"/>
      <c r="L1167" s="392" t="n"/>
    </row>
    <row r="1168">
      <c r="A1168" s="568" t="n">
        <v>44056</v>
      </c>
      <c r="B1168" s="392" t="n">
        <v>7505</v>
      </c>
      <c r="C1168" s="392" t="n"/>
      <c r="D1168" s="392" t="n">
        <v>60.72</v>
      </c>
      <c r="E1168" s="392" t="n"/>
      <c r="F1168" s="392" t="n"/>
      <c r="G1168" s="392" t="n">
        <v>35</v>
      </c>
      <c r="H1168" s="52">
        <f>H1167-G1168</f>
        <v/>
      </c>
      <c r="I1168" s="392" t="n"/>
      <c r="J1168" s="392" t="n"/>
      <c r="K1168" s="392" t="n"/>
      <c r="L1168" s="392" t="n"/>
    </row>
    <row r="1169">
      <c r="A1169" s="568" t="n">
        <v>44056</v>
      </c>
      <c r="B1169" s="392" t="n">
        <v>7506</v>
      </c>
      <c r="C1169" s="392" t="n"/>
      <c r="D1169" s="392" t="n">
        <v>59</v>
      </c>
      <c r="E1169" s="392" t="n"/>
      <c r="F1169" s="392" t="n"/>
      <c r="G1169" s="392" t="n">
        <v>20</v>
      </c>
      <c r="H1169" s="52">
        <f>H1168-G1169</f>
        <v/>
      </c>
      <c r="I1169" s="392" t="n"/>
      <c r="J1169" s="392" t="n"/>
      <c r="K1169" s="392" t="n"/>
      <c r="L1169" s="392" t="n"/>
    </row>
    <row r="1170">
      <c r="A1170" s="568" t="n">
        <v>44060</v>
      </c>
      <c r="B1170" s="392" t="n">
        <v>7508</v>
      </c>
      <c r="C1170" s="392" t="n"/>
      <c r="D1170" s="392" t="n">
        <v>59</v>
      </c>
      <c r="E1170" s="392" t="n"/>
      <c r="F1170" s="392" t="n"/>
      <c r="G1170" s="392" t="n">
        <v>20</v>
      </c>
      <c r="H1170" s="52">
        <f>H1169-G1170</f>
        <v/>
      </c>
      <c r="I1170" s="392" t="n"/>
      <c r="J1170" s="392" t="n"/>
      <c r="K1170" s="392" t="n"/>
      <c r="L1170" s="392" t="n"/>
    </row>
    <row r="1171">
      <c r="A1171" s="568" t="n">
        <v>44061</v>
      </c>
      <c r="B1171" s="392" t="n">
        <v>7518</v>
      </c>
      <c r="C1171" s="392" t="n"/>
      <c r="D1171" s="392" t="n">
        <v>59</v>
      </c>
      <c r="E1171" s="392" t="n"/>
      <c r="F1171" s="392" t="n"/>
      <c r="G1171" s="392" t="n">
        <v>60</v>
      </c>
      <c r="H1171" s="52">
        <f>H1170-G1171</f>
        <v/>
      </c>
      <c r="I1171" s="392" t="n"/>
      <c r="J1171" s="392" t="n"/>
      <c r="K1171" s="392" t="n"/>
      <c r="L1171" s="392" t="n"/>
    </row>
    <row r="1172">
      <c r="A1172" s="568" t="n">
        <v>44061</v>
      </c>
      <c r="B1172" s="392" t="n">
        <v>7519</v>
      </c>
      <c r="C1172" s="392" t="n"/>
      <c r="D1172" s="392" t="n">
        <v>61</v>
      </c>
      <c r="E1172" s="392" t="n"/>
      <c r="F1172" s="392" t="n"/>
      <c r="G1172" s="392" t="n">
        <v>50</v>
      </c>
      <c r="H1172" s="52">
        <f>H1171-G1172</f>
        <v/>
      </c>
      <c r="I1172" s="392" t="n"/>
      <c r="J1172" s="392" t="n"/>
      <c r="K1172" s="392" t="n"/>
      <c r="L1172" s="392" t="n"/>
    </row>
    <row r="1173">
      <c r="A1173" s="568" t="n">
        <v>44061</v>
      </c>
      <c r="B1173" s="392" t="n">
        <v>7521</v>
      </c>
      <c r="C1173" s="392" t="n"/>
      <c r="D1173" s="392" t="n">
        <v>61.25</v>
      </c>
      <c r="E1173" s="392" t="n"/>
      <c r="F1173" s="392" t="n"/>
      <c r="G1173" s="392" t="n">
        <v>40</v>
      </c>
      <c r="H1173" s="52">
        <f>H1172-G1173</f>
        <v/>
      </c>
      <c r="I1173" s="392" t="n"/>
      <c r="J1173" s="392" t="n"/>
      <c r="K1173" s="392" t="n"/>
      <c r="L1173" s="392" t="n"/>
    </row>
    <row r="1174">
      <c r="A1174" s="568" t="n">
        <v>44068</v>
      </c>
      <c r="B1174" s="392" t="n">
        <v>7527</v>
      </c>
      <c r="C1174" s="392" t="n"/>
      <c r="D1174" s="392" t="n">
        <v>61.25</v>
      </c>
      <c r="E1174" s="392" t="n"/>
      <c r="F1174" s="392" t="n"/>
      <c r="G1174" s="392" t="n">
        <v>60</v>
      </c>
      <c r="H1174" s="52">
        <f>H1173-G1174</f>
        <v/>
      </c>
      <c r="I1174" s="392" t="n"/>
      <c r="J1174" s="392" t="n"/>
      <c r="K1174" s="392" t="n"/>
      <c r="L1174" s="392" t="n"/>
    </row>
    <row r="1175">
      <c r="A1175" s="568" t="n">
        <v>44068</v>
      </c>
      <c r="B1175" s="392" t="n">
        <v>7528</v>
      </c>
      <c r="C1175" s="392" t="n"/>
      <c r="D1175" s="392" t="n">
        <v>59</v>
      </c>
      <c r="E1175" s="392" t="n"/>
      <c r="F1175" s="392" t="n"/>
      <c r="G1175" s="392" t="n">
        <v>50</v>
      </c>
      <c r="H1175" s="52">
        <f>H1174-G1175</f>
        <v/>
      </c>
      <c r="I1175" s="392" t="n"/>
      <c r="J1175" s="392" t="n"/>
      <c r="K1175" s="392" t="n"/>
      <c r="L1175" s="392" t="n"/>
    </row>
    <row r="1176">
      <c r="A1176" s="568" t="n">
        <v>44068</v>
      </c>
      <c r="B1176" s="392" t="n">
        <v>7530</v>
      </c>
      <c r="C1176" s="392" t="n"/>
      <c r="D1176" s="392" t="n">
        <v>60</v>
      </c>
      <c r="E1176" s="392" t="n"/>
      <c r="F1176" s="392" t="n"/>
      <c r="G1176" s="392" t="n">
        <v>50</v>
      </c>
      <c r="H1176" s="52">
        <f>H1175-G1176</f>
        <v/>
      </c>
      <c r="I1176" s="392" t="n"/>
      <c r="J1176" s="392" t="n"/>
      <c r="K1176" s="392" t="n"/>
      <c r="L1176" s="392" t="n"/>
    </row>
    <row r="1177">
      <c r="A1177" s="568" t="n">
        <v>44069</v>
      </c>
      <c r="B1177" s="392" t="n">
        <v>7541</v>
      </c>
      <c r="C1177" s="392" t="n"/>
      <c r="D1177" s="392" t="n">
        <v>60</v>
      </c>
      <c r="E1177" s="392" t="n"/>
      <c r="F1177" s="392" t="n"/>
      <c r="G1177" s="392" t="n">
        <v>30</v>
      </c>
      <c r="H1177" s="52">
        <f>H1176-G1177</f>
        <v/>
      </c>
      <c r="I1177" s="392" t="n"/>
      <c r="J1177" s="392" t="n"/>
      <c r="K1177" s="392" t="n"/>
      <c r="L1177" s="392" t="n"/>
    </row>
    <row r="1178">
      <c r="A1178" s="334" t="n">
        <v>44070</v>
      </c>
      <c r="B1178" s="401" t="n">
        <v>148263</v>
      </c>
      <c r="C1178" s="401" t="n"/>
      <c r="D1178" s="401" t="n">
        <v>53.2</v>
      </c>
      <c r="E1178" s="401" t="n"/>
      <c r="F1178" s="401" t="n">
        <v>480</v>
      </c>
      <c r="G1178" s="401" t="n"/>
      <c r="H1178" s="277" t="n">
        <v>618</v>
      </c>
      <c r="I1178" s="392" t="n"/>
      <c r="J1178" s="392" t="n"/>
      <c r="K1178" s="392" t="n"/>
      <c r="L1178" s="392" t="n"/>
    </row>
    <row r="1179">
      <c r="A1179" s="392" t="n"/>
      <c r="B1179" s="392" t="n"/>
      <c r="C1179" s="392" t="n"/>
      <c r="D1179" s="392" t="n"/>
      <c r="E1179" s="392" t="n"/>
      <c r="F1179" s="392" t="n"/>
      <c r="G1179" s="392" t="n"/>
      <c r="H1179" s="52">
        <f>H1178-G1179</f>
        <v/>
      </c>
      <c r="I1179" s="392" t="n"/>
      <c r="J1179" s="392" t="n"/>
      <c r="K1179" s="392" t="n"/>
      <c r="L1179" s="392" t="n"/>
    </row>
    <row r="1180">
      <c r="A1180" s="392" t="n"/>
      <c r="B1180" s="392" t="n"/>
      <c r="C1180" s="392" t="n"/>
      <c r="D1180" s="392" t="n"/>
      <c r="E1180" s="392" t="n"/>
      <c r="F1180" s="392" t="n"/>
      <c r="G1180" s="392" t="n"/>
      <c r="H1180" s="52">
        <f>H1179-G1180</f>
        <v/>
      </c>
      <c r="I1180" s="392" t="n"/>
      <c r="J1180" s="392" t="n"/>
      <c r="K1180" s="392" t="n"/>
      <c r="L1180" s="392" t="n"/>
    </row>
    <row r="1181" ht="15.75" customHeight="1" s="436" thickBot="1">
      <c r="A1181" s="392" t="n"/>
      <c r="B1181" s="392" t="n"/>
      <c r="C1181" s="392" t="n"/>
      <c r="D1181" s="392" t="n"/>
      <c r="E1181" s="392" t="n"/>
      <c r="F1181" s="392" t="n"/>
      <c r="G1181" s="392" t="n"/>
      <c r="H1181" s="52">
        <f>H1180-G1181</f>
        <v/>
      </c>
      <c r="I1181" s="392" t="n"/>
      <c r="J1181" s="392" t="n"/>
      <c r="K1181" s="392" t="n"/>
      <c r="L1181" s="392" t="n"/>
    </row>
    <row r="1182" ht="21.75" customHeight="1" s="436" thickBot="1">
      <c r="A1182" s="757" t="inlineStr">
        <is>
          <t>Setembro</t>
        </is>
      </c>
      <c r="B1182" s="697" t="n"/>
      <c r="C1182" s="697" t="n"/>
      <c r="D1182" s="697" t="n"/>
      <c r="E1182" s="697" t="n"/>
      <c r="F1182" s="697" t="n"/>
      <c r="G1182" s="697" t="n"/>
      <c r="H1182" s="697" t="n"/>
      <c r="I1182" s="697" t="n"/>
      <c r="J1182" s="697" t="n"/>
      <c r="K1182" s="697" t="n"/>
      <c r="L1182" s="698" t="n"/>
    </row>
    <row r="1183" ht="21.75" customHeight="1" s="436" thickBot="1">
      <c r="A1183" s="699" t="inlineStr">
        <is>
          <t xml:space="preserve">021 - DENISE FURTADO DE SOUZA - ME </t>
        </is>
      </c>
      <c r="B1183" s="697" t="n"/>
      <c r="C1183" s="697" t="n"/>
      <c r="D1183" s="697" t="n"/>
      <c r="E1183" s="697" t="n"/>
      <c r="F1183" s="697" t="n"/>
      <c r="G1183" s="697" t="n"/>
      <c r="H1183" s="697" t="n"/>
      <c r="I1183" s="697" t="n"/>
      <c r="J1183" s="697" t="n"/>
      <c r="K1183" s="697" t="n"/>
      <c r="L1183" s="698" t="n"/>
    </row>
    <row r="1184" ht="24" customHeight="1" s="436" thickBot="1">
      <c r="A1184" s="745" t="inlineStr">
        <is>
          <t xml:space="preserve">  PRÉ MISTURA - 25 KG</t>
        </is>
      </c>
      <c r="B1184" s="737" t="n"/>
      <c r="C1184" s="737" t="n"/>
      <c r="D1184" s="737" t="n"/>
      <c r="E1184" s="737" t="n"/>
      <c r="F1184" s="737" t="n"/>
      <c r="G1184" s="737" t="n"/>
      <c r="H1184" s="737" t="n"/>
      <c r="I1184" s="737" t="n"/>
      <c r="J1184" s="737" t="n"/>
      <c r="K1184" s="737" t="n"/>
      <c r="L1184" s="736" t="n"/>
    </row>
    <row r="1185">
      <c r="A1185" s="746" t="inlineStr">
        <is>
          <t>DATA</t>
        </is>
      </c>
      <c r="B1185" s="3" t="inlineStr">
        <is>
          <t>N.F.</t>
        </is>
      </c>
      <c r="C1185" s="3" t="inlineStr">
        <is>
          <t>TIPO</t>
        </is>
      </c>
      <c r="D1185" s="3" t="inlineStr">
        <is>
          <t>PREÇO UNITÁRIO</t>
        </is>
      </c>
      <c r="E1185" s="736" t="n"/>
      <c r="F1185" s="3" t="inlineStr">
        <is>
          <t>QUANTIDADE / KG</t>
        </is>
      </c>
      <c r="G1185" s="737" t="n"/>
      <c r="H1185" s="736" t="n"/>
      <c r="I1185" s="631" t="inlineStr">
        <is>
          <t>PREÇO</t>
        </is>
      </c>
      <c r="J1185" s="631" t="inlineStr">
        <is>
          <t>VALORES</t>
        </is>
      </c>
      <c r="K1185" s="737" t="n"/>
      <c r="L1185" s="736" t="n"/>
    </row>
    <row r="1186" ht="15.75" customHeight="1" s="436" thickBot="1">
      <c r="A1186" s="703" t="n"/>
      <c r="B1186" s="704" t="n"/>
      <c r="C1186" s="704" t="n"/>
      <c r="D1186" s="703" t="n"/>
      <c r="E1186" s="701" t="n"/>
      <c r="F1186" s="705" t="n"/>
      <c r="G1186" s="706" t="n"/>
      <c r="H1186" s="707" t="n"/>
      <c r="I1186" s="704" t="n"/>
      <c r="J1186" s="703" t="n"/>
      <c r="L1186" s="701" t="n"/>
    </row>
    <row r="1187" ht="15.75" customHeight="1" s="436" thickBot="1">
      <c r="A1187" s="703" t="n"/>
      <c r="B1187" s="704" t="n"/>
      <c r="C1187" s="704" t="n"/>
      <c r="D1187" s="705" t="n"/>
      <c r="E1187" s="707" t="n"/>
      <c r="F1187" s="3" t="inlineStr">
        <is>
          <t>ENTRADA</t>
        </is>
      </c>
      <c r="G1187" s="3" t="inlineStr">
        <is>
          <t>SAÍDA</t>
        </is>
      </c>
      <c r="H1187" s="640" t="n"/>
      <c r="I1187" s="633" t="inlineStr">
        <is>
          <t>MÉDIO</t>
        </is>
      </c>
      <c r="J1187" s="652" t="inlineStr">
        <is>
          <t>SALDO EM 30/12/2017</t>
        </is>
      </c>
      <c r="K1187" s="706" t="n"/>
      <c r="L1187" s="17" t="n"/>
    </row>
    <row r="1188" ht="15.75" customHeight="1" s="436" thickBot="1">
      <c r="A1188" s="705" t="n"/>
      <c r="B1188" s="695" t="n"/>
      <c r="C1188" s="695" t="n"/>
      <c r="D1188" s="3" t="inlineStr">
        <is>
          <t>C/ICMS</t>
        </is>
      </c>
      <c r="E1188" s="3" t="inlineStr">
        <is>
          <t>S/ICMS</t>
        </is>
      </c>
      <c r="F1188" s="695" t="n"/>
      <c r="G1188" s="695" t="n"/>
      <c r="H1188" s="18" t="inlineStr">
        <is>
          <t>Saldo em 31/08/2020</t>
        </is>
      </c>
      <c r="I1188" s="695" t="n"/>
      <c r="J1188" s="645" t="inlineStr">
        <is>
          <t>ENTRADA</t>
        </is>
      </c>
      <c r="K1188" s="633" t="inlineStr">
        <is>
          <t>SAÍDA / CMV</t>
        </is>
      </c>
      <c r="L1188" s="633" t="inlineStr">
        <is>
          <t>SALDO</t>
        </is>
      </c>
    </row>
    <row r="1189">
      <c r="A1189" s="48" t="n"/>
      <c r="B1189" s="49" t="n"/>
      <c r="C1189" s="49" t="n"/>
      <c r="D1189" s="71" t="n"/>
      <c r="E1189" s="71" t="n"/>
      <c r="F1189" s="55" t="n"/>
      <c r="G1189" s="55" t="n">
        <v>0</v>
      </c>
      <c r="H1189" s="55" t="n">
        <v>618</v>
      </c>
      <c r="I1189" s="71" t="n"/>
      <c r="J1189" s="747">
        <f>F1189*I1189</f>
        <v/>
      </c>
      <c r="K1189" s="747" t="n"/>
      <c r="L1189" s="748">
        <f>J1189-K1189</f>
        <v/>
      </c>
    </row>
    <row r="1190">
      <c r="A1190" s="568" t="n">
        <v>44076</v>
      </c>
      <c r="B1190" s="392" t="n">
        <v>7556</v>
      </c>
      <c r="C1190" s="392" t="n"/>
      <c r="D1190" s="392" t="n">
        <v>62</v>
      </c>
      <c r="E1190" s="392" t="n"/>
      <c r="F1190" s="392" t="n"/>
      <c r="G1190" s="392" t="n">
        <v>50</v>
      </c>
      <c r="H1190" s="52">
        <f>H1189-G1190</f>
        <v/>
      </c>
      <c r="I1190" s="392" t="n"/>
      <c r="J1190" s="392" t="n"/>
      <c r="K1190" s="392" t="n"/>
      <c r="L1190" s="392" t="n"/>
    </row>
    <row r="1191">
      <c r="A1191" s="568" t="n">
        <v>44076</v>
      </c>
      <c r="B1191" s="392" t="n">
        <v>7558</v>
      </c>
      <c r="C1191" s="392" t="n"/>
      <c r="D1191" s="392" t="n">
        <v>62.58</v>
      </c>
      <c r="E1191" s="392" t="n"/>
      <c r="F1191" s="392" t="n"/>
      <c r="G1191" s="392" t="n">
        <v>35</v>
      </c>
      <c r="H1191" s="52">
        <f>H1190-G1191</f>
        <v/>
      </c>
      <c r="I1191" s="392" t="n"/>
      <c r="J1191" s="392" t="n"/>
      <c r="K1191" s="392" t="n"/>
      <c r="L1191" s="392" t="n"/>
    </row>
    <row r="1192">
      <c r="A1192" s="568" t="n">
        <v>44083</v>
      </c>
      <c r="B1192" s="392" t="n">
        <v>7563</v>
      </c>
      <c r="C1192" s="392" t="n"/>
      <c r="D1192" s="392" t="n">
        <v>61.5</v>
      </c>
      <c r="E1192" s="392" t="n"/>
      <c r="F1192" s="392" t="n"/>
      <c r="G1192" s="392" t="n">
        <v>20</v>
      </c>
      <c r="H1192" s="52">
        <f>H1191-G1192</f>
        <v/>
      </c>
      <c r="I1192" s="392" t="n"/>
      <c r="J1192" s="392" t="n"/>
      <c r="K1192" s="392" t="n"/>
      <c r="L1192" s="392" t="n"/>
    </row>
    <row r="1193">
      <c r="A1193" s="568" t="n">
        <v>44088</v>
      </c>
      <c r="B1193" s="392" t="n">
        <v>7572</v>
      </c>
      <c r="C1193" s="392" t="n"/>
      <c r="D1193" s="392" t="n">
        <v>63</v>
      </c>
      <c r="E1193" s="392" t="n"/>
      <c r="F1193" s="392" t="n"/>
      <c r="G1193" s="392" t="n">
        <v>30</v>
      </c>
      <c r="H1193" s="52">
        <f>H1192-G1193</f>
        <v/>
      </c>
      <c r="I1193" s="392" t="n"/>
      <c r="J1193" s="392" t="n"/>
      <c r="K1193" s="392" t="n"/>
      <c r="L1193" s="392" t="n"/>
    </row>
    <row r="1194">
      <c r="A1194" s="568" t="n">
        <v>44088</v>
      </c>
      <c r="B1194" s="392" t="n">
        <v>7573</v>
      </c>
      <c r="C1194" s="392" t="n"/>
      <c r="D1194" s="392" t="n">
        <v>62</v>
      </c>
      <c r="E1194" s="392" t="n"/>
      <c r="F1194" s="392" t="n"/>
      <c r="G1194" s="392" t="n">
        <v>30</v>
      </c>
      <c r="H1194" s="52">
        <f>H1193-G1194</f>
        <v/>
      </c>
      <c r="I1194" s="392" t="n"/>
      <c r="J1194" s="392" t="n"/>
      <c r="K1194" s="392" t="n"/>
      <c r="L1194" s="392" t="n"/>
    </row>
    <row r="1195">
      <c r="A1195" s="568" t="n">
        <v>44095</v>
      </c>
      <c r="B1195" s="392" t="n">
        <v>7586</v>
      </c>
      <c r="C1195" s="392" t="n"/>
      <c r="D1195" s="392" t="n">
        <v>63</v>
      </c>
      <c r="E1195" s="392" t="n"/>
      <c r="F1195" s="392" t="n"/>
      <c r="G1195" s="392" t="n">
        <v>30</v>
      </c>
      <c r="H1195" s="52">
        <f>H1194-G1195</f>
        <v/>
      </c>
      <c r="I1195" s="392" t="n"/>
      <c r="J1195" s="392" t="n"/>
      <c r="K1195" s="392" t="n"/>
      <c r="L1195" s="392" t="n"/>
    </row>
    <row r="1196">
      <c r="A1196" s="568" t="n">
        <v>44095</v>
      </c>
      <c r="B1196" s="392" t="n">
        <v>7591</v>
      </c>
      <c r="C1196" s="392" t="n"/>
      <c r="D1196" s="392" t="n">
        <v>50</v>
      </c>
      <c r="E1196" s="392" t="n"/>
      <c r="F1196" s="392" t="n"/>
      <c r="G1196" s="392" t="n">
        <v>62</v>
      </c>
      <c r="H1196" s="52">
        <f>H1195-G1196</f>
        <v/>
      </c>
      <c r="I1196" s="392" t="n"/>
      <c r="J1196" s="392" t="n"/>
      <c r="K1196" s="392" t="n"/>
      <c r="L1196" s="392" t="n"/>
    </row>
    <row r="1197">
      <c r="A1197" s="568" t="n">
        <v>44103</v>
      </c>
      <c r="B1197" s="392" t="n">
        <v>7600</v>
      </c>
      <c r="C1197" s="392" t="n"/>
      <c r="D1197" s="392" t="n">
        <v>62.91</v>
      </c>
      <c r="E1197" s="392" t="n"/>
      <c r="F1197" s="392" t="n"/>
      <c r="G1197" s="392" t="n">
        <v>60</v>
      </c>
      <c r="H1197" s="52">
        <f>H1196-G1197</f>
        <v/>
      </c>
      <c r="I1197" s="392" t="n"/>
      <c r="J1197" s="392" t="n"/>
      <c r="K1197" s="392" t="n"/>
      <c r="L1197" s="392" t="n"/>
    </row>
    <row r="1198">
      <c r="A1198" s="568" t="n">
        <v>44103</v>
      </c>
      <c r="B1198" s="392" t="n">
        <v>7601</v>
      </c>
      <c r="C1198" s="392" t="n"/>
      <c r="D1198" s="392" t="n">
        <v>62.5</v>
      </c>
      <c r="E1198" s="392" t="n"/>
      <c r="F1198" s="392" t="n"/>
      <c r="G1198" s="392" t="n">
        <v>40</v>
      </c>
      <c r="H1198" s="52">
        <f>H1197-G1198</f>
        <v/>
      </c>
      <c r="I1198" s="392" t="n"/>
      <c r="J1198" s="392" t="n"/>
      <c r="K1198" s="392" t="n"/>
      <c r="L1198" s="392" t="n"/>
    </row>
    <row r="1199">
      <c r="A1199" s="568" t="n">
        <v>44103</v>
      </c>
      <c r="B1199" s="392" t="n">
        <v>7604</v>
      </c>
      <c r="C1199" s="392" t="n"/>
      <c r="D1199" s="392" t="n">
        <v>63.7</v>
      </c>
      <c r="E1199" s="392" t="n"/>
      <c r="F1199" s="392" t="n"/>
      <c r="G1199" s="392" t="n">
        <v>20</v>
      </c>
      <c r="H1199" s="52">
        <f>H1198-G1199</f>
        <v/>
      </c>
      <c r="I1199" s="392" t="n"/>
      <c r="J1199" s="392" t="n"/>
      <c r="K1199" s="392" t="n"/>
      <c r="L1199" s="392" t="n"/>
    </row>
    <row r="1200">
      <c r="A1200" s="392" t="n"/>
      <c r="B1200" s="392" t="n"/>
      <c r="C1200" s="392" t="n"/>
      <c r="D1200" s="392" t="n"/>
      <c r="E1200" s="392" t="n"/>
      <c r="F1200" s="392" t="n"/>
      <c r="G1200" s="392" t="n"/>
      <c r="H1200" s="52">
        <f>H1199-G1200</f>
        <v/>
      </c>
      <c r="I1200" s="392" t="n"/>
      <c r="J1200" s="392" t="n"/>
      <c r="K1200" s="392" t="n"/>
      <c r="L1200" s="392" t="n"/>
    </row>
    <row r="1201">
      <c r="A1201" s="392" t="n"/>
      <c r="B1201" s="392" t="n"/>
      <c r="C1201" s="392" t="n"/>
      <c r="D1201" s="392" t="n"/>
      <c r="E1201" s="392" t="n"/>
      <c r="F1201" s="392" t="n"/>
      <c r="G1201" s="392" t="n"/>
      <c r="H1201" s="52">
        <f>H1200-G1201</f>
        <v/>
      </c>
      <c r="I1201" s="392" t="n"/>
      <c r="J1201" s="392" t="n"/>
      <c r="K1201" s="392" t="n"/>
      <c r="L1201" s="392" t="n"/>
    </row>
    <row r="1202">
      <c r="A1202" s="392" t="n"/>
      <c r="B1202" s="392" t="n"/>
      <c r="C1202" s="392" t="n"/>
      <c r="D1202" s="392" t="n"/>
      <c r="E1202" s="392" t="n"/>
      <c r="F1202" s="392" t="n"/>
      <c r="G1202" s="392" t="n"/>
      <c r="H1202" s="52">
        <f>H1201-G1202</f>
        <v/>
      </c>
      <c r="I1202" s="392" t="n"/>
      <c r="J1202" s="392" t="n"/>
      <c r="K1202" s="392" t="n"/>
      <c r="L1202" s="392" t="n"/>
    </row>
    <row r="1203" ht="15.75" customHeight="1" s="436" thickBot="1">
      <c r="A1203" s="392" t="n"/>
      <c r="B1203" s="392" t="n"/>
      <c r="C1203" s="392" t="n"/>
      <c r="D1203" s="392" t="n"/>
      <c r="E1203" s="392" t="n"/>
      <c r="F1203" s="392" t="n"/>
      <c r="G1203" s="392" t="n"/>
      <c r="H1203" s="52">
        <f>H1202-G1203</f>
        <v/>
      </c>
      <c r="I1203" s="392" t="n"/>
      <c r="J1203" s="392" t="n"/>
      <c r="K1203" s="392" t="n"/>
      <c r="L1203" s="392" t="n"/>
    </row>
    <row r="1204" ht="21.75" customHeight="1" s="436" thickBot="1">
      <c r="A1204" s="757" t="inlineStr">
        <is>
          <t>Outubro</t>
        </is>
      </c>
      <c r="B1204" s="697" t="n"/>
      <c r="C1204" s="697" t="n"/>
      <c r="D1204" s="697" t="n"/>
      <c r="E1204" s="697" t="n"/>
      <c r="F1204" s="697" t="n"/>
      <c r="G1204" s="697" t="n"/>
      <c r="H1204" s="697" t="n"/>
      <c r="I1204" s="697" t="n"/>
      <c r="J1204" s="697" t="n"/>
      <c r="K1204" s="697" t="n"/>
      <c r="L1204" s="698" t="n"/>
    </row>
    <row r="1205" ht="21.75" customHeight="1" s="436" thickBot="1">
      <c r="A1205" s="699" t="inlineStr">
        <is>
          <t xml:space="preserve">021 - DENISE FURTADO DE SOUZA - ME </t>
        </is>
      </c>
      <c r="B1205" s="697" t="n"/>
      <c r="C1205" s="697" t="n"/>
      <c r="D1205" s="697" t="n"/>
      <c r="E1205" s="697" t="n"/>
      <c r="F1205" s="697" t="n"/>
      <c r="G1205" s="697" t="n"/>
      <c r="H1205" s="697" t="n"/>
      <c r="I1205" s="697" t="n"/>
      <c r="J1205" s="697" t="n"/>
      <c r="K1205" s="697" t="n"/>
      <c r="L1205" s="698" t="n"/>
    </row>
    <row r="1206" ht="24" customHeight="1" s="436" thickBot="1">
      <c r="A1206" s="745" t="inlineStr">
        <is>
          <t xml:space="preserve">  PRÉ MISTURA - 25 KG</t>
        </is>
      </c>
      <c r="B1206" s="737" t="n"/>
      <c r="C1206" s="737" t="n"/>
      <c r="D1206" s="737" t="n"/>
      <c r="E1206" s="737" t="n"/>
      <c r="F1206" s="737" t="n"/>
      <c r="G1206" s="737" t="n"/>
      <c r="H1206" s="737" t="n"/>
      <c r="I1206" s="737" t="n"/>
      <c r="J1206" s="737" t="n"/>
      <c r="K1206" s="737" t="n"/>
      <c r="L1206" s="736" t="n"/>
    </row>
    <row r="1207">
      <c r="A1207" s="746" t="inlineStr">
        <is>
          <t>DATA</t>
        </is>
      </c>
      <c r="B1207" s="3" t="inlineStr">
        <is>
          <t>N.F.</t>
        </is>
      </c>
      <c r="C1207" s="3" t="inlineStr">
        <is>
          <t>TIPO</t>
        </is>
      </c>
      <c r="D1207" s="3" t="inlineStr">
        <is>
          <t>PREÇO UNITÁRIO</t>
        </is>
      </c>
      <c r="E1207" s="736" t="n"/>
      <c r="F1207" s="3" t="inlineStr">
        <is>
          <t>QUANTIDADE / KG</t>
        </is>
      </c>
      <c r="G1207" s="737" t="n"/>
      <c r="H1207" s="736" t="n"/>
      <c r="I1207" s="631" t="inlineStr">
        <is>
          <t>PREÇO</t>
        </is>
      </c>
      <c r="J1207" s="631" t="inlineStr">
        <is>
          <t>VALORES</t>
        </is>
      </c>
      <c r="K1207" s="737" t="n"/>
      <c r="L1207" s="736" t="n"/>
    </row>
    <row r="1208" ht="15.75" customHeight="1" s="436" thickBot="1">
      <c r="A1208" s="703" t="n"/>
      <c r="B1208" s="704" t="n"/>
      <c r="C1208" s="704" t="n"/>
      <c r="D1208" s="703" t="n"/>
      <c r="E1208" s="701" t="n"/>
      <c r="F1208" s="705" t="n"/>
      <c r="G1208" s="706" t="n"/>
      <c r="H1208" s="707" t="n"/>
      <c r="I1208" s="704" t="n"/>
      <c r="J1208" s="703" t="n"/>
      <c r="L1208" s="701" t="n"/>
    </row>
    <row r="1209" ht="15.75" customHeight="1" s="436" thickBot="1">
      <c r="A1209" s="703" t="n"/>
      <c r="B1209" s="704" t="n"/>
      <c r="C1209" s="704" t="n"/>
      <c r="D1209" s="705" t="n"/>
      <c r="E1209" s="707" t="n"/>
      <c r="F1209" s="3" t="inlineStr">
        <is>
          <t>ENTRADA</t>
        </is>
      </c>
      <c r="G1209" s="3" t="inlineStr">
        <is>
          <t>SAÍDA</t>
        </is>
      </c>
      <c r="H1209" s="640" t="n"/>
      <c r="I1209" s="633" t="inlineStr">
        <is>
          <t>MÉDIO</t>
        </is>
      </c>
      <c r="J1209" s="652" t="inlineStr">
        <is>
          <t>SALDO EM 30/12/2017</t>
        </is>
      </c>
      <c r="K1209" s="706" t="n"/>
      <c r="L1209" s="17" t="n"/>
    </row>
    <row r="1210" ht="15.75" customHeight="1" s="436" thickBot="1">
      <c r="A1210" s="705" t="n"/>
      <c r="B1210" s="695" t="n"/>
      <c r="C1210" s="695" t="n"/>
      <c r="D1210" s="3" t="inlineStr">
        <is>
          <t>C/ICMS</t>
        </is>
      </c>
      <c r="E1210" s="3" t="inlineStr">
        <is>
          <t>S/ICMS</t>
        </is>
      </c>
      <c r="F1210" s="695" t="n"/>
      <c r="G1210" s="695" t="n"/>
      <c r="H1210" s="18" t="inlineStr">
        <is>
          <t>Saldo em 30/09/2020</t>
        </is>
      </c>
      <c r="I1210" s="695" t="n"/>
      <c r="J1210" s="645" t="inlineStr">
        <is>
          <t>ENTRADA</t>
        </is>
      </c>
      <c r="K1210" s="633" t="inlineStr">
        <is>
          <t>SAÍDA / CMV</t>
        </is>
      </c>
      <c r="L1210" s="633" t="inlineStr">
        <is>
          <t>SALDO</t>
        </is>
      </c>
    </row>
    <row r="1211">
      <c r="A1211" s="48" t="n"/>
      <c r="B1211" s="49" t="n"/>
      <c r="C1211" s="49" t="n"/>
      <c r="D1211" s="71" t="n"/>
      <c r="E1211" s="71" t="n"/>
      <c r="F1211" s="55" t="n"/>
      <c r="G1211" s="55" t="n">
        <v>0</v>
      </c>
      <c r="H1211" s="55" t="n">
        <v>241</v>
      </c>
      <c r="I1211" s="71" t="n"/>
      <c r="J1211" s="747">
        <f>F1211*I1211</f>
        <v/>
      </c>
      <c r="K1211" s="747" t="n"/>
      <c r="L1211" s="748">
        <f>J1211-K1211</f>
        <v/>
      </c>
    </row>
    <row r="1212">
      <c r="A1212" s="568" t="n">
        <v>44105</v>
      </c>
      <c r="B1212" s="392" t="n">
        <v>7609</v>
      </c>
      <c r="C1212" s="392" t="n"/>
      <c r="D1212" s="392" t="n">
        <v>62.67</v>
      </c>
      <c r="E1212" s="392" t="n"/>
      <c r="F1212" s="392" t="n"/>
      <c r="G1212" s="392" t="n">
        <v>36</v>
      </c>
      <c r="H1212" s="52">
        <f>H1211-G1212</f>
        <v/>
      </c>
      <c r="I1212" s="392" t="n"/>
      <c r="J1212" s="392" t="n"/>
      <c r="K1212" s="392" t="n"/>
      <c r="L1212" s="392" t="n"/>
    </row>
    <row r="1213">
      <c r="A1213" s="568" t="n">
        <v>44110</v>
      </c>
      <c r="B1213" s="392" t="n">
        <v>7612</v>
      </c>
      <c r="C1213" s="392" t="n"/>
      <c r="D1213" s="392" t="n">
        <v>64</v>
      </c>
      <c r="E1213" s="392" t="n"/>
      <c r="F1213" s="392" t="n"/>
      <c r="G1213" s="392" t="n">
        <v>30</v>
      </c>
      <c r="H1213" s="52">
        <f>H1212-G1213</f>
        <v/>
      </c>
      <c r="I1213" s="392" t="n"/>
      <c r="J1213" s="392" t="n"/>
      <c r="K1213" s="392" t="n"/>
      <c r="L1213" s="392" t="n"/>
    </row>
    <row r="1214">
      <c r="A1214" s="568" t="n">
        <v>44110</v>
      </c>
      <c r="B1214" s="392" t="n">
        <v>7617</v>
      </c>
      <c r="C1214" s="392" t="n"/>
      <c r="D1214" s="392" t="n">
        <v>64.59999999999999</v>
      </c>
      <c r="E1214" s="392" t="n"/>
      <c r="F1214" s="392" t="n"/>
      <c r="G1214" s="392" t="n">
        <v>50</v>
      </c>
      <c r="H1214" s="52">
        <f>H1213-G1214</f>
        <v/>
      </c>
      <c r="I1214" s="392" t="n"/>
      <c r="J1214" s="392" t="n"/>
      <c r="K1214" s="392" t="n"/>
      <c r="L1214" s="392" t="n"/>
    </row>
    <row r="1215">
      <c r="A1215" s="568" t="n">
        <v>44110</v>
      </c>
      <c r="B1215" s="392" t="n">
        <v>7618</v>
      </c>
      <c r="C1215" s="392" t="n"/>
      <c r="D1215" s="392" t="n">
        <v>63.65</v>
      </c>
      <c r="E1215" s="392" t="n"/>
      <c r="F1215" s="392" t="n"/>
      <c r="G1215" s="392" t="n">
        <v>17</v>
      </c>
      <c r="H1215" s="52">
        <f>H1214-G1215</f>
        <v/>
      </c>
      <c r="I1215" s="392" t="n"/>
      <c r="J1215" s="392" t="n"/>
      <c r="K1215" s="392" t="n"/>
      <c r="L1215" s="392" t="n"/>
    </row>
    <row r="1216">
      <c r="A1216" s="568" t="n">
        <v>44110</v>
      </c>
      <c r="B1216" s="392" t="n">
        <v>7621</v>
      </c>
      <c r="C1216" s="392" t="n"/>
      <c r="D1216" s="392" t="n">
        <v>64</v>
      </c>
      <c r="E1216" s="392" t="n"/>
      <c r="F1216" s="392" t="n"/>
      <c r="G1216" s="392" t="n">
        <v>20</v>
      </c>
      <c r="H1216" s="52">
        <f>H1215-G1216</f>
        <v/>
      </c>
      <c r="I1216" s="392" t="n"/>
      <c r="J1216" s="392" t="n"/>
      <c r="K1216" s="392" t="n"/>
      <c r="L1216" s="392" t="n"/>
    </row>
    <row r="1217">
      <c r="A1217" s="568" t="n">
        <v>44111</v>
      </c>
      <c r="B1217" s="392" t="n">
        <v>7623</v>
      </c>
      <c r="C1217" s="392" t="n"/>
      <c r="D1217" s="392" t="n">
        <v>64.97</v>
      </c>
      <c r="E1217" s="392" t="n"/>
      <c r="F1217" s="392" t="n"/>
      <c r="G1217" s="392" t="n">
        <v>33</v>
      </c>
      <c r="H1217" s="52">
        <f>H1216-G1217</f>
        <v/>
      </c>
      <c r="I1217" s="392" t="n"/>
      <c r="J1217" s="392" t="n"/>
      <c r="K1217" s="392" t="n"/>
      <c r="L1217" s="392" t="n"/>
    </row>
    <row r="1218">
      <c r="A1218" s="568" t="n">
        <v>44117</v>
      </c>
      <c r="B1218" s="392" t="n">
        <v>7632</v>
      </c>
      <c r="C1218" s="392" t="n"/>
      <c r="D1218" s="392" t="n">
        <v>64</v>
      </c>
      <c r="E1218" s="392" t="n"/>
      <c r="F1218" s="392" t="n"/>
      <c r="G1218" s="392" t="n">
        <v>50</v>
      </c>
      <c r="H1218" s="52">
        <f>H1217-G1218</f>
        <v/>
      </c>
      <c r="I1218" s="392" t="n"/>
      <c r="J1218" s="392" t="n"/>
      <c r="K1218" s="392" t="n"/>
      <c r="L1218" s="392" t="n"/>
    </row>
    <row r="1219">
      <c r="A1219" s="568" t="n">
        <v>44117</v>
      </c>
      <c r="B1219" s="392" t="n">
        <v>7634</v>
      </c>
      <c r="C1219" s="392" t="n"/>
      <c r="D1219" s="392" t="n">
        <v>63</v>
      </c>
      <c r="E1219" s="392" t="n"/>
      <c r="F1219" s="392" t="n"/>
      <c r="G1219" s="392" t="n">
        <v>10</v>
      </c>
      <c r="H1219" s="52">
        <f>H1218-G1219</f>
        <v/>
      </c>
      <c r="I1219" s="392" t="n"/>
      <c r="J1219" s="392" t="n"/>
      <c r="K1219" s="392" t="n"/>
      <c r="L1219" s="392" t="n"/>
    </row>
    <row r="1220">
      <c r="A1220" s="304" t="n">
        <v>44120</v>
      </c>
      <c r="B1220" s="401" t="n">
        <v>151124</v>
      </c>
      <c r="C1220" s="401" t="n"/>
      <c r="D1220" s="401" t="n">
        <v>55.86</v>
      </c>
      <c r="E1220" s="401" t="n"/>
      <c r="F1220" s="401" t="n">
        <v>500</v>
      </c>
      <c r="G1220" s="392" t="n"/>
      <c r="H1220" s="52" t="n">
        <v>495</v>
      </c>
      <c r="I1220" s="392" t="n"/>
      <c r="J1220" s="392" t="n"/>
      <c r="K1220" s="392" t="n"/>
      <c r="L1220" s="392" t="n"/>
    </row>
    <row r="1221">
      <c r="A1221" s="568" t="n">
        <v>44125</v>
      </c>
      <c r="B1221" s="392" t="n">
        <v>7647</v>
      </c>
      <c r="C1221" s="392" t="n"/>
      <c r="D1221" s="392" t="n">
        <v>64</v>
      </c>
      <c r="E1221" s="392" t="n"/>
      <c r="F1221" s="392" t="n"/>
      <c r="G1221" s="392" t="n">
        <v>30</v>
      </c>
      <c r="H1221" s="52">
        <f>H1220-G1221</f>
        <v/>
      </c>
      <c r="I1221" s="392" t="n"/>
      <c r="J1221" s="392" t="n"/>
      <c r="K1221" s="392" t="n"/>
      <c r="L1221" s="392" t="n"/>
    </row>
    <row r="1222">
      <c r="A1222" s="568" t="n">
        <v>44125</v>
      </c>
      <c r="B1222" s="392" t="n">
        <v>7648</v>
      </c>
      <c r="C1222" s="392" t="n"/>
      <c r="D1222" s="392" t="n">
        <v>62</v>
      </c>
      <c r="E1222" s="392" t="n"/>
      <c r="F1222" s="392" t="n"/>
      <c r="G1222" s="392" t="n">
        <v>20</v>
      </c>
      <c r="H1222" s="52">
        <f>H1221-G1222</f>
        <v/>
      </c>
      <c r="I1222" s="392" t="n"/>
      <c r="J1222" s="392" t="n"/>
      <c r="K1222" s="392" t="n"/>
      <c r="L1222" s="392" t="n"/>
    </row>
    <row r="1223">
      <c r="A1223" s="568" t="n">
        <v>44125</v>
      </c>
      <c r="B1223" s="392" t="n">
        <v>7649</v>
      </c>
      <c r="C1223" s="392" t="n"/>
      <c r="D1223" s="392" t="n">
        <v>63</v>
      </c>
      <c r="E1223" s="392" t="n"/>
      <c r="F1223" s="392" t="n"/>
      <c r="G1223" s="392" t="n">
        <v>35</v>
      </c>
      <c r="H1223" s="52">
        <f>H1222-G1223</f>
        <v/>
      </c>
      <c r="I1223" s="392" t="n"/>
      <c r="J1223" s="392" t="n"/>
      <c r="K1223" s="392" t="n"/>
      <c r="L1223" s="392" t="n"/>
    </row>
    <row r="1224">
      <c r="A1224" s="568" t="n">
        <v>44126</v>
      </c>
      <c r="B1224" s="392" t="n">
        <v>7650</v>
      </c>
      <c r="C1224" s="392" t="n"/>
      <c r="D1224" s="392" t="n">
        <v>57.25</v>
      </c>
      <c r="E1224" s="392" t="n"/>
      <c r="F1224" s="392" t="n"/>
      <c r="G1224" s="392" t="n">
        <v>80</v>
      </c>
      <c r="H1224" s="52">
        <f>H1223-G1224</f>
        <v/>
      </c>
      <c r="I1224" s="392" t="n"/>
      <c r="J1224" s="392" t="n"/>
      <c r="K1224" s="392" t="n"/>
      <c r="L1224" s="392" t="n"/>
    </row>
    <row r="1225">
      <c r="A1225" s="568" t="n">
        <v>44132</v>
      </c>
      <c r="B1225" s="392" t="n">
        <v>7656</v>
      </c>
      <c r="C1225" s="392" t="n"/>
      <c r="D1225" s="392" t="n">
        <v>65</v>
      </c>
      <c r="E1225" s="392" t="n"/>
      <c r="F1225" s="392" t="n"/>
      <c r="G1225" s="392" t="n">
        <v>40</v>
      </c>
      <c r="H1225" s="52">
        <f>H1224-G1225</f>
        <v/>
      </c>
      <c r="I1225" s="392" t="n"/>
      <c r="J1225" s="392" t="n"/>
      <c r="K1225" s="392" t="n"/>
      <c r="L1225" s="392" t="n"/>
    </row>
    <row r="1226">
      <c r="A1226" s="568" t="n">
        <v>44132</v>
      </c>
      <c r="B1226" s="392" t="n">
        <v>7658</v>
      </c>
      <c r="C1226" s="392" t="n"/>
      <c r="D1226" s="392" t="n">
        <v>64</v>
      </c>
      <c r="E1226" s="392" t="n"/>
      <c r="F1226" s="392" t="n"/>
      <c r="G1226" s="392" t="n">
        <v>50</v>
      </c>
      <c r="H1226" s="52">
        <f>H1225-G1226</f>
        <v/>
      </c>
      <c r="I1226" s="392" t="n"/>
      <c r="J1226" s="392" t="n"/>
      <c r="K1226" s="392" t="n"/>
      <c r="L1226" s="392" t="n"/>
    </row>
    <row r="1227">
      <c r="A1227" s="568" t="n">
        <v>44132</v>
      </c>
      <c r="B1227" s="392" t="n">
        <v>7660</v>
      </c>
      <c r="C1227" s="392" t="n"/>
      <c r="D1227" s="392" t="n">
        <v>63</v>
      </c>
      <c r="E1227" s="392" t="n"/>
      <c r="F1227" s="392" t="n"/>
      <c r="G1227" s="392" t="n">
        <v>10</v>
      </c>
      <c r="H1227" s="52">
        <f>H1226-G1227</f>
        <v/>
      </c>
      <c r="I1227" s="392" t="n"/>
      <c r="J1227" s="392" t="n"/>
      <c r="K1227" s="392" t="n"/>
      <c r="L1227" s="392" t="n"/>
    </row>
    <row r="1228">
      <c r="A1228" s="392" t="n"/>
      <c r="B1228" s="392" t="n"/>
      <c r="C1228" s="392" t="n"/>
      <c r="D1228" s="392" t="n"/>
      <c r="E1228" s="392" t="n"/>
      <c r="F1228" s="392" t="n"/>
      <c r="G1228" s="392" t="n"/>
      <c r="H1228" s="52">
        <f>H1227-G1228</f>
        <v/>
      </c>
      <c r="I1228" s="392" t="n"/>
      <c r="J1228" s="392" t="n"/>
      <c r="K1228" s="392" t="n"/>
      <c r="L1228" s="392" t="n"/>
    </row>
    <row r="1229">
      <c r="A1229" s="392" t="n"/>
      <c r="B1229" s="392" t="n"/>
      <c r="C1229" s="392" t="n"/>
      <c r="D1229" s="392" t="n"/>
      <c r="E1229" s="392" t="n"/>
      <c r="F1229" s="392" t="n"/>
      <c r="G1229" s="392" t="n"/>
      <c r="H1229" s="52">
        <f>H1228-G1229</f>
        <v/>
      </c>
      <c r="I1229" s="392" t="n"/>
      <c r="J1229" s="392" t="n"/>
      <c r="K1229" s="392" t="n"/>
      <c r="L1229" s="392" t="n"/>
    </row>
    <row r="1230" ht="15.75" customHeight="1" s="436" thickBot="1">
      <c r="A1230" s="392" t="n"/>
      <c r="B1230" s="392" t="n"/>
      <c r="C1230" s="392" t="n"/>
      <c r="D1230" s="392" t="n"/>
      <c r="E1230" s="392" t="n"/>
      <c r="F1230" s="392" t="n"/>
      <c r="G1230" s="392" t="n"/>
      <c r="H1230" s="52">
        <f>H1229-G1230</f>
        <v/>
      </c>
      <c r="I1230" s="392" t="n"/>
      <c r="J1230" s="392" t="n"/>
      <c r="K1230" s="392" t="n"/>
      <c r="L1230" s="392" t="n"/>
    </row>
    <row r="1231" ht="21.75" customHeight="1" s="436" thickBot="1">
      <c r="A1231" s="757" t="inlineStr">
        <is>
          <t>Novembro</t>
        </is>
      </c>
      <c r="B1231" s="697" t="n"/>
      <c r="C1231" s="697" t="n"/>
      <c r="D1231" s="697" t="n"/>
      <c r="E1231" s="697" t="n"/>
      <c r="F1231" s="697" t="n"/>
      <c r="G1231" s="697" t="n"/>
      <c r="H1231" s="697" t="n"/>
      <c r="I1231" s="697" t="n"/>
      <c r="J1231" s="697" t="n"/>
      <c r="K1231" s="697" t="n"/>
      <c r="L1231" s="698" t="n"/>
    </row>
    <row r="1232" ht="21.75" customHeight="1" s="436" thickBot="1">
      <c r="A1232" s="699" t="inlineStr">
        <is>
          <t xml:space="preserve">021 - DENISE FURTADO DE SOUZA - ME </t>
        </is>
      </c>
      <c r="B1232" s="697" t="n"/>
      <c r="C1232" s="697" t="n"/>
      <c r="D1232" s="697" t="n"/>
      <c r="E1232" s="697" t="n"/>
      <c r="F1232" s="697" t="n"/>
      <c r="G1232" s="697" t="n"/>
      <c r="H1232" s="697" t="n"/>
      <c r="I1232" s="697" t="n"/>
      <c r="J1232" s="697" t="n"/>
      <c r="K1232" s="697" t="n"/>
      <c r="L1232" s="698" t="n"/>
    </row>
    <row r="1233" ht="24" customHeight="1" s="436" thickBot="1">
      <c r="A1233" s="745" t="inlineStr">
        <is>
          <t xml:space="preserve">  PRÉ MISTURA - 25 KG</t>
        </is>
      </c>
      <c r="B1233" s="737" t="n"/>
      <c r="C1233" s="737" t="n"/>
      <c r="D1233" s="737" t="n"/>
      <c r="E1233" s="737" t="n"/>
      <c r="F1233" s="737" t="n"/>
      <c r="G1233" s="737" t="n"/>
      <c r="H1233" s="737" t="n"/>
      <c r="I1233" s="737" t="n"/>
      <c r="J1233" s="737" t="n"/>
      <c r="K1233" s="737" t="n"/>
      <c r="L1233" s="736" t="n"/>
    </row>
    <row r="1234">
      <c r="A1234" s="746" t="inlineStr">
        <is>
          <t>DATA</t>
        </is>
      </c>
      <c r="B1234" s="3" t="inlineStr">
        <is>
          <t>N.F.</t>
        </is>
      </c>
      <c r="C1234" s="3" t="inlineStr">
        <is>
          <t>TIPO</t>
        </is>
      </c>
      <c r="D1234" s="3" t="inlineStr">
        <is>
          <t>PREÇO UNITÁRIO</t>
        </is>
      </c>
      <c r="E1234" s="736" t="n"/>
      <c r="F1234" s="3" t="inlineStr">
        <is>
          <t>QUANTIDADE / KG</t>
        </is>
      </c>
      <c r="G1234" s="737" t="n"/>
      <c r="H1234" s="736" t="n"/>
      <c r="I1234" s="631" t="inlineStr">
        <is>
          <t>PREÇO</t>
        </is>
      </c>
      <c r="J1234" s="631" t="inlineStr">
        <is>
          <t>VALORES</t>
        </is>
      </c>
      <c r="K1234" s="737" t="n"/>
      <c r="L1234" s="736" t="n"/>
    </row>
    <row r="1235" ht="15.75" customHeight="1" s="436" thickBot="1">
      <c r="A1235" s="703" t="n"/>
      <c r="B1235" s="704" t="n"/>
      <c r="C1235" s="704" t="n"/>
      <c r="D1235" s="703" t="n"/>
      <c r="E1235" s="701" t="n"/>
      <c r="F1235" s="705" t="n"/>
      <c r="G1235" s="706" t="n"/>
      <c r="H1235" s="707" t="n"/>
      <c r="I1235" s="704" t="n"/>
      <c r="J1235" s="703" t="n"/>
      <c r="L1235" s="701" t="n"/>
    </row>
    <row r="1236" ht="15.75" customHeight="1" s="436" thickBot="1">
      <c r="A1236" s="703" t="n"/>
      <c r="B1236" s="704" t="n"/>
      <c r="C1236" s="704" t="n"/>
      <c r="D1236" s="705" t="n"/>
      <c r="E1236" s="707" t="n"/>
      <c r="F1236" s="3" t="inlineStr">
        <is>
          <t>ENTRADA</t>
        </is>
      </c>
      <c r="G1236" s="3" t="inlineStr">
        <is>
          <t>SAÍDA</t>
        </is>
      </c>
      <c r="H1236" s="640" t="n"/>
      <c r="I1236" s="633" t="inlineStr">
        <is>
          <t>MÉDIO</t>
        </is>
      </c>
      <c r="J1236" s="652" t="inlineStr">
        <is>
          <t>SALDO EM 30/12/2017</t>
        </is>
      </c>
      <c r="K1236" s="706" t="n"/>
      <c r="L1236" s="17" t="n"/>
    </row>
    <row r="1237" ht="15.75" customHeight="1" s="436" thickBot="1">
      <c r="A1237" s="705" t="n"/>
      <c r="B1237" s="695" t="n"/>
      <c r="C1237" s="695" t="n"/>
      <c r="D1237" s="3" t="inlineStr">
        <is>
          <t>C/ICMS</t>
        </is>
      </c>
      <c r="E1237" s="3" t="inlineStr">
        <is>
          <t>S/ICMS</t>
        </is>
      </c>
      <c r="F1237" s="695" t="n"/>
      <c r="G1237" s="695" t="n"/>
      <c r="H1237" s="18" t="inlineStr">
        <is>
          <t>Saldo em 31/10/2020</t>
        </is>
      </c>
      <c r="I1237" s="695" t="n"/>
      <c r="J1237" s="645" t="inlineStr">
        <is>
          <t>ENTRADA</t>
        </is>
      </c>
      <c r="K1237" s="633" t="inlineStr">
        <is>
          <t>SAÍDA / CMV</t>
        </is>
      </c>
      <c r="L1237" s="633" t="inlineStr">
        <is>
          <t>SALDO</t>
        </is>
      </c>
    </row>
    <row r="1238">
      <c r="A1238" s="48" t="n"/>
      <c r="B1238" s="49" t="n"/>
      <c r="C1238" s="49" t="n"/>
      <c r="D1238" s="71" t="n"/>
      <c r="E1238" s="71" t="n"/>
      <c r="F1238" s="55" t="n"/>
      <c r="G1238" s="55" t="n">
        <v>0</v>
      </c>
      <c r="H1238" s="55" t="n">
        <v>230</v>
      </c>
      <c r="I1238" s="71" t="n"/>
      <c r="J1238" s="747">
        <f>F1238*I1238</f>
        <v/>
      </c>
      <c r="K1238" s="747" t="n"/>
      <c r="L1238" s="748">
        <f>J1238-K1238</f>
        <v/>
      </c>
    </row>
    <row r="1239">
      <c r="A1239" s="568" t="n">
        <v>44138</v>
      </c>
      <c r="B1239" s="392" t="n">
        <v>7665</v>
      </c>
      <c r="C1239" s="392" t="n"/>
      <c r="D1239" s="392" t="n">
        <v>65.45999999999999</v>
      </c>
      <c r="E1239" s="392" t="n"/>
      <c r="F1239" s="392" t="n"/>
      <c r="G1239" s="392" t="n">
        <v>55</v>
      </c>
      <c r="H1239" s="52">
        <f>H1238-G1239</f>
        <v/>
      </c>
      <c r="I1239" s="392" t="n"/>
      <c r="J1239" s="392" t="n"/>
      <c r="K1239" s="392" t="n"/>
      <c r="L1239" s="392" t="n"/>
    </row>
    <row r="1240">
      <c r="A1240" s="568" t="n">
        <v>44144</v>
      </c>
      <c r="B1240" s="392" t="n">
        <v>7677</v>
      </c>
      <c r="C1240" s="392" t="n"/>
      <c r="D1240" s="392" t="n">
        <v>66.90000000000001</v>
      </c>
      <c r="E1240" s="392" t="n"/>
      <c r="F1240" s="392" t="n"/>
      <c r="G1240" s="392" t="n">
        <v>50</v>
      </c>
      <c r="H1240" s="52">
        <f>H1239-G1240</f>
        <v/>
      </c>
      <c r="I1240" s="392" t="n"/>
      <c r="J1240" s="392" t="n"/>
      <c r="K1240" s="392" t="n"/>
      <c r="L1240" s="392" t="n"/>
    </row>
    <row r="1241">
      <c r="A1241" s="568" t="n">
        <v>44145</v>
      </c>
      <c r="B1241" s="392" t="n">
        <v>7680</v>
      </c>
      <c r="C1241" s="392" t="n"/>
      <c r="D1241" s="392" t="n">
        <v>64</v>
      </c>
      <c r="E1241" s="392" t="n"/>
      <c r="F1241" s="392" t="n"/>
      <c r="G1241" s="392" t="n">
        <v>30</v>
      </c>
      <c r="H1241" s="52">
        <f>H1240-G1241</f>
        <v/>
      </c>
      <c r="I1241" s="392" t="n"/>
      <c r="J1241" s="392" t="n"/>
      <c r="K1241" s="392" t="n"/>
      <c r="L1241" s="392" t="n"/>
    </row>
    <row r="1242">
      <c r="A1242" s="568" t="n">
        <v>44146</v>
      </c>
      <c r="B1242" s="392" t="n">
        <v>7682</v>
      </c>
      <c r="C1242" s="392" t="n"/>
      <c r="D1242" s="392" t="n">
        <v>63</v>
      </c>
      <c r="E1242" s="392" t="n"/>
      <c r="F1242" s="392" t="n"/>
      <c r="G1242" s="392" t="n">
        <v>50</v>
      </c>
      <c r="H1242" s="52">
        <f>H1241-G1242</f>
        <v/>
      </c>
      <c r="I1242" s="392" t="n"/>
      <c r="J1242" s="392" t="n"/>
      <c r="K1242" s="392" t="n"/>
      <c r="L1242" s="392" t="n"/>
    </row>
    <row r="1243">
      <c r="A1243" s="568" t="n">
        <v>44146</v>
      </c>
      <c r="B1243" s="392" t="n">
        <v>7686</v>
      </c>
      <c r="C1243" s="392" t="n"/>
      <c r="D1243" s="392" t="n">
        <v>64</v>
      </c>
      <c r="E1243" s="392" t="n"/>
      <c r="F1243" s="392" t="n"/>
      <c r="G1243" s="392" t="n">
        <v>30</v>
      </c>
      <c r="H1243" s="52">
        <f>H1242-G1243</f>
        <v/>
      </c>
      <c r="I1243" s="392" t="n"/>
      <c r="J1243" s="392" t="n"/>
      <c r="K1243" s="392" t="n"/>
      <c r="L1243" s="392" t="n"/>
    </row>
    <row r="1244">
      <c r="A1244" s="568" t="n">
        <v>44146</v>
      </c>
      <c r="B1244" s="392" t="n">
        <v>7689</v>
      </c>
      <c r="C1244" s="392" t="n"/>
      <c r="D1244" s="392" t="n">
        <v>66</v>
      </c>
      <c r="E1244" s="392" t="n"/>
      <c r="F1244" s="392" t="n"/>
      <c r="G1244" s="392" t="n">
        <v>30</v>
      </c>
      <c r="H1244" s="52">
        <f>H1243-G1244</f>
        <v/>
      </c>
      <c r="I1244" s="392" t="n"/>
      <c r="J1244" s="392" t="n"/>
      <c r="K1244" s="392" t="n"/>
      <c r="L1244" s="392" t="n"/>
    </row>
    <row r="1245">
      <c r="A1245" s="568" t="n">
        <v>44152</v>
      </c>
      <c r="B1245" s="392" t="n">
        <v>7693</v>
      </c>
      <c r="C1245" s="392" t="n"/>
      <c r="D1245" s="392" t="n">
        <v>64</v>
      </c>
      <c r="E1245" s="392" t="n"/>
      <c r="F1245" s="392" t="n"/>
      <c r="G1245" s="392" t="n">
        <v>20</v>
      </c>
      <c r="H1245" s="52">
        <f>H1244-G1245</f>
        <v/>
      </c>
      <c r="I1245" s="392" t="n"/>
      <c r="J1245" s="392" t="n"/>
      <c r="K1245" s="392" t="n"/>
      <c r="L1245" s="392" t="n"/>
    </row>
    <row r="1246">
      <c r="A1246" s="568" t="n">
        <v>44152</v>
      </c>
      <c r="B1246" s="392" t="n">
        <v>7699</v>
      </c>
      <c r="C1246" s="392" t="n"/>
      <c r="D1246" s="392" t="n">
        <v>66</v>
      </c>
      <c r="E1246" s="392" t="n"/>
      <c r="F1246" s="392" t="n"/>
      <c r="G1246" s="392" t="n">
        <v>50</v>
      </c>
      <c r="H1246" s="52">
        <f>H1245-G1246</f>
        <v/>
      </c>
      <c r="I1246" s="392" t="n"/>
      <c r="J1246" s="392" t="n"/>
      <c r="K1246" s="392" t="n"/>
      <c r="L1246" s="392" t="n"/>
    </row>
    <row r="1247">
      <c r="A1247" s="568" t="n">
        <v>44159</v>
      </c>
      <c r="B1247" s="392" t="n">
        <v>7708</v>
      </c>
      <c r="C1247" s="392" t="n"/>
      <c r="D1247" s="392" t="n">
        <v>64</v>
      </c>
      <c r="E1247" s="392" t="n"/>
      <c r="F1247" s="392" t="n"/>
      <c r="G1247" s="392" t="n">
        <v>30</v>
      </c>
      <c r="H1247" s="52">
        <f>H1246-G1247</f>
        <v/>
      </c>
      <c r="I1247" s="392" t="n"/>
      <c r="J1247" s="392" t="n"/>
      <c r="K1247" s="392" t="n"/>
      <c r="L1247" s="392" t="n"/>
    </row>
    <row r="1248">
      <c r="A1248" s="568" t="n">
        <v>44163</v>
      </c>
      <c r="B1248" s="392" t="n">
        <v>7716</v>
      </c>
      <c r="C1248" s="392" t="n"/>
      <c r="D1248" s="392" t="n">
        <v>67.5</v>
      </c>
      <c r="E1248" s="392" t="n"/>
      <c r="F1248" s="392" t="n"/>
      <c r="G1248" s="392" t="n">
        <v>40</v>
      </c>
      <c r="H1248" s="52">
        <f>H1247-G1248</f>
        <v/>
      </c>
      <c r="I1248" s="392" t="n"/>
      <c r="J1248" s="392" t="n"/>
      <c r="K1248" s="392" t="n"/>
      <c r="L1248" s="392" t="n"/>
    </row>
    <row r="1249">
      <c r="A1249" s="568" t="n">
        <v>44163</v>
      </c>
      <c r="B1249" s="392" t="n">
        <v>7719</v>
      </c>
      <c r="C1249" s="392" t="n"/>
      <c r="D1249" s="392" t="n">
        <v>65.72</v>
      </c>
      <c r="E1249" s="392" t="n"/>
      <c r="F1249" s="392" t="n"/>
      <c r="G1249" s="392" t="n">
        <v>35</v>
      </c>
      <c r="H1249" s="52">
        <f>H1248-G1249</f>
        <v/>
      </c>
      <c r="I1249" s="392" t="n"/>
      <c r="J1249" s="392" t="n"/>
      <c r="K1249" s="392" t="n"/>
      <c r="L1249" s="392" t="n"/>
    </row>
    <row r="1250">
      <c r="A1250" s="304" t="n">
        <v>44163</v>
      </c>
      <c r="B1250" s="401" t="n">
        <v>753112</v>
      </c>
      <c r="C1250" s="401" t="n"/>
      <c r="D1250" s="401" t="n">
        <v>54.9</v>
      </c>
      <c r="E1250" s="401" t="n"/>
      <c r="F1250" s="401" t="n">
        <v>340</v>
      </c>
      <c r="G1250" s="401" t="n"/>
      <c r="H1250" s="277" t="n">
        <v>150</v>
      </c>
      <c r="I1250" s="392" t="n"/>
      <c r="J1250" s="392" t="n"/>
      <c r="K1250" s="392" t="n"/>
      <c r="L1250" s="392" t="n"/>
    </row>
    <row r="1251">
      <c r="A1251" s="568" t="n"/>
      <c r="B1251" s="392" t="n"/>
      <c r="C1251" s="392" t="n"/>
      <c r="D1251" s="392" t="n"/>
      <c r="E1251" s="392" t="n"/>
      <c r="F1251" s="392" t="n"/>
      <c r="G1251" s="392" t="n"/>
      <c r="H1251" s="52">
        <f>H1250-G1251</f>
        <v/>
      </c>
      <c r="I1251" s="392" t="n"/>
      <c r="J1251" s="392" t="n"/>
      <c r="K1251" s="392" t="n"/>
      <c r="L1251" s="392" t="n"/>
    </row>
    <row r="1252">
      <c r="A1252" s="568" t="n"/>
      <c r="B1252" s="392" t="n"/>
      <c r="C1252" s="392" t="n"/>
      <c r="D1252" s="392" t="n"/>
      <c r="E1252" s="392" t="n"/>
      <c r="F1252" s="392" t="n"/>
      <c r="G1252" s="392" t="n"/>
      <c r="H1252" s="52">
        <f>H1251-G1252</f>
        <v/>
      </c>
      <c r="I1252" s="392" t="n"/>
      <c r="J1252" s="392" t="n"/>
      <c r="K1252" s="392" t="n"/>
      <c r="L1252" s="392" t="n"/>
    </row>
    <row r="1253" ht="15.75" customHeight="1" s="436" thickBot="1"/>
    <row r="1254" ht="21.75" customHeight="1" s="436" thickBot="1">
      <c r="A1254" s="757" t="inlineStr">
        <is>
          <t>Dezembro</t>
        </is>
      </c>
      <c r="B1254" s="697" t="n"/>
      <c r="C1254" s="697" t="n"/>
      <c r="D1254" s="697" t="n"/>
      <c r="E1254" s="697" t="n"/>
      <c r="F1254" s="697" t="n"/>
      <c r="G1254" s="697" t="n"/>
      <c r="H1254" s="697" t="n"/>
      <c r="I1254" s="697" t="n"/>
      <c r="J1254" s="697" t="n"/>
      <c r="K1254" s="697" t="n"/>
      <c r="L1254" s="698" t="n"/>
    </row>
    <row r="1255" ht="21.75" customHeight="1" s="436" thickBot="1">
      <c r="A1255" s="699" t="inlineStr">
        <is>
          <t xml:space="preserve">021 - DENISE FURTADO DE SOUZA - ME </t>
        </is>
      </c>
      <c r="B1255" s="697" t="n"/>
      <c r="C1255" s="697" t="n"/>
      <c r="D1255" s="697" t="n"/>
      <c r="E1255" s="697" t="n"/>
      <c r="F1255" s="697" t="n"/>
      <c r="G1255" s="697" t="n"/>
      <c r="H1255" s="697" t="n"/>
      <c r="I1255" s="697" t="n"/>
      <c r="J1255" s="697" t="n"/>
      <c r="K1255" s="697" t="n"/>
      <c r="L1255" s="698" t="n"/>
    </row>
    <row r="1256" ht="24" customHeight="1" s="436" thickBot="1">
      <c r="A1256" s="745" t="inlineStr">
        <is>
          <t xml:space="preserve">  PRÉ MISTURA - 25 KG</t>
        </is>
      </c>
      <c r="B1256" s="737" t="n"/>
      <c r="C1256" s="737" t="n"/>
      <c r="D1256" s="737" t="n"/>
      <c r="E1256" s="737" t="n"/>
      <c r="F1256" s="737" t="n"/>
      <c r="G1256" s="737" t="n"/>
      <c r="H1256" s="737" t="n"/>
      <c r="I1256" s="737" t="n"/>
      <c r="J1256" s="737" t="n"/>
      <c r="K1256" s="737" t="n"/>
      <c r="L1256" s="736" t="n"/>
    </row>
    <row r="1257">
      <c r="A1257" s="746" t="inlineStr">
        <is>
          <t>DATA</t>
        </is>
      </c>
      <c r="B1257" s="3" t="inlineStr">
        <is>
          <t>N.F.</t>
        </is>
      </c>
      <c r="C1257" s="3" t="inlineStr">
        <is>
          <t>TIPO</t>
        </is>
      </c>
      <c r="D1257" s="3" t="inlineStr">
        <is>
          <t>PREÇO UNITÁRIO</t>
        </is>
      </c>
      <c r="E1257" s="736" t="n"/>
      <c r="F1257" s="3" t="inlineStr">
        <is>
          <t>QUANTIDADE / KG</t>
        </is>
      </c>
      <c r="G1257" s="737" t="n"/>
      <c r="H1257" s="736" t="n"/>
      <c r="I1257" s="631" t="inlineStr">
        <is>
          <t>PREÇO</t>
        </is>
      </c>
      <c r="J1257" s="631" t="inlineStr">
        <is>
          <t>VALORES</t>
        </is>
      </c>
      <c r="K1257" s="737" t="n"/>
      <c r="L1257" s="736" t="n"/>
    </row>
    <row r="1258" ht="15.75" customHeight="1" s="436" thickBot="1">
      <c r="A1258" s="703" t="n"/>
      <c r="B1258" s="704" t="n"/>
      <c r="C1258" s="704" t="n"/>
      <c r="D1258" s="703" t="n"/>
      <c r="E1258" s="701" t="n"/>
      <c r="F1258" s="705" t="n"/>
      <c r="G1258" s="706" t="n"/>
      <c r="H1258" s="707" t="n"/>
      <c r="I1258" s="704" t="n"/>
      <c r="J1258" s="703" t="n"/>
      <c r="L1258" s="701" t="n"/>
    </row>
    <row r="1259" ht="15.75" customHeight="1" s="436" thickBot="1">
      <c r="A1259" s="703" t="n"/>
      <c r="B1259" s="704" t="n"/>
      <c r="C1259" s="704" t="n"/>
      <c r="D1259" s="705" t="n"/>
      <c r="E1259" s="707" t="n"/>
      <c r="F1259" s="3" t="inlineStr">
        <is>
          <t>ENTRADA</t>
        </is>
      </c>
      <c r="G1259" s="3" t="inlineStr">
        <is>
          <t>SAÍDA</t>
        </is>
      </c>
      <c r="H1259" s="640" t="n"/>
      <c r="I1259" s="633" t="inlineStr">
        <is>
          <t>MÉDIO</t>
        </is>
      </c>
      <c r="J1259" s="652" t="inlineStr">
        <is>
          <t>SALDO EM 30/12/2017</t>
        </is>
      </c>
      <c r="K1259" s="706" t="n"/>
      <c r="L1259" s="17" t="n"/>
    </row>
    <row r="1260" ht="15.75" customHeight="1" s="436" thickBot="1">
      <c r="A1260" s="705" t="n"/>
      <c r="B1260" s="695" t="n"/>
      <c r="C1260" s="695" t="n"/>
      <c r="D1260" s="3" t="inlineStr">
        <is>
          <t>C/ICMS</t>
        </is>
      </c>
      <c r="E1260" s="3" t="inlineStr">
        <is>
          <t>S/ICMS</t>
        </is>
      </c>
      <c r="F1260" s="695" t="n"/>
      <c r="G1260" s="695" t="n"/>
      <c r="H1260" s="18" t="inlineStr">
        <is>
          <t>Saldo em 30/11/2020</t>
        </is>
      </c>
      <c r="I1260" s="695" t="n"/>
      <c r="J1260" s="645" t="inlineStr">
        <is>
          <t>ENTRADA</t>
        </is>
      </c>
      <c r="K1260" s="633" t="inlineStr">
        <is>
          <t>SAÍDA / CMV</t>
        </is>
      </c>
      <c r="L1260" s="633" t="inlineStr">
        <is>
          <t>SALDO</t>
        </is>
      </c>
    </row>
    <row r="1261">
      <c r="A1261" s="48" t="n"/>
      <c r="B1261" s="49" t="n"/>
      <c r="C1261" s="49" t="n"/>
      <c r="D1261" s="71" t="n"/>
      <c r="E1261" s="71" t="n"/>
      <c r="F1261" s="55" t="n"/>
      <c r="G1261" s="55" t="n">
        <v>0</v>
      </c>
      <c r="H1261" s="55" t="n">
        <v>150</v>
      </c>
      <c r="I1261" s="71" t="n"/>
      <c r="J1261" s="747">
        <f>F1261*I1261</f>
        <v/>
      </c>
      <c r="K1261" s="747" t="n"/>
      <c r="L1261" s="748">
        <f>J1261-K1261</f>
        <v/>
      </c>
    </row>
    <row r="1262">
      <c r="A1262" s="568" t="n">
        <v>44179</v>
      </c>
      <c r="B1262" s="392" t="n">
        <v>7749</v>
      </c>
      <c r="C1262" s="392" t="n">
        <v>65</v>
      </c>
      <c r="D1262" s="392" t="n"/>
      <c r="E1262" s="392" t="n"/>
      <c r="F1262" s="392" t="n"/>
      <c r="G1262" s="392" t="n">
        <v>30</v>
      </c>
      <c r="H1262" s="52">
        <f>H1261-G1262</f>
        <v/>
      </c>
      <c r="I1262" s="392" t="n"/>
      <c r="J1262" s="392" t="n"/>
      <c r="K1262" s="392" t="n"/>
      <c r="L1262" s="392" t="n"/>
    </row>
    <row r="1263">
      <c r="A1263" s="568" t="n">
        <v>44179</v>
      </c>
      <c r="B1263" s="392" t="n">
        <v>7750</v>
      </c>
      <c r="C1263" s="392" t="n">
        <v>65</v>
      </c>
      <c r="D1263" s="392" t="n"/>
      <c r="E1263" s="392" t="n"/>
      <c r="F1263" s="392" t="n"/>
      <c r="G1263" s="392" t="n">
        <v>30</v>
      </c>
      <c r="H1263" s="52">
        <f>H1262-G1263</f>
        <v/>
      </c>
      <c r="I1263" s="392" t="n"/>
      <c r="J1263" s="392" t="n"/>
      <c r="K1263" s="392" t="n"/>
      <c r="L1263" s="392" t="n"/>
    </row>
    <row r="1264">
      <c r="A1264" s="568" t="n">
        <v>44181</v>
      </c>
      <c r="B1264" s="392" t="n">
        <v>7757</v>
      </c>
      <c r="C1264" s="392" t="n">
        <v>65</v>
      </c>
      <c r="D1264" s="392" t="n"/>
      <c r="E1264" s="392" t="n"/>
      <c r="F1264" s="392" t="n"/>
      <c r="G1264" s="392" t="n">
        <v>20</v>
      </c>
      <c r="H1264" s="52">
        <f>H1263-G1264</f>
        <v/>
      </c>
      <c r="I1264" s="392" t="n"/>
      <c r="J1264" s="392" t="n"/>
      <c r="K1264" s="392" t="n"/>
      <c r="L1264" s="392" t="n"/>
    </row>
    <row r="1265">
      <c r="A1265" s="392" t="n"/>
      <c r="B1265" s="392" t="n"/>
      <c r="C1265" s="392" t="n"/>
      <c r="D1265" s="392" t="n"/>
      <c r="E1265" s="392" t="n"/>
      <c r="F1265" s="392" t="n"/>
      <c r="G1265" s="392" t="n"/>
      <c r="H1265" s="52">
        <f>H1264-G1265</f>
        <v/>
      </c>
      <c r="I1265" s="392" t="n"/>
      <c r="J1265" s="392" t="n"/>
      <c r="K1265" s="392" t="n"/>
      <c r="L1265" s="392" t="n"/>
    </row>
    <row r="1266">
      <c r="A1266" s="392" t="n"/>
      <c r="B1266" s="392" t="n"/>
      <c r="C1266" s="392" t="n"/>
      <c r="D1266" s="392" t="n"/>
      <c r="E1266" s="392" t="n"/>
      <c r="F1266" s="392" t="n"/>
      <c r="G1266" s="392" t="n"/>
      <c r="H1266" s="52">
        <f>H1265-G1266</f>
        <v/>
      </c>
      <c r="I1266" s="392" t="n"/>
      <c r="J1266" s="392" t="n"/>
      <c r="K1266" s="392" t="n"/>
      <c r="L1266" s="392" t="n"/>
    </row>
    <row r="1267" ht="15.75" customHeight="1" s="436" thickBot="1">
      <c r="A1267" s="392" t="n"/>
      <c r="B1267" s="392" t="n"/>
      <c r="C1267" s="392" t="n"/>
      <c r="D1267" s="392" t="n"/>
      <c r="E1267" s="392" t="n"/>
      <c r="F1267" s="392" t="n"/>
      <c r="G1267" s="392" t="n"/>
      <c r="H1267" s="52">
        <f>H1266-G1267</f>
        <v/>
      </c>
      <c r="I1267" s="392" t="n"/>
      <c r="J1267" s="392" t="n"/>
      <c r="K1267" s="392" t="n"/>
      <c r="L1267" s="392" t="n"/>
    </row>
    <row r="1268" ht="21.75" customHeight="1" s="436" thickBot="1">
      <c r="A1268" s="757" t="inlineStr">
        <is>
          <t>Janeiro</t>
        </is>
      </c>
      <c r="B1268" s="697" t="n"/>
      <c r="C1268" s="697" t="n"/>
      <c r="D1268" s="697" t="n"/>
      <c r="E1268" s="697" t="n"/>
      <c r="F1268" s="697" t="n"/>
      <c r="G1268" s="697" t="n"/>
      <c r="H1268" s="697" t="n"/>
      <c r="I1268" s="697" t="n"/>
      <c r="J1268" s="697" t="n"/>
      <c r="K1268" s="697" t="n"/>
      <c r="L1268" s="698" t="n"/>
    </row>
    <row r="1269" ht="21.75" customHeight="1" s="436" thickBot="1">
      <c r="A1269" s="699" t="inlineStr">
        <is>
          <t xml:space="preserve">021 - DENISE FURTADO DE SOUZA - ME </t>
        </is>
      </c>
      <c r="B1269" s="697" t="n"/>
      <c r="C1269" s="697" t="n"/>
      <c r="D1269" s="697" t="n"/>
      <c r="E1269" s="697" t="n"/>
      <c r="F1269" s="697" t="n"/>
      <c r="G1269" s="697" t="n"/>
      <c r="H1269" s="697" t="n"/>
      <c r="I1269" s="697" t="n"/>
      <c r="J1269" s="697" t="n"/>
      <c r="K1269" s="697" t="n"/>
      <c r="L1269" s="698" t="n"/>
    </row>
    <row r="1270" ht="24" customHeight="1" s="436" thickBot="1">
      <c r="A1270" s="745" t="inlineStr">
        <is>
          <t xml:space="preserve">  PRÉ MISTURA - 25 KG</t>
        </is>
      </c>
      <c r="B1270" s="737" t="n"/>
      <c r="C1270" s="737" t="n"/>
      <c r="D1270" s="737" t="n"/>
      <c r="E1270" s="737" t="n"/>
      <c r="F1270" s="737" t="n"/>
      <c r="G1270" s="737" t="n"/>
      <c r="H1270" s="737" t="n"/>
      <c r="I1270" s="737" t="n"/>
      <c r="J1270" s="737" t="n"/>
      <c r="K1270" s="737" t="n"/>
      <c r="L1270" s="736" t="n"/>
    </row>
    <row r="1271">
      <c r="A1271" s="746" t="inlineStr">
        <is>
          <t>DATA</t>
        </is>
      </c>
      <c r="B1271" s="3" t="inlineStr">
        <is>
          <t>N.F.</t>
        </is>
      </c>
      <c r="C1271" s="3" t="inlineStr">
        <is>
          <t>TIPO</t>
        </is>
      </c>
      <c r="D1271" s="3" t="inlineStr">
        <is>
          <t>PREÇO UNITÁRIO</t>
        </is>
      </c>
      <c r="E1271" s="736" t="n"/>
      <c r="F1271" s="3" t="inlineStr">
        <is>
          <t>QUANTIDADE / KG</t>
        </is>
      </c>
      <c r="G1271" s="737" t="n"/>
      <c r="H1271" s="736" t="n"/>
      <c r="I1271" s="631" t="inlineStr">
        <is>
          <t>PREÇO</t>
        </is>
      </c>
      <c r="J1271" s="631" t="inlineStr">
        <is>
          <t>VALORES</t>
        </is>
      </c>
      <c r="K1271" s="737" t="n"/>
      <c r="L1271" s="736" t="n"/>
    </row>
    <row r="1272" ht="15.75" customHeight="1" s="436" thickBot="1">
      <c r="A1272" s="703" t="n"/>
      <c r="B1272" s="704" t="n"/>
      <c r="C1272" s="704" t="n"/>
      <c r="D1272" s="703" t="n"/>
      <c r="E1272" s="701" t="n"/>
      <c r="F1272" s="705" t="n"/>
      <c r="G1272" s="706" t="n"/>
      <c r="H1272" s="707" t="n"/>
      <c r="I1272" s="704" t="n"/>
      <c r="J1272" s="703" t="n"/>
      <c r="L1272" s="701" t="n"/>
    </row>
    <row r="1273" ht="15.75" customHeight="1" s="436" thickBot="1">
      <c r="A1273" s="703" t="n"/>
      <c r="B1273" s="704" t="n"/>
      <c r="C1273" s="704" t="n"/>
      <c r="D1273" s="705" t="n"/>
      <c r="E1273" s="707" t="n"/>
      <c r="F1273" s="3" t="inlineStr">
        <is>
          <t>ENTRADA</t>
        </is>
      </c>
      <c r="G1273" s="3" t="inlineStr">
        <is>
          <t>SAÍDA</t>
        </is>
      </c>
      <c r="H1273" s="640" t="n"/>
      <c r="I1273" s="633" t="inlineStr">
        <is>
          <t>MÉDIO</t>
        </is>
      </c>
      <c r="J1273" s="652" t="inlineStr">
        <is>
          <t>SALDO EM 30/12/2017</t>
        </is>
      </c>
      <c r="K1273" s="706" t="n"/>
      <c r="L1273" s="17" t="n"/>
    </row>
    <row r="1274" ht="15.75" customHeight="1" s="436" thickBot="1">
      <c r="A1274" s="705" t="n"/>
      <c r="B1274" s="695" t="n"/>
      <c r="C1274" s="695" t="n"/>
      <c r="D1274" s="3" t="inlineStr">
        <is>
          <t>C/ICMS</t>
        </is>
      </c>
      <c r="E1274" s="3" t="inlineStr">
        <is>
          <t>S/ICMS</t>
        </is>
      </c>
      <c r="F1274" s="695" t="n"/>
      <c r="G1274" s="695" t="n"/>
      <c r="H1274" s="18" t="inlineStr">
        <is>
          <t>Saldo em 31/12/2020</t>
        </is>
      </c>
      <c r="I1274" s="695" t="n"/>
      <c r="J1274" s="645" t="inlineStr">
        <is>
          <t>ENTRADA</t>
        </is>
      </c>
      <c r="K1274" s="633" t="inlineStr">
        <is>
          <t>SAÍDA / CMV</t>
        </is>
      </c>
      <c r="L1274" s="633" t="inlineStr">
        <is>
          <t>SALDO</t>
        </is>
      </c>
    </row>
    <row r="1275">
      <c r="A1275" s="48" t="n"/>
      <c r="B1275" s="49" t="n"/>
      <c r="C1275" s="49" t="n"/>
      <c r="D1275" s="71" t="n"/>
      <c r="E1275" s="71" t="n"/>
      <c r="F1275" s="55" t="n"/>
      <c r="G1275" s="55" t="n">
        <v>0</v>
      </c>
      <c r="H1275" s="55" t="n">
        <v>70</v>
      </c>
      <c r="I1275" s="71" t="n"/>
      <c r="J1275" s="747">
        <f>F1275*I1275</f>
        <v/>
      </c>
      <c r="K1275" s="747" t="n"/>
      <c r="L1275" s="748">
        <f>J1275-K1275</f>
        <v/>
      </c>
    </row>
    <row r="1276">
      <c r="A1276" s="568" t="n">
        <v>44200</v>
      </c>
      <c r="B1276" s="392" t="n">
        <v>7769</v>
      </c>
      <c r="C1276" s="392" t="n">
        <v>65</v>
      </c>
      <c r="D1276" s="392" t="n"/>
      <c r="E1276" s="392" t="n"/>
      <c r="F1276" s="392" t="n"/>
      <c r="G1276" s="392" t="n">
        <v>20</v>
      </c>
      <c r="H1276" s="52">
        <f>H1275-G1276</f>
        <v/>
      </c>
      <c r="I1276" s="392" t="n"/>
      <c r="J1276" s="392" t="n"/>
      <c r="K1276" s="392" t="n"/>
      <c r="L1276" s="392" t="n"/>
    </row>
    <row r="1277">
      <c r="A1277" s="568" t="n">
        <v>44200</v>
      </c>
      <c r="B1277" s="392" t="n">
        <v>7775</v>
      </c>
      <c r="C1277" s="392" t="n">
        <v>65</v>
      </c>
      <c r="D1277" s="392" t="n"/>
      <c r="E1277" s="392" t="n"/>
      <c r="F1277" s="392" t="n"/>
      <c r="G1277" s="392" t="n">
        <v>50</v>
      </c>
      <c r="H1277" s="52">
        <f>H1276-G1277</f>
        <v/>
      </c>
      <c r="I1277" s="392" t="n"/>
      <c r="J1277" s="392" t="n"/>
      <c r="K1277" s="392" t="n"/>
      <c r="L1277" s="392" t="n"/>
    </row>
    <row r="1278">
      <c r="A1278" s="568" t="n">
        <v>44200</v>
      </c>
      <c r="B1278" s="392" t="n">
        <v>7776</v>
      </c>
      <c r="C1278" s="392" t="n">
        <v>65</v>
      </c>
      <c r="D1278" s="392" t="n"/>
      <c r="E1278" s="392" t="n"/>
      <c r="F1278" s="392" t="n"/>
      <c r="G1278" s="392" t="n">
        <v>30</v>
      </c>
      <c r="H1278" s="52">
        <f>H1277-G1278</f>
        <v/>
      </c>
      <c r="I1278" s="392" t="n"/>
      <c r="J1278" s="392" t="n"/>
      <c r="K1278" s="392" t="n"/>
      <c r="L1278" s="392" t="n"/>
    </row>
    <row r="1279">
      <c r="A1279" s="568" t="n">
        <v>44202</v>
      </c>
      <c r="B1279" s="392" t="n">
        <v>7784</v>
      </c>
      <c r="C1279" s="392" t="n">
        <v>65</v>
      </c>
      <c r="D1279" s="392" t="n"/>
      <c r="E1279" s="392" t="n"/>
      <c r="F1279" s="392" t="n"/>
      <c r="G1279" s="392" t="n">
        <v>30</v>
      </c>
      <c r="H1279" s="52">
        <f>H1278-G1279</f>
        <v/>
      </c>
      <c r="I1279" s="392" t="n"/>
      <c r="J1279" s="392" t="n"/>
      <c r="K1279" s="392" t="n"/>
      <c r="L1279" s="392" t="n"/>
    </row>
    <row r="1280">
      <c r="A1280" s="568" t="n">
        <v>44207</v>
      </c>
      <c r="B1280" s="392" t="n">
        <v>7790</v>
      </c>
      <c r="C1280" s="392" t="n">
        <v>65</v>
      </c>
      <c r="D1280" s="392" t="n"/>
      <c r="E1280" s="392" t="n"/>
      <c r="F1280" s="392" t="n"/>
      <c r="G1280" s="392" t="n">
        <v>30</v>
      </c>
      <c r="H1280" s="52">
        <f>H1279-G1280</f>
        <v/>
      </c>
      <c r="I1280" s="392" t="n"/>
      <c r="J1280" s="392" t="n"/>
      <c r="K1280" s="392" t="n"/>
      <c r="L1280" s="392" t="n"/>
    </row>
    <row r="1281">
      <c r="A1281" s="568" t="n">
        <v>44207</v>
      </c>
      <c r="B1281" s="392" t="n">
        <v>7792</v>
      </c>
      <c r="C1281" s="392" t="n">
        <v>66</v>
      </c>
      <c r="D1281" s="392" t="n"/>
      <c r="E1281" s="392" t="n"/>
      <c r="F1281" s="392" t="n"/>
      <c r="G1281" s="392" t="n">
        <v>40</v>
      </c>
      <c r="H1281" s="52">
        <f>H1280-G1281</f>
        <v/>
      </c>
      <c r="I1281" s="392" t="n"/>
      <c r="J1281" s="392" t="n"/>
      <c r="K1281" s="392" t="n"/>
      <c r="L1281" s="392" t="n"/>
    </row>
    <row r="1282">
      <c r="A1282" s="304" t="n">
        <v>44210</v>
      </c>
      <c r="B1282" s="401" t="n">
        <v>157436</v>
      </c>
      <c r="C1282" s="401" t="n">
        <v>55</v>
      </c>
      <c r="D1282" s="401" t="n"/>
      <c r="E1282" s="401" t="n"/>
      <c r="F1282" s="401" t="n">
        <v>680</v>
      </c>
      <c r="G1282" s="401" t="n"/>
      <c r="H1282" s="277" t="n">
        <v>550</v>
      </c>
      <c r="I1282" s="392" t="n"/>
      <c r="J1282" s="392" t="n"/>
      <c r="K1282" s="392" t="n"/>
      <c r="L1282" s="392" t="n"/>
    </row>
    <row r="1283">
      <c r="A1283" s="568" t="n">
        <v>44214</v>
      </c>
      <c r="B1283" s="392" t="n">
        <v>7803</v>
      </c>
      <c r="C1283" s="392" t="n">
        <v>65</v>
      </c>
      <c r="D1283" s="392" t="n"/>
      <c r="E1283" s="392" t="n"/>
      <c r="F1283" s="392" t="n"/>
      <c r="G1283" s="392" t="n">
        <v>15</v>
      </c>
      <c r="H1283" s="52">
        <f>H1282-G1283</f>
        <v/>
      </c>
      <c r="I1283" s="392" t="n"/>
      <c r="J1283" s="392" t="n"/>
      <c r="K1283" s="392" t="n"/>
      <c r="L1283" s="392" t="n"/>
    </row>
    <row r="1284">
      <c r="A1284" s="568" t="n">
        <v>44214</v>
      </c>
      <c r="B1284" s="392" t="n">
        <v>7805</v>
      </c>
      <c r="C1284" s="392" t="n">
        <v>68.05</v>
      </c>
      <c r="D1284" s="392" t="n"/>
      <c r="E1284" s="392" t="n"/>
      <c r="F1284" s="392" t="n"/>
      <c r="G1284" s="392" t="n">
        <v>46</v>
      </c>
      <c r="H1284" s="52">
        <f>H1283-G1284</f>
        <v/>
      </c>
      <c r="I1284" s="392" t="n"/>
      <c r="J1284" s="392" t="n"/>
      <c r="K1284" s="392" t="n"/>
      <c r="L1284" s="392" t="n"/>
    </row>
    <row r="1285">
      <c r="A1285" s="568" t="n">
        <v>44216</v>
      </c>
      <c r="B1285" s="392" t="n">
        <v>7816</v>
      </c>
      <c r="C1285" s="392" t="n">
        <v>64</v>
      </c>
      <c r="D1285" s="392" t="n"/>
      <c r="E1285" s="392" t="n"/>
      <c r="F1285" s="392" t="n"/>
      <c r="G1285" s="392" t="n">
        <v>70</v>
      </c>
      <c r="H1285" s="52">
        <f>H1284-G1285</f>
        <v/>
      </c>
      <c r="I1285" s="392" t="n"/>
      <c r="J1285" s="392" t="n"/>
      <c r="K1285" s="392" t="n"/>
      <c r="L1285" s="392" t="n"/>
    </row>
    <row r="1286">
      <c r="A1286" s="568" t="n">
        <v>44223</v>
      </c>
      <c r="B1286" s="392" t="n">
        <v>7819</v>
      </c>
      <c r="C1286" s="392" t="n">
        <v>67.31</v>
      </c>
      <c r="D1286" s="392" t="n"/>
      <c r="E1286" s="392" t="n"/>
      <c r="F1286" s="392" t="n"/>
      <c r="G1286" s="392" t="n">
        <v>30</v>
      </c>
      <c r="H1286" s="52">
        <f>H1285-G1286</f>
        <v/>
      </c>
      <c r="I1286" s="392" t="n"/>
      <c r="J1286" s="392" t="n"/>
      <c r="K1286" s="392" t="n"/>
      <c r="L1286" s="392" t="n"/>
    </row>
    <row r="1287">
      <c r="A1287" s="568" t="n">
        <v>44223</v>
      </c>
      <c r="B1287" s="392" t="n">
        <v>7821</v>
      </c>
      <c r="C1287" s="392" t="n">
        <v>65</v>
      </c>
      <c r="D1287" s="392" t="n"/>
      <c r="E1287" s="392" t="n"/>
      <c r="F1287" s="392" t="n"/>
      <c r="G1287" s="392" t="n">
        <v>40</v>
      </c>
      <c r="H1287" s="52">
        <f>H1286-G1287</f>
        <v/>
      </c>
      <c r="I1287" s="392" t="n"/>
      <c r="J1287" s="392" t="n"/>
      <c r="K1287" s="392" t="n"/>
      <c r="L1287" s="392" t="n"/>
    </row>
    <row r="1288">
      <c r="A1288" s="568" t="n">
        <v>44223</v>
      </c>
      <c r="B1288" s="392" t="n">
        <v>7822</v>
      </c>
      <c r="C1288" s="392" t="n">
        <v>63.38</v>
      </c>
      <c r="D1288" s="392" t="n"/>
      <c r="E1288" s="392" t="n"/>
      <c r="F1288" s="392" t="n"/>
      <c r="G1288" s="392" t="n">
        <v>40</v>
      </c>
      <c r="H1288" s="52">
        <f>H1287-G1288</f>
        <v/>
      </c>
      <c r="I1288" s="392" t="n"/>
      <c r="J1288" s="392" t="n"/>
      <c r="K1288" s="392" t="n"/>
      <c r="L1288" s="392" t="n"/>
    </row>
    <row r="1289">
      <c r="A1289" s="568" t="n">
        <v>44223</v>
      </c>
      <c r="B1289" s="392" t="n">
        <v>7825</v>
      </c>
      <c r="C1289" s="392" t="n">
        <v>68</v>
      </c>
      <c r="D1289" s="392" t="n"/>
      <c r="E1289" s="392" t="n"/>
      <c r="F1289" s="392" t="n"/>
      <c r="G1289" s="392" t="n">
        <v>30</v>
      </c>
      <c r="H1289" s="52">
        <f>H1288-G1289</f>
        <v/>
      </c>
      <c r="I1289" s="392" t="n"/>
      <c r="J1289" s="392" t="n"/>
      <c r="K1289" s="392" t="n"/>
      <c r="L1289" s="392" t="n"/>
    </row>
    <row r="1290">
      <c r="A1290" s="568" t="n">
        <v>44224</v>
      </c>
      <c r="B1290" s="392" t="n">
        <v>7831</v>
      </c>
      <c r="C1290" s="392" t="n">
        <v>63</v>
      </c>
      <c r="D1290" s="392" t="n"/>
      <c r="E1290" s="392" t="n"/>
      <c r="F1290" s="392" t="n"/>
      <c r="G1290" s="392" t="n">
        <v>100</v>
      </c>
      <c r="H1290" s="52">
        <f>H1289-G1290</f>
        <v/>
      </c>
      <c r="I1290" s="392" t="n"/>
      <c r="J1290" s="392" t="n"/>
      <c r="K1290" s="392" t="n"/>
      <c r="L1290" s="392" t="n"/>
    </row>
    <row r="1291">
      <c r="A1291" s="392" t="n"/>
      <c r="B1291" s="392" t="n"/>
      <c r="C1291" s="392" t="n"/>
      <c r="D1291" s="392" t="n"/>
      <c r="E1291" s="392" t="n"/>
      <c r="F1291" s="392" t="n"/>
      <c r="G1291" s="392" t="n"/>
      <c r="H1291" s="52">
        <f>H1290-G1291</f>
        <v/>
      </c>
      <c r="I1291" s="392" t="n"/>
      <c r="J1291" s="392" t="n"/>
      <c r="K1291" s="392" t="n"/>
      <c r="L1291" s="392" t="n"/>
    </row>
    <row r="1292" ht="15.75" customHeight="1" s="436" thickBot="1"/>
    <row r="1293" ht="21.75" customHeight="1" s="436" thickBot="1">
      <c r="A1293" s="757" t="inlineStr">
        <is>
          <t>Fevereiro</t>
        </is>
      </c>
      <c r="B1293" s="697" t="n"/>
      <c r="C1293" s="697" t="n"/>
      <c r="D1293" s="697" t="n"/>
      <c r="E1293" s="697" t="n"/>
      <c r="F1293" s="697" t="n"/>
      <c r="G1293" s="697" t="n"/>
      <c r="H1293" s="697" t="n"/>
      <c r="I1293" s="697" t="n"/>
      <c r="J1293" s="697" t="n"/>
      <c r="K1293" s="697" t="n"/>
      <c r="L1293" s="698" t="n"/>
    </row>
    <row r="1294" ht="21.75" customHeight="1" s="436" thickBot="1">
      <c r="A1294" s="699" t="inlineStr">
        <is>
          <t xml:space="preserve">021 - DENISE FURTADO DE SOUZA - ME </t>
        </is>
      </c>
      <c r="B1294" s="697" t="n"/>
      <c r="C1294" s="697" t="n"/>
      <c r="D1294" s="697" t="n"/>
      <c r="E1294" s="697" t="n"/>
      <c r="F1294" s="697" t="n"/>
      <c r="G1294" s="697" t="n"/>
      <c r="H1294" s="697" t="n"/>
      <c r="I1294" s="697" t="n"/>
      <c r="J1294" s="697" t="n"/>
      <c r="K1294" s="697" t="n"/>
      <c r="L1294" s="698" t="n"/>
    </row>
    <row r="1295" ht="24" customHeight="1" s="436" thickBot="1">
      <c r="A1295" s="745" t="inlineStr">
        <is>
          <t xml:space="preserve">  PRÉ MISTURA - 25 KG</t>
        </is>
      </c>
      <c r="B1295" s="737" t="n"/>
      <c r="C1295" s="737" t="n"/>
      <c r="D1295" s="737" t="n"/>
      <c r="E1295" s="737" t="n"/>
      <c r="F1295" s="737" t="n"/>
      <c r="G1295" s="737" t="n"/>
      <c r="H1295" s="737" t="n"/>
      <c r="I1295" s="737" t="n"/>
      <c r="J1295" s="737" t="n"/>
      <c r="K1295" s="737" t="n"/>
      <c r="L1295" s="736" t="n"/>
    </row>
    <row r="1296">
      <c r="A1296" s="746" t="inlineStr">
        <is>
          <t>DATA</t>
        </is>
      </c>
      <c r="B1296" s="3" t="inlineStr">
        <is>
          <t>N.F.</t>
        </is>
      </c>
      <c r="C1296" s="3" t="inlineStr">
        <is>
          <t>TIPO</t>
        </is>
      </c>
      <c r="D1296" s="3" t="inlineStr">
        <is>
          <t>PREÇO UNITÁRIO</t>
        </is>
      </c>
      <c r="E1296" s="736" t="n"/>
      <c r="F1296" s="3" t="inlineStr">
        <is>
          <t>QUANTIDADE / KG</t>
        </is>
      </c>
      <c r="G1296" s="737" t="n"/>
      <c r="H1296" s="736" t="n"/>
      <c r="I1296" s="631" t="inlineStr">
        <is>
          <t>PREÇO</t>
        </is>
      </c>
      <c r="J1296" s="631" t="inlineStr">
        <is>
          <t>VALORES</t>
        </is>
      </c>
      <c r="K1296" s="737" t="n"/>
      <c r="L1296" s="736" t="n"/>
    </row>
    <row r="1297" ht="15.75" customHeight="1" s="436" thickBot="1">
      <c r="A1297" s="703" t="n"/>
      <c r="B1297" s="704" t="n"/>
      <c r="C1297" s="704" t="n"/>
      <c r="D1297" s="703" t="n"/>
      <c r="E1297" s="701" t="n"/>
      <c r="F1297" s="705" t="n"/>
      <c r="G1297" s="706" t="n"/>
      <c r="H1297" s="707" t="n"/>
      <c r="I1297" s="704" t="n"/>
      <c r="J1297" s="703" t="n"/>
      <c r="L1297" s="701" t="n"/>
    </row>
    <row r="1298" ht="15.75" customHeight="1" s="436" thickBot="1">
      <c r="A1298" s="703" t="n"/>
      <c r="B1298" s="704" t="n"/>
      <c r="C1298" s="704" t="n"/>
      <c r="D1298" s="705" t="n"/>
      <c r="E1298" s="707" t="n"/>
      <c r="F1298" s="3" t="inlineStr">
        <is>
          <t>ENTRADA</t>
        </is>
      </c>
      <c r="G1298" s="3" t="inlineStr">
        <is>
          <t>SAÍDA</t>
        </is>
      </c>
      <c r="H1298" s="640" t="n"/>
      <c r="I1298" s="633" t="inlineStr">
        <is>
          <t>MÉDIO</t>
        </is>
      </c>
      <c r="J1298" s="652" t="inlineStr">
        <is>
          <t>SALDO EM 30/12/2017</t>
        </is>
      </c>
      <c r="K1298" s="706" t="n"/>
      <c r="L1298" s="17" t="n"/>
    </row>
    <row r="1299" ht="15.75" customHeight="1" s="436" thickBot="1">
      <c r="A1299" s="705" t="n"/>
      <c r="B1299" s="695" t="n"/>
      <c r="C1299" s="695" t="n"/>
      <c r="D1299" s="3" t="inlineStr">
        <is>
          <t>C/ICMS</t>
        </is>
      </c>
      <c r="E1299" s="3" t="inlineStr">
        <is>
          <t>S/ICMS</t>
        </is>
      </c>
      <c r="F1299" s="695" t="n"/>
      <c r="G1299" s="695" t="n"/>
      <c r="H1299" s="18" t="inlineStr">
        <is>
          <t>Saldo em 31/12/2020</t>
        </is>
      </c>
      <c r="I1299" s="695" t="n"/>
      <c r="J1299" s="645" t="inlineStr">
        <is>
          <t>ENTRADA</t>
        </is>
      </c>
      <c r="K1299" s="633" t="inlineStr">
        <is>
          <t>SAÍDA / CMV</t>
        </is>
      </c>
      <c r="L1299" s="633" t="inlineStr">
        <is>
          <t>SALDO</t>
        </is>
      </c>
    </row>
    <row r="1300">
      <c r="A1300" s="48" t="n"/>
      <c r="B1300" s="49" t="n"/>
      <c r="C1300" s="49" t="n"/>
      <c r="D1300" s="71" t="n"/>
      <c r="E1300" s="71" t="n"/>
      <c r="F1300" s="55" t="n"/>
      <c r="G1300" s="55" t="n">
        <v>0</v>
      </c>
      <c r="H1300" s="55" t="n">
        <v>179</v>
      </c>
      <c r="I1300" s="71" t="n"/>
      <c r="J1300" s="747">
        <f>F1300*I1300</f>
        <v/>
      </c>
      <c r="K1300" s="747" t="n"/>
      <c r="L1300" s="748">
        <f>J1300-K1300</f>
        <v/>
      </c>
    </row>
    <row r="1301">
      <c r="A1301" s="568" t="n">
        <v>44229</v>
      </c>
      <c r="B1301" s="392" t="n">
        <v>7833</v>
      </c>
      <c r="C1301" s="392" t="n">
        <v>65</v>
      </c>
      <c r="D1301" s="392" t="n"/>
      <c r="E1301" s="392" t="n"/>
      <c r="F1301" s="392" t="n"/>
      <c r="G1301" s="392" t="n">
        <v>40</v>
      </c>
      <c r="H1301" s="52">
        <f>H1300-G1301</f>
        <v/>
      </c>
      <c r="I1301" s="392" t="n"/>
      <c r="J1301" s="392" t="n"/>
      <c r="K1301" s="392" t="n"/>
      <c r="L1301" s="392" t="n"/>
    </row>
    <row r="1302">
      <c r="A1302" s="568" t="n">
        <v>44229</v>
      </c>
      <c r="B1302" s="392" t="n">
        <v>7834</v>
      </c>
      <c r="C1302" s="392" t="n">
        <v>64.5</v>
      </c>
      <c r="D1302" s="392" t="n"/>
      <c r="E1302" s="392" t="n"/>
      <c r="F1302" s="392" t="n"/>
      <c r="G1302" s="392" t="n">
        <v>40</v>
      </c>
      <c r="H1302" s="52">
        <f>H1301-G1302</f>
        <v/>
      </c>
      <c r="I1302" s="392" t="n"/>
      <c r="J1302" s="392" t="n"/>
      <c r="K1302" s="392" t="n"/>
      <c r="L1302" s="392" t="n"/>
    </row>
    <row r="1303">
      <c r="A1303" s="568" t="n">
        <v>44230</v>
      </c>
      <c r="B1303" s="392" t="n">
        <v>7836</v>
      </c>
      <c r="C1303" s="392" t="n">
        <v>64.5</v>
      </c>
      <c r="D1303" s="392" t="n"/>
      <c r="E1303" s="392" t="n"/>
      <c r="F1303" s="392" t="n"/>
      <c r="G1303" s="392" t="n">
        <v>10</v>
      </c>
      <c r="H1303" s="52">
        <f>H1302-G1303</f>
        <v/>
      </c>
      <c r="I1303" s="392" t="n"/>
      <c r="J1303" s="392" t="n"/>
      <c r="K1303" s="392" t="n"/>
      <c r="L1303" s="392" t="n"/>
    </row>
    <row r="1304">
      <c r="A1304" s="568" t="n">
        <v>44230</v>
      </c>
      <c r="B1304" s="392" t="n">
        <v>7840</v>
      </c>
      <c r="C1304" s="392" t="n">
        <v>65</v>
      </c>
      <c r="D1304" s="392" t="n"/>
      <c r="E1304" s="392" t="n"/>
      <c r="F1304" s="392" t="n"/>
      <c r="G1304" s="392" t="n">
        <v>50</v>
      </c>
      <c r="H1304" s="52">
        <f>H1303-G1304</f>
        <v/>
      </c>
      <c r="I1304" s="392" t="n"/>
      <c r="J1304" s="392" t="n"/>
      <c r="K1304" s="392" t="n"/>
      <c r="L1304" s="392" t="n"/>
    </row>
    <row r="1305">
      <c r="A1305" s="568" t="n">
        <v>44230</v>
      </c>
      <c r="B1305" s="392" t="n">
        <v>7841</v>
      </c>
      <c r="C1305" s="392" t="n">
        <v>67</v>
      </c>
      <c r="D1305" s="392" t="n"/>
      <c r="E1305" s="392" t="n"/>
      <c r="F1305" s="392" t="n"/>
      <c r="G1305" s="392" t="n">
        <v>20</v>
      </c>
      <c r="H1305" s="52">
        <f>H1304-G1305</f>
        <v/>
      </c>
      <c r="I1305" s="392" t="n"/>
      <c r="J1305" s="392" t="n"/>
      <c r="K1305" s="392" t="n"/>
      <c r="L1305" s="392" t="n"/>
    </row>
    <row r="1306">
      <c r="A1306" s="568" t="n">
        <v>44230</v>
      </c>
      <c r="B1306" s="392" t="n">
        <v>7845</v>
      </c>
      <c r="C1306" s="392" t="n">
        <v>65.84</v>
      </c>
      <c r="D1306" s="392" t="n"/>
      <c r="E1306" s="392" t="n"/>
      <c r="F1306" s="392" t="n"/>
      <c r="G1306" s="392" t="n">
        <v>37</v>
      </c>
      <c r="H1306" s="52">
        <f>H1305-G1306</f>
        <v/>
      </c>
      <c r="I1306" s="392" t="n"/>
      <c r="J1306" s="392" t="n"/>
      <c r="K1306" s="392" t="n"/>
      <c r="L1306" s="392" t="n"/>
    </row>
    <row r="1307">
      <c r="A1307" s="304" t="n">
        <v>44231</v>
      </c>
      <c r="B1307" s="401" t="n">
        <v>159038</v>
      </c>
      <c r="C1307" s="401" t="n">
        <v>55</v>
      </c>
      <c r="D1307" s="401" t="n"/>
      <c r="E1307" s="401" t="n"/>
      <c r="F1307" s="401" t="n">
        <v>830</v>
      </c>
      <c r="G1307" s="401" t="n"/>
      <c r="H1307" s="277" t="n">
        <v>812</v>
      </c>
      <c r="I1307" s="392" t="n"/>
      <c r="J1307" s="392" t="n"/>
      <c r="K1307" s="392" t="n"/>
      <c r="L1307" s="392" t="n"/>
    </row>
    <row r="1308">
      <c r="A1308" s="568" t="n">
        <v>44236</v>
      </c>
      <c r="B1308" s="392" t="n">
        <v>7859</v>
      </c>
      <c r="C1308" s="392" t="n">
        <v>65</v>
      </c>
      <c r="D1308" s="392" t="n"/>
      <c r="E1308" s="392" t="n"/>
      <c r="F1308" s="392" t="n"/>
      <c r="G1308" s="392" t="n">
        <v>20</v>
      </c>
      <c r="H1308" s="52">
        <f>H1307-G1308</f>
        <v/>
      </c>
      <c r="I1308" s="392" t="n"/>
      <c r="J1308" s="392" t="n"/>
      <c r="K1308" s="392" t="n"/>
      <c r="L1308" s="392" t="n"/>
    </row>
    <row r="1309">
      <c r="A1309" s="568" t="n">
        <v>44251</v>
      </c>
      <c r="B1309" s="392" t="n">
        <v>7891</v>
      </c>
      <c r="C1309" s="392" t="n">
        <v>65</v>
      </c>
      <c r="D1309" s="392" t="n"/>
      <c r="E1309" s="392" t="n"/>
      <c r="F1309" s="392" t="n"/>
      <c r="G1309" s="392" t="n">
        <v>12</v>
      </c>
      <c r="H1309" s="52">
        <f>H1308-G1309</f>
        <v/>
      </c>
      <c r="I1309" s="392" t="n"/>
      <c r="J1309" s="392" t="n"/>
      <c r="K1309" s="392" t="n"/>
      <c r="L1309" s="392" t="n"/>
    </row>
    <row r="1310">
      <c r="A1310" s="304" t="n">
        <v>44252</v>
      </c>
      <c r="B1310" s="401" t="n">
        <v>160527</v>
      </c>
      <c r="C1310" s="401" t="n">
        <v>57</v>
      </c>
      <c r="D1310" s="401" t="n"/>
      <c r="E1310" s="401" t="n"/>
      <c r="F1310" s="401" t="n">
        <v>140</v>
      </c>
      <c r="G1310" s="401" t="n"/>
      <c r="H1310" s="277" t="n">
        <v>920</v>
      </c>
      <c r="I1310" s="392" t="n"/>
      <c r="J1310" s="392" t="n"/>
      <c r="K1310" s="392" t="n"/>
      <c r="L1310" s="392" t="n"/>
    </row>
    <row r="1311">
      <c r="A1311" s="568" t="n"/>
      <c r="B1311" s="392" t="n"/>
      <c r="C1311" s="392" t="n"/>
      <c r="D1311" s="392" t="n"/>
      <c r="E1311" s="392" t="n"/>
      <c r="F1311" s="392" t="n"/>
      <c r="G1311" s="392" t="n"/>
      <c r="H1311" s="52">
        <f>H1310-G1311</f>
        <v/>
      </c>
      <c r="I1311" s="392" t="n"/>
      <c r="J1311" s="392" t="n"/>
      <c r="K1311" s="392" t="n"/>
      <c r="L1311" s="392" t="n"/>
    </row>
    <row r="1312" ht="15.75" customHeight="1" s="436" thickBot="1">
      <c r="A1312" s="568" t="n"/>
      <c r="B1312" s="392" t="n"/>
      <c r="C1312" s="392" t="n"/>
      <c r="D1312" s="392" t="n"/>
      <c r="E1312" s="392" t="n"/>
      <c r="F1312" s="392" t="n"/>
      <c r="G1312" s="392" t="n"/>
      <c r="H1312" s="52">
        <f>H1311-G1312</f>
        <v/>
      </c>
      <c r="I1312" s="392" t="n"/>
      <c r="J1312" s="392" t="n"/>
      <c r="K1312" s="392" t="n"/>
      <c r="L1312" s="392" t="n"/>
    </row>
    <row r="1313" ht="21.75" customHeight="1" s="436" thickBot="1">
      <c r="A1313" s="757" t="inlineStr">
        <is>
          <t>Março</t>
        </is>
      </c>
      <c r="B1313" s="697" t="n"/>
      <c r="C1313" s="697" t="n"/>
      <c r="D1313" s="697" t="n"/>
      <c r="E1313" s="697" t="n"/>
      <c r="F1313" s="697" t="n"/>
      <c r="G1313" s="697" t="n"/>
      <c r="H1313" s="697" t="n"/>
      <c r="I1313" s="697" t="n"/>
      <c r="J1313" s="697" t="n"/>
      <c r="K1313" s="697" t="n"/>
      <c r="L1313" s="698" t="n"/>
    </row>
    <row r="1314" ht="21.75" customHeight="1" s="436" thickBot="1">
      <c r="A1314" s="699" t="inlineStr">
        <is>
          <t xml:space="preserve">021 - DENISE FURTADO DE SOUZA - ME </t>
        </is>
      </c>
      <c r="B1314" s="697" t="n"/>
      <c r="C1314" s="697" t="n"/>
      <c r="D1314" s="697" t="n"/>
      <c r="E1314" s="697" t="n"/>
      <c r="F1314" s="697" t="n"/>
      <c r="G1314" s="697" t="n"/>
      <c r="H1314" s="697" t="n"/>
      <c r="I1314" s="697" t="n"/>
      <c r="J1314" s="697" t="n"/>
      <c r="K1314" s="697" t="n"/>
      <c r="L1314" s="698" t="n"/>
    </row>
    <row r="1315" ht="24" customHeight="1" s="436" thickBot="1">
      <c r="A1315" s="745" t="inlineStr">
        <is>
          <t xml:space="preserve">  PRÉ MISTURA - 25 KG</t>
        </is>
      </c>
      <c r="B1315" s="737" t="n"/>
      <c r="C1315" s="737" t="n"/>
      <c r="D1315" s="737" t="n"/>
      <c r="E1315" s="737" t="n"/>
      <c r="F1315" s="737" t="n"/>
      <c r="G1315" s="737" t="n"/>
      <c r="H1315" s="737" t="n"/>
      <c r="I1315" s="737" t="n"/>
      <c r="J1315" s="737" t="n"/>
      <c r="K1315" s="737" t="n"/>
      <c r="L1315" s="736" t="n"/>
    </row>
    <row r="1316">
      <c r="A1316" s="746" t="inlineStr">
        <is>
          <t>DATA</t>
        </is>
      </c>
      <c r="B1316" s="3" t="inlineStr">
        <is>
          <t>N.F.</t>
        </is>
      </c>
      <c r="C1316" s="3" t="inlineStr">
        <is>
          <t>TIPO</t>
        </is>
      </c>
      <c r="D1316" s="3" t="inlineStr">
        <is>
          <t>PREÇO UNITÁRIO</t>
        </is>
      </c>
      <c r="E1316" s="736" t="n"/>
      <c r="F1316" s="3" t="inlineStr">
        <is>
          <t>QUANTIDADE / KG</t>
        </is>
      </c>
      <c r="G1316" s="737" t="n"/>
      <c r="H1316" s="736" t="n"/>
      <c r="I1316" s="631" t="inlineStr">
        <is>
          <t>PREÇO</t>
        </is>
      </c>
      <c r="J1316" s="631" t="inlineStr">
        <is>
          <t>VALORES</t>
        </is>
      </c>
      <c r="K1316" s="737" t="n"/>
      <c r="L1316" s="736" t="n"/>
    </row>
    <row r="1317" ht="15.75" customHeight="1" s="436" thickBot="1">
      <c r="A1317" s="703" t="n"/>
      <c r="B1317" s="704" t="n"/>
      <c r="C1317" s="704" t="n"/>
      <c r="D1317" s="703" t="n"/>
      <c r="E1317" s="701" t="n"/>
      <c r="F1317" s="705" t="n"/>
      <c r="G1317" s="706" t="n"/>
      <c r="H1317" s="707" t="n"/>
      <c r="I1317" s="704" t="n"/>
      <c r="J1317" s="703" t="n"/>
      <c r="L1317" s="701" t="n"/>
    </row>
    <row r="1318" ht="15.75" customHeight="1" s="436" thickBot="1">
      <c r="A1318" s="703" t="n"/>
      <c r="B1318" s="704" t="n"/>
      <c r="C1318" s="704" t="n"/>
      <c r="D1318" s="705" t="n"/>
      <c r="E1318" s="707" t="n"/>
      <c r="F1318" s="3" t="inlineStr">
        <is>
          <t>ENTRADA</t>
        </is>
      </c>
      <c r="G1318" s="3" t="inlineStr">
        <is>
          <t>SAÍDA</t>
        </is>
      </c>
      <c r="H1318" s="640" t="n"/>
      <c r="I1318" s="633" t="inlineStr">
        <is>
          <t>MÉDIO</t>
        </is>
      </c>
      <c r="J1318" s="652" t="inlineStr">
        <is>
          <t>SALDO EM 30/12/2017</t>
        </is>
      </c>
      <c r="K1318" s="706" t="n"/>
      <c r="L1318" s="17" t="n"/>
    </row>
    <row r="1319" ht="15.75" customHeight="1" s="436" thickBot="1">
      <c r="A1319" s="705" t="n"/>
      <c r="B1319" s="695" t="n"/>
      <c r="C1319" s="695" t="n"/>
      <c r="D1319" s="3" t="inlineStr">
        <is>
          <t>C/ICMS</t>
        </is>
      </c>
      <c r="E1319" s="3" t="inlineStr">
        <is>
          <t>S/ICMS</t>
        </is>
      </c>
      <c r="F1319" s="695" t="n"/>
      <c r="G1319" s="695" t="n"/>
      <c r="H1319" s="361" t="n">
        <v>44255</v>
      </c>
      <c r="I1319" s="695" t="n"/>
      <c r="J1319" s="645" t="inlineStr">
        <is>
          <t>ENTRADA</t>
        </is>
      </c>
      <c r="K1319" s="633" t="inlineStr">
        <is>
          <t>SAÍDA / CMV</t>
        </is>
      </c>
      <c r="L1319" s="633" t="inlineStr">
        <is>
          <t>SALDO</t>
        </is>
      </c>
    </row>
    <row r="1320">
      <c r="A1320" s="48" t="n"/>
      <c r="B1320" s="49" t="n"/>
      <c r="C1320" s="49" t="n"/>
      <c r="D1320" s="71" t="n"/>
      <c r="E1320" s="71" t="n"/>
      <c r="F1320" s="55" t="n"/>
      <c r="G1320" s="55" t="n">
        <v>0</v>
      </c>
      <c r="H1320" s="55" t="n">
        <v>920</v>
      </c>
      <c r="I1320" s="71" t="n"/>
      <c r="J1320" s="747">
        <f>F1320*I1320</f>
        <v/>
      </c>
      <c r="K1320" s="747" t="n"/>
      <c r="L1320" s="748">
        <f>J1320-K1320</f>
        <v/>
      </c>
    </row>
    <row r="1321">
      <c r="A1321" s="568" t="n">
        <v>44258</v>
      </c>
      <c r="B1321" s="392" t="n">
        <v>7899</v>
      </c>
      <c r="C1321" s="392" t="n">
        <v>65</v>
      </c>
      <c r="D1321" s="392" t="n"/>
      <c r="E1321" s="392" t="n"/>
      <c r="F1321" s="392" t="n"/>
      <c r="G1321" s="392" t="n">
        <v>10</v>
      </c>
      <c r="H1321" s="52">
        <f>H1320-G1321</f>
        <v/>
      </c>
      <c r="I1321" s="392" t="n"/>
      <c r="J1321" s="392" t="n"/>
      <c r="K1321" s="392" t="n"/>
      <c r="L1321" s="392" t="n"/>
    </row>
    <row r="1322">
      <c r="A1322" s="568" t="n">
        <v>44258</v>
      </c>
      <c r="B1322" s="392" t="n">
        <v>7903</v>
      </c>
      <c r="C1322" s="392" t="n">
        <v>66.40000000000001</v>
      </c>
      <c r="D1322" s="392" t="n"/>
      <c r="E1322" s="392" t="n"/>
      <c r="F1322" s="392" t="n"/>
      <c r="G1322" s="392" t="n">
        <v>20</v>
      </c>
      <c r="H1322" s="52">
        <f>H1321-G1322</f>
        <v/>
      </c>
      <c r="I1322" s="392" t="n"/>
      <c r="J1322" s="392" t="n"/>
      <c r="K1322" s="392" t="n"/>
      <c r="L1322" s="392" t="n"/>
    </row>
    <row r="1323">
      <c r="A1323" s="568" t="n">
        <v>44258</v>
      </c>
      <c r="B1323" s="392" t="n">
        <v>7907</v>
      </c>
      <c r="C1323" s="392" t="n">
        <v>65</v>
      </c>
      <c r="D1323" s="392" t="n"/>
      <c r="E1323" s="392" t="n"/>
      <c r="F1323" s="392" t="n"/>
      <c r="G1323" s="392" t="n">
        <v>12</v>
      </c>
      <c r="H1323" s="52">
        <f>H1322-G1323</f>
        <v/>
      </c>
      <c r="I1323" s="392" t="n"/>
      <c r="J1323" s="392" t="n"/>
      <c r="K1323" s="392" t="n"/>
      <c r="L1323" s="392" t="n"/>
    </row>
    <row r="1324">
      <c r="A1324" s="568" t="n">
        <v>44260</v>
      </c>
      <c r="B1324" s="392" t="n">
        <v>7912</v>
      </c>
      <c r="C1324" s="392" t="n">
        <v>69.34</v>
      </c>
      <c r="D1324" s="392" t="n"/>
      <c r="E1324" s="392" t="n"/>
      <c r="F1324" s="392" t="n"/>
      <c r="G1324" s="392" t="n">
        <v>30</v>
      </c>
      <c r="H1324" s="52">
        <f>H1323-G1324</f>
        <v/>
      </c>
      <c r="I1324" s="392" t="n"/>
      <c r="J1324" s="392" t="n"/>
      <c r="K1324" s="392" t="n"/>
      <c r="L1324" s="392" t="n"/>
    </row>
    <row r="1325">
      <c r="A1325" s="568" t="n">
        <v>44272</v>
      </c>
      <c r="B1325" s="392" t="n">
        <v>7921</v>
      </c>
      <c r="C1325" s="392" t="n">
        <v>65</v>
      </c>
      <c r="D1325" s="392" t="n"/>
      <c r="E1325" s="392" t="n"/>
      <c r="F1325" s="392" t="n"/>
      <c r="G1325" s="392" t="n">
        <v>20</v>
      </c>
      <c r="H1325" s="52">
        <f>H1324-G1325</f>
        <v/>
      </c>
      <c r="I1325" s="392" t="n"/>
      <c r="J1325" s="392" t="n"/>
      <c r="K1325" s="392" t="n"/>
      <c r="L1325" s="392" t="n"/>
    </row>
    <row r="1326">
      <c r="A1326" s="568" t="n">
        <v>44272</v>
      </c>
      <c r="B1326" s="392" t="n">
        <v>7924</v>
      </c>
      <c r="C1326" s="392" t="n">
        <v>69</v>
      </c>
      <c r="D1326" s="392" t="n"/>
      <c r="E1326" s="392" t="n"/>
      <c r="F1326" s="392" t="n"/>
      <c r="G1326" s="392" t="n">
        <v>10</v>
      </c>
      <c r="H1326" s="52">
        <f>H1325-G1326</f>
        <v/>
      </c>
      <c r="I1326" s="392" t="n"/>
      <c r="J1326" s="392" t="n"/>
      <c r="K1326" s="392" t="n"/>
      <c r="L1326" s="392" t="n"/>
    </row>
    <row r="1327">
      <c r="A1327" s="568" t="n">
        <v>44272</v>
      </c>
      <c r="B1327" s="392" t="n">
        <v>7925</v>
      </c>
      <c r="C1327" s="392" t="n">
        <v>67</v>
      </c>
      <c r="D1327" s="392" t="n"/>
      <c r="E1327" s="392" t="n"/>
      <c r="F1327" s="392" t="n"/>
      <c r="G1327" s="392" t="n">
        <v>23</v>
      </c>
      <c r="H1327" s="52">
        <f>H1326-G1327</f>
        <v/>
      </c>
      <c r="I1327" s="392" t="n"/>
      <c r="J1327" s="392" t="n"/>
      <c r="K1327" s="392" t="n"/>
      <c r="L1327" s="392" t="n"/>
    </row>
    <row r="1328">
      <c r="A1328" s="568" t="n">
        <v>44272</v>
      </c>
      <c r="B1328" s="392" t="n">
        <v>7927</v>
      </c>
      <c r="C1328" s="392" t="n">
        <v>66.72</v>
      </c>
      <c r="D1328" s="392" t="n"/>
      <c r="E1328" s="392" t="n"/>
      <c r="F1328" s="392" t="n"/>
      <c r="G1328" s="392" t="n">
        <v>70</v>
      </c>
      <c r="H1328" s="52">
        <f>H1327-G1328</f>
        <v/>
      </c>
      <c r="I1328" s="392" t="n"/>
      <c r="J1328" s="392" t="n"/>
      <c r="K1328" s="392" t="n"/>
      <c r="L1328" s="392" t="n"/>
    </row>
    <row r="1329">
      <c r="A1329" s="568" t="n">
        <v>44272</v>
      </c>
      <c r="B1329" s="392" t="n">
        <v>7928</v>
      </c>
      <c r="C1329" s="392" t="n">
        <v>69</v>
      </c>
      <c r="D1329" s="392" t="n"/>
      <c r="E1329" s="392" t="n"/>
      <c r="F1329" s="392" t="n"/>
      <c r="G1329" s="392" t="n">
        <v>30</v>
      </c>
      <c r="H1329" s="52">
        <f>H1328-G1329</f>
        <v/>
      </c>
      <c r="I1329" s="392" t="n"/>
      <c r="J1329" s="392" t="n"/>
      <c r="K1329" s="392" t="n"/>
      <c r="L1329" s="392" t="n"/>
    </row>
    <row r="1330">
      <c r="A1330" s="568" t="n">
        <v>44272</v>
      </c>
      <c r="B1330" s="392" t="n">
        <v>7929</v>
      </c>
      <c r="C1330" s="392" t="n">
        <v>66.67</v>
      </c>
      <c r="D1330" s="392" t="n"/>
      <c r="E1330" s="392" t="n"/>
      <c r="F1330" s="392" t="n"/>
      <c r="G1330" s="392" t="n">
        <v>30</v>
      </c>
      <c r="H1330" s="52">
        <f>H1329-G1330</f>
        <v/>
      </c>
      <c r="I1330" s="392" t="n"/>
      <c r="J1330" s="392" t="n"/>
      <c r="K1330" s="392" t="n"/>
      <c r="L1330" s="392" t="n"/>
    </row>
    <row r="1331">
      <c r="A1331" s="568" t="n">
        <v>44273</v>
      </c>
      <c r="B1331" s="392" t="n">
        <v>7938</v>
      </c>
      <c r="C1331" s="392" t="n">
        <v>67</v>
      </c>
      <c r="D1331" s="392" t="n"/>
      <c r="E1331" s="392" t="n"/>
      <c r="F1331" s="392" t="n"/>
      <c r="G1331" s="392" t="n">
        <v>40</v>
      </c>
      <c r="H1331" s="52">
        <f>H1330-G1331</f>
        <v/>
      </c>
      <c r="I1331" s="392" t="n"/>
      <c r="J1331" s="392" t="n"/>
      <c r="K1331" s="392" t="n"/>
      <c r="L1331" s="392" t="n"/>
    </row>
    <row r="1332">
      <c r="A1332" s="568" t="n">
        <v>44273</v>
      </c>
      <c r="B1332" s="392" t="n">
        <v>7942</v>
      </c>
      <c r="C1332" s="392" t="n">
        <v>67</v>
      </c>
      <c r="D1332" s="392" t="n"/>
      <c r="E1332" s="392" t="n"/>
      <c r="F1332" s="392" t="n"/>
      <c r="G1332" s="392" t="n">
        <v>20</v>
      </c>
      <c r="H1332" s="52">
        <f>H1331-G1332</f>
        <v/>
      </c>
      <c r="I1332" s="392" t="n"/>
      <c r="J1332" s="392" t="n"/>
      <c r="K1332" s="392" t="n"/>
      <c r="L1332" s="392" t="n"/>
    </row>
    <row r="1333">
      <c r="A1333" s="568" t="n">
        <v>44279</v>
      </c>
      <c r="B1333" s="392" t="n">
        <v>7946</v>
      </c>
      <c r="C1333" s="392" t="n">
        <v>67</v>
      </c>
      <c r="D1333" s="392" t="n"/>
      <c r="E1333" s="392" t="n"/>
      <c r="F1333" s="392" t="n"/>
      <c r="G1333" s="392" t="n">
        <v>30</v>
      </c>
      <c r="H1333" s="52">
        <f>H1332-G1333</f>
        <v/>
      </c>
      <c r="I1333" s="392" t="n"/>
      <c r="J1333" s="392" t="n"/>
      <c r="K1333" s="392" t="n"/>
      <c r="L1333" s="392" t="n"/>
    </row>
    <row r="1334">
      <c r="A1334" s="568" t="n">
        <v>44279</v>
      </c>
      <c r="B1334" s="392" t="n">
        <v>7948</v>
      </c>
      <c r="C1334" s="392" t="n">
        <v>68.79000000000001</v>
      </c>
      <c r="D1334" s="392" t="n"/>
      <c r="E1334" s="392" t="n"/>
      <c r="F1334" s="392" t="n"/>
      <c r="G1334" s="392" t="n">
        <v>23</v>
      </c>
      <c r="H1334" s="52">
        <f>H1333-G1334</f>
        <v/>
      </c>
      <c r="I1334" s="392" t="n"/>
      <c r="J1334" s="392" t="n"/>
      <c r="K1334" s="392" t="n"/>
      <c r="L1334" s="392" t="n"/>
    </row>
    <row r="1335">
      <c r="A1335" s="568" t="n">
        <v>44283</v>
      </c>
      <c r="B1335" s="392" t="n">
        <v>7959</v>
      </c>
      <c r="C1335" s="392" t="n">
        <v>68</v>
      </c>
      <c r="D1335" s="392" t="n"/>
      <c r="E1335" s="392" t="n"/>
      <c r="F1335" s="392" t="n"/>
      <c r="G1335" s="392" t="n">
        <v>20</v>
      </c>
      <c r="H1335" s="52">
        <f>H1334-G1335</f>
        <v/>
      </c>
      <c r="I1335" s="392" t="n"/>
      <c r="J1335" s="392" t="n"/>
      <c r="K1335" s="392" t="n"/>
      <c r="L1335" s="392" t="n"/>
    </row>
    <row r="1336">
      <c r="A1336" s="568" t="n">
        <v>44283</v>
      </c>
      <c r="B1336" s="392" t="n">
        <v>7961</v>
      </c>
      <c r="C1336" s="392" t="n">
        <v>67.92</v>
      </c>
      <c r="D1336" s="392" t="n"/>
      <c r="E1336" s="392" t="n"/>
      <c r="F1336" s="392" t="n"/>
      <c r="G1336" s="392" t="n">
        <v>23</v>
      </c>
      <c r="H1336" s="52">
        <f>H1335-G1336</f>
        <v/>
      </c>
      <c r="I1336" s="392" t="n"/>
      <c r="J1336" s="392" t="n"/>
      <c r="K1336" s="392" t="n"/>
      <c r="L1336" s="392" t="n"/>
    </row>
    <row r="1337">
      <c r="A1337" s="304" t="n">
        <v>44284</v>
      </c>
      <c r="B1337" s="401" t="n">
        <v>1622539</v>
      </c>
      <c r="C1337" s="401" t="n">
        <v>57</v>
      </c>
      <c r="D1337" s="401" t="n">
        <v>900</v>
      </c>
      <c r="E1337" s="401" t="n"/>
      <c r="F1337" s="401" t="n"/>
      <c r="G1337" s="401" t="n"/>
      <c r="H1337" s="277" t="n">
        <v>1409</v>
      </c>
      <c r="I1337" s="392" t="n"/>
      <c r="J1337" s="392" t="n"/>
      <c r="K1337" s="392" t="n"/>
      <c r="L1337" s="392" t="n"/>
    </row>
    <row r="1338">
      <c r="A1338" s="568" t="n">
        <v>44285</v>
      </c>
      <c r="B1338" s="392" t="n">
        <v>7965</v>
      </c>
      <c r="C1338" s="392" t="n">
        <v>67</v>
      </c>
      <c r="D1338" s="392" t="n"/>
      <c r="E1338" s="392" t="n"/>
      <c r="F1338" s="392" t="n"/>
      <c r="G1338" s="392" t="n">
        <v>15</v>
      </c>
      <c r="H1338" s="52">
        <f>H1337-G1338</f>
        <v/>
      </c>
      <c r="I1338" s="392" t="n"/>
      <c r="J1338" s="392" t="n"/>
      <c r="K1338" s="392" t="n"/>
      <c r="L1338" s="392" t="n"/>
    </row>
    <row r="1339">
      <c r="A1339" s="568" t="n">
        <v>44285</v>
      </c>
      <c r="B1339" s="392" t="n">
        <v>7971</v>
      </c>
      <c r="C1339" s="392" t="n">
        <v>67</v>
      </c>
      <c r="D1339" s="392" t="n"/>
      <c r="E1339" s="392" t="n"/>
      <c r="F1339" s="392" t="n"/>
      <c r="G1339" s="392" t="n">
        <v>20</v>
      </c>
      <c r="H1339" s="52">
        <f>H1338-G1339</f>
        <v/>
      </c>
      <c r="I1339" s="392" t="n"/>
      <c r="J1339" s="392" t="n"/>
      <c r="K1339" s="392" t="n"/>
      <c r="L1339" s="392" t="n"/>
    </row>
    <row r="1340">
      <c r="A1340" s="568" t="n">
        <v>44285</v>
      </c>
      <c r="B1340" s="392" t="n">
        <v>7976</v>
      </c>
      <c r="C1340" s="392" t="n">
        <v>67.64</v>
      </c>
      <c r="D1340" s="392" t="n"/>
      <c r="E1340" s="392" t="n"/>
      <c r="F1340" s="392" t="n"/>
      <c r="G1340" s="392" t="n">
        <v>11</v>
      </c>
      <c r="H1340" s="52">
        <f>H1339-G1340</f>
        <v/>
      </c>
      <c r="I1340" s="392" t="n"/>
      <c r="J1340" s="392" t="n"/>
      <c r="K1340" s="392" t="n"/>
      <c r="L1340" s="392" t="n"/>
    </row>
    <row r="1341">
      <c r="A1341" s="568" t="n">
        <v>44286</v>
      </c>
      <c r="B1341" s="392" t="n">
        <v>7978</v>
      </c>
      <c r="C1341" s="392" t="n">
        <v>68.36</v>
      </c>
      <c r="D1341" s="392" t="n"/>
      <c r="E1341" s="392" t="n"/>
      <c r="F1341" s="392" t="n"/>
      <c r="G1341" s="392" t="n">
        <v>31</v>
      </c>
      <c r="H1341" s="52">
        <f>H1340-G1341</f>
        <v/>
      </c>
      <c r="I1341" s="392" t="n"/>
      <c r="J1341" s="392" t="n"/>
      <c r="K1341" s="392" t="n"/>
      <c r="L1341" s="392" t="n"/>
    </row>
    <row r="1342">
      <c r="A1342" s="568" t="n">
        <v>44286</v>
      </c>
      <c r="B1342" s="392" t="n">
        <v>7979</v>
      </c>
      <c r="C1342" s="392" t="n">
        <v>70.5</v>
      </c>
      <c r="D1342" s="392" t="n"/>
      <c r="E1342" s="392" t="n"/>
      <c r="F1342" s="392" t="n"/>
      <c r="G1342" s="392" t="n">
        <v>20</v>
      </c>
      <c r="H1342" s="52">
        <f>H1341-G1342</f>
        <v/>
      </c>
      <c r="I1342" s="392" t="n"/>
      <c r="J1342" s="392" t="n"/>
      <c r="K1342" s="392" t="n"/>
      <c r="L1342" s="392" t="n"/>
    </row>
    <row r="1343">
      <c r="A1343" s="568" t="n"/>
      <c r="B1343" s="392" t="n"/>
      <c r="C1343" s="392" t="n"/>
      <c r="D1343" s="392" t="n"/>
      <c r="E1343" s="392" t="n"/>
      <c r="F1343" s="392" t="n"/>
      <c r="G1343" s="392" t="n"/>
      <c r="H1343" s="52">
        <f>H1342-G1343</f>
        <v/>
      </c>
      <c r="I1343" s="392" t="n"/>
      <c r="J1343" s="392" t="n"/>
      <c r="K1343" s="392" t="n"/>
      <c r="L1343" s="392" t="n"/>
    </row>
    <row r="1344" ht="15.75" customHeight="1" s="436" thickBot="1">
      <c r="A1344" s="568" t="n"/>
      <c r="B1344" s="392" t="n"/>
      <c r="C1344" s="392" t="n"/>
      <c r="D1344" s="392" t="n"/>
      <c r="E1344" s="392" t="n"/>
      <c r="F1344" s="392" t="n"/>
      <c r="G1344" s="392" t="n"/>
      <c r="H1344" s="52">
        <f>H1343-G1344</f>
        <v/>
      </c>
      <c r="I1344" s="392" t="n"/>
      <c r="J1344" s="392" t="n"/>
      <c r="K1344" s="392" t="n"/>
      <c r="L1344" s="392" t="n"/>
    </row>
    <row r="1345" ht="21.75" customHeight="1" s="436" thickBot="1">
      <c r="A1345" s="757" t="inlineStr">
        <is>
          <t>Abril</t>
        </is>
      </c>
      <c r="B1345" s="697" t="n"/>
      <c r="C1345" s="697" t="n"/>
      <c r="D1345" s="697" t="n"/>
      <c r="E1345" s="697" t="n"/>
      <c r="F1345" s="697" t="n"/>
      <c r="G1345" s="697" t="n"/>
      <c r="H1345" s="697" t="n"/>
      <c r="I1345" s="697" t="n"/>
      <c r="J1345" s="697" t="n"/>
      <c r="K1345" s="697" t="n"/>
      <c r="L1345" s="698" t="n"/>
    </row>
    <row r="1346" ht="21.75" customHeight="1" s="436" thickBot="1">
      <c r="A1346" s="699" t="inlineStr">
        <is>
          <t xml:space="preserve">021 - DENISE FURTADO DE SOUZA - ME </t>
        </is>
      </c>
      <c r="B1346" s="697" t="n"/>
      <c r="C1346" s="697" t="n"/>
      <c r="D1346" s="697" t="n"/>
      <c r="E1346" s="697" t="n"/>
      <c r="F1346" s="697" t="n"/>
      <c r="G1346" s="697" t="n"/>
      <c r="H1346" s="697" t="n"/>
      <c r="I1346" s="697" t="n"/>
      <c r="J1346" s="697" t="n"/>
      <c r="K1346" s="697" t="n"/>
      <c r="L1346" s="698" t="n"/>
    </row>
    <row r="1347" ht="24" customHeight="1" s="436" thickBot="1">
      <c r="A1347" s="745" t="inlineStr">
        <is>
          <t xml:space="preserve">  PRÉ MISTURA - 25 KG</t>
        </is>
      </c>
      <c r="B1347" s="737" t="n"/>
      <c r="C1347" s="737" t="n"/>
      <c r="D1347" s="737" t="n"/>
      <c r="E1347" s="737" t="n"/>
      <c r="F1347" s="737" t="n"/>
      <c r="G1347" s="737" t="n"/>
      <c r="H1347" s="737" t="n"/>
      <c r="I1347" s="737" t="n"/>
      <c r="J1347" s="737" t="n"/>
      <c r="K1347" s="737" t="n"/>
      <c r="L1347" s="736" t="n"/>
    </row>
    <row r="1348">
      <c r="A1348" s="746" t="inlineStr">
        <is>
          <t>DATA</t>
        </is>
      </c>
      <c r="B1348" s="3" t="inlineStr">
        <is>
          <t>N.F.</t>
        </is>
      </c>
      <c r="C1348" s="3" t="inlineStr">
        <is>
          <t>TIPO</t>
        </is>
      </c>
      <c r="D1348" s="3" t="inlineStr">
        <is>
          <t>PREÇO UNITÁRIO</t>
        </is>
      </c>
      <c r="E1348" s="736" t="n"/>
      <c r="F1348" s="3" t="inlineStr">
        <is>
          <t>QUANTIDADE / KG</t>
        </is>
      </c>
      <c r="G1348" s="737" t="n"/>
      <c r="H1348" s="736" t="n"/>
      <c r="I1348" s="631" t="inlineStr">
        <is>
          <t>PREÇO</t>
        </is>
      </c>
      <c r="J1348" s="631" t="inlineStr">
        <is>
          <t>VALORES</t>
        </is>
      </c>
      <c r="K1348" s="737" t="n"/>
      <c r="L1348" s="736" t="n"/>
    </row>
    <row r="1349" ht="15.75" customHeight="1" s="436" thickBot="1">
      <c r="A1349" s="703" t="n"/>
      <c r="B1349" s="704" t="n"/>
      <c r="C1349" s="704" t="n"/>
      <c r="D1349" s="703" t="n"/>
      <c r="E1349" s="701" t="n"/>
      <c r="F1349" s="705" t="n"/>
      <c r="G1349" s="706" t="n"/>
      <c r="H1349" s="707" t="n"/>
      <c r="I1349" s="704" t="n"/>
      <c r="J1349" s="703" t="n"/>
      <c r="L1349" s="701" t="n"/>
    </row>
    <row r="1350" ht="15.75" customHeight="1" s="436" thickBot="1">
      <c r="A1350" s="703" t="n"/>
      <c r="B1350" s="704" t="n"/>
      <c r="C1350" s="704" t="n"/>
      <c r="D1350" s="705" t="n"/>
      <c r="E1350" s="707" t="n"/>
      <c r="F1350" s="3" t="inlineStr">
        <is>
          <t>ENTRADA</t>
        </is>
      </c>
      <c r="G1350" s="3" t="inlineStr">
        <is>
          <t>SAÍDA</t>
        </is>
      </c>
      <c r="H1350" s="640" t="n"/>
      <c r="I1350" s="633" t="inlineStr">
        <is>
          <t>MÉDIO</t>
        </is>
      </c>
      <c r="J1350" s="652" t="inlineStr">
        <is>
          <t>SALDO EM 30/12/2017</t>
        </is>
      </c>
      <c r="K1350" s="706" t="n"/>
      <c r="L1350" s="17" t="n"/>
    </row>
    <row r="1351" ht="15.75" customHeight="1" s="436" thickBot="1">
      <c r="A1351" s="705" t="n"/>
      <c r="B1351" s="695" t="n"/>
      <c r="C1351" s="695" t="n"/>
      <c r="D1351" s="3" t="inlineStr">
        <is>
          <t>C/ICMS</t>
        </is>
      </c>
      <c r="E1351" s="3" t="inlineStr">
        <is>
          <t>S/ICMS</t>
        </is>
      </c>
      <c r="F1351" s="695" t="n"/>
      <c r="G1351" s="695" t="n"/>
      <c r="H1351" s="361" t="n">
        <v>44316</v>
      </c>
      <c r="I1351" s="695" t="n"/>
      <c r="J1351" s="645" t="inlineStr">
        <is>
          <t>ENTRADA</t>
        </is>
      </c>
      <c r="K1351" s="633" t="inlineStr">
        <is>
          <t>SAÍDA / CMV</t>
        </is>
      </c>
      <c r="L1351" s="633" t="inlineStr">
        <is>
          <t>SALDO</t>
        </is>
      </c>
    </row>
    <row r="1352">
      <c r="A1352" s="48" t="n"/>
      <c r="B1352" s="49" t="n"/>
      <c r="C1352" s="49" t="n"/>
      <c r="D1352" s="71" t="n"/>
      <c r="E1352" s="71" t="n"/>
      <c r="F1352" s="55" t="n"/>
      <c r="G1352" s="55" t="n">
        <v>0</v>
      </c>
      <c r="H1352" s="55" t="n">
        <v>1312</v>
      </c>
      <c r="I1352" s="71" t="n"/>
      <c r="J1352" s="747">
        <f>F1352*I1352</f>
        <v/>
      </c>
      <c r="K1352" s="747" t="n"/>
      <c r="L1352" s="748">
        <f>J1352-K1352</f>
        <v/>
      </c>
    </row>
    <row r="1353">
      <c r="A1353" s="568" t="n">
        <v>44292</v>
      </c>
      <c r="B1353" s="392" t="n">
        <v>7083</v>
      </c>
      <c r="C1353" s="392" t="n">
        <v>67</v>
      </c>
      <c r="D1353" s="392" t="n"/>
      <c r="E1353" s="392" t="n"/>
      <c r="F1353" s="392" t="n"/>
      <c r="G1353" s="392" t="n">
        <v>20</v>
      </c>
      <c r="H1353" s="52">
        <f>H1352-G1353</f>
        <v/>
      </c>
      <c r="I1353" s="392" t="n"/>
      <c r="J1353" s="392" t="n"/>
      <c r="K1353" s="392" t="n"/>
      <c r="L1353" s="392" t="n"/>
    </row>
    <row r="1354">
      <c r="A1354" s="568" t="n">
        <v>44292</v>
      </c>
      <c r="B1354" s="392" t="n">
        <v>7084</v>
      </c>
      <c r="C1354" s="392" t="n">
        <v>70.67</v>
      </c>
      <c r="D1354" s="392" t="n"/>
      <c r="E1354" s="392" t="n"/>
      <c r="F1354" s="392" t="n"/>
      <c r="G1354" s="392" t="n">
        <v>30</v>
      </c>
      <c r="H1354" s="52">
        <f>H1353-G1354</f>
        <v/>
      </c>
      <c r="I1354" s="392" t="n"/>
      <c r="J1354" s="392" t="n"/>
      <c r="K1354" s="392" t="n"/>
      <c r="L1354" s="392" t="n"/>
    </row>
    <row r="1355">
      <c r="A1355" s="568" t="n">
        <v>44292</v>
      </c>
      <c r="B1355" s="392" t="n">
        <v>7085</v>
      </c>
      <c r="C1355" s="392" t="n">
        <v>69.54000000000001</v>
      </c>
      <c r="D1355" s="392" t="n"/>
      <c r="E1355" s="392" t="n"/>
      <c r="F1355" s="392" t="n"/>
      <c r="G1355" s="392" t="n">
        <v>41</v>
      </c>
      <c r="H1355" s="52">
        <f>H1354-G1355</f>
        <v/>
      </c>
      <c r="I1355" s="392" t="n"/>
      <c r="J1355" s="392" t="n"/>
      <c r="K1355" s="392" t="n"/>
      <c r="L1355" s="392" t="n"/>
    </row>
    <row r="1356">
      <c r="A1356" s="568" t="n">
        <v>44293</v>
      </c>
      <c r="B1356" s="392" t="n">
        <v>7089</v>
      </c>
      <c r="C1356" s="392" t="n">
        <v>67</v>
      </c>
      <c r="D1356" s="392" t="n"/>
      <c r="E1356" s="392" t="n"/>
      <c r="F1356" s="392" t="n"/>
      <c r="G1356" s="392" t="n">
        <v>10</v>
      </c>
      <c r="H1356" s="52">
        <f>H1355-G1356</f>
        <v/>
      </c>
      <c r="I1356" s="392" t="n"/>
      <c r="J1356" s="392" t="n"/>
      <c r="K1356" s="392" t="n"/>
      <c r="L1356" s="392" t="n"/>
    </row>
    <row r="1357">
      <c r="A1357" s="568" t="n">
        <v>44293</v>
      </c>
      <c r="B1357" s="392" t="n">
        <v>7091</v>
      </c>
      <c r="C1357" s="392" t="n">
        <v>68.40000000000001</v>
      </c>
      <c r="D1357" s="392" t="n"/>
      <c r="E1357" s="392" t="n"/>
      <c r="F1357" s="392" t="n"/>
      <c r="G1357" s="392" t="n">
        <v>25</v>
      </c>
      <c r="H1357" s="52">
        <f>H1356-G1357</f>
        <v/>
      </c>
      <c r="I1357" s="392" t="n"/>
      <c r="J1357" s="392" t="n"/>
      <c r="K1357" s="392" t="n"/>
      <c r="L1357" s="392" t="n"/>
    </row>
    <row r="1358">
      <c r="A1358" s="568" t="n">
        <v>44293</v>
      </c>
      <c r="B1358" s="392" t="n">
        <v>7092</v>
      </c>
      <c r="C1358" s="392" t="n">
        <v>67</v>
      </c>
      <c r="D1358" s="392" t="n"/>
      <c r="E1358" s="392" t="n"/>
      <c r="F1358" s="392" t="n"/>
      <c r="G1358" s="392" t="n">
        <v>50</v>
      </c>
      <c r="H1358" s="52">
        <f>H1357-G1358</f>
        <v/>
      </c>
      <c r="I1358" s="392" t="n"/>
      <c r="J1358" s="392" t="n"/>
      <c r="K1358" s="392" t="n"/>
      <c r="L1358" s="392" t="n"/>
    </row>
    <row r="1359">
      <c r="A1359" s="568" t="n">
        <v>44293</v>
      </c>
      <c r="B1359" s="392" t="n">
        <v>7093</v>
      </c>
      <c r="C1359" s="392" t="n">
        <v>66.5</v>
      </c>
      <c r="D1359" s="392" t="n"/>
      <c r="E1359" s="392" t="n"/>
      <c r="F1359" s="392" t="n"/>
      <c r="G1359" s="392" t="n">
        <v>12</v>
      </c>
      <c r="H1359" s="52">
        <f>H1358-G1359</f>
        <v/>
      </c>
      <c r="I1359" s="392" t="n"/>
      <c r="J1359" s="392" t="n"/>
      <c r="K1359" s="392" t="n"/>
      <c r="L1359" s="392" t="n"/>
    </row>
    <row r="1360">
      <c r="A1360" s="568" t="n">
        <v>44296</v>
      </c>
      <c r="B1360" s="392" t="n">
        <v>7096</v>
      </c>
      <c r="C1360" s="392" t="n">
        <v>67.59</v>
      </c>
      <c r="D1360" s="392" t="n"/>
      <c r="E1360" s="392" t="n"/>
      <c r="F1360" s="392" t="n"/>
      <c r="G1360" s="392" t="n">
        <v>60</v>
      </c>
      <c r="H1360" s="52">
        <f>H1359-G1360</f>
        <v/>
      </c>
      <c r="I1360" s="392" t="n"/>
      <c r="J1360" s="392" t="n"/>
      <c r="K1360" s="392" t="n"/>
      <c r="L1360" s="392" t="n"/>
    </row>
    <row r="1361">
      <c r="A1361" s="568" t="n">
        <v>44299</v>
      </c>
      <c r="B1361" s="392" t="n">
        <v>7097</v>
      </c>
      <c r="C1361" s="392" t="n">
        <v>70.5</v>
      </c>
      <c r="D1361" s="392" t="n"/>
      <c r="E1361" s="392" t="n"/>
      <c r="F1361" s="392" t="n"/>
      <c r="G1361" s="392" t="n">
        <v>30</v>
      </c>
      <c r="H1361" s="52">
        <f>H1360-G1361</f>
        <v/>
      </c>
      <c r="I1361" s="392" t="n"/>
      <c r="J1361" s="392" t="n"/>
      <c r="K1361" s="392" t="n"/>
      <c r="L1361" s="392" t="n"/>
    </row>
    <row r="1362">
      <c r="A1362" s="568" t="n">
        <v>44299</v>
      </c>
      <c r="B1362" s="392" t="n">
        <v>7098</v>
      </c>
      <c r="C1362" s="392" t="n">
        <v>70.67</v>
      </c>
      <c r="D1362" s="392" t="n"/>
      <c r="E1362" s="392" t="n"/>
      <c r="F1362" s="392" t="n"/>
      <c r="G1362" s="392" t="n">
        <v>30</v>
      </c>
      <c r="H1362" s="52">
        <f>H1361-G1362</f>
        <v/>
      </c>
      <c r="I1362" s="392" t="n"/>
      <c r="J1362" s="392" t="n"/>
      <c r="K1362" s="392" t="n"/>
      <c r="L1362" s="392" t="n"/>
    </row>
    <row r="1363">
      <c r="A1363" s="568" t="n">
        <v>44299</v>
      </c>
      <c r="B1363" s="392" t="n">
        <v>8000</v>
      </c>
      <c r="C1363" s="392" t="n">
        <v>68</v>
      </c>
      <c r="D1363" s="392" t="n"/>
      <c r="E1363" s="392" t="n"/>
      <c r="F1363" s="392" t="n"/>
      <c r="G1363" s="392" t="n">
        <v>20</v>
      </c>
      <c r="H1363" s="52">
        <f>H1362-G1363</f>
        <v/>
      </c>
      <c r="I1363" s="392" t="n"/>
      <c r="J1363" s="392" t="n"/>
      <c r="K1363" s="392" t="n"/>
      <c r="L1363" s="392" t="n"/>
    </row>
    <row r="1364">
      <c r="A1364" s="304" t="n">
        <v>44300</v>
      </c>
      <c r="B1364" s="401" t="n">
        <v>163583</v>
      </c>
      <c r="C1364" s="401" t="n">
        <v>59</v>
      </c>
      <c r="D1364" s="401" t="n"/>
      <c r="E1364" s="401" t="n">
        <v>280</v>
      </c>
      <c r="F1364" s="401" t="n"/>
      <c r="G1364" s="401" t="n"/>
      <c r="H1364" s="277" t="n">
        <v>1264</v>
      </c>
      <c r="I1364" s="392" t="n"/>
      <c r="J1364" s="392" t="n"/>
      <c r="K1364" s="392" t="n"/>
      <c r="L1364" s="392" t="n"/>
    </row>
    <row r="1365">
      <c r="A1365" s="568" t="n">
        <v>44300</v>
      </c>
      <c r="B1365" s="392" t="n">
        <v>8011</v>
      </c>
      <c r="C1365" s="392" t="n">
        <v>68</v>
      </c>
      <c r="D1365" s="392" t="n"/>
      <c r="E1365" s="392" t="n"/>
      <c r="F1365" s="392" t="n"/>
      <c r="G1365" s="392" t="n">
        <v>20</v>
      </c>
      <c r="H1365" s="52">
        <f>H1364-G1365</f>
        <v/>
      </c>
      <c r="I1365" s="392" t="n"/>
      <c r="J1365" s="392" t="n"/>
      <c r="K1365" s="392" t="n"/>
      <c r="L1365" s="392" t="n"/>
    </row>
    <row r="1366">
      <c r="A1366" s="568" t="n">
        <v>44300</v>
      </c>
      <c r="B1366" s="392" t="n">
        <v>8014</v>
      </c>
      <c r="C1366" s="392" t="n">
        <v>60</v>
      </c>
      <c r="D1366" s="392" t="n"/>
      <c r="E1366" s="392" t="n"/>
      <c r="F1366" s="392" t="n"/>
      <c r="G1366" s="392" t="n">
        <v>100</v>
      </c>
      <c r="H1366" s="52">
        <f>H1365-G1366</f>
        <v/>
      </c>
      <c r="I1366" s="392" t="n"/>
      <c r="J1366" s="392" t="n"/>
      <c r="K1366" s="392" t="n"/>
      <c r="L1366" s="392" t="n"/>
    </row>
    <row r="1367">
      <c r="A1367" s="568" t="n">
        <v>44300</v>
      </c>
      <c r="B1367" s="392" t="n">
        <v>8016</v>
      </c>
      <c r="C1367" s="392" t="n">
        <v>67.55</v>
      </c>
      <c r="D1367" s="392" t="n"/>
      <c r="E1367" s="392" t="n"/>
      <c r="F1367" s="392" t="n"/>
      <c r="G1367" s="392" t="n">
        <v>31</v>
      </c>
      <c r="H1367" s="52">
        <f>H1366-G1367</f>
        <v/>
      </c>
      <c r="I1367" s="392" t="n"/>
      <c r="J1367" s="392" t="n"/>
      <c r="K1367" s="392" t="n"/>
      <c r="L1367" s="392" t="n"/>
    </row>
    <row r="1368">
      <c r="A1368" s="568" t="n">
        <v>44301</v>
      </c>
      <c r="B1368" s="392" t="n">
        <v>8017</v>
      </c>
      <c r="C1368" s="392" t="n">
        <v>68</v>
      </c>
      <c r="D1368" s="392" t="n"/>
      <c r="E1368" s="392" t="n"/>
      <c r="F1368" s="392" t="n"/>
      <c r="G1368" s="392" t="n">
        <v>20</v>
      </c>
      <c r="H1368" s="52">
        <f>H1367-G1368</f>
        <v/>
      </c>
      <c r="I1368" s="392" t="n"/>
      <c r="J1368" s="392" t="n"/>
      <c r="K1368" s="392" t="n"/>
      <c r="L1368" s="392" t="n"/>
    </row>
    <row r="1369">
      <c r="A1369" s="568" t="n">
        <v>44306</v>
      </c>
      <c r="B1369" s="392" t="n">
        <v>8023</v>
      </c>
      <c r="C1369" s="392" t="n">
        <v>67</v>
      </c>
      <c r="D1369" s="392" t="n"/>
      <c r="E1369" s="392" t="n"/>
      <c r="F1369" s="392" t="n"/>
      <c r="G1369" s="392" t="n">
        <v>25</v>
      </c>
      <c r="H1369" s="52">
        <f>H1368-G1369</f>
        <v/>
      </c>
      <c r="I1369" s="392" t="n"/>
      <c r="J1369" s="392" t="n"/>
      <c r="K1369" s="392" t="n"/>
      <c r="L1369" s="392" t="n"/>
    </row>
    <row r="1370">
      <c r="A1370" s="568" t="n">
        <v>44306</v>
      </c>
      <c r="B1370" s="392" t="n">
        <v>8024</v>
      </c>
      <c r="C1370" s="392" t="n">
        <v>66.5</v>
      </c>
      <c r="D1370" s="392" t="n"/>
      <c r="E1370" s="392" t="n"/>
      <c r="F1370" s="392" t="n"/>
      <c r="G1370" s="392" t="n">
        <v>100</v>
      </c>
      <c r="H1370" s="52">
        <f>H1369-G1370</f>
        <v/>
      </c>
      <c r="I1370" s="392" t="n"/>
      <c r="J1370" s="392" t="n"/>
      <c r="K1370" s="392" t="n"/>
      <c r="L1370" s="392" t="n"/>
    </row>
    <row r="1371">
      <c r="A1371" s="568" t="n">
        <v>44306</v>
      </c>
      <c r="B1371" s="392" t="n">
        <v>8025</v>
      </c>
      <c r="C1371" s="392" t="n">
        <v>69</v>
      </c>
      <c r="D1371" s="392" t="n"/>
      <c r="E1371" s="392" t="n"/>
      <c r="F1371" s="392" t="n"/>
      <c r="G1371" s="392" t="n">
        <v>30</v>
      </c>
      <c r="H1371" s="52">
        <f>H1370-G1371</f>
        <v/>
      </c>
      <c r="I1371" s="392" t="n"/>
      <c r="J1371" s="392" t="n"/>
      <c r="K1371" s="392" t="n"/>
      <c r="L1371" s="392" t="n"/>
    </row>
    <row r="1372">
      <c r="A1372" s="568" t="n">
        <v>44306</v>
      </c>
      <c r="B1372" s="392" t="n">
        <v>8026</v>
      </c>
      <c r="C1372" s="392" t="n">
        <v>69</v>
      </c>
      <c r="D1372" s="392" t="n"/>
      <c r="E1372" s="392" t="n"/>
      <c r="F1372" s="392" t="n"/>
      <c r="G1372" s="392" t="n">
        <v>10</v>
      </c>
      <c r="H1372" s="52">
        <f>H1371-G1372</f>
        <v/>
      </c>
      <c r="I1372" s="392" t="n"/>
      <c r="J1372" s="392" t="n"/>
      <c r="K1372" s="392" t="n"/>
      <c r="L1372" s="392" t="n"/>
    </row>
    <row r="1373">
      <c r="A1373" s="568" t="n">
        <v>44308</v>
      </c>
      <c r="B1373" s="392" t="n">
        <v>8032</v>
      </c>
      <c r="C1373" s="392" t="n">
        <v>60</v>
      </c>
      <c r="D1373" s="392" t="n"/>
      <c r="E1373" s="392" t="n"/>
      <c r="F1373" s="392" t="n"/>
      <c r="G1373" s="392" t="n">
        <v>30</v>
      </c>
      <c r="H1373" s="52">
        <f>H1372-G1373</f>
        <v/>
      </c>
      <c r="I1373" s="392" t="n"/>
      <c r="J1373" s="392" t="n"/>
      <c r="K1373" s="392" t="n"/>
      <c r="L1373" s="392" t="n"/>
    </row>
    <row r="1374">
      <c r="A1374" s="568" t="n">
        <v>44308</v>
      </c>
      <c r="B1374" s="392" t="n">
        <v>8035</v>
      </c>
      <c r="C1374" s="392" t="n">
        <v>69.59999999999999</v>
      </c>
      <c r="D1374" s="392" t="n"/>
      <c r="E1374" s="392" t="n"/>
      <c r="F1374" s="392" t="n"/>
      <c r="G1374" s="392" t="n">
        <v>20</v>
      </c>
      <c r="H1374" s="52">
        <f>H1373-G1374</f>
        <v/>
      </c>
      <c r="I1374" s="392" t="n"/>
      <c r="J1374" s="392" t="n"/>
      <c r="K1374" s="392" t="n"/>
      <c r="L1374" s="392" t="n"/>
    </row>
    <row r="1375">
      <c r="A1375" s="568" t="n">
        <v>44308</v>
      </c>
      <c r="B1375" s="392" t="n">
        <v>8036</v>
      </c>
      <c r="C1375" s="392" t="n">
        <v>68.2</v>
      </c>
      <c r="D1375" s="392" t="n"/>
      <c r="E1375" s="392" t="n"/>
      <c r="F1375" s="392" t="n"/>
      <c r="G1375" s="392" t="n">
        <v>70</v>
      </c>
      <c r="H1375" s="52">
        <f>H1374-G1375</f>
        <v/>
      </c>
      <c r="I1375" s="392" t="n"/>
      <c r="J1375" s="392" t="n"/>
      <c r="K1375" s="392" t="n"/>
      <c r="L1375" s="392" t="n"/>
    </row>
    <row r="1376">
      <c r="A1376" s="568" t="n">
        <v>44313</v>
      </c>
      <c r="B1376" s="392" t="n">
        <v>8041</v>
      </c>
      <c r="C1376" s="392" t="n">
        <v>69.64</v>
      </c>
      <c r="D1376" s="392" t="n"/>
      <c r="E1376" s="392" t="n"/>
      <c r="F1376" s="392" t="n"/>
      <c r="G1376" s="392" t="n">
        <v>50</v>
      </c>
      <c r="H1376" s="52">
        <f>H1375-G1376</f>
        <v/>
      </c>
      <c r="I1376" s="392" t="n"/>
      <c r="J1376" s="392" t="n"/>
      <c r="K1376" s="392" t="n"/>
      <c r="L1376" s="392" t="n"/>
    </row>
    <row r="1377">
      <c r="A1377" s="568" t="n">
        <v>44313</v>
      </c>
      <c r="B1377" s="392" t="n">
        <v>8042</v>
      </c>
      <c r="C1377" s="392" t="n">
        <v>69</v>
      </c>
      <c r="D1377" s="392" t="n"/>
      <c r="E1377" s="392" t="n"/>
      <c r="F1377" s="392" t="n"/>
      <c r="G1377" s="392" t="n">
        <v>30</v>
      </c>
      <c r="H1377" s="52">
        <f>H1376-G1377</f>
        <v/>
      </c>
      <c r="I1377" s="392" t="n"/>
      <c r="J1377" s="392" t="n"/>
      <c r="K1377" s="392" t="n"/>
      <c r="L1377" s="392" t="n"/>
    </row>
    <row r="1378">
      <c r="A1378" s="568" t="n">
        <v>44313</v>
      </c>
      <c r="B1378" s="392" t="n">
        <v>8043</v>
      </c>
      <c r="C1378" s="392" t="n">
        <v>60</v>
      </c>
      <c r="D1378" s="392" t="n"/>
      <c r="E1378" s="392" t="n"/>
      <c r="F1378" s="392" t="n"/>
      <c r="G1378" s="392" t="n">
        <v>40</v>
      </c>
      <c r="H1378" s="52">
        <f>H1377-G1378</f>
        <v/>
      </c>
      <c r="I1378" s="392" t="n"/>
      <c r="J1378" s="392" t="n"/>
      <c r="K1378" s="392" t="n"/>
      <c r="L1378" s="392" t="n"/>
    </row>
    <row r="1379">
      <c r="A1379" s="568" t="n">
        <v>44313</v>
      </c>
      <c r="B1379" s="392" t="n">
        <v>8045</v>
      </c>
      <c r="C1379" s="392" t="n">
        <v>66.7</v>
      </c>
      <c r="D1379" s="392" t="n"/>
      <c r="E1379" s="392" t="n"/>
      <c r="F1379" s="392" t="n"/>
      <c r="G1379" s="392" t="n">
        <v>10</v>
      </c>
      <c r="H1379" s="52">
        <f>H1378-G1379</f>
        <v/>
      </c>
      <c r="I1379" s="392" t="n"/>
      <c r="J1379" s="392" t="n"/>
      <c r="K1379" s="392" t="n"/>
      <c r="L1379" s="392" t="n"/>
    </row>
    <row r="1380">
      <c r="A1380" s="568" t="n">
        <v>44313</v>
      </c>
      <c r="B1380" s="392" t="n">
        <v>8052</v>
      </c>
      <c r="C1380" s="392" t="n">
        <v>69</v>
      </c>
      <c r="D1380" s="392" t="n"/>
      <c r="E1380" s="392" t="n"/>
      <c r="F1380" s="392" t="n"/>
      <c r="G1380" s="392" t="n">
        <v>36</v>
      </c>
      <c r="H1380" s="52">
        <f>H1379-G1380</f>
        <v/>
      </c>
      <c r="I1380" s="392" t="n"/>
      <c r="J1380" s="392" t="n"/>
      <c r="K1380" s="392" t="n"/>
      <c r="L1380" s="392" t="n"/>
    </row>
    <row r="1381">
      <c r="A1381" s="304" t="n">
        <v>44316</v>
      </c>
      <c r="B1381" s="401" t="n">
        <v>164627</v>
      </c>
      <c r="C1381" s="401" t="n">
        <v>59.9</v>
      </c>
      <c r="D1381" s="401" t="n"/>
      <c r="E1381" s="401" t="n"/>
      <c r="F1381" s="401" t="n">
        <v>1100</v>
      </c>
      <c r="G1381" s="401" t="n"/>
      <c r="H1381" s="277" t="n">
        <v>1742</v>
      </c>
      <c r="I1381" s="392" t="n"/>
      <c r="J1381" s="392" t="n"/>
      <c r="K1381" s="392" t="n"/>
      <c r="L1381" s="392" t="n"/>
    </row>
    <row r="1382">
      <c r="A1382" s="568" t="n"/>
      <c r="B1382" s="392" t="n"/>
      <c r="C1382" s="392" t="n"/>
      <c r="D1382" s="392" t="n"/>
      <c r="E1382" s="392" t="n"/>
      <c r="F1382" s="392" t="n"/>
      <c r="G1382" s="392" t="n"/>
      <c r="H1382" s="52">
        <f>H1381-G1382</f>
        <v/>
      </c>
      <c r="I1382" s="392" t="n"/>
      <c r="J1382" s="392" t="n"/>
      <c r="K1382" s="392" t="n"/>
      <c r="L1382" s="392" t="n"/>
    </row>
    <row r="1383" ht="15.75" customHeight="1" s="436" thickBot="1">
      <c r="A1383" s="568" t="n"/>
      <c r="B1383" s="392" t="n"/>
      <c r="C1383" s="392" t="n"/>
      <c r="D1383" s="392" t="n"/>
      <c r="E1383" s="392" t="n"/>
      <c r="F1383" s="392" t="n"/>
      <c r="G1383" s="392" t="n"/>
      <c r="H1383" s="52">
        <f>H1382-G1383</f>
        <v/>
      </c>
      <c r="I1383" s="392" t="n"/>
      <c r="J1383" s="392" t="n"/>
      <c r="K1383" s="392" t="n"/>
      <c r="L1383" s="392" t="n"/>
    </row>
    <row r="1384" ht="21.75" customHeight="1" s="436" thickBot="1">
      <c r="A1384" s="757" t="inlineStr">
        <is>
          <t>Maio</t>
        </is>
      </c>
      <c r="B1384" s="697" t="n"/>
      <c r="C1384" s="697" t="n"/>
      <c r="D1384" s="697" t="n"/>
      <c r="E1384" s="697" t="n"/>
      <c r="F1384" s="697" t="n"/>
      <c r="G1384" s="697" t="n"/>
      <c r="H1384" s="697" t="n"/>
      <c r="I1384" s="697" t="n"/>
      <c r="J1384" s="697" t="n"/>
      <c r="K1384" s="697" t="n"/>
      <c r="L1384" s="698" t="n"/>
    </row>
    <row r="1385" ht="21.75" customHeight="1" s="436" thickBot="1">
      <c r="A1385" s="699" t="inlineStr">
        <is>
          <t xml:space="preserve">021 - DENISE FURTADO DE SOUZA - ME </t>
        </is>
      </c>
      <c r="B1385" s="697" t="n"/>
      <c r="C1385" s="697" t="n"/>
      <c r="D1385" s="697" t="n"/>
      <c r="E1385" s="697" t="n"/>
      <c r="F1385" s="697" t="n"/>
      <c r="G1385" s="697" t="n"/>
      <c r="H1385" s="697" t="n"/>
      <c r="I1385" s="697" t="n"/>
      <c r="J1385" s="697" t="n"/>
      <c r="K1385" s="697" t="n"/>
      <c r="L1385" s="698" t="n"/>
    </row>
    <row r="1386" ht="24" customHeight="1" s="436" thickBot="1">
      <c r="A1386" s="745" t="inlineStr">
        <is>
          <t xml:space="preserve">  PRÉ MISTURA - 25 KG</t>
        </is>
      </c>
      <c r="B1386" s="737" t="n"/>
      <c r="C1386" s="737" t="n"/>
      <c r="D1386" s="737" t="n"/>
      <c r="E1386" s="737" t="n"/>
      <c r="F1386" s="737" t="n"/>
      <c r="G1386" s="737" t="n"/>
      <c r="H1386" s="737" t="n"/>
      <c r="I1386" s="737" t="n"/>
      <c r="J1386" s="737" t="n"/>
      <c r="K1386" s="737" t="n"/>
      <c r="L1386" s="736" t="n"/>
    </row>
    <row r="1387">
      <c r="A1387" s="746" t="inlineStr">
        <is>
          <t>DATA</t>
        </is>
      </c>
      <c r="B1387" s="3" t="inlineStr">
        <is>
          <t>N.F.</t>
        </is>
      </c>
      <c r="C1387" s="3" t="inlineStr">
        <is>
          <t>TIPO</t>
        </is>
      </c>
      <c r="D1387" s="3" t="inlineStr">
        <is>
          <t>PREÇO UNITÁRIO</t>
        </is>
      </c>
      <c r="E1387" s="736" t="n"/>
      <c r="F1387" s="3" t="inlineStr">
        <is>
          <t>QUANTIDADE / KG</t>
        </is>
      </c>
      <c r="G1387" s="737" t="n"/>
      <c r="H1387" s="736" t="n"/>
      <c r="I1387" s="631" t="inlineStr">
        <is>
          <t>PREÇO</t>
        </is>
      </c>
      <c r="J1387" s="631" t="inlineStr">
        <is>
          <t>VALORES</t>
        </is>
      </c>
      <c r="K1387" s="737" t="n"/>
      <c r="L1387" s="736" t="n"/>
    </row>
    <row r="1388" ht="15.75" customHeight="1" s="436" thickBot="1">
      <c r="A1388" s="703" t="n"/>
      <c r="B1388" s="704" t="n"/>
      <c r="C1388" s="704" t="n"/>
      <c r="D1388" s="703" t="n"/>
      <c r="E1388" s="701" t="n"/>
      <c r="F1388" s="705" t="n"/>
      <c r="G1388" s="706" t="n"/>
      <c r="H1388" s="707" t="n"/>
      <c r="I1388" s="704" t="n"/>
      <c r="J1388" s="703" t="n"/>
      <c r="L1388" s="701" t="n"/>
    </row>
    <row r="1389" ht="15.75" customHeight="1" s="436" thickBot="1">
      <c r="A1389" s="703" t="n"/>
      <c r="B1389" s="704" t="n"/>
      <c r="C1389" s="704" t="n"/>
      <c r="D1389" s="705" t="n"/>
      <c r="E1389" s="707" t="n"/>
      <c r="F1389" s="3" t="inlineStr">
        <is>
          <t>ENTRADA</t>
        </is>
      </c>
      <c r="G1389" s="3" t="inlineStr">
        <is>
          <t>SAÍDA</t>
        </is>
      </c>
      <c r="H1389" s="640" t="n"/>
      <c r="I1389" s="633" t="inlineStr">
        <is>
          <t>MÉDIO</t>
        </is>
      </c>
      <c r="J1389" s="652" t="inlineStr">
        <is>
          <t>SALDO EM 30/12/2017</t>
        </is>
      </c>
      <c r="K1389" s="706" t="n"/>
      <c r="L1389" s="17" t="n"/>
    </row>
    <row r="1390" ht="15.75" customHeight="1" s="436" thickBot="1">
      <c r="A1390" s="705" t="n"/>
      <c r="B1390" s="695" t="n"/>
      <c r="C1390" s="695" t="n"/>
      <c r="D1390" s="3" t="inlineStr">
        <is>
          <t>C/ICMS</t>
        </is>
      </c>
      <c r="E1390" s="3" t="inlineStr">
        <is>
          <t>S/ICMS</t>
        </is>
      </c>
      <c r="F1390" s="695" t="n"/>
      <c r="G1390" s="695" t="n"/>
      <c r="H1390" s="361" t="n">
        <v>44316</v>
      </c>
      <c r="I1390" s="695" t="n"/>
      <c r="J1390" s="645" t="inlineStr">
        <is>
          <t>ENTRADA</t>
        </is>
      </c>
      <c r="K1390" s="633" t="inlineStr">
        <is>
          <t>SAÍDA / CMV</t>
        </is>
      </c>
      <c r="L1390" s="633" t="inlineStr">
        <is>
          <t>SALDO</t>
        </is>
      </c>
    </row>
    <row r="1391">
      <c r="A1391" s="48" t="n"/>
      <c r="B1391" s="49" t="n"/>
      <c r="C1391" s="49" t="n"/>
      <c r="D1391" s="71" t="n"/>
      <c r="E1391" s="71" t="n"/>
      <c r="F1391" s="55" t="n"/>
      <c r="G1391" s="55" t="n">
        <v>0</v>
      </c>
      <c r="H1391" s="55" t="n">
        <v>1742</v>
      </c>
      <c r="I1391" s="71" t="n"/>
      <c r="J1391" s="747">
        <f>F1391*I1391</f>
        <v/>
      </c>
      <c r="K1391" s="747" t="n"/>
      <c r="L1391" s="748">
        <f>J1391-K1391</f>
        <v/>
      </c>
    </row>
    <row r="1392">
      <c r="A1392" s="568" t="n">
        <v>44320</v>
      </c>
      <c r="B1392" s="392" t="n">
        <v>8053</v>
      </c>
      <c r="C1392" s="392" t="n">
        <v>68</v>
      </c>
      <c r="D1392" s="392" t="n"/>
      <c r="E1392" s="392" t="n"/>
      <c r="F1392" s="392" t="n"/>
      <c r="G1392" s="392" t="n">
        <v>30</v>
      </c>
      <c r="H1392" s="52">
        <f>H1391-G1392</f>
        <v/>
      </c>
      <c r="I1392" s="392" t="n"/>
      <c r="J1392" s="392" t="n"/>
      <c r="K1392" s="392" t="n"/>
      <c r="L1392" s="392" t="n"/>
    </row>
    <row r="1393">
      <c r="A1393" s="568" t="n">
        <v>44320</v>
      </c>
      <c r="B1393" s="392" t="n">
        <v>8055</v>
      </c>
      <c r="C1393" s="392" t="n">
        <v>69.83</v>
      </c>
      <c r="D1393" s="392" t="n"/>
      <c r="E1393" s="392" t="n"/>
      <c r="F1393" s="392" t="n"/>
      <c r="G1393" s="392" t="n">
        <v>35</v>
      </c>
      <c r="H1393" s="52">
        <f>H1392-G1393</f>
        <v/>
      </c>
      <c r="I1393" s="392" t="n"/>
      <c r="J1393" s="392" t="n"/>
      <c r="K1393" s="392" t="n"/>
      <c r="L1393" s="392" t="n"/>
    </row>
    <row r="1394">
      <c r="A1394" s="568" t="n">
        <v>44320</v>
      </c>
      <c r="B1394" s="392" t="n">
        <v>8060</v>
      </c>
      <c r="C1394" s="392" t="n">
        <v>75</v>
      </c>
      <c r="D1394" s="392" t="n"/>
      <c r="E1394" s="392" t="n"/>
      <c r="F1394" s="392" t="n"/>
      <c r="G1394" s="392" t="n">
        <v>20</v>
      </c>
      <c r="H1394" s="52">
        <f>H1393-G1394</f>
        <v/>
      </c>
      <c r="I1394" s="392" t="n"/>
      <c r="J1394" s="392" t="n"/>
      <c r="K1394" s="392" t="n"/>
      <c r="L1394" s="392" t="n"/>
    </row>
    <row r="1395">
      <c r="A1395" s="568" t="n">
        <v>44320</v>
      </c>
      <c r="B1395" s="392" t="n">
        <v>8061</v>
      </c>
      <c r="C1395" s="392" t="n">
        <v>69.86</v>
      </c>
      <c r="D1395" s="392" t="n"/>
      <c r="E1395" s="392" t="n"/>
      <c r="F1395" s="392" t="n"/>
      <c r="G1395" s="392" t="n">
        <v>35</v>
      </c>
      <c r="H1395" s="52">
        <f>H1394-G1395</f>
        <v/>
      </c>
      <c r="I1395" s="392" t="n"/>
      <c r="J1395" s="392" t="n"/>
      <c r="K1395" s="392" t="n"/>
      <c r="L1395" s="392" t="n"/>
    </row>
    <row r="1396">
      <c r="A1396" s="568" t="n">
        <v>44320</v>
      </c>
      <c r="B1396" s="392" t="n">
        <v>8062</v>
      </c>
      <c r="C1396" s="392" t="n">
        <v>70</v>
      </c>
      <c r="D1396" s="392" t="n"/>
      <c r="E1396" s="392" t="n"/>
      <c r="F1396" s="392" t="n"/>
      <c r="G1396" s="392" t="n">
        <v>30</v>
      </c>
      <c r="H1396" s="52">
        <f>H1395-G1396</f>
        <v/>
      </c>
      <c r="I1396" s="392" t="n"/>
      <c r="J1396" s="392" t="n"/>
      <c r="K1396" s="392" t="n"/>
      <c r="L1396" s="392" t="n"/>
    </row>
    <row r="1397">
      <c r="A1397" s="568" t="n">
        <v>44321</v>
      </c>
      <c r="B1397" s="392" t="n">
        <v>8065</v>
      </c>
      <c r="C1397" s="392" t="n">
        <v>68</v>
      </c>
      <c r="D1397" s="392" t="n"/>
      <c r="E1397" s="392" t="n"/>
      <c r="F1397" s="392" t="n"/>
      <c r="G1397" s="392" t="n">
        <v>50</v>
      </c>
      <c r="H1397" s="52">
        <f>H1396-G1397</f>
        <v/>
      </c>
      <c r="I1397" s="392" t="n"/>
      <c r="J1397" s="392" t="n"/>
      <c r="K1397" s="392" t="n"/>
      <c r="L1397" s="392" t="n"/>
    </row>
    <row r="1398">
      <c r="A1398" s="568" t="n">
        <v>44328</v>
      </c>
      <c r="B1398" s="392" t="n">
        <v>8073</v>
      </c>
      <c r="C1398" s="392" t="n">
        <v>69.27</v>
      </c>
      <c r="D1398" s="392" t="n"/>
      <c r="E1398" s="392" t="n"/>
      <c r="F1398" s="392" t="n"/>
      <c r="G1398" s="392" t="n">
        <v>38</v>
      </c>
      <c r="H1398" s="52">
        <f>H1397-G1398</f>
        <v/>
      </c>
      <c r="I1398" s="392" t="n"/>
      <c r="J1398" s="392" t="n"/>
      <c r="K1398" s="392" t="n"/>
      <c r="L1398" s="392" t="n"/>
    </row>
    <row r="1399">
      <c r="A1399" s="568" t="n">
        <v>44328</v>
      </c>
      <c r="B1399" s="392" t="n">
        <v>8076</v>
      </c>
      <c r="C1399" s="392" t="n">
        <v>69</v>
      </c>
      <c r="D1399" s="392" t="n"/>
      <c r="E1399" s="392" t="n"/>
      <c r="F1399" s="392" t="n"/>
      <c r="G1399" s="392" t="n">
        <v>10</v>
      </c>
      <c r="H1399" s="52">
        <f>H1398-G1399</f>
        <v/>
      </c>
      <c r="I1399" s="392" t="n"/>
      <c r="J1399" s="392" t="n"/>
      <c r="K1399" s="392" t="n"/>
      <c r="L1399" s="392" t="n"/>
    </row>
    <row r="1400">
      <c r="A1400" s="568" t="n">
        <v>44328</v>
      </c>
      <c r="B1400" s="392" t="n">
        <v>8077</v>
      </c>
      <c r="C1400" s="392" t="n">
        <v>68</v>
      </c>
      <c r="D1400" s="392" t="n"/>
      <c r="E1400" s="392" t="n"/>
      <c r="F1400" s="392" t="n"/>
      <c r="G1400" s="392" t="n">
        <v>20</v>
      </c>
      <c r="H1400" s="52">
        <f>H1399-G1400</f>
        <v/>
      </c>
      <c r="I1400" s="392" t="n"/>
      <c r="J1400" s="392" t="n"/>
      <c r="K1400" s="392" t="n"/>
      <c r="L1400" s="392" t="n"/>
    </row>
    <row r="1401">
      <c r="A1401" s="568" t="n">
        <v>44328</v>
      </c>
      <c r="B1401" s="392" t="n">
        <v>8079</v>
      </c>
      <c r="C1401" s="392" t="n">
        <v>69</v>
      </c>
      <c r="D1401" s="392" t="n"/>
      <c r="E1401" s="392" t="n"/>
      <c r="F1401" s="392" t="n"/>
      <c r="G1401" s="392" t="n">
        <v>30</v>
      </c>
      <c r="H1401" s="52">
        <f>H1400-G1401</f>
        <v/>
      </c>
      <c r="I1401" s="392" t="n"/>
      <c r="J1401" s="392" t="n"/>
      <c r="K1401" s="392" t="n"/>
      <c r="L1401" s="392" t="n"/>
    </row>
    <row r="1402">
      <c r="A1402" s="568" t="n">
        <v>44328</v>
      </c>
      <c r="B1402" s="392" t="n">
        <v>8080</v>
      </c>
      <c r="C1402" s="392" t="n">
        <v>69.27</v>
      </c>
      <c r="D1402" s="392" t="n"/>
      <c r="E1402" s="392" t="n"/>
      <c r="F1402" s="392" t="n"/>
      <c r="G1402" s="392" t="n">
        <v>75</v>
      </c>
      <c r="H1402" s="52">
        <f>H1401-G1402</f>
        <v/>
      </c>
      <c r="I1402" s="392" t="n"/>
      <c r="J1402" s="392" t="n"/>
      <c r="K1402" s="392" t="n"/>
      <c r="L1402" s="392" t="n"/>
    </row>
    <row r="1403">
      <c r="A1403" s="568" t="n">
        <v>44328</v>
      </c>
      <c r="B1403" s="392" t="n">
        <v>8081</v>
      </c>
      <c r="C1403" s="392" t="n">
        <v>68</v>
      </c>
      <c r="D1403" s="392" t="n"/>
      <c r="E1403" s="392" t="n"/>
      <c r="F1403" s="392" t="n"/>
      <c r="G1403" s="392" t="n">
        <v>20</v>
      </c>
      <c r="H1403" s="52">
        <f>H1402-G1403</f>
        <v/>
      </c>
      <c r="I1403" s="392" t="n"/>
      <c r="J1403" s="392" t="n"/>
      <c r="K1403" s="392" t="n"/>
      <c r="L1403" s="392" t="n"/>
    </row>
    <row r="1404">
      <c r="A1404" s="568" t="n">
        <v>44334</v>
      </c>
      <c r="B1404" s="392" t="n">
        <v>8091</v>
      </c>
      <c r="C1404" s="392" t="n">
        <v>60</v>
      </c>
      <c r="D1404" s="392" t="n"/>
      <c r="E1404" s="392" t="n"/>
      <c r="F1404" s="392" t="n"/>
      <c r="G1404" s="392" t="n">
        <v>30</v>
      </c>
      <c r="H1404" s="52">
        <f>H1403-G1404</f>
        <v/>
      </c>
      <c r="I1404" s="392" t="n"/>
      <c r="J1404" s="392" t="n"/>
      <c r="K1404" s="392" t="n"/>
      <c r="L1404" s="392" t="n"/>
    </row>
    <row r="1405">
      <c r="A1405" s="568" t="n">
        <v>44334</v>
      </c>
      <c r="B1405" s="392" t="n">
        <v>8092</v>
      </c>
      <c r="C1405" s="392" t="n">
        <v>69</v>
      </c>
      <c r="D1405" s="392" t="n"/>
      <c r="E1405" s="392" t="n"/>
      <c r="F1405" s="392" t="n"/>
      <c r="G1405" s="392" t="n">
        <v>30</v>
      </c>
      <c r="H1405" s="52">
        <f>H1404-G1405</f>
        <v/>
      </c>
      <c r="I1405" s="392" t="n"/>
      <c r="J1405" s="392" t="n"/>
      <c r="K1405" s="392" t="n"/>
      <c r="L1405" s="392" t="n"/>
    </row>
    <row r="1406">
      <c r="A1406" s="568" t="n">
        <v>44334</v>
      </c>
      <c r="B1406" s="392" t="n">
        <v>8094</v>
      </c>
      <c r="C1406" s="392" t="n">
        <v>69</v>
      </c>
      <c r="D1406" s="392" t="n"/>
      <c r="E1406" s="392" t="n"/>
      <c r="F1406" s="392" t="n"/>
      <c r="G1406" s="392" t="n">
        <v>30</v>
      </c>
      <c r="H1406" s="52">
        <f>H1405-G1406</f>
        <v/>
      </c>
      <c r="I1406" s="392" t="n"/>
      <c r="J1406" s="392" t="n"/>
      <c r="K1406" s="392" t="n"/>
      <c r="L1406" s="392" t="n"/>
    </row>
    <row r="1407">
      <c r="A1407" s="568" t="n">
        <v>44336</v>
      </c>
      <c r="B1407" s="392" t="n">
        <v>8001</v>
      </c>
      <c r="C1407" s="392" t="n">
        <v>71.67</v>
      </c>
      <c r="D1407" s="392" t="n"/>
      <c r="E1407" s="392" t="n"/>
      <c r="F1407" s="392" t="n"/>
      <c r="G1407" s="392" t="n">
        <v>15</v>
      </c>
      <c r="H1407" s="52">
        <f>H1406-G1407</f>
        <v/>
      </c>
      <c r="I1407" s="392" t="n"/>
      <c r="J1407" s="392" t="n"/>
      <c r="K1407" s="392" t="n"/>
      <c r="L1407" s="392" t="n"/>
    </row>
    <row r="1408">
      <c r="A1408" s="568" t="n">
        <v>44340</v>
      </c>
      <c r="B1408" s="392" t="n">
        <v>8110</v>
      </c>
      <c r="C1408" s="392" t="n">
        <v>70</v>
      </c>
      <c r="D1408" s="392" t="n"/>
      <c r="E1408" s="392" t="n"/>
      <c r="F1408" s="392" t="n"/>
      <c r="G1408" s="392" t="n">
        <v>20</v>
      </c>
      <c r="H1408" s="52">
        <f>H1407-G1408</f>
        <v/>
      </c>
      <c r="I1408" s="392" t="n"/>
      <c r="J1408" s="392" t="n"/>
      <c r="K1408" s="392" t="n"/>
      <c r="L1408" s="392" t="n"/>
    </row>
    <row r="1409">
      <c r="A1409" s="568" t="n">
        <v>44342</v>
      </c>
      <c r="B1409" s="392" t="n">
        <v>8116</v>
      </c>
      <c r="C1409" s="392" t="n">
        <v>70.27</v>
      </c>
      <c r="D1409" s="392" t="n"/>
      <c r="E1409" s="392" t="n"/>
      <c r="F1409" s="392" t="n"/>
      <c r="G1409" s="392" t="n">
        <v>38</v>
      </c>
      <c r="H1409" s="52">
        <f>H1408-G1409</f>
        <v/>
      </c>
      <c r="I1409" s="392" t="n"/>
      <c r="J1409" s="392" t="n"/>
      <c r="K1409" s="392" t="n"/>
      <c r="L1409" s="392" t="n"/>
    </row>
    <row r="1410">
      <c r="A1410" s="568" t="n">
        <v>44342</v>
      </c>
      <c r="B1410" s="392" t="n">
        <v>8119</v>
      </c>
      <c r="C1410" s="392" t="n">
        <v>69</v>
      </c>
      <c r="D1410" s="392" t="n"/>
      <c r="E1410" s="392" t="n"/>
      <c r="F1410" s="392" t="n"/>
      <c r="G1410" s="392" t="n">
        <v>50</v>
      </c>
      <c r="H1410" s="52">
        <f>H1409-G1410</f>
        <v/>
      </c>
      <c r="I1410" s="392" t="n"/>
      <c r="J1410" s="392" t="n"/>
      <c r="K1410" s="392" t="n"/>
      <c r="L1410" s="392" t="n"/>
    </row>
    <row r="1411">
      <c r="A1411" s="568" t="n">
        <v>44342</v>
      </c>
      <c r="B1411" s="392" t="n">
        <v>8120</v>
      </c>
      <c r="C1411" s="392" t="n">
        <v>70</v>
      </c>
      <c r="D1411" s="392" t="n"/>
      <c r="E1411" s="392" t="n"/>
      <c r="F1411" s="392" t="n"/>
      <c r="G1411" s="392" t="n">
        <v>30</v>
      </c>
      <c r="H1411" s="52">
        <f>H1410-G1411</f>
        <v/>
      </c>
      <c r="I1411" s="392" t="n"/>
      <c r="J1411" s="392" t="n"/>
      <c r="K1411" s="392" t="n"/>
      <c r="L1411" s="392" t="n"/>
    </row>
    <row r="1412">
      <c r="A1412" s="568" t="n">
        <v>44342</v>
      </c>
      <c r="B1412" s="392" t="n">
        <v>8123</v>
      </c>
      <c r="C1412" s="392" t="n">
        <v>69.7</v>
      </c>
      <c r="D1412" s="392" t="n"/>
      <c r="E1412" s="392" t="n"/>
      <c r="F1412" s="392" t="n"/>
      <c r="G1412" s="392" t="n">
        <v>50</v>
      </c>
      <c r="H1412" s="52">
        <f>H1411-G1412</f>
        <v/>
      </c>
      <c r="I1412" s="392" t="n"/>
      <c r="J1412" s="392" t="n"/>
      <c r="K1412" s="392" t="n"/>
      <c r="L1412" s="392" t="n"/>
    </row>
    <row r="1413">
      <c r="A1413" s="568" t="n">
        <v>44342</v>
      </c>
      <c r="B1413" s="392" t="n">
        <v>8125</v>
      </c>
      <c r="C1413" s="392" t="n">
        <v>69</v>
      </c>
      <c r="D1413" s="392" t="n"/>
      <c r="E1413" s="392" t="n"/>
      <c r="F1413" s="392" t="n"/>
      <c r="G1413" s="392" t="n">
        <v>20</v>
      </c>
      <c r="H1413" s="52">
        <f>H1412-G1413</f>
        <v/>
      </c>
      <c r="I1413" s="392" t="n"/>
      <c r="J1413" s="392" t="n"/>
      <c r="K1413" s="392" t="n"/>
      <c r="L1413" s="392" t="n"/>
    </row>
    <row r="1414">
      <c r="A1414" s="334" t="n">
        <v>44347</v>
      </c>
      <c r="B1414" s="401" t="n">
        <v>166585</v>
      </c>
      <c r="C1414" s="401" t="n">
        <v>61.5</v>
      </c>
      <c r="D1414" s="401" t="n"/>
      <c r="E1414" s="401" t="n"/>
      <c r="F1414" s="401" t="n">
        <v>250</v>
      </c>
      <c r="G1414" s="401" t="n"/>
      <c r="H1414" s="277" t="n">
        <v>1286</v>
      </c>
      <c r="I1414" s="392" t="n"/>
      <c r="J1414" s="392" t="n"/>
      <c r="K1414" s="392" t="n"/>
      <c r="L1414" s="392" t="n"/>
    </row>
    <row r="1415">
      <c r="A1415" s="392" t="n"/>
      <c r="B1415" s="392" t="n"/>
      <c r="C1415" s="392" t="n"/>
      <c r="D1415" s="392" t="n"/>
      <c r="E1415" s="392" t="n"/>
      <c r="F1415" s="392" t="n"/>
      <c r="G1415" s="392" t="n"/>
      <c r="H1415" s="52">
        <f>H1414-G1415</f>
        <v/>
      </c>
      <c r="I1415" s="392" t="n"/>
      <c r="J1415" s="392" t="n"/>
      <c r="K1415" s="392" t="n"/>
      <c r="L1415" s="392" t="n"/>
    </row>
    <row r="1416">
      <c r="A1416" s="392" t="n"/>
      <c r="B1416" s="392" t="n"/>
      <c r="C1416" s="392" t="n"/>
      <c r="D1416" s="392" t="n"/>
      <c r="E1416" s="392" t="n"/>
      <c r="F1416" s="392" t="n"/>
      <c r="G1416" s="392" t="n"/>
      <c r="H1416" s="52">
        <f>H1415-G1416</f>
        <v/>
      </c>
      <c r="I1416" s="392" t="n"/>
      <c r="J1416" s="392" t="n"/>
      <c r="K1416" s="392" t="n"/>
      <c r="L1416" s="392" t="n"/>
    </row>
    <row r="1417" ht="15.75" customHeight="1" s="436" thickBot="1">
      <c r="A1417" s="392" t="n"/>
      <c r="B1417" s="392" t="n"/>
      <c r="C1417" s="392" t="n"/>
      <c r="D1417" s="392" t="n"/>
      <c r="E1417" s="392" t="n"/>
      <c r="F1417" s="392" t="n"/>
      <c r="G1417" s="392" t="n"/>
      <c r="H1417" s="52">
        <f>H1416-G1417</f>
        <v/>
      </c>
      <c r="I1417" s="392" t="n"/>
      <c r="J1417" s="392" t="n"/>
      <c r="K1417" s="392" t="n"/>
      <c r="L1417" s="392" t="n"/>
    </row>
    <row r="1418" ht="21.75" customHeight="1" s="436" thickBot="1">
      <c r="A1418" s="757" t="inlineStr">
        <is>
          <t>Junho</t>
        </is>
      </c>
      <c r="B1418" s="697" t="n"/>
      <c r="C1418" s="697" t="n"/>
      <c r="D1418" s="697" t="n"/>
      <c r="E1418" s="697" t="n"/>
      <c r="F1418" s="697" t="n"/>
      <c r="G1418" s="697" t="n"/>
      <c r="H1418" s="697" t="n"/>
      <c r="I1418" s="697" t="n"/>
      <c r="J1418" s="697" t="n"/>
      <c r="K1418" s="697" t="n"/>
      <c r="L1418" s="698" t="n"/>
    </row>
    <row r="1419" ht="21.75" customHeight="1" s="436" thickBot="1">
      <c r="A1419" s="699" t="inlineStr">
        <is>
          <t xml:space="preserve">021 - DENISE FURTADO DE SOUZA - ME </t>
        </is>
      </c>
      <c r="B1419" s="697" t="n"/>
      <c r="C1419" s="697" t="n"/>
      <c r="D1419" s="697" t="n"/>
      <c r="E1419" s="697" t="n"/>
      <c r="F1419" s="697" t="n"/>
      <c r="G1419" s="697" t="n"/>
      <c r="H1419" s="697" t="n"/>
      <c r="I1419" s="697" t="n"/>
      <c r="J1419" s="697" t="n"/>
      <c r="K1419" s="697" t="n"/>
      <c r="L1419" s="698" t="n"/>
    </row>
    <row r="1420" ht="24" customHeight="1" s="436" thickBot="1">
      <c r="A1420" s="745" t="inlineStr">
        <is>
          <t xml:space="preserve">  PRÉ MISTURA - 25 KG</t>
        </is>
      </c>
      <c r="B1420" s="737" t="n"/>
      <c r="C1420" s="737" t="n"/>
      <c r="D1420" s="737" t="n"/>
      <c r="E1420" s="737" t="n"/>
      <c r="F1420" s="737" t="n"/>
      <c r="G1420" s="737" t="n"/>
      <c r="H1420" s="737" t="n"/>
      <c r="I1420" s="737" t="n"/>
      <c r="J1420" s="737" t="n"/>
      <c r="K1420" s="737" t="n"/>
      <c r="L1420" s="736" t="n"/>
    </row>
    <row r="1421">
      <c r="A1421" s="746" t="inlineStr">
        <is>
          <t>DATA</t>
        </is>
      </c>
      <c r="B1421" s="3" t="inlineStr">
        <is>
          <t>N.F.</t>
        </is>
      </c>
      <c r="C1421" s="3" t="inlineStr">
        <is>
          <t>TIPO</t>
        </is>
      </c>
      <c r="D1421" s="3" t="inlineStr">
        <is>
          <t>PREÇO UNITÁRIO</t>
        </is>
      </c>
      <c r="E1421" s="736" t="n"/>
      <c r="F1421" s="3" t="inlineStr">
        <is>
          <t>QUANTIDADE / KG</t>
        </is>
      </c>
      <c r="G1421" s="737" t="n"/>
      <c r="H1421" s="736" t="n"/>
      <c r="I1421" s="631" t="inlineStr">
        <is>
          <t>PREÇO</t>
        </is>
      </c>
      <c r="J1421" s="631" t="inlineStr">
        <is>
          <t>VALORES</t>
        </is>
      </c>
      <c r="K1421" s="737" t="n"/>
      <c r="L1421" s="736" t="n"/>
    </row>
    <row r="1422" ht="15.75" customHeight="1" s="436" thickBot="1">
      <c r="A1422" s="703" t="n"/>
      <c r="B1422" s="704" t="n"/>
      <c r="C1422" s="704" t="n"/>
      <c r="D1422" s="703" t="n"/>
      <c r="E1422" s="701" t="n"/>
      <c r="F1422" s="705" t="n"/>
      <c r="G1422" s="706" t="n"/>
      <c r="H1422" s="707" t="n"/>
      <c r="I1422" s="704" t="n"/>
      <c r="J1422" s="703" t="n"/>
      <c r="L1422" s="701" t="n"/>
    </row>
    <row r="1423" ht="15.75" customHeight="1" s="436" thickBot="1">
      <c r="A1423" s="703" t="n"/>
      <c r="B1423" s="704" t="n"/>
      <c r="C1423" s="704" t="n"/>
      <c r="D1423" s="705" t="n"/>
      <c r="E1423" s="707" t="n"/>
      <c r="F1423" s="3" t="inlineStr">
        <is>
          <t>ENTRADA</t>
        </is>
      </c>
      <c r="G1423" s="3" t="inlineStr">
        <is>
          <t>SAÍDA</t>
        </is>
      </c>
      <c r="H1423" s="640" t="n"/>
      <c r="I1423" s="633" t="inlineStr">
        <is>
          <t>MÉDIO</t>
        </is>
      </c>
      <c r="J1423" s="652" t="inlineStr">
        <is>
          <t>SALDO EM 30/12/2017</t>
        </is>
      </c>
      <c r="K1423" s="706" t="n"/>
      <c r="L1423" s="17" t="n"/>
    </row>
    <row r="1424" ht="15.75" customHeight="1" s="436" thickBot="1">
      <c r="A1424" s="705" t="n"/>
      <c r="B1424" s="695" t="n"/>
      <c r="C1424" s="695" t="n"/>
      <c r="D1424" s="3" t="inlineStr">
        <is>
          <t>C/ICMS</t>
        </is>
      </c>
      <c r="E1424" s="3" t="inlineStr">
        <is>
          <t>S/ICMS</t>
        </is>
      </c>
      <c r="F1424" s="695" t="n"/>
      <c r="G1424" s="695" t="n"/>
      <c r="H1424" s="361" t="n">
        <v>44346</v>
      </c>
      <c r="I1424" s="695" t="n"/>
      <c r="J1424" s="645" t="inlineStr">
        <is>
          <t>ENTRADA</t>
        </is>
      </c>
      <c r="K1424" s="633" t="inlineStr">
        <is>
          <t>SAÍDA / CMV</t>
        </is>
      </c>
      <c r="L1424" s="633" t="inlineStr">
        <is>
          <t>SALDO</t>
        </is>
      </c>
    </row>
    <row r="1425">
      <c r="A1425" s="48" t="n"/>
      <c r="B1425" s="49" t="n"/>
      <c r="C1425" s="49" t="n"/>
      <c r="D1425" s="71" t="n"/>
      <c r="E1425" s="71" t="n"/>
      <c r="F1425" s="55" t="n"/>
      <c r="G1425" s="55" t="n"/>
      <c r="H1425" s="55" t="n">
        <v>1286</v>
      </c>
      <c r="I1425" s="71" t="n"/>
      <c r="J1425" s="747">
        <f>F1425*I1425</f>
        <v/>
      </c>
      <c r="K1425" s="747" t="n"/>
      <c r="L1425" s="748">
        <f>J1425-K1425</f>
        <v/>
      </c>
    </row>
    <row r="1426">
      <c r="A1426" s="568" t="n">
        <v>44348</v>
      </c>
      <c r="B1426" s="392" t="n">
        <v>8130</v>
      </c>
      <c r="C1426" s="392" t="n">
        <v>72.78</v>
      </c>
      <c r="D1426" s="392" t="n"/>
      <c r="E1426" s="392" t="n"/>
      <c r="F1426" s="392" t="n"/>
      <c r="G1426" s="392" t="n">
        <v>45</v>
      </c>
      <c r="H1426" s="52">
        <f>H1425-G1426</f>
        <v/>
      </c>
      <c r="I1426" s="392" t="n"/>
      <c r="J1426" s="392" t="n"/>
      <c r="K1426" s="392" t="n"/>
      <c r="L1426" s="392" t="n"/>
    </row>
    <row r="1427">
      <c r="A1427" s="568" t="n">
        <v>44348</v>
      </c>
      <c r="B1427" s="392" t="n">
        <v>8133</v>
      </c>
      <c r="C1427" s="392" t="n">
        <v>70</v>
      </c>
      <c r="D1427" s="392" t="n"/>
      <c r="E1427" s="392" t="n"/>
      <c r="F1427" s="392" t="n"/>
      <c r="G1427" s="392" t="n">
        <v>40</v>
      </c>
      <c r="H1427" s="52">
        <f>H1426-G1427</f>
        <v/>
      </c>
      <c r="I1427" s="392" t="n"/>
      <c r="J1427" s="392" t="n"/>
      <c r="K1427" s="392" t="n"/>
      <c r="L1427" s="392" t="n"/>
    </row>
    <row r="1428">
      <c r="A1428" s="568" t="n">
        <v>44348</v>
      </c>
      <c r="B1428" s="392" t="n">
        <v>8134</v>
      </c>
      <c r="C1428" s="392" t="n">
        <v>69.67</v>
      </c>
      <c r="D1428" s="392" t="n"/>
      <c r="E1428" s="392" t="n"/>
      <c r="F1428" s="392" t="n"/>
      <c r="G1428" s="392" t="n">
        <v>15</v>
      </c>
      <c r="H1428" s="52">
        <f>H1427-G1428</f>
        <v/>
      </c>
      <c r="I1428" s="392" t="n"/>
      <c r="J1428" s="392" t="n"/>
      <c r="K1428" s="392" t="n"/>
      <c r="L1428" s="392" t="n"/>
    </row>
    <row r="1429">
      <c r="A1429" s="568" t="n">
        <v>44349</v>
      </c>
      <c r="B1429" s="392" t="n">
        <v>8137</v>
      </c>
      <c r="C1429" s="392" t="n">
        <v>70</v>
      </c>
      <c r="D1429" s="392" t="n"/>
      <c r="E1429" s="392" t="n"/>
      <c r="F1429" s="392" t="n"/>
      <c r="G1429" s="392" t="n">
        <v>10</v>
      </c>
      <c r="H1429" s="52">
        <f>H1428-G1429</f>
        <v/>
      </c>
      <c r="I1429" s="392" t="n"/>
      <c r="J1429" s="392" t="n"/>
      <c r="K1429" s="392" t="n"/>
      <c r="L1429" s="392" t="n"/>
    </row>
    <row r="1430">
      <c r="A1430" s="568" t="n">
        <v>44355</v>
      </c>
      <c r="B1430" s="392" t="n">
        <v>8140</v>
      </c>
      <c r="C1430" s="392" t="n">
        <v>69</v>
      </c>
      <c r="D1430" s="392" t="n"/>
      <c r="E1430" s="392" t="n"/>
      <c r="F1430" s="392" t="n"/>
      <c r="G1430" s="392" t="n">
        <v>30</v>
      </c>
      <c r="H1430" s="52">
        <f>H1429-G1430</f>
        <v/>
      </c>
      <c r="I1430" s="392" t="n"/>
      <c r="J1430" s="392" t="n"/>
      <c r="K1430" s="392" t="n"/>
      <c r="L1430" s="392" t="n"/>
    </row>
    <row r="1431">
      <c r="A1431" s="568" t="n">
        <v>44355</v>
      </c>
      <c r="B1431" s="392" t="n">
        <v>8141</v>
      </c>
      <c r="C1431" s="392" t="n">
        <v>70.36</v>
      </c>
      <c r="D1431" s="392" t="n"/>
      <c r="E1431" s="392" t="n"/>
      <c r="F1431" s="392" t="n"/>
      <c r="G1431" s="392" t="n">
        <v>70</v>
      </c>
      <c r="H1431" s="52">
        <f>H1430-G1431</f>
        <v/>
      </c>
      <c r="I1431" s="392" t="n"/>
      <c r="J1431" s="392" t="n"/>
      <c r="K1431" s="392" t="n"/>
      <c r="L1431" s="392" t="n"/>
    </row>
    <row r="1432">
      <c r="A1432" s="568" t="n">
        <v>44355</v>
      </c>
      <c r="B1432" s="392" t="n">
        <v>8142</v>
      </c>
      <c r="C1432" s="392" t="n">
        <v>70.23999999999999</v>
      </c>
      <c r="D1432" s="392" t="n"/>
      <c r="E1432" s="392" t="n"/>
      <c r="F1432" s="392" t="n"/>
      <c r="G1432" s="392" t="n">
        <v>21</v>
      </c>
      <c r="H1432" s="52">
        <f>H1431-G1432</f>
        <v/>
      </c>
      <c r="I1432" s="392" t="n"/>
      <c r="J1432" s="392" t="n"/>
      <c r="K1432" s="392" t="n"/>
      <c r="L1432" s="392" t="n"/>
    </row>
    <row r="1433">
      <c r="A1433" s="568" t="n">
        <v>44355</v>
      </c>
      <c r="B1433" s="392" t="n">
        <v>8145</v>
      </c>
      <c r="C1433" s="392" t="n">
        <v>71.67</v>
      </c>
      <c r="D1433" s="392" t="n"/>
      <c r="E1433" s="392" t="n"/>
      <c r="F1433" s="392" t="n"/>
      <c r="G1433" s="392" t="n">
        <v>15</v>
      </c>
      <c r="H1433" s="52">
        <f>H1432-G1433</f>
        <v/>
      </c>
      <c r="I1433" s="392" t="n"/>
      <c r="J1433" s="392" t="n"/>
      <c r="K1433" s="392" t="n"/>
      <c r="L1433" s="392" t="n"/>
    </row>
    <row r="1434">
      <c r="A1434" s="568" t="n">
        <v>44355</v>
      </c>
      <c r="B1434" s="392" t="n">
        <v>8147</v>
      </c>
      <c r="C1434" s="392" t="n">
        <v>69.5</v>
      </c>
      <c r="D1434" s="392" t="n"/>
      <c r="E1434" s="392" t="n"/>
      <c r="F1434" s="392" t="n"/>
      <c r="G1434" s="392" t="n">
        <v>60</v>
      </c>
      <c r="H1434" s="52">
        <f>H1433-G1434</f>
        <v/>
      </c>
      <c r="I1434" s="392" t="n"/>
      <c r="J1434" s="392" t="n"/>
      <c r="K1434" s="392" t="n"/>
      <c r="L1434" s="392" t="n"/>
    </row>
    <row r="1435">
      <c r="A1435" s="568" t="n">
        <v>44355</v>
      </c>
      <c r="B1435" s="392" t="n">
        <v>8148</v>
      </c>
      <c r="C1435" s="392" t="n">
        <v>70</v>
      </c>
      <c r="D1435" s="392" t="n"/>
      <c r="E1435" s="392" t="n"/>
      <c r="F1435" s="392" t="n"/>
      <c r="G1435" s="392" t="n">
        <v>35</v>
      </c>
      <c r="H1435" s="52">
        <f>H1434-G1435</f>
        <v/>
      </c>
      <c r="I1435" s="392" t="n"/>
      <c r="J1435" s="392" t="n"/>
      <c r="K1435" s="392" t="n"/>
      <c r="L1435" s="392" t="n"/>
    </row>
    <row r="1436">
      <c r="A1436" s="568" t="n">
        <v>44357</v>
      </c>
      <c r="B1436" s="392" t="n">
        <v>8154</v>
      </c>
      <c r="C1436" s="392" t="n">
        <v>70</v>
      </c>
      <c r="D1436" s="392" t="n"/>
      <c r="E1436" s="392" t="n"/>
      <c r="F1436" s="392" t="n"/>
      <c r="G1436" s="392" t="n">
        <v>20</v>
      </c>
      <c r="H1436" s="52">
        <f>H1435-G1436</f>
        <v/>
      </c>
      <c r="I1436" s="392" t="n"/>
      <c r="J1436" s="392" t="n"/>
      <c r="K1436" s="392" t="n"/>
      <c r="L1436" s="392" t="n"/>
    </row>
    <row r="1437">
      <c r="A1437" s="568" t="n">
        <v>44357</v>
      </c>
      <c r="B1437" s="392" t="n">
        <v>8157</v>
      </c>
      <c r="C1437" s="392" t="n">
        <v>70</v>
      </c>
      <c r="D1437" s="392" t="n"/>
      <c r="E1437" s="392" t="n"/>
      <c r="F1437" s="392" t="n"/>
      <c r="G1437" s="392" t="n">
        <v>15</v>
      </c>
      <c r="H1437" s="52">
        <f>H1436-G1437</f>
        <v/>
      </c>
      <c r="I1437" s="392" t="n"/>
      <c r="J1437" s="392" t="n"/>
      <c r="K1437" s="392" t="n"/>
      <c r="L1437" s="392" t="n"/>
    </row>
    <row r="1438">
      <c r="A1438" s="568" t="n">
        <v>44357</v>
      </c>
      <c r="B1438" s="392" t="n">
        <v>8166</v>
      </c>
      <c r="C1438" s="392" t="n">
        <v>70.27</v>
      </c>
      <c r="D1438" s="392" t="n"/>
      <c r="E1438" s="392" t="n"/>
      <c r="F1438" s="392" t="n"/>
      <c r="G1438" s="392" t="n">
        <v>38</v>
      </c>
      <c r="H1438" s="52">
        <f>H1437-G1438</f>
        <v/>
      </c>
      <c r="I1438" s="392" t="n"/>
      <c r="J1438" s="392" t="n"/>
      <c r="K1438" s="392" t="n"/>
      <c r="L1438" s="392" t="n"/>
    </row>
    <row r="1439">
      <c r="A1439" s="568" t="n">
        <v>44364</v>
      </c>
      <c r="B1439" s="392" t="n">
        <v>8176</v>
      </c>
      <c r="C1439" s="392" t="n">
        <v>70</v>
      </c>
      <c r="D1439" s="392" t="n"/>
      <c r="E1439" s="392" t="n"/>
      <c r="F1439" s="392" t="n"/>
      <c r="G1439" s="392" t="n">
        <v>50</v>
      </c>
      <c r="H1439" s="52">
        <f>H1438-G1439</f>
        <v/>
      </c>
      <c r="I1439" s="392" t="n"/>
      <c r="J1439" s="392" t="n"/>
      <c r="K1439" s="392" t="n"/>
      <c r="L1439" s="392" t="n"/>
    </row>
    <row r="1440">
      <c r="A1440" s="568" t="n">
        <v>44364</v>
      </c>
      <c r="B1440" s="392" t="n">
        <v>8177</v>
      </c>
      <c r="C1440" s="392" t="n">
        <v>70</v>
      </c>
      <c r="D1440" s="392" t="n"/>
      <c r="E1440" s="392" t="n"/>
      <c r="F1440" s="392" t="n"/>
      <c r="G1440" s="392" t="n">
        <v>51</v>
      </c>
      <c r="H1440" s="52">
        <f>H1439-G1440</f>
        <v/>
      </c>
      <c r="I1440" s="392" t="n"/>
      <c r="J1440" s="392" t="n"/>
      <c r="K1440" s="392" t="n"/>
      <c r="L1440" s="392" t="n"/>
    </row>
    <row r="1441">
      <c r="A1441" s="568" t="n">
        <v>44364</v>
      </c>
      <c r="B1441" s="392" t="n">
        <v>8179</v>
      </c>
      <c r="C1441" s="392" t="n">
        <v>70</v>
      </c>
      <c r="D1441" s="392" t="n"/>
      <c r="E1441" s="392" t="n"/>
      <c r="F1441" s="392" t="n"/>
      <c r="G1441" s="392" t="n">
        <v>36</v>
      </c>
      <c r="H1441" s="52">
        <f>H1440-G1441</f>
        <v/>
      </c>
      <c r="I1441" s="392" t="n"/>
      <c r="J1441" s="392" t="n"/>
      <c r="K1441" s="392" t="n"/>
      <c r="L1441" s="392" t="n"/>
    </row>
    <row r="1442">
      <c r="A1442" s="568" t="n">
        <v>44364</v>
      </c>
      <c r="B1442" s="392" t="n">
        <v>8183</v>
      </c>
      <c r="C1442" s="392" t="n">
        <v>69</v>
      </c>
      <c r="D1442" s="392" t="n"/>
      <c r="E1442" s="392" t="n"/>
      <c r="F1442" s="392" t="n"/>
      <c r="G1442" s="392" t="n">
        <v>20</v>
      </c>
      <c r="H1442" s="52">
        <f>H1441-G1442</f>
        <v/>
      </c>
      <c r="I1442" s="392" t="n"/>
      <c r="J1442" s="392" t="n"/>
      <c r="K1442" s="392" t="n"/>
      <c r="L1442" s="392" t="n"/>
    </row>
    <row r="1443">
      <c r="A1443" s="568" t="n">
        <v>44364</v>
      </c>
      <c r="B1443" s="392" t="n">
        <v>8184</v>
      </c>
      <c r="C1443" s="392" t="n">
        <v>70</v>
      </c>
      <c r="D1443" s="392" t="n"/>
      <c r="E1443" s="392" t="n"/>
      <c r="F1443" s="392" t="n"/>
      <c r="G1443" s="392" t="n">
        <v>35</v>
      </c>
      <c r="H1443" s="52">
        <f>H1442-G1443</f>
        <v/>
      </c>
      <c r="I1443" s="392" t="n"/>
      <c r="J1443" s="392" t="n"/>
      <c r="K1443" s="392" t="n"/>
      <c r="L1443" s="392" t="n"/>
    </row>
    <row r="1444">
      <c r="A1444" s="568" t="n">
        <v>44364</v>
      </c>
      <c r="B1444" s="392" t="n">
        <v>8186</v>
      </c>
      <c r="C1444" s="392" t="n">
        <v>60</v>
      </c>
      <c r="D1444" s="392" t="n"/>
      <c r="E1444" s="392" t="n"/>
      <c r="F1444" s="392" t="n"/>
      <c r="G1444" s="392" t="n">
        <v>50</v>
      </c>
      <c r="H1444" s="52">
        <f>H1443-G1444</f>
        <v/>
      </c>
      <c r="I1444" s="392" t="n"/>
      <c r="J1444" s="392" t="n"/>
      <c r="K1444" s="392" t="n"/>
      <c r="L1444" s="392" t="n"/>
    </row>
    <row r="1445">
      <c r="A1445" s="568" t="n">
        <v>44369</v>
      </c>
      <c r="B1445" s="392" t="n">
        <v>8188</v>
      </c>
      <c r="C1445" s="392" t="n">
        <v>69</v>
      </c>
      <c r="D1445" s="392" t="n"/>
      <c r="E1445" s="392" t="n"/>
      <c r="F1445" s="392" t="n"/>
      <c r="G1445" s="392" t="n">
        <v>35</v>
      </c>
      <c r="H1445" s="52">
        <f>H1444-G1445</f>
        <v/>
      </c>
      <c r="I1445" s="392" t="n"/>
      <c r="J1445" s="392" t="n"/>
      <c r="K1445" s="392" t="n"/>
      <c r="L1445" s="392" t="n"/>
    </row>
    <row r="1446">
      <c r="A1446" s="568" t="n">
        <v>44369</v>
      </c>
      <c r="B1446" s="392" t="n">
        <v>8193</v>
      </c>
      <c r="C1446" s="392" t="n">
        <v>70</v>
      </c>
      <c r="D1446" s="392" t="n"/>
      <c r="E1446" s="392" t="n"/>
      <c r="F1446" s="392" t="n"/>
      <c r="G1446" s="392" t="n">
        <v>35</v>
      </c>
      <c r="H1446" s="52">
        <f>H1445-G1446</f>
        <v/>
      </c>
      <c r="I1446" s="392" t="n"/>
      <c r="J1446" s="392" t="n"/>
      <c r="K1446" s="392" t="n"/>
      <c r="L1446" s="392" t="n"/>
    </row>
    <row r="1447">
      <c r="A1447" s="568" t="n">
        <v>44369</v>
      </c>
      <c r="B1447" s="392" t="n">
        <v>8196</v>
      </c>
      <c r="C1447" s="392" t="n">
        <v>36</v>
      </c>
      <c r="D1447" s="392" t="n"/>
      <c r="E1447" s="392" t="n"/>
      <c r="F1447" s="392" t="n"/>
      <c r="G1447" s="392" t="n">
        <v>70</v>
      </c>
      <c r="H1447" s="52">
        <f>H1446-G1447</f>
        <v/>
      </c>
      <c r="I1447" s="392" t="n"/>
      <c r="J1447" s="392" t="n"/>
      <c r="K1447" s="392" t="n"/>
      <c r="L1447" s="392" t="n"/>
    </row>
    <row r="1448">
      <c r="A1448" s="568" t="n">
        <v>44369</v>
      </c>
      <c r="B1448" s="392" t="n">
        <v>8197</v>
      </c>
      <c r="C1448" s="392" t="n">
        <v>69.5</v>
      </c>
      <c r="D1448" s="392" t="n"/>
      <c r="E1448" s="392" t="n"/>
      <c r="F1448" s="392" t="n"/>
      <c r="G1448" s="392" t="n">
        <v>60</v>
      </c>
      <c r="H1448" s="52">
        <f>H1447-G1448</f>
        <v/>
      </c>
      <c r="I1448" s="392" t="n"/>
      <c r="J1448" s="392" t="n"/>
      <c r="K1448" s="392" t="n"/>
      <c r="L1448" s="392" t="n"/>
    </row>
    <row r="1449">
      <c r="A1449" s="568" t="n">
        <v>44376</v>
      </c>
      <c r="B1449" s="392" t="n">
        <v>8200</v>
      </c>
      <c r="C1449" s="392" t="n">
        <v>70</v>
      </c>
      <c r="D1449" s="392" t="n"/>
      <c r="E1449" s="392" t="n"/>
      <c r="F1449" s="392" t="n"/>
      <c r="G1449" s="392" t="n">
        <v>60</v>
      </c>
      <c r="H1449" s="52">
        <f>H1448-G1449</f>
        <v/>
      </c>
      <c r="I1449" s="392" t="n"/>
      <c r="J1449" s="392" t="n"/>
      <c r="K1449" s="392" t="n"/>
      <c r="L1449" s="392" t="n"/>
    </row>
    <row r="1450">
      <c r="A1450" s="568" t="n">
        <v>44376</v>
      </c>
      <c r="B1450" s="392" t="n">
        <v>8203</v>
      </c>
      <c r="C1450" s="392" t="n">
        <v>71.67</v>
      </c>
      <c r="D1450" s="392" t="n"/>
      <c r="E1450" s="392" t="n"/>
      <c r="F1450" s="392" t="n"/>
      <c r="G1450" s="392" t="n">
        <v>15</v>
      </c>
      <c r="H1450" s="52">
        <f>H1449-G1450</f>
        <v/>
      </c>
      <c r="I1450" s="392" t="n"/>
      <c r="J1450" s="392" t="n"/>
      <c r="K1450" s="392" t="n"/>
      <c r="L1450" s="392" t="n"/>
    </row>
    <row r="1451">
      <c r="A1451" s="568" t="n">
        <v>44376</v>
      </c>
      <c r="B1451" s="392" t="n">
        <v>8207</v>
      </c>
      <c r="C1451" s="392" t="n">
        <v>69.5</v>
      </c>
      <c r="D1451" s="392" t="n"/>
      <c r="E1451" s="392" t="n"/>
      <c r="F1451" s="392" t="n"/>
      <c r="G1451" s="392" t="n">
        <v>10</v>
      </c>
      <c r="H1451" s="52">
        <f>H1450-G1451</f>
        <v/>
      </c>
      <c r="I1451" s="392" t="n"/>
      <c r="J1451" s="392" t="n"/>
      <c r="K1451" s="392" t="n"/>
      <c r="L1451" s="392" t="n"/>
    </row>
    <row r="1452">
      <c r="A1452" s="568" t="n">
        <v>44376</v>
      </c>
      <c r="B1452" s="392" t="n">
        <v>8208</v>
      </c>
      <c r="C1452" s="392" t="n">
        <v>70</v>
      </c>
      <c r="D1452" s="392" t="n"/>
      <c r="E1452" s="392" t="n"/>
      <c r="F1452" s="392" t="n"/>
      <c r="G1452" s="392" t="n">
        <v>36</v>
      </c>
      <c r="H1452" s="52">
        <f>H1451-G1452</f>
        <v/>
      </c>
      <c r="I1452" s="392" t="n"/>
      <c r="J1452" s="392" t="n"/>
      <c r="K1452" s="392" t="n"/>
      <c r="L1452" s="392" t="n"/>
    </row>
    <row r="1453">
      <c r="A1453" s="568" t="n">
        <v>44377</v>
      </c>
      <c r="B1453" s="392" t="n">
        <v>8214</v>
      </c>
      <c r="C1453" s="392" t="n">
        <v>70</v>
      </c>
      <c r="D1453" s="392" t="n"/>
      <c r="E1453" s="392" t="n"/>
      <c r="F1453" s="392" t="n"/>
      <c r="G1453" s="392" t="n">
        <v>10</v>
      </c>
      <c r="H1453" s="52">
        <f>H1452-G1453</f>
        <v/>
      </c>
      <c r="I1453" s="392" t="n"/>
      <c r="J1453" s="392" t="n"/>
      <c r="K1453" s="392" t="n"/>
      <c r="L1453" s="392" t="n"/>
    </row>
    <row r="1454">
      <c r="A1454" s="568" t="n">
        <v>44377</v>
      </c>
      <c r="B1454" s="392" t="n">
        <v>8215</v>
      </c>
      <c r="C1454" s="392" t="n">
        <v>70</v>
      </c>
      <c r="D1454" s="392" t="n"/>
      <c r="E1454" s="392" t="n"/>
      <c r="F1454" s="392" t="n"/>
      <c r="G1454" s="392" t="n">
        <v>50</v>
      </c>
      <c r="H1454" s="52">
        <f>H1453-G1454</f>
        <v/>
      </c>
      <c r="I1454" s="392" t="n"/>
      <c r="J1454" s="392" t="n"/>
      <c r="K1454" s="392" t="n"/>
      <c r="L1454" s="392" t="n"/>
    </row>
    <row r="1455">
      <c r="A1455" s="568" t="n">
        <v>44377</v>
      </c>
      <c r="B1455" s="392" t="n">
        <v>8217</v>
      </c>
      <c r="C1455" s="392" t="n">
        <v>70</v>
      </c>
      <c r="D1455" s="392" t="n"/>
      <c r="E1455" s="392" t="n"/>
      <c r="F1455" s="392" t="n"/>
      <c r="G1455" s="392" t="n">
        <v>20</v>
      </c>
      <c r="H1455" s="52">
        <f>H1454-G1455</f>
        <v/>
      </c>
      <c r="I1455" s="392" t="n"/>
      <c r="J1455" s="392" t="n"/>
      <c r="K1455" s="392" t="n"/>
      <c r="L1455" s="392" t="n"/>
    </row>
    <row r="1456">
      <c r="A1456" s="568" t="n"/>
      <c r="B1456" s="392" t="n"/>
      <c r="C1456" s="392" t="n"/>
      <c r="D1456" s="392" t="n"/>
      <c r="E1456" s="392" t="n"/>
      <c r="F1456" s="392" t="n"/>
      <c r="G1456" s="392" t="n"/>
      <c r="H1456" s="52" t="n"/>
      <c r="I1456" s="392" t="n"/>
      <c r="J1456" s="392" t="n"/>
      <c r="K1456" s="392" t="n"/>
      <c r="L1456" s="392" t="n"/>
    </row>
    <row r="1457">
      <c r="A1457" s="568" t="n"/>
      <c r="B1457" s="392" t="n"/>
      <c r="C1457" s="392" t="n"/>
      <c r="D1457" s="392" t="n"/>
      <c r="E1457" s="392" t="n"/>
      <c r="F1457" s="392" t="n"/>
      <c r="G1457" s="392" t="n"/>
      <c r="H1457" s="52" t="n"/>
      <c r="I1457" s="392" t="n"/>
      <c r="J1457" s="392" t="n"/>
      <c r="K1457" s="392" t="n"/>
      <c r="L1457" s="392" t="n"/>
    </row>
    <row r="1458" ht="15.75" customHeight="1" s="436" thickBot="1"/>
    <row r="1459" ht="21.75" customHeight="1" s="436" thickBot="1">
      <c r="A1459" s="757" t="inlineStr">
        <is>
          <t>Julho</t>
        </is>
      </c>
      <c r="B1459" s="697" t="n"/>
      <c r="C1459" s="697" t="n"/>
      <c r="D1459" s="697" t="n"/>
      <c r="E1459" s="697" t="n"/>
      <c r="F1459" s="697" t="n"/>
      <c r="G1459" s="697" t="n"/>
      <c r="H1459" s="697" t="n"/>
      <c r="I1459" s="697" t="n"/>
      <c r="J1459" s="697" t="n"/>
      <c r="K1459" s="697" t="n"/>
      <c r="L1459" s="698" t="n"/>
    </row>
    <row r="1460" ht="21.75" customHeight="1" s="436" thickBot="1">
      <c r="A1460" s="699" t="inlineStr">
        <is>
          <t xml:space="preserve">021 - DENISE FURTADO DE SOUZA - ME </t>
        </is>
      </c>
      <c r="B1460" s="697" t="n"/>
      <c r="C1460" s="697" t="n"/>
      <c r="D1460" s="697" t="n"/>
      <c r="E1460" s="697" t="n"/>
      <c r="F1460" s="697" t="n"/>
      <c r="G1460" s="697" t="n"/>
      <c r="H1460" s="697" t="n"/>
      <c r="I1460" s="697" t="n"/>
      <c r="J1460" s="697" t="n"/>
      <c r="K1460" s="697" t="n"/>
      <c r="L1460" s="698" t="n"/>
    </row>
    <row r="1461" ht="24" customHeight="1" s="436" thickBot="1">
      <c r="A1461" s="745" t="inlineStr">
        <is>
          <t xml:space="preserve">  PRÉ MISTURA - 25 KG</t>
        </is>
      </c>
      <c r="B1461" s="737" t="n"/>
      <c r="C1461" s="737" t="n"/>
      <c r="D1461" s="737" t="n"/>
      <c r="E1461" s="737" t="n"/>
      <c r="F1461" s="737" t="n"/>
      <c r="G1461" s="737" t="n"/>
      <c r="H1461" s="737" t="n"/>
      <c r="I1461" s="737" t="n"/>
      <c r="J1461" s="737" t="n"/>
      <c r="K1461" s="737" t="n"/>
      <c r="L1461" s="736" t="n"/>
    </row>
    <row r="1462">
      <c r="A1462" s="746" t="inlineStr">
        <is>
          <t>DATA</t>
        </is>
      </c>
      <c r="B1462" s="3" t="inlineStr">
        <is>
          <t>N.F.</t>
        </is>
      </c>
      <c r="C1462" s="3" t="inlineStr">
        <is>
          <t>TIPO</t>
        </is>
      </c>
      <c r="D1462" s="3" t="inlineStr">
        <is>
          <t>PREÇO UNITÁRIO</t>
        </is>
      </c>
      <c r="E1462" s="736" t="n"/>
      <c r="F1462" s="3" t="inlineStr">
        <is>
          <t>QUANTIDADE / KG</t>
        </is>
      </c>
      <c r="G1462" s="737" t="n"/>
      <c r="H1462" s="736" t="n"/>
      <c r="I1462" s="631" t="inlineStr">
        <is>
          <t>PREÇO</t>
        </is>
      </c>
      <c r="J1462" s="631" t="inlineStr">
        <is>
          <t>VALORES</t>
        </is>
      </c>
      <c r="K1462" s="737" t="n"/>
      <c r="L1462" s="736" t="n"/>
    </row>
    <row r="1463" ht="15.75" customHeight="1" s="436" thickBot="1">
      <c r="A1463" s="703" t="n"/>
      <c r="B1463" s="704" t="n"/>
      <c r="C1463" s="704" t="n"/>
      <c r="D1463" s="703" t="n"/>
      <c r="E1463" s="701" t="n"/>
      <c r="F1463" s="705" t="n"/>
      <c r="G1463" s="706" t="n"/>
      <c r="H1463" s="707" t="n"/>
      <c r="I1463" s="704" t="n"/>
      <c r="J1463" s="703" t="n"/>
      <c r="L1463" s="701" t="n"/>
    </row>
    <row r="1464" ht="15.75" customHeight="1" s="436" thickBot="1">
      <c r="A1464" s="703" t="n"/>
      <c r="B1464" s="704" t="n"/>
      <c r="C1464" s="704" t="n"/>
      <c r="D1464" s="705" t="n"/>
      <c r="E1464" s="707" t="n"/>
      <c r="F1464" s="3" t="inlineStr">
        <is>
          <t>ENTRADA</t>
        </is>
      </c>
      <c r="G1464" s="3" t="inlineStr">
        <is>
          <t>SAÍDA</t>
        </is>
      </c>
      <c r="H1464" s="640" t="n"/>
      <c r="I1464" s="633" t="inlineStr">
        <is>
          <t>MÉDIO</t>
        </is>
      </c>
      <c r="J1464" s="652" t="inlineStr">
        <is>
          <t>SALDO EM 30/12/2017</t>
        </is>
      </c>
      <c r="K1464" s="706" t="n"/>
      <c r="L1464" s="17" t="n"/>
    </row>
    <row r="1465" ht="15.75" customHeight="1" s="436" thickBot="1">
      <c r="A1465" s="705" t="n"/>
      <c r="B1465" s="695" t="n"/>
      <c r="C1465" s="695" t="n"/>
      <c r="D1465" s="3" t="inlineStr">
        <is>
          <t>C/ICMS</t>
        </is>
      </c>
      <c r="E1465" s="3" t="inlineStr">
        <is>
          <t>S/ICMS</t>
        </is>
      </c>
      <c r="F1465" s="695" t="n"/>
      <c r="G1465" s="695" t="n"/>
      <c r="H1465" s="361" t="n">
        <v>44346</v>
      </c>
      <c r="I1465" s="695" t="n"/>
      <c r="J1465" s="645" t="inlineStr">
        <is>
          <t>ENTRADA</t>
        </is>
      </c>
      <c r="K1465" s="633" t="inlineStr">
        <is>
          <t>SAÍDA / CMV</t>
        </is>
      </c>
      <c r="L1465" s="633" t="inlineStr">
        <is>
          <t>SALDO</t>
        </is>
      </c>
    </row>
    <row r="1466">
      <c r="A1466" s="48" t="n"/>
      <c r="B1466" s="49" t="n"/>
      <c r="C1466" s="49" t="n"/>
      <c r="D1466" s="71" t="n"/>
      <c r="E1466" s="71" t="n"/>
      <c r="F1466" s="55" t="n"/>
      <c r="G1466" s="55" t="n"/>
      <c r="H1466" s="55" t="n">
        <v>229</v>
      </c>
      <c r="I1466" s="71" t="n"/>
      <c r="J1466" s="747">
        <f>F1466*I1466</f>
        <v/>
      </c>
      <c r="K1466" s="747" t="n"/>
      <c r="L1466" s="748">
        <f>J1466-K1466</f>
        <v/>
      </c>
    </row>
    <row r="1467">
      <c r="A1467" s="568" t="n">
        <v>44378</v>
      </c>
      <c r="B1467" s="392" t="n">
        <v>8221</v>
      </c>
      <c r="C1467" s="392" t="n">
        <v>71.43000000000001</v>
      </c>
      <c r="D1467" s="392" t="n"/>
      <c r="E1467" s="392" t="n"/>
      <c r="F1467" s="392" t="n"/>
      <c r="G1467" s="392" t="n">
        <v>14</v>
      </c>
      <c r="H1467" s="52">
        <f>H1466-G1467</f>
        <v/>
      </c>
      <c r="I1467" s="392" t="n"/>
      <c r="J1467" s="392" t="n"/>
      <c r="K1467" s="392" t="n"/>
      <c r="L1467" s="392" t="n"/>
    </row>
    <row r="1468">
      <c r="A1468" s="304" t="n">
        <v>44379</v>
      </c>
      <c r="B1468" s="401" t="n">
        <v>168739</v>
      </c>
      <c r="C1468" s="401" t="n">
        <v>61.5</v>
      </c>
      <c r="D1468" s="401" t="n"/>
      <c r="E1468" s="401" t="n"/>
      <c r="F1468" s="401" t="n">
        <v>390</v>
      </c>
      <c r="G1468" s="401" t="n"/>
      <c r="H1468" s="277" t="n">
        <v>605</v>
      </c>
      <c r="I1468" s="392" t="n"/>
      <c r="J1468" s="392" t="n"/>
      <c r="K1468" s="392" t="n"/>
      <c r="L1468" s="392" t="n"/>
    </row>
    <row r="1469">
      <c r="A1469" s="568" t="n">
        <v>44383</v>
      </c>
      <c r="B1469" s="392" t="n">
        <v>8225</v>
      </c>
      <c r="C1469" s="392" t="n">
        <v>69.5</v>
      </c>
      <c r="D1469" s="392" t="n"/>
      <c r="E1469" s="392" t="n"/>
      <c r="F1469" s="392" t="n"/>
      <c r="G1469" s="392" t="n">
        <v>10</v>
      </c>
      <c r="H1469" s="52">
        <f>H1467-G1469</f>
        <v/>
      </c>
      <c r="I1469" s="392" t="n"/>
      <c r="J1469" s="392" t="n"/>
      <c r="K1469" s="392" t="n"/>
      <c r="L1469" s="392" t="n"/>
    </row>
    <row r="1470">
      <c r="A1470" s="568" t="n">
        <v>44383</v>
      </c>
      <c r="B1470" s="392" t="n">
        <v>8227</v>
      </c>
      <c r="C1470" s="392" t="n">
        <v>70</v>
      </c>
      <c r="D1470" s="392" t="n"/>
      <c r="E1470" s="392" t="n"/>
      <c r="F1470" s="392" t="n"/>
      <c r="G1470" s="392" t="n">
        <v>20</v>
      </c>
      <c r="H1470" s="52">
        <f>H1469-G1470</f>
        <v/>
      </c>
      <c r="I1470" s="392" t="n"/>
      <c r="J1470" s="392" t="n"/>
      <c r="K1470" s="392" t="n"/>
      <c r="L1470" s="392" t="n"/>
    </row>
    <row r="1471">
      <c r="A1471" s="568" t="n">
        <v>44383</v>
      </c>
      <c r="B1471" s="392" t="n">
        <v>8229</v>
      </c>
      <c r="C1471" s="392" t="n">
        <v>83.81999999999999</v>
      </c>
      <c r="D1471" s="392" t="n"/>
      <c r="E1471" s="392" t="n"/>
      <c r="F1471" s="392" t="n"/>
      <c r="G1471" s="392" t="n">
        <v>27</v>
      </c>
      <c r="H1471" s="52">
        <f>H1470-G1471</f>
        <v/>
      </c>
      <c r="I1471" s="392" t="n"/>
      <c r="J1471" s="392" t="n"/>
      <c r="K1471" s="392" t="n"/>
      <c r="L1471" s="392" t="n"/>
    </row>
    <row r="1472">
      <c r="A1472" s="568" t="n">
        <v>44383</v>
      </c>
      <c r="B1472" s="392" t="n">
        <v>8231</v>
      </c>
      <c r="C1472" s="392" t="n">
        <v>70.86</v>
      </c>
      <c r="D1472" s="392" t="n"/>
      <c r="E1472" s="392" t="n"/>
      <c r="F1472" s="392" t="n"/>
      <c r="G1472" s="392" t="n">
        <v>70</v>
      </c>
      <c r="H1472" s="52">
        <f>H1471-G1472</f>
        <v/>
      </c>
      <c r="I1472" s="392" t="n"/>
      <c r="J1472" s="392" t="n"/>
      <c r="K1472" s="392" t="n"/>
      <c r="L1472" s="392" t="n"/>
    </row>
    <row r="1473">
      <c r="A1473" s="568" t="n">
        <v>44384</v>
      </c>
      <c r="B1473" s="392" t="n">
        <v>8232</v>
      </c>
      <c r="C1473" s="392" t="n">
        <v>70</v>
      </c>
      <c r="D1473" s="392" t="n"/>
      <c r="E1473" s="392" t="n"/>
      <c r="F1473" s="392" t="n"/>
      <c r="G1473" s="392" t="n">
        <v>30</v>
      </c>
      <c r="H1473" s="52">
        <f>H1472-G1473</f>
        <v/>
      </c>
      <c r="I1473" s="392" t="n"/>
      <c r="J1473" s="392" t="n"/>
      <c r="K1473" s="392" t="n"/>
      <c r="L1473" s="392" t="n"/>
    </row>
    <row r="1474">
      <c r="A1474" s="568" t="n">
        <v>44354</v>
      </c>
      <c r="B1474" s="392" t="n">
        <v>8236</v>
      </c>
      <c r="C1474" s="392" t="n">
        <v>70</v>
      </c>
      <c r="D1474" s="392" t="n"/>
      <c r="E1474" s="392" t="n"/>
      <c r="F1474" s="392" t="n"/>
      <c r="G1474" s="392" t="n">
        <v>20</v>
      </c>
      <c r="H1474" s="52">
        <f>H1473-G1474</f>
        <v/>
      </c>
      <c r="I1474" s="392" t="n"/>
      <c r="J1474" s="392" t="n"/>
      <c r="K1474" s="392" t="n"/>
      <c r="L1474" s="392" t="n"/>
    </row>
    <row r="1475">
      <c r="A1475" s="304" t="n">
        <v>44393</v>
      </c>
      <c r="B1475" s="401" t="n">
        <v>169717</v>
      </c>
      <c r="C1475" s="401" t="n">
        <v>61</v>
      </c>
      <c r="D1475" s="401" t="n"/>
      <c r="E1475" s="401" t="n"/>
      <c r="F1475" s="401" t="n">
        <v>500</v>
      </c>
      <c r="G1475" s="401" t="n"/>
      <c r="H1475" s="277" t="n">
        <v>538</v>
      </c>
      <c r="I1475" s="392" t="n"/>
      <c r="J1475" s="392" t="n"/>
      <c r="K1475" s="392" t="n"/>
      <c r="L1475" s="392" t="n"/>
    </row>
    <row r="1476">
      <c r="A1476" s="568" t="n">
        <v>44384</v>
      </c>
      <c r="B1476" s="392" t="n">
        <v>8242</v>
      </c>
      <c r="C1476" s="392" t="n">
        <v>50</v>
      </c>
      <c r="D1476" s="392" t="n"/>
      <c r="E1476" s="392" t="n"/>
      <c r="F1476" s="392" t="n"/>
      <c r="G1476" s="392" t="n">
        <v>69</v>
      </c>
      <c r="H1476" s="52">
        <f>H1475-G1476</f>
        <v/>
      </c>
      <c r="I1476" s="392" t="n"/>
      <c r="J1476" s="392" t="n"/>
      <c r="K1476" s="392" t="n"/>
      <c r="L1476" s="392" t="n"/>
    </row>
    <row r="1477">
      <c r="A1477" s="568" t="n">
        <v>44390</v>
      </c>
      <c r="B1477" s="392" t="n">
        <v>8243</v>
      </c>
      <c r="C1477" s="392" t="n">
        <v>70</v>
      </c>
      <c r="D1477" s="392" t="n"/>
      <c r="E1477" s="392" t="n"/>
      <c r="F1477" s="392" t="n"/>
      <c r="G1477" s="392" t="n">
        <v>50</v>
      </c>
      <c r="H1477" s="52">
        <f>H1476-G1477</f>
        <v/>
      </c>
      <c r="I1477" s="392" t="n"/>
      <c r="J1477" s="392" t="n"/>
      <c r="K1477" s="392" t="n"/>
      <c r="L1477" s="392" t="n"/>
    </row>
    <row r="1478">
      <c r="A1478" s="568" t="n">
        <v>44390</v>
      </c>
      <c r="B1478" s="392" t="n">
        <v>8244</v>
      </c>
      <c r="C1478" s="392" t="n">
        <v>70</v>
      </c>
      <c r="D1478" s="392" t="n"/>
      <c r="E1478" s="392" t="n"/>
      <c r="F1478" s="392" t="n"/>
      <c r="G1478" s="392" t="n">
        <v>20</v>
      </c>
      <c r="H1478" s="52">
        <f>H1477-G1478</f>
        <v/>
      </c>
      <c r="I1478" s="392" t="n"/>
      <c r="J1478" s="392" t="n"/>
      <c r="K1478" s="392" t="n"/>
      <c r="L1478" s="392" t="n"/>
    </row>
    <row r="1479">
      <c r="A1479" s="568" t="n">
        <v>44390</v>
      </c>
      <c r="B1479" s="392" t="n">
        <v>8248</v>
      </c>
      <c r="C1479" s="392" t="n">
        <v>70</v>
      </c>
      <c r="D1479" s="392" t="n"/>
      <c r="E1479" s="392" t="n"/>
      <c r="F1479" s="392" t="n"/>
      <c r="G1479" s="392" t="n">
        <v>35</v>
      </c>
      <c r="H1479" s="52">
        <f>H1478-G1479</f>
        <v/>
      </c>
      <c r="I1479" s="392" t="n"/>
      <c r="J1479" s="392" t="n"/>
      <c r="K1479" s="392" t="n"/>
      <c r="L1479" s="392" t="n"/>
    </row>
    <row r="1480">
      <c r="A1480" s="568" t="n">
        <v>44390</v>
      </c>
      <c r="B1480" s="392" t="n">
        <v>8249</v>
      </c>
      <c r="C1480" s="392" t="n">
        <v>70</v>
      </c>
      <c r="D1480" s="392" t="n"/>
      <c r="E1480" s="392" t="n"/>
      <c r="F1480" s="392" t="n"/>
      <c r="G1480" s="392" t="n">
        <v>50</v>
      </c>
      <c r="H1480" s="52">
        <f>H1479-G1480</f>
        <v/>
      </c>
      <c r="I1480" s="392" t="n"/>
      <c r="J1480" s="392" t="n"/>
      <c r="K1480" s="392" t="n"/>
      <c r="L1480" s="392" t="n"/>
    </row>
    <row r="1481">
      <c r="A1481" s="568" t="n">
        <v>44390</v>
      </c>
      <c r="B1481" s="392" t="n">
        <v>8250</v>
      </c>
      <c r="C1481" s="392" t="n">
        <v>70</v>
      </c>
      <c r="D1481" s="392" t="n"/>
      <c r="E1481" s="392" t="n"/>
      <c r="F1481" s="392" t="n"/>
      <c r="G1481" s="392" t="n">
        <v>20</v>
      </c>
      <c r="H1481" s="52">
        <f>H1480-G1481</f>
        <v/>
      </c>
      <c r="I1481" s="392" t="n"/>
      <c r="J1481" s="392" t="n"/>
      <c r="K1481" s="392" t="n"/>
      <c r="L1481" s="392" t="n"/>
    </row>
    <row r="1482">
      <c r="A1482" s="568" t="n">
        <v>44361</v>
      </c>
      <c r="B1482" s="392" t="n">
        <v>8255</v>
      </c>
      <c r="C1482" s="392" t="n">
        <v>70</v>
      </c>
      <c r="D1482" s="392" t="n"/>
      <c r="E1482" s="392" t="n"/>
      <c r="F1482" s="392" t="n"/>
      <c r="G1482" s="392" t="n">
        <v>36</v>
      </c>
      <c r="H1482" s="52">
        <f>H1481-G1482</f>
        <v/>
      </c>
      <c r="I1482" s="392" t="n"/>
      <c r="J1482" s="392" t="n"/>
      <c r="K1482" s="392" t="n"/>
      <c r="L1482" s="392" t="n"/>
    </row>
    <row r="1483">
      <c r="A1483" s="568" t="n">
        <v>44361</v>
      </c>
      <c r="B1483" s="392" t="n">
        <v>8258</v>
      </c>
      <c r="C1483" s="392" t="n">
        <v>71.25</v>
      </c>
      <c r="D1483" s="392" t="n"/>
      <c r="E1483" s="392" t="n"/>
      <c r="F1483" s="392" t="n"/>
      <c r="G1483" s="392" t="n">
        <v>20</v>
      </c>
      <c r="H1483" s="52">
        <f>H1482-G1483</f>
        <v/>
      </c>
      <c r="I1483" s="392" t="n"/>
      <c r="J1483" s="392" t="n"/>
      <c r="K1483" s="392" t="n"/>
      <c r="L1483" s="392" t="n"/>
    </row>
    <row r="1484">
      <c r="A1484" s="568" t="n">
        <v>44396</v>
      </c>
      <c r="B1484" s="392" t="n">
        <v>8263</v>
      </c>
      <c r="C1484" s="392" t="n">
        <v>70</v>
      </c>
      <c r="D1484" s="392" t="n"/>
      <c r="E1484" s="392" t="n"/>
      <c r="F1484" s="392" t="n"/>
      <c r="G1484" s="392" t="n">
        <v>20</v>
      </c>
      <c r="H1484" s="52">
        <f>H1483-G1484</f>
        <v/>
      </c>
      <c r="I1484" s="392" t="n"/>
      <c r="J1484" s="392" t="n"/>
      <c r="K1484" s="392" t="n"/>
      <c r="L1484" s="392" t="n"/>
    </row>
    <row r="1485">
      <c r="A1485" s="568" t="n">
        <v>44396</v>
      </c>
      <c r="B1485" s="392" t="n">
        <v>8267</v>
      </c>
      <c r="C1485" s="392" t="n">
        <v>70</v>
      </c>
      <c r="D1485" s="392" t="n"/>
      <c r="E1485" s="392" t="n"/>
      <c r="F1485" s="392" t="n"/>
      <c r="G1485" s="392" t="n">
        <v>20</v>
      </c>
      <c r="H1485" s="52">
        <f>H1484-G1485</f>
        <v/>
      </c>
      <c r="I1485" s="392" t="n"/>
      <c r="J1485" s="392" t="n"/>
      <c r="K1485" s="392" t="n"/>
      <c r="L1485" s="392" t="n"/>
    </row>
    <row r="1486">
      <c r="A1486" s="568" t="n">
        <v>44396</v>
      </c>
      <c r="B1486" s="392" t="n">
        <v>8268</v>
      </c>
      <c r="C1486" s="392" t="n">
        <v>70</v>
      </c>
      <c r="D1486" s="392" t="n"/>
      <c r="E1486" s="392" t="n"/>
      <c r="F1486" s="392" t="n"/>
      <c r="G1486" s="392" t="n">
        <v>15</v>
      </c>
      <c r="H1486" s="52">
        <f>H1485-G1486</f>
        <v/>
      </c>
      <c r="I1486" s="392" t="n"/>
      <c r="J1486" s="392" t="n"/>
      <c r="K1486" s="392" t="n"/>
      <c r="L1486" s="392" t="n"/>
    </row>
    <row r="1487">
      <c r="A1487" s="568" t="n">
        <v>44397</v>
      </c>
      <c r="B1487" s="392" t="n">
        <v>8269</v>
      </c>
      <c r="C1487" s="392" t="n">
        <v>70.5</v>
      </c>
      <c r="D1487" s="392" t="n"/>
      <c r="E1487" s="392" t="n"/>
      <c r="F1487" s="392" t="n"/>
      <c r="G1487" s="392" t="n">
        <v>120</v>
      </c>
      <c r="H1487" s="52">
        <f>H1486-G1487</f>
        <v/>
      </c>
      <c r="I1487" s="392" t="n"/>
      <c r="J1487" s="392" t="n"/>
      <c r="K1487" s="392" t="n"/>
      <c r="L1487" s="392" t="n"/>
    </row>
    <row r="1488">
      <c r="A1488" s="568" t="n">
        <v>44397</v>
      </c>
      <c r="B1488" s="392" t="n">
        <v>8270</v>
      </c>
      <c r="C1488" s="392" t="n">
        <v>70</v>
      </c>
      <c r="D1488" s="392" t="n"/>
      <c r="E1488" s="392" t="n"/>
      <c r="F1488" s="392" t="n"/>
      <c r="G1488" s="392" t="n">
        <v>10</v>
      </c>
      <c r="H1488" s="52">
        <f>H1487-G1488</f>
        <v/>
      </c>
      <c r="I1488" s="392" t="n"/>
      <c r="J1488" s="392" t="n"/>
      <c r="K1488" s="392" t="n"/>
      <c r="L1488" s="392" t="n"/>
    </row>
    <row r="1489">
      <c r="A1489" s="568" t="n">
        <v>44397</v>
      </c>
      <c r="B1489" s="392" t="n">
        <v>8271</v>
      </c>
      <c r="C1489" s="392" t="n">
        <v>71.25</v>
      </c>
      <c r="D1489" s="392" t="n"/>
      <c r="E1489" s="392" t="n"/>
      <c r="F1489" s="392" t="n"/>
      <c r="G1489" s="392" t="n">
        <v>20</v>
      </c>
      <c r="H1489" s="52">
        <f>H1488-G1489</f>
        <v/>
      </c>
      <c r="I1489" s="392" t="n"/>
      <c r="J1489" s="392" t="n"/>
      <c r="K1489" s="392" t="n"/>
      <c r="L1489" s="392" t="n"/>
    </row>
    <row r="1490">
      <c r="A1490" s="568" t="n">
        <v>44397</v>
      </c>
      <c r="B1490" s="392" t="n">
        <v>8273</v>
      </c>
      <c r="C1490" s="392" t="n">
        <v>70</v>
      </c>
      <c r="D1490" s="392" t="n"/>
      <c r="E1490" s="392" t="n"/>
      <c r="F1490" s="392" t="n"/>
      <c r="G1490" s="392" t="n">
        <v>35</v>
      </c>
      <c r="H1490" s="52">
        <f>H1489-G1490</f>
        <v/>
      </c>
      <c r="I1490" s="392" t="n"/>
      <c r="J1490" s="392" t="n"/>
      <c r="K1490" s="392" t="n"/>
      <c r="L1490" s="392" t="n"/>
    </row>
    <row r="1491">
      <c r="A1491" s="568" t="n">
        <v>44397</v>
      </c>
      <c r="B1491" s="392" t="n">
        <v>8274</v>
      </c>
      <c r="C1491" s="392" t="n">
        <v>70</v>
      </c>
      <c r="D1491" s="392" t="n"/>
      <c r="E1491" s="392" t="n"/>
      <c r="F1491" s="392" t="n"/>
      <c r="G1491" s="392" t="n">
        <v>10</v>
      </c>
      <c r="H1491" s="52">
        <f>H1490-G1491</f>
        <v/>
      </c>
      <c r="I1491" s="392" t="n"/>
      <c r="J1491" s="392" t="n"/>
      <c r="K1491" s="392" t="n"/>
      <c r="L1491" s="392" t="n"/>
    </row>
    <row r="1492">
      <c r="A1492" s="568" t="n">
        <v>44397</v>
      </c>
      <c r="B1492" s="392" t="n">
        <v>8277</v>
      </c>
      <c r="C1492" s="392" t="n">
        <v>70</v>
      </c>
      <c r="D1492" s="392" t="n"/>
      <c r="E1492" s="392" t="n"/>
      <c r="F1492" s="392" t="n"/>
      <c r="G1492" s="392" t="n">
        <v>70</v>
      </c>
      <c r="H1492" s="52">
        <f>H1491-G1492</f>
        <v/>
      </c>
      <c r="I1492" s="392" t="n"/>
      <c r="J1492" s="392" t="n"/>
      <c r="K1492" s="392" t="n"/>
      <c r="L1492" s="392" t="n"/>
    </row>
    <row r="1493">
      <c r="A1493" s="568" t="n">
        <v>44397</v>
      </c>
      <c r="B1493" s="392" t="n">
        <v>8279</v>
      </c>
      <c r="C1493" s="392" t="n">
        <v>70</v>
      </c>
      <c r="D1493" s="392" t="n"/>
      <c r="E1493" s="392" t="n"/>
      <c r="F1493" s="392" t="n"/>
      <c r="G1493" s="392" t="n">
        <v>25</v>
      </c>
      <c r="H1493" s="52">
        <f>H1492-G1493</f>
        <v/>
      </c>
      <c r="I1493" s="392" t="n"/>
      <c r="J1493" s="392" t="n"/>
      <c r="K1493" s="392" t="n"/>
      <c r="L1493" s="392" t="n"/>
    </row>
    <row r="1494">
      <c r="A1494" s="304" t="n">
        <v>44403</v>
      </c>
      <c r="B1494" s="401" t="n">
        <v>170178</v>
      </c>
      <c r="C1494" s="401" t="n">
        <v>61</v>
      </c>
      <c r="D1494" s="401" t="n"/>
      <c r="E1494" s="401" t="n"/>
      <c r="F1494" s="401" t="n">
        <v>1000</v>
      </c>
      <c r="G1494" s="401" t="n"/>
      <c r="H1494" s="277" t="n">
        <v>893</v>
      </c>
      <c r="I1494" s="392" t="n"/>
      <c r="J1494" s="392" t="n"/>
      <c r="K1494" s="392" t="n"/>
      <c r="L1494" s="392" t="n"/>
    </row>
    <row r="1495">
      <c r="A1495" s="568" t="n">
        <v>44405</v>
      </c>
      <c r="B1495" s="392" t="n">
        <v>8285</v>
      </c>
      <c r="C1495" s="392" t="n">
        <v>69</v>
      </c>
      <c r="D1495" s="392" t="n"/>
      <c r="E1495" s="392" t="n"/>
      <c r="F1495" s="392" t="n"/>
      <c r="G1495" s="392" t="n">
        <v>50</v>
      </c>
      <c r="H1495" s="52">
        <f>H1494-G1495</f>
        <v/>
      </c>
      <c r="I1495" s="392" t="n"/>
      <c r="J1495" s="392" t="n"/>
      <c r="K1495" s="392" t="n"/>
      <c r="L1495" s="392" t="n"/>
    </row>
    <row r="1496">
      <c r="A1496" s="568" t="n">
        <v>44405</v>
      </c>
      <c r="B1496" s="392" t="n">
        <v>8290</v>
      </c>
      <c r="C1496" s="392" t="n">
        <v>70</v>
      </c>
      <c r="D1496" s="392" t="n"/>
      <c r="E1496" s="392" t="n"/>
      <c r="F1496" s="392" t="n"/>
      <c r="G1496" s="392" t="n">
        <v>50</v>
      </c>
      <c r="H1496" s="52">
        <f>H1495-G1496</f>
        <v/>
      </c>
      <c r="I1496" s="392" t="n"/>
      <c r="J1496" s="392" t="n"/>
      <c r="K1496" s="392" t="n"/>
      <c r="L1496" s="392" t="n"/>
    </row>
    <row r="1497">
      <c r="A1497" s="568" t="n">
        <v>44405</v>
      </c>
      <c r="B1497" s="392" t="n">
        <v>8291</v>
      </c>
      <c r="C1497" s="392" t="n">
        <v>69.5</v>
      </c>
      <c r="D1497" s="392" t="n"/>
      <c r="E1497" s="392" t="n"/>
      <c r="F1497" s="392" t="n"/>
      <c r="G1497" s="392" t="n">
        <v>10</v>
      </c>
      <c r="H1497" s="52">
        <f>H1496-G1497</f>
        <v/>
      </c>
      <c r="I1497" s="392" t="n"/>
      <c r="J1497" s="392" t="n"/>
      <c r="K1497" s="392" t="n"/>
      <c r="L1497" s="392" t="n"/>
    </row>
    <row r="1498">
      <c r="A1498" s="568" t="n">
        <v>44405</v>
      </c>
      <c r="B1498" s="392" t="n">
        <v>8293</v>
      </c>
      <c r="C1498" s="392" t="n">
        <v>71.67</v>
      </c>
      <c r="D1498" s="392" t="n"/>
      <c r="E1498" s="392" t="n"/>
      <c r="F1498" s="392" t="n"/>
      <c r="G1498" s="392" t="n">
        <v>15</v>
      </c>
      <c r="H1498" s="52">
        <f>H1497-G1498</f>
        <v/>
      </c>
      <c r="I1498" s="392" t="n"/>
      <c r="J1498" s="392" t="n"/>
      <c r="K1498" s="392" t="n"/>
      <c r="L1498" s="392" t="n"/>
    </row>
    <row r="1499">
      <c r="A1499" s="568" t="n">
        <v>44405</v>
      </c>
      <c r="B1499" s="392" t="n">
        <v>8294</v>
      </c>
      <c r="C1499" s="392" t="n">
        <v>68</v>
      </c>
      <c r="D1499" s="392" t="n"/>
      <c r="E1499" s="392" t="n"/>
      <c r="F1499" s="392" t="n"/>
      <c r="G1499" s="392" t="n">
        <v>15</v>
      </c>
      <c r="H1499" s="52">
        <f>H1498-G1499</f>
        <v/>
      </c>
      <c r="I1499" s="392" t="n"/>
      <c r="J1499" s="392" t="n"/>
      <c r="K1499" s="392" t="n"/>
      <c r="L1499" s="392" t="n"/>
    </row>
    <row r="1500">
      <c r="A1500" s="568" t="n">
        <v>44467</v>
      </c>
      <c r="B1500" s="392" t="n">
        <v>8297</v>
      </c>
      <c r="C1500" s="392" t="n">
        <v>71.91</v>
      </c>
      <c r="D1500" s="392" t="n"/>
      <c r="E1500" s="392" t="n"/>
      <c r="F1500" s="392" t="n"/>
      <c r="G1500" s="392" t="n">
        <v>33</v>
      </c>
      <c r="H1500" s="52">
        <f>H1499-G1500</f>
        <v/>
      </c>
      <c r="I1500" s="392" t="n"/>
      <c r="J1500" s="392" t="n"/>
      <c r="K1500" s="392" t="n"/>
      <c r="L1500" s="392" t="n"/>
    </row>
    <row r="1501">
      <c r="A1501" s="568" t="n">
        <v>44467</v>
      </c>
      <c r="B1501" s="392" t="n">
        <v>8299</v>
      </c>
      <c r="C1501" s="392" t="n">
        <v>70</v>
      </c>
      <c r="D1501" s="392" t="n"/>
      <c r="E1501" s="392" t="n"/>
      <c r="F1501" s="392" t="n"/>
      <c r="G1501" s="392" t="n">
        <v>50</v>
      </c>
      <c r="H1501" s="52">
        <f>H1500-G1501</f>
        <v/>
      </c>
      <c r="I1501" s="392" t="n"/>
      <c r="J1501" s="392" t="n"/>
      <c r="K1501" s="392" t="n"/>
      <c r="L1501" s="392" t="n"/>
    </row>
    <row r="1502">
      <c r="A1502" s="568" t="n">
        <v>44467</v>
      </c>
      <c r="B1502" s="392" t="n">
        <v>8300</v>
      </c>
      <c r="C1502" s="392" t="n">
        <v>70</v>
      </c>
      <c r="D1502" s="392" t="n"/>
      <c r="E1502" s="392" t="n"/>
      <c r="F1502" s="392" t="n"/>
      <c r="G1502" s="392" t="n">
        <v>36</v>
      </c>
      <c r="H1502" s="52">
        <f>H1501-G1502</f>
        <v/>
      </c>
      <c r="I1502" s="392" t="n"/>
      <c r="J1502" s="392" t="n"/>
      <c r="K1502" s="392" t="n"/>
      <c r="L1502" s="392" t="n"/>
    </row>
    <row r="1503">
      <c r="A1503" s="568" t="n">
        <v>44406</v>
      </c>
      <c r="B1503" s="392" t="n">
        <v>8301</v>
      </c>
      <c r="C1503" s="392" t="n">
        <v>71</v>
      </c>
      <c r="D1503" s="392" t="n"/>
      <c r="E1503" s="392" t="n"/>
      <c r="F1503" s="392" t="n"/>
      <c r="G1503" s="392" t="n">
        <v>25</v>
      </c>
      <c r="H1503" s="52">
        <f>H1502-G1503</f>
        <v/>
      </c>
      <c r="I1503" s="392" t="n"/>
      <c r="J1503" s="392" t="n"/>
      <c r="K1503" s="392" t="n"/>
      <c r="L1503" s="392" t="n"/>
    </row>
    <row r="1504">
      <c r="A1504" s="568" t="n"/>
      <c r="B1504" s="392" t="n"/>
      <c r="C1504" s="392" t="n"/>
      <c r="D1504" s="392" t="n"/>
      <c r="E1504" s="392" t="n"/>
      <c r="F1504" s="392" t="n"/>
      <c r="G1504" s="392" t="n"/>
      <c r="H1504" s="52">
        <f>H1503-G1504</f>
        <v/>
      </c>
      <c r="I1504" s="392" t="n"/>
      <c r="J1504" s="392" t="n"/>
      <c r="K1504" s="392" t="n"/>
      <c r="L1504" s="392" t="n"/>
    </row>
    <row r="1505" ht="15.75" customHeight="1" s="436" thickBot="1"/>
    <row r="1506" ht="21.75" customHeight="1" s="436" thickBot="1">
      <c r="A1506" s="757" t="inlineStr">
        <is>
          <t>Agosto</t>
        </is>
      </c>
      <c r="B1506" s="697" t="n"/>
      <c r="C1506" s="697" t="n"/>
      <c r="D1506" s="697" t="n"/>
      <c r="E1506" s="697" t="n"/>
      <c r="F1506" s="697" t="n"/>
      <c r="G1506" s="697" t="n"/>
      <c r="H1506" s="697" t="n"/>
      <c r="I1506" s="697" t="n"/>
      <c r="J1506" s="697" t="n"/>
      <c r="K1506" s="697" t="n"/>
      <c r="L1506" s="698" t="n"/>
    </row>
    <row r="1507" ht="21.75" customHeight="1" s="436" thickBot="1">
      <c r="A1507" s="699" t="inlineStr">
        <is>
          <t xml:space="preserve">021 - DENISE FURTADO DE SOUZA - ME </t>
        </is>
      </c>
      <c r="B1507" s="697" t="n"/>
      <c r="C1507" s="697" t="n"/>
      <c r="D1507" s="697" t="n"/>
      <c r="E1507" s="697" t="n"/>
      <c r="F1507" s="697" t="n"/>
      <c r="G1507" s="697" t="n"/>
      <c r="H1507" s="697" t="n"/>
      <c r="I1507" s="697" t="n"/>
      <c r="J1507" s="697" t="n"/>
      <c r="K1507" s="697" t="n"/>
      <c r="L1507" s="698" t="n"/>
    </row>
    <row r="1508" ht="24" customHeight="1" s="436" thickBot="1">
      <c r="A1508" s="745" t="inlineStr">
        <is>
          <t xml:space="preserve">  PRÉ MISTURA - 25 KG</t>
        </is>
      </c>
      <c r="B1508" s="737" t="n"/>
      <c r="C1508" s="737" t="n"/>
      <c r="D1508" s="737" t="n"/>
      <c r="E1508" s="737" t="n"/>
      <c r="F1508" s="737" t="n"/>
      <c r="G1508" s="737" t="n"/>
      <c r="H1508" s="737" t="n"/>
      <c r="I1508" s="737" t="n"/>
      <c r="J1508" s="737" t="n"/>
      <c r="K1508" s="737" t="n"/>
      <c r="L1508" s="736" t="n"/>
    </row>
    <row r="1509">
      <c r="A1509" s="746" t="inlineStr">
        <is>
          <t>DATA</t>
        </is>
      </c>
      <c r="B1509" s="3" t="inlineStr">
        <is>
          <t>N.F.</t>
        </is>
      </c>
      <c r="C1509" s="3" t="inlineStr">
        <is>
          <t>TIPO</t>
        </is>
      </c>
      <c r="D1509" s="3" t="inlineStr">
        <is>
          <t>PREÇO UNITÁRIO</t>
        </is>
      </c>
      <c r="E1509" s="736" t="n"/>
      <c r="F1509" s="3" t="inlineStr">
        <is>
          <t>QUANTIDADE / KG</t>
        </is>
      </c>
      <c r="G1509" s="737" t="n"/>
      <c r="H1509" s="736" t="n"/>
      <c r="I1509" s="631" t="inlineStr">
        <is>
          <t>PREÇO</t>
        </is>
      </c>
      <c r="J1509" s="631" t="inlineStr">
        <is>
          <t>VALORES</t>
        </is>
      </c>
      <c r="K1509" s="737" t="n"/>
      <c r="L1509" s="736" t="n"/>
    </row>
    <row r="1510" ht="15.75" customHeight="1" s="436" thickBot="1">
      <c r="A1510" s="703" t="n"/>
      <c r="B1510" s="704" t="n"/>
      <c r="C1510" s="704" t="n"/>
      <c r="D1510" s="703" t="n"/>
      <c r="E1510" s="701" t="n"/>
      <c r="F1510" s="705" t="n"/>
      <c r="G1510" s="706" t="n"/>
      <c r="H1510" s="707" t="n"/>
      <c r="I1510" s="704" t="n"/>
      <c r="J1510" s="703" t="n"/>
      <c r="L1510" s="701" t="n"/>
    </row>
    <row r="1511" ht="15.75" customHeight="1" s="436" thickBot="1">
      <c r="A1511" s="703" t="n"/>
      <c r="B1511" s="704" t="n"/>
      <c r="C1511" s="704" t="n"/>
      <c r="D1511" s="705" t="n"/>
      <c r="E1511" s="707" t="n"/>
      <c r="F1511" s="3" t="inlineStr">
        <is>
          <t>ENTRADA</t>
        </is>
      </c>
      <c r="G1511" s="3" t="inlineStr">
        <is>
          <t>SAÍDA</t>
        </is>
      </c>
      <c r="H1511" s="640" t="n"/>
      <c r="I1511" s="633" t="inlineStr">
        <is>
          <t>MÉDIO</t>
        </is>
      </c>
      <c r="J1511" s="652" t="inlineStr">
        <is>
          <t>SALDO EM 30/12/2017</t>
        </is>
      </c>
      <c r="K1511" s="706" t="n"/>
      <c r="L1511" s="17" t="n"/>
    </row>
    <row r="1512" ht="15.75" customHeight="1" s="436" thickBot="1">
      <c r="A1512" s="705" t="n"/>
      <c r="B1512" s="695" t="n"/>
      <c r="C1512" s="695" t="n"/>
      <c r="D1512" s="3" t="inlineStr">
        <is>
          <t>C/ICMS</t>
        </is>
      </c>
      <c r="E1512" s="3" t="inlineStr">
        <is>
          <t>S/ICMS</t>
        </is>
      </c>
      <c r="F1512" s="695" t="n"/>
      <c r="G1512" s="695" t="n"/>
      <c r="H1512" s="361" t="inlineStr">
        <is>
          <t>Saldo em 31/07/2021</t>
        </is>
      </c>
      <c r="I1512" s="695" t="n"/>
      <c r="J1512" s="645" t="inlineStr">
        <is>
          <t>ENTRADA</t>
        </is>
      </c>
      <c r="K1512" s="633" t="inlineStr">
        <is>
          <t>SAÍDA / CMV</t>
        </is>
      </c>
      <c r="L1512" s="633" t="inlineStr">
        <is>
          <t>SALDO</t>
        </is>
      </c>
    </row>
    <row r="1513">
      <c r="A1513" s="48" t="n"/>
      <c r="B1513" s="49" t="n"/>
      <c r="C1513" s="49" t="n"/>
      <c r="D1513" s="71" t="n"/>
      <c r="E1513" s="71" t="n"/>
      <c r="F1513" s="55" t="n"/>
      <c r="G1513" s="55" t="n"/>
      <c r="H1513" s="52" t="n">
        <v>609</v>
      </c>
      <c r="I1513" s="71" t="n"/>
      <c r="J1513" s="747">
        <f>F1513*I1513</f>
        <v/>
      </c>
      <c r="K1513" s="747" t="n"/>
      <c r="L1513" s="748">
        <f>J1513-K1513</f>
        <v/>
      </c>
    </row>
    <row r="1514">
      <c r="A1514" s="568" t="n">
        <v>44410</v>
      </c>
      <c r="B1514" s="392" t="n">
        <v>8303</v>
      </c>
      <c r="C1514" s="392" t="n">
        <v>70</v>
      </c>
      <c r="D1514" s="392" t="n"/>
      <c r="E1514" s="392" t="n"/>
      <c r="F1514" s="392" t="n"/>
      <c r="G1514" s="392" t="n">
        <v>20</v>
      </c>
      <c r="H1514" s="52">
        <f>H1513-G1514</f>
        <v/>
      </c>
      <c r="I1514" s="392" t="n"/>
      <c r="J1514" s="392" t="n"/>
      <c r="K1514" s="392" t="n"/>
      <c r="L1514" s="392" t="n"/>
    </row>
    <row r="1515">
      <c r="A1515" s="568" t="n">
        <v>44410</v>
      </c>
      <c r="B1515" s="392" t="n">
        <v>8307</v>
      </c>
      <c r="C1515" s="392" t="n">
        <v>70</v>
      </c>
      <c r="D1515" s="392" t="n"/>
      <c r="E1515" s="392" t="n"/>
      <c r="F1515" s="392" t="n"/>
      <c r="G1515" s="392" t="n">
        <v>20</v>
      </c>
      <c r="H1515" s="52">
        <f>H1514-G1515</f>
        <v/>
      </c>
      <c r="I1515" s="392" t="n"/>
      <c r="J1515" s="392" t="n"/>
      <c r="K1515" s="392" t="n"/>
      <c r="L1515" s="392" t="n"/>
    </row>
    <row r="1516">
      <c r="A1516" s="568" t="n">
        <v>44410</v>
      </c>
      <c r="B1516" s="392" t="n">
        <v>8308</v>
      </c>
      <c r="C1516" s="392" t="n">
        <v>72</v>
      </c>
      <c r="D1516" s="392" t="n"/>
      <c r="E1516" s="392" t="n"/>
      <c r="F1516" s="392" t="n"/>
      <c r="G1516" s="392" t="n">
        <v>36</v>
      </c>
      <c r="H1516" s="52">
        <f>H1515-G1516</f>
        <v/>
      </c>
      <c r="I1516" s="392" t="n"/>
      <c r="J1516" s="392" t="n"/>
      <c r="K1516" s="392" t="n"/>
      <c r="L1516" s="392" t="n"/>
    </row>
    <row r="1517">
      <c r="A1517" s="568" t="n">
        <v>44410</v>
      </c>
      <c r="B1517" s="392" t="n">
        <v>8313</v>
      </c>
      <c r="C1517" s="392" t="n">
        <v>72</v>
      </c>
      <c r="D1517" s="392" t="n"/>
      <c r="E1517" s="392" t="n"/>
      <c r="F1517" s="392" t="n"/>
      <c r="G1517" s="392" t="n">
        <v>25</v>
      </c>
      <c r="H1517" s="52">
        <f>H1516-G1517</f>
        <v/>
      </c>
      <c r="I1517" s="392" t="n"/>
      <c r="J1517" s="392" t="n"/>
      <c r="K1517" s="392" t="n"/>
      <c r="L1517" s="392" t="n"/>
    </row>
    <row r="1518">
      <c r="A1518" s="568" t="n">
        <v>44412</v>
      </c>
      <c r="B1518" s="392" t="n">
        <v>8319</v>
      </c>
      <c r="C1518" s="392" t="n">
        <v>70</v>
      </c>
      <c r="D1518" s="392" t="n"/>
      <c r="E1518" s="392" t="n"/>
      <c r="F1518" s="392" t="n"/>
      <c r="G1518" s="392" t="n">
        <v>30</v>
      </c>
      <c r="H1518" s="52">
        <f>H1517-G1518</f>
        <v/>
      </c>
      <c r="I1518" s="392" t="n"/>
      <c r="J1518" s="392" t="n"/>
      <c r="K1518" s="392" t="n"/>
      <c r="L1518" s="392" t="n"/>
    </row>
    <row r="1519">
      <c r="A1519" s="568" t="n">
        <v>44412</v>
      </c>
      <c r="B1519" s="392" t="n">
        <v>8322</v>
      </c>
      <c r="C1519" s="392" t="n">
        <v>72</v>
      </c>
      <c r="D1519" s="392" t="n"/>
      <c r="E1519" s="392" t="n"/>
      <c r="F1519" s="392" t="n"/>
      <c r="G1519" s="392" t="n">
        <v>10</v>
      </c>
      <c r="H1519" s="52">
        <f>H1518-G1519</f>
        <v/>
      </c>
      <c r="I1519" s="392" t="n"/>
      <c r="J1519" s="392" t="n"/>
      <c r="K1519" s="392" t="n"/>
      <c r="L1519" s="392" t="n"/>
    </row>
    <row r="1520">
      <c r="A1520" s="568" t="n">
        <v>44412</v>
      </c>
      <c r="B1520" s="392" t="n">
        <v>8324</v>
      </c>
      <c r="C1520" s="392" t="n">
        <v>72.45999999999999</v>
      </c>
      <c r="D1520" s="392" t="n"/>
      <c r="E1520" s="392" t="n"/>
      <c r="F1520" s="392" t="n"/>
      <c r="G1520" s="392" t="n">
        <v>33</v>
      </c>
      <c r="H1520" s="52">
        <f>H1519-G1520</f>
        <v/>
      </c>
      <c r="I1520" s="392" t="n"/>
      <c r="J1520" s="392" t="n"/>
      <c r="K1520" s="392" t="n"/>
      <c r="L1520" s="392" t="n"/>
    </row>
    <row r="1521">
      <c r="A1521" s="568" t="n">
        <v>44413</v>
      </c>
      <c r="B1521" s="392" t="n">
        <v>8326</v>
      </c>
      <c r="C1521" s="392" t="n">
        <v>72</v>
      </c>
      <c r="D1521" s="392" t="n"/>
      <c r="E1521" s="392" t="n"/>
      <c r="F1521" s="392" t="n"/>
      <c r="G1521" s="392" t="n">
        <v>70</v>
      </c>
      <c r="H1521" s="52">
        <f>H1520-G1521</f>
        <v/>
      </c>
      <c r="I1521" s="392" t="n"/>
      <c r="J1521" s="392" t="n"/>
      <c r="K1521" s="392" t="n"/>
      <c r="L1521" s="392" t="n"/>
    </row>
    <row r="1522">
      <c r="A1522" s="568" t="n">
        <v>44418</v>
      </c>
      <c r="B1522" s="392" t="n">
        <v>8334</v>
      </c>
      <c r="C1522" s="392" t="n">
        <v>72</v>
      </c>
      <c r="D1522" s="392" t="n"/>
      <c r="E1522" s="392" t="n"/>
      <c r="F1522" s="392" t="n"/>
      <c r="G1522" s="392" t="n">
        <v>36</v>
      </c>
      <c r="H1522" s="52">
        <f>H1521-G1522</f>
        <v/>
      </c>
      <c r="I1522" s="392" t="n"/>
      <c r="J1522" s="392" t="n"/>
      <c r="K1522" s="392" t="n"/>
      <c r="L1522" s="392" t="n"/>
    </row>
    <row r="1523">
      <c r="A1523" s="568" t="n">
        <v>44418</v>
      </c>
      <c r="B1523" s="392" t="n">
        <v>8335</v>
      </c>
      <c r="C1523" s="392" t="n">
        <v>71.5</v>
      </c>
      <c r="D1523" s="392" t="n"/>
      <c r="E1523" s="392" t="n"/>
      <c r="F1523" s="392" t="n"/>
      <c r="G1523" s="392" t="n">
        <v>10</v>
      </c>
      <c r="H1523" s="52">
        <f>H1522-G1523</f>
        <v/>
      </c>
      <c r="I1523" s="392" t="n"/>
      <c r="J1523" s="392" t="n"/>
      <c r="K1523" s="392" t="n"/>
      <c r="L1523" s="392" t="n"/>
    </row>
    <row r="1524">
      <c r="A1524" s="568" t="n">
        <v>44420</v>
      </c>
      <c r="B1524" s="392" t="n">
        <v>8340</v>
      </c>
      <c r="C1524" s="392" t="n">
        <v>72</v>
      </c>
      <c r="D1524" s="392" t="n"/>
      <c r="E1524" s="392" t="n"/>
      <c r="F1524" s="392" t="n"/>
      <c r="G1524" s="392" t="n">
        <v>15</v>
      </c>
      <c r="H1524" s="52">
        <f>H1523-G1524</f>
        <v/>
      </c>
      <c r="I1524" s="392" t="n"/>
      <c r="J1524" s="392" t="n"/>
      <c r="K1524" s="392" t="n"/>
      <c r="L1524" s="392" t="n"/>
    </row>
    <row r="1525">
      <c r="A1525" s="568" t="n">
        <v>44420</v>
      </c>
      <c r="B1525" s="392" t="n">
        <v>8341</v>
      </c>
      <c r="C1525" s="392" t="n">
        <v>72</v>
      </c>
      <c r="D1525" s="392" t="n"/>
      <c r="E1525" s="392" t="n"/>
      <c r="F1525" s="392" t="n"/>
      <c r="G1525" s="392" t="n">
        <v>20</v>
      </c>
      <c r="H1525" s="52">
        <f>H1524-G1525</f>
        <v/>
      </c>
      <c r="I1525" s="392" t="n"/>
      <c r="J1525" s="392" t="n"/>
      <c r="K1525" s="392" t="n"/>
      <c r="L1525" s="392" t="n"/>
    </row>
    <row r="1526">
      <c r="A1526" s="568" t="n">
        <v>44424</v>
      </c>
      <c r="B1526" s="392" t="n">
        <v>8346</v>
      </c>
      <c r="C1526" s="392" t="n">
        <v>72</v>
      </c>
      <c r="D1526" s="392" t="n"/>
      <c r="E1526" s="392" t="n"/>
      <c r="F1526" s="392" t="n"/>
      <c r="G1526" s="392" t="n">
        <v>30</v>
      </c>
      <c r="H1526" s="52">
        <f>H1525-G1526</f>
        <v/>
      </c>
      <c r="I1526" s="392" t="n"/>
      <c r="J1526" s="392" t="n"/>
      <c r="K1526" s="392" t="n"/>
      <c r="L1526" s="392" t="n"/>
    </row>
    <row r="1527">
      <c r="A1527" s="568" t="n">
        <v>44426</v>
      </c>
      <c r="B1527" s="392" t="n">
        <v>8351</v>
      </c>
      <c r="C1527" s="392" t="n">
        <v>71.43000000000001</v>
      </c>
      <c r="D1527" s="392" t="n"/>
      <c r="E1527" s="392" t="n"/>
      <c r="F1527" s="392" t="n"/>
      <c r="G1527" s="392" t="n">
        <v>70</v>
      </c>
      <c r="H1527" s="52">
        <f>H1526-G1527</f>
        <v/>
      </c>
      <c r="I1527" s="392" t="n"/>
      <c r="J1527" s="392" t="n"/>
      <c r="K1527" s="392" t="n"/>
      <c r="L1527" s="392" t="n"/>
    </row>
    <row r="1528">
      <c r="A1528" s="568" t="n">
        <v>44426</v>
      </c>
      <c r="B1528" s="392" t="n">
        <v>8355</v>
      </c>
      <c r="C1528" s="392" t="n">
        <v>72.84</v>
      </c>
      <c r="D1528" s="392" t="n"/>
      <c r="E1528" s="392" t="n"/>
      <c r="F1528" s="392" t="n"/>
      <c r="G1528" s="392" t="n">
        <v>36</v>
      </c>
      <c r="H1528" s="52">
        <f>H1527-G1528</f>
        <v/>
      </c>
      <c r="I1528" s="392" t="n"/>
      <c r="J1528" s="392" t="n"/>
      <c r="K1528" s="392" t="n"/>
      <c r="L1528" s="392" t="n"/>
    </row>
    <row r="1529">
      <c r="A1529" s="568" t="n">
        <v>44426</v>
      </c>
      <c r="B1529" s="392" t="n">
        <v>8356</v>
      </c>
      <c r="C1529" s="392" t="n">
        <v>72</v>
      </c>
      <c r="D1529" s="392" t="n"/>
      <c r="E1529" s="392" t="n"/>
      <c r="F1529" s="392" t="n"/>
      <c r="G1529" s="392" t="n">
        <v>17</v>
      </c>
      <c r="H1529" s="52">
        <f>H1528-G1529</f>
        <v/>
      </c>
      <c r="I1529" s="392" t="n"/>
      <c r="J1529" s="392" t="n"/>
      <c r="K1529" s="392" t="n"/>
      <c r="L1529" s="392" t="n"/>
    </row>
    <row r="1530">
      <c r="A1530" s="568" t="n">
        <v>44426</v>
      </c>
      <c r="B1530" s="392" t="n">
        <v>8357</v>
      </c>
      <c r="C1530" s="392" t="n">
        <v>71.88</v>
      </c>
      <c r="D1530" s="392" t="n"/>
      <c r="E1530" s="392" t="n"/>
      <c r="F1530" s="392" t="n"/>
      <c r="G1530" s="392" t="n">
        <v>48</v>
      </c>
      <c r="H1530" s="52">
        <f>H1529-G1530</f>
        <v/>
      </c>
      <c r="I1530" s="392" t="n"/>
      <c r="J1530" s="392" t="n"/>
      <c r="K1530" s="392" t="n"/>
      <c r="L1530" s="392" t="n"/>
    </row>
    <row r="1531">
      <c r="A1531" s="304" t="n">
        <v>44427</v>
      </c>
      <c r="B1531" s="401" t="n">
        <v>171892</v>
      </c>
      <c r="C1531" s="401" t="n">
        <v>62</v>
      </c>
      <c r="D1531" s="401" t="n"/>
      <c r="E1531" s="401" t="n"/>
      <c r="F1531" s="401" t="n">
        <v>1130</v>
      </c>
      <c r="G1531" s="401" t="n"/>
      <c r="H1531" s="277" t="n">
        <v>1213</v>
      </c>
      <c r="I1531" s="392" t="n"/>
      <c r="J1531" s="392" t="n"/>
      <c r="K1531" s="392" t="n"/>
      <c r="L1531" s="392" t="n"/>
    </row>
    <row r="1532">
      <c r="A1532" s="568" t="n">
        <v>44432</v>
      </c>
      <c r="B1532" s="392" t="n">
        <v>8363</v>
      </c>
      <c r="C1532" s="392" t="n">
        <v>72</v>
      </c>
      <c r="D1532" s="392" t="n"/>
      <c r="E1532" s="392" t="n"/>
      <c r="F1532" s="392" t="n"/>
      <c r="G1532" s="392" t="n">
        <v>50</v>
      </c>
      <c r="H1532" s="52">
        <f>H1531-G1532</f>
        <v/>
      </c>
      <c r="I1532" s="392" t="n"/>
      <c r="J1532" s="392" t="n"/>
      <c r="K1532" s="392" t="n"/>
      <c r="L1532" s="392" t="n"/>
    </row>
    <row r="1533">
      <c r="A1533" s="568" t="n">
        <v>44432</v>
      </c>
      <c r="B1533" s="392" t="n">
        <v>8364</v>
      </c>
      <c r="C1533" s="392" t="n">
        <v>71.5</v>
      </c>
      <c r="D1533" s="392" t="n"/>
      <c r="E1533" s="392" t="n"/>
      <c r="F1533" s="392" t="n"/>
      <c r="G1533" s="392" t="n">
        <v>20</v>
      </c>
      <c r="H1533" s="52">
        <f>H1532-G1533</f>
        <v/>
      </c>
      <c r="I1533" s="392" t="n"/>
      <c r="J1533" s="392" t="n"/>
      <c r="K1533" s="392" t="n"/>
      <c r="L1533" s="392" t="n"/>
    </row>
    <row r="1534">
      <c r="A1534" s="568" t="n">
        <v>44432</v>
      </c>
      <c r="B1534" s="392" t="n">
        <v>8365</v>
      </c>
      <c r="C1534" s="392" t="n">
        <v>72</v>
      </c>
      <c r="D1534" s="392" t="n"/>
      <c r="E1534" s="392" t="n"/>
      <c r="F1534" s="392" t="n"/>
      <c r="G1534" s="392" t="n">
        <v>20</v>
      </c>
      <c r="H1534" s="52">
        <f>H1533-G1534</f>
        <v/>
      </c>
      <c r="I1534" s="392" t="n"/>
      <c r="J1534" s="392" t="n"/>
      <c r="K1534" s="392" t="n"/>
      <c r="L1534" s="392" t="n"/>
    </row>
    <row r="1535">
      <c r="A1535" s="568" t="n">
        <v>44432</v>
      </c>
      <c r="B1535" s="392" t="n">
        <v>8366</v>
      </c>
      <c r="C1535" s="392" t="n">
        <v>72</v>
      </c>
      <c r="D1535" s="392" t="n"/>
      <c r="E1535" s="392" t="n"/>
      <c r="F1535" s="392" t="n"/>
      <c r="G1535" s="392" t="n">
        <v>25</v>
      </c>
      <c r="H1535" s="52">
        <f>H1534-G1535</f>
        <v/>
      </c>
      <c r="I1535" s="392" t="n"/>
      <c r="J1535" s="392" t="n"/>
      <c r="K1535" s="392" t="n"/>
      <c r="L1535" s="392" t="n"/>
    </row>
    <row r="1536">
      <c r="A1536" s="568" t="n">
        <v>44432</v>
      </c>
      <c r="B1536" s="392" t="n">
        <v>8367</v>
      </c>
      <c r="C1536" s="392" t="n">
        <v>72</v>
      </c>
      <c r="D1536" s="392" t="n"/>
      <c r="E1536" s="392" t="n"/>
      <c r="F1536" s="392" t="n"/>
      <c r="G1536" s="392" t="n">
        <v>50</v>
      </c>
      <c r="H1536" s="52">
        <f>H1535-G1536</f>
        <v/>
      </c>
      <c r="I1536" s="392" t="n"/>
      <c r="J1536" s="392" t="n"/>
      <c r="K1536" s="392" t="n"/>
      <c r="L1536" s="392" t="n"/>
    </row>
    <row r="1537">
      <c r="A1537" s="568" t="n">
        <v>44432</v>
      </c>
      <c r="B1537" s="392" t="n">
        <v>8368</v>
      </c>
      <c r="C1537" s="392" t="n">
        <v>71.40000000000001</v>
      </c>
      <c r="D1537" s="392" t="n"/>
      <c r="E1537" s="392" t="n"/>
      <c r="F1537" s="392" t="n"/>
      <c r="G1537" s="392" t="n">
        <v>50</v>
      </c>
      <c r="H1537" s="52">
        <f>H1536-G1537</f>
        <v/>
      </c>
      <c r="I1537" s="392" t="n"/>
      <c r="J1537" s="392" t="n"/>
      <c r="K1537" s="392" t="n"/>
      <c r="L1537" s="392" t="n"/>
    </row>
    <row r="1538">
      <c r="A1538" s="568" t="n">
        <v>44433</v>
      </c>
      <c r="B1538" s="392" t="n">
        <v>8374</v>
      </c>
      <c r="C1538" s="392" t="n">
        <v>72.84</v>
      </c>
      <c r="D1538" s="392" t="n"/>
      <c r="E1538" s="392" t="n"/>
      <c r="F1538" s="392" t="n"/>
      <c r="G1538" s="392" t="n">
        <v>36</v>
      </c>
      <c r="H1538" s="52">
        <f>H1537-G1538</f>
        <v/>
      </c>
      <c r="I1538" s="392" t="n"/>
      <c r="J1538" s="392" t="n"/>
      <c r="K1538" s="392" t="n"/>
      <c r="L1538" s="392" t="n"/>
    </row>
    <row r="1539">
      <c r="A1539" s="304" t="n">
        <v>44436</v>
      </c>
      <c r="B1539" s="401" t="n">
        <v>172608</v>
      </c>
      <c r="C1539" s="401" t="n"/>
      <c r="D1539" s="401" t="n"/>
      <c r="E1539" s="401" t="n"/>
      <c r="F1539" s="401" t="n">
        <v>800</v>
      </c>
      <c r="G1539" s="401" t="n"/>
      <c r="H1539" s="277" t="n">
        <v>1762</v>
      </c>
      <c r="I1539" s="392" t="n"/>
      <c r="J1539" s="392" t="n"/>
      <c r="K1539" s="392" t="n"/>
      <c r="L1539" s="392" t="n"/>
    </row>
    <row r="1540">
      <c r="A1540" s="568" t="n">
        <v>44438</v>
      </c>
      <c r="B1540" s="392" t="n">
        <v>8376</v>
      </c>
      <c r="C1540" s="392" t="n">
        <v>72</v>
      </c>
      <c r="D1540" s="392" t="inlineStr">
        <is>
          <t> </t>
        </is>
      </c>
      <c r="E1540" s="392" t="n"/>
      <c r="F1540" s="392" t="n"/>
      <c r="G1540" s="392" t="n">
        <v>10</v>
      </c>
      <c r="H1540" s="52">
        <f>H1539-G1540</f>
        <v/>
      </c>
      <c r="I1540" s="392" t="n"/>
      <c r="J1540" s="392" t="n"/>
      <c r="K1540" s="392" t="n"/>
      <c r="L1540" s="392" t="n"/>
    </row>
    <row r="1541">
      <c r="A1541" s="568" t="n">
        <v>44438</v>
      </c>
      <c r="B1541" s="392" t="n">
        <v>8378</v>
      </c>
      <c r="C1541" s="392" t="n">
        <v>72</v>
      </c>
      <c r="D1541" s="392" t="n"/>
      <c r="E1541" s="392" t="n"/>
      <c r="F1541" s="392" t="n"/>
      <c r="G1541" s="392" t="n">
        <v>36</v>
      </c>
      <c r="H1541" s="52">
        <f>H1540-G1541</f>
        <v/>
      </c>
      <c r="I1541" s="392" t="n"/>
      <c r="J1541" s="392" t="n"/>
      <c r="K1541" s="392" t="n"/>
      <c r="L1541" s="392" t="n"/>
    </row>
    <row r="1542">
      <c r="A1542" s="568" t="n">
        <v>44438</v>
      </c>
      <c r="B1542" s="392" t="n">
        <v>8382</v>
      </c>
      <c r="C1542" s="392" t="n">
        <v>72</v>
      </c>
      <c r="D1542" s="392" t="n"/>
      <c r="E1542" s="392" t="n"/>
      <c r="F1542" s="392" t="n"/>
      <c r="G1542" s="392" t="n">
        <v>10</v>
      </c>
      <c r="H1542" s="52">
        <f>H1541-G1542</f>
        <v/>
      </c>
      <c r="I1542" s="392" t="n"/>
      <c r="J1542" s="392" t="n"/>
      <c r="K1542" s="392" t="n"/>
      <c r="L1542" s="392" t="n"/>
    </row>
    <row r="1543">
      <c r="A1543" s="568" t="n">
        <v>44438</v>
      </c>
      <c r="B1543" s="392" t="n">
        <v>8383</v>
      </c>
      <c r="C1543" s="392" t="n">
        <v>72</v>
      </c>
      <c r="D1543" s="392" t="n"/>
      <c r="E1543" s="392" t="n"/>
      <c r="F1543" s="392" t="n"/>
      <c r="G1543" s="392" t="n">
        <v>15</v>
      </c>
      <c r="H1543" s="52">
        <f>H1542-G1543</f>
        <v/>
      </c>
      <c r="I1543" s="392" t="n"/>
      <c r="J1543" s="392" t="n"/>
      <c r="K1543" s="392" t="n"/>
      <c r="L1543" s="392" t="n"/>
    </row>
    <row r="1544">
      <c r="A1544" s="568" t="n">
        <v>44438</v>
      </c>
      <c r="B1544" s="392" t="n">
        <v>8384</v>
      </c>
      <c r="C1544" s="392" t="n">
        <v>72</v>
      </c>
      <c r="D1544" s="392" t="n"/>
      <c r="E1544" s="392" t="n"/>
      <c r="F1544" s="392" t="n"/>
      <c r="G1544" s="392" t="n">
        <v>20</v>
      </c>
      <c r="H1544" s="52">
        <f>H1543-G1544</f>
        <v/>
      </c>
      <c r="I1544" s="392" t="n"/>
      <c r="J1544" s="392" t="n"/>
      <c r="K1544" s="392" t="n"/>
      <c r="L1544" s="392" t="n"/>
    </row>
    <row r="1545">
      <c r="A1545" s="568" t="n">
        <v>44438</v>
      </c>
      <c r="B1545" s="392" t="n">
        <v>8387</v>
      </c>
      <c r="C1545" s="392" t="n">
        <v>72.75</v>
      </c>
      <c r="D1545" s="392" t="n"/>
      <c r="E1545" s="392" t="n"/>
      <c r="F1545" s="392" t="n"/>
      <c r="G1545" s="392" t="n">
        <v>33</v>
      </c>
      <c r="H1545" s="52">
        <f>H1544-G1545</f>
        <v/>
      </c>
      <c r="I1545" s="392" t="n"/>
      <c r="J1545" s="392" t="n"/>
      <c r="K1545" s="392" t="n"/>
      <c r="L1545" s="392" t="n"/>
    </row>
    <row r="1546">
      <c r="A1546" s="568" t="n">
        <v>44438</v>
      </c>
      <c r="B1546" s="392" t="n">
        <v>8389</v>
      </c>
      <c r="C1546" s="392" t="n">
        <v>73.67</v>
      </c>
      <c r="D1546" s="392" t="n"/>
      <c r="E1546" s="392" t="n"/>
      <c r="F1546" s="392" t="n"/>
      <c r="G1546" s="392" t="n">
        <v>15</v>
      </c>
      <c r="H1546" s="52">
        <f>H1545-G1546</f>
        <v/>
      </c>
      <c r="I1546" s="392" t="n"/>
      <c r="J1546" s="392" t="n"/>
      <c r="K1546" s="392" t="n"/>
      <c r="L1546" s="392" t="n"/>
    </row>
    <row r="1547">
      <c r="A1547" s="568" t="n">
        <v>44439</v>
      </c>
      <c r="B1547" s="392" t="n">
        <v>8393</v>
      </c>
      <c r="C1547" s="392" t="n">
        <v>73.67</v>
      </c>
      <c r="D1547" s="392" t="n"/>
      <c r="E1547" s="392" t="n"/>
      <c r="F1547" s="392" t="n"/>
      <c r="G1547" s="392" t="n">
        <v>15</v>
      </c>
      <c r="H1547" s="52">
        <f>H1546-G1547</f>
        <v/>
      </c>
      <c r="I1547" s="392" t="n"/>
      <c r="J1547" s="392" t="n"/>
      <c r="K1547" s="392" t="n"/>
      <c r="L1547" s="392" t="n"/>
    </row>
    <row r="1548">
      <c r="A1548" s="568" t="n">
        <v>44439</v>
      </c>
      <c r="B1548" s="392" t="n">
        <v>8396</v>
      </c>
      <c r="C1548" s="392" t="n">
        <v>73.06</v>
      </c>
      <c r="D1548" s="392" t="n"/>
      <c r="E1548" s="392" t="n"/>
      <c r="F1548" s="392" t="n"/>
      <c r="G1548" s="392" t="n">
        <v>38</v>
      </c>
      <c r="H1548" s="52">
        <f>H1547-G1548</f>
        <v/>
      </c>
      <c r="I1548" s="392" t="n"/>
      <c r="J1548" s="392" t="n"/>
      <c r="K1548" s="392" t="n"/>
      <c r="L1548" s="392" t="n"/>
    </row>
    <row r="1549">
      <c r="A1549" s="568" t="n">
        <v>44439</v>
      </c>
      <c r="B1549" s="392" t="n">
        <v>8397</v>
      </c>
      <c r="C1549" s="392" t="n">
        <v>72</v>
      </c>
      <c r="D1549" s="392" t="n"/>
      <c r="E1549" s="392" t="n"/>
      <c r="F1549" s="392" t="n"/>
      <c r="G1549" s="392" t="n">
        <v>25</v>
      </c>
      <c r="H1549" s="52">
        <f>H1548-G1549</f>
        <v/>
      </c>
      <c r="I1549" s="392" t="n"/>
      <c r="J1549" s="392" t="n"/>
      <c r="K1549" s="392" t="n"/>
      <c r="L1549" s="392" t="n"/>
    </row>
    <row r="1550">
      <c r="A1550" s="568" t="n"/>
      <c r="B1550" s="392" t="n"/>
      <c r="C1550" s="392" t="n"/>
      <c r="D1550" s="392" t="n"/>
      <c r="E1550" s="392" t="n"/>
      <c r="F1550" s="392" t="n"/>
      <c r="G1550" s="392" t="n"/>
      <c r="H1550" s="52">
        <f>H1549-G1550</f>
        <v/>
      </c>
      <c r="I1550" s="392" t="n"/>
      <c r="J1550" s="392" t="n"/>
      <c r="K1550" s="392" t="n"/>
      <c r="L1550" s="392" t="n"/>
    </row>
    <row r="1551" ht="15.75" customHeight="1" s="436" thickBot="1"/>
    <row r="1552" ht="21.75" customHeight="1" s="436" thickBot="1">
      <c r="A1552" s="757" t="inlineStr">
        <is>
          <t>Setembro</t>
        </is>
      </c>
      <c r="B1552" s="697" t="n"/>
      <c r="C1552" s="697" t="n"/>
      <c r="D1552" s="697" t="n"/>
      <c r="E1552" s="697" t="n"/>
      <c r="F1552" s="697" t="n"/>
      <c r="G1552" s="697" t="n"/>
      <c r="H1552" s="697" t="n"/>
      <c r="I1552" s="697" t="n"/>
      <c r="J1552" s="697" t="n"/>
      <c r="K1552" s="697" t="n"/>
      <c r="L1552" s="698" t="n"/>
    </row>
    <row r="1553" ht="21.75" customHeight="1" s="436" thickBot="1">
      <c r="A1553" s="699" t="inlineStr">
        <is>
          <t xml:space="preserve">021 - DENISE FURTADO DE SOUZA - ME </t>
        </is>
      </c>
      <c r="B1553" s="697" t="n"/>
      <c r="C1553" s="697" t="n"/>
      <c r="D1553" s="697" t="n"/>
      <c r="E1553" s="697" t="n"/>
      <c r="F1553" s="697" t="n"/>
      <c r="G1553" s="697" t="n"/>
      <c r="H1553" s="697" t="n"/>
      <c r="I1553" s="697" t="n"/>
      <c r="J1553" s="697" t="n"/>
      <c r="K1553" s="697" t="n"/>
      <c r="L1553" s="698" t="n"/>
    </row>
    <row r="1554" ht="24" customHeight="1" s="436" thickBot="1">
      <c r="A1554" s="745" t="inlineStr">
        <is>
          <t xml:space="preserve">  PRÉ MISTURA - 25 KG</t>
        </is>
      </c>
      <c r="B1554" s="737" t="n"/>
      <c r="C1554" s="737" t="n"/>
      <c r="D1554" s="737" t="n"/>
      <c r="E1554" s="737" t="n"/>
      <c r="F1554" s="737" t="n"/>
      <c r="G1554" s="737" t="n"/>
      <c r="H1554" s="737" t="n"/>
      <c r="I1554" s="737" t="n"/>
      <c r="J1554" s="737" t="n"/>
      <c r="K1554" s="737" t="n"/>
      <c r="L1554" s="736" t="n"/>
    </row>
    <row r="1555">
      <c r="A1555" s="746" t="inlineStr">
        <is>
          <t>DATA</t>
        </is>
      </c>
      <c r="B1555" s="3" t="inlineStr">
        <is>
          <t>N.F.</t>
        </is>
      </c>
      <c r="C1555" s="3" t="inlineStr">
        <is>
          <t>TIPO</t>
        </is>
      </c>
      <c r="D1555" s="3" t="inlineStr">
        <is>
          <t>PREÇO UNITÁRIO</t>
        </is>
      </c>
      <c r="E1555" s="736" t="n"/>
      <c r="F1555" s="3" t="inlineStr">
        <is>
          <t>QUANTIDADE / KG</t>
        </is>
      </c>
      <c r="G1555" s="737" t="n"/>
      <c r="H1555" s="736" t="n"/>
      <c r="I1555" s="631" t="inlineStr">
        <is>
          <t>PREÇO</t>
        </is>
      </c>
      <c r="J1555" s="631" t="inlineStr">
        <is>
          <t>VALORES</t>
        </is>
      </c>
      <c r="K1555" s="737" t="n"/>
      <c r="L1555" s="736" t="n"/>
    </row>
    <row r="1556" ht="15.75" customHeight="1" s="436" thickBot="1">
      <c r="A1556" s="703" t="n"/>
      <c r="B1556" s="704" t="n"/>
      <c r="C1556" s="704" t="n"/>
      <c r="D1556" s="703" t="n"/>
      <c r="E1556" s="701" t="n"/>
      <c r="F1556" s="705" t="n"/>
      <c r="G1556" s="706" t="n"/>
      <c r="H1556" s="707" t="n"/>
      <c r="I1556" s="704" t="n"/>
      <c r="J1556" s="703" t="n"/>
      <c r="L1556" s="701" t="n"/>
    </row>
    <row r="1557" ht="15.75" customHeight="1" s="436" thickBot="1">
      <c r="A1557" s="703" t="n"/>
      <c r="B1557" s="704" t="n"/>
      <c r="C1557" s="704" t="n"/>
      <c r="D1557" s="705" t="n"/>
      <c r="E1557" s="707" t="n"/>
      <c r="F1557" s="3" t="inlineStr">
        <is>
          <t>ENTRADA</t>
        </is>
      </c>
      <c r="G1557" s="3" t="inlineStr">
        <is>
          <t>SAÍDA</t>
        </is>
      </c>
      <c r="H1557" s="640" t="n"/>
      <c r="I1557" s="633" t="inlineStr">
        <is>
          <t>MÉDIO</t>
        </is>
      </c>
      <c r="J1557" s="652" t="inlineStr">
        <is>
          <t>SALDO EM 30/12/2017</t>
        </is>
      </c>
      <c r="K1557" s="706" t="n"/>
      <c r="L1557" s="17" t="n"/>
    </row>
    <row r="1558" ht="15.75" customHeight="1" s="436" thickBot="1">
      <c r="A1558" s="705" t="n"/>
      <c r="B1558" s="695" t="n"/>
      <c r="C1558" s="695" t="n"/>
      <c r="D1558" s="3" t="inlineStr">
        <is>
          <t>C/ICMS</t>
        </is>
      </c>
      <c r="E1558" s="3" t="inlineStr">
        <is>
          <t>S/ICMS</t>
        </is>
      </c>
      <c r="F1558" s="695" t="n"/>
      <c r="G1558" s="695" t="n"/>
      <c r="H1558" s="361" t="inlineStr">
        <is>
          <t>Saldo em 31/08/2021</t>
        </is>
      </c>
      <c r="I1558" s="695" t="n"/>
      <c r="J1558" s="645" t="inlineStr">
        <is>
          <t>ENTRADA</t>
        </is>
      </c>
      <c r="K1558" s="633" t="inlineStr">
        <is>
          <t>SAÍDA / CMV</t>
        </is>
      </c>
      <c r="L1558" s="633" t="inlineStr">
        <is>
          <t>SALDO</t>
        </is>
      </c>
    </row>
    <row r="1559">
      <c r="A1559" s="48" t="n"/>
      <c r="B1559" s="49" t="n"/>
      <c r="C1559" s="49" t="n"/>
      <c r="D1559" s="71" t="n"/>
      <c r="E1559" s="71" t="n"/>
      <c r="F1559" s="55" t="n"/>
      <c r="G1559" s="55" t="n"/>
      <c r="H1559" s="52" t="n">
        <v>1545</v>
      </c>
      <c r="I1559" s="71" t="n"/>
      <c r="J1559" s="747">
        <f>F1559*I1559</f>
        <v/>
      </c>
      <c r="K1559" s="747" t="n"/>
      <c r="L1559" s="748">
        <f>J1559-K1559</f>
        <v/>
      </c>
    </row>
    <row r="1560">
      <c r="A1560" s="568" t="n">
        <v>44446</v>
      </c>
      <c r="B1560" s="392" t="n">
        <v>8404</v>
      </c>
      <c r="C1560" s="392" t="n">
        <v>72.3</v>
      </c>
      <c r="D1560" s="392" t="n"/>
      <c r="E1560" s="392" t="n"/>
      <c r="F1560" s="392" t="n"/>
      <c r="G1560" s="392" t="n">
        <v>70</v>
      </c>
      <c r="H1560" s="52">
        <f>H1559-G1560</f>
        <v/>
      </c>
      <c r="I1560" s="392" t="n"/>
      <c r="J1560" s="392" t="n"/>
      <c r="K1560" s="392" t="n"/>
      <c r="L1560" s="392" t="n"/>
    </row>
    <row r="1561">
      <c r="A1561" s="568" t="n">
        <v>44446</v>
      </c>
      <c r="B1561" s="392" t="n">
        <v>8405</v>
      </c>
      <c r="C1561" s="392" t="n">
        <v>72</v>
      </c>
      <c r="D1561" s="392" t="n"/>
      <c r="E1561" s="392" t="n"/>
      <c r="F1561" s="392" t="n"/>
      <c r="G1561" s="392" t="n">
        <v>30</v>
      </c>
      <c r="H1561" s="52">
        <f>H1560-G1561</f>
        <v/>
      </c>
      <c r="I1561" s="392" t="n"/>
      <c r="J1561" s="392" t="n"/>
      <c r="K1561" s="392" t="n"/>
      <c r="L1561" s="392" t="n"/>
    </row>
    <row r="1562">
      <c r="A1562" s="568" t="n">
        <v>44447</v>
      </c>
      <c r="B1562" s="392" t="n">
        <v>8408</v>
      </c>
      <c r="C1562" s="392" t="n">
        <v>73.47</v>
      </c>
      <c r="D1562" s="392" t="n"/>
      <c r="E1562" s="392" t="n"/>
      <c r="F1562" s="392" t="n"/>
      <c r="G1562" s="392" t="n">
        <v>17</v>
      </c>
      <c r="H1562" s="52">
        <f>H1561-G1562</f>
        <v/>
      </c>
      <c r="I1562" s="392" t="n"/>
      <c r="J1562" s="392" t="n"/>
      <c r="K1562" s="392" t="n"/>
      <c r="L1562" s="392" t="n"/>
    </row>
    <row r="1563">
      <c r="A1563" s="568" t="n">
        <v>44447</v>
      </c>
      <c r="B1563" s="392" t="n">
        <v>8409</v>
      </c>
      <c r="C1563" s="392" t="n">
        <v>71.67</v>
      </c>
      <c r="D1563" s="392" t="n"/>
      <c r="E1563" s="392" t="n"/>
      <c r="F1563" s="392" t="n"/>
      <c r="G1563" s="392" t="n">
        <v>15</v>
      </c>
      <c r="H1563" s="52">
        <f>H1562-G1563</f>
        <v/>
      </c>
      <c r="I1563" s="392" t="n"/>
      <c r="J1563" s="392" t="n"/>
      <c r="K1563" s="392" t="n"/>
      <c r="L1563" s="392" t="n"/>
    </row>
    <row r="1564">
      <c r="A1564" s="568" t="n">
        <v>44448</v>
      </c>
      <c r="B1564" s="392" t="n">
        <v>8411</v>
      </c>
      <c r="C1564" s="392" t="n">
        <v>72.42</v>
      </c>
      <c r="D1564" s="392" t="n"/>
      <c r="E1564" s="392" t="n"/>
      <c r="F1564" s="392" t="n"/>
      <c r="G1564" s="392" t="n">
        <v>36</v>
      </c>
      <c r="H1564" s="52">
        <f>H1563-G1564</f>
        <v/>
      </c>
      <c r="I1564" s="392" t="n"/>
      <c r="J1564" s="392" t="n"/>
      <c r="K1564" s="392" t="n"/>
      <c r="L1564" s="392" t="n"/>
    </row>
    <row r="1565">
      <c r="A1565" s="568" t="n">
        <v>44448</v>
      </c>
      <c r="B1565" s="392" t="n">
        <v>8412</v>
      </c>
      <c r="C1565" s="392" t="n">
        <v>73.05</v>
      </c>
      <c r="D1565" s="392" t="n"/>
      <c r="E1565" s="392" t="n"/>
      <c r="F1565" s="392" t="n"/>
      <c r="G1565" s="392" t="n">
        <v>38</v>
      </c>
      <c r="H1565" s="52">
        <f>H1564-G1565</f>
        <v/>
      </c>
      <c r="I1565" s="392" t="n"/>
      <c r="J1565" s="392" t="n"/>
      <c r="K1565" s="392" t="n"/>
      <c r="L1565" s="392" t="n"/>
    </row>
    <row r="1566">
      <c r="A1566" s="568" t="n">
        <v>44448</v>
      </c>
      <c r="B1566" s="392" t="n">
        <v>8413</v>
      </c>
      <c r="C1566" s="392" t="n">
        <v>74.05</v>
      </c>
      <c r="D1566" s="392" t="n"/>
      <c r="E1566" s="392" t="n"/>
      <c r="F1566" s="392" t="n"/>
      <c r="G1566" s="392" t="n">
        <v>20</v>
      </c>
      <c r="H1566" s="52">
        <f>H1565-G1566</f>
        <v/>
      </c>
      <c r="I1566" s="392" t="n"/>
      <c r="J1566" s="392" t="n"/>
      <c r="K1566" s="392" t="n"/>
      <c r="L1566" s="392" t="n"/>
    </row>
    <row r="1567">
      <c r="A1567" s="568" t="n">
        <v>44454</v>
      </c>
      <c r="B1567" s="392" t="n">
        <v>8420</v>
      </c>
      <c r="C1567" s="392" t="n">
        <v>72</v>
      </c>
      <c r="D1567" s="392" t="n"/>
      <c r="E1567" s="392" t="n"/>
      <c r="F1567" s="392" t="n"/>
      <c r="G1567" s="392" t="n">
        <v>15</v>
      </c>
      <c r="H1567" s="52">
        <f>H1566-G1567</f>
        <v/>
      </c>
      <c r="I1567" s="392" t="n"/>
      <c r="J1567" s="392" t="n"/>
      <c r="K1567" s="392" t="n"/>
      <c r="L1567" s="392" t="n"/>
    </row>
    <row r="1568">
      <c r="A1568" s="568" t="n">
        <v>44454</v>
      </c>
      <c r="B1568" s="392" t="n">
        <v>8423</v>
      </c>
      <c r="C1568" s="392" t="n">
        <v>73.25</v>
      </c>
      <c r="D1568" s="392" t="n"/>
      <c r="E1568" s="392" t="n"/>
      <c r="F1568" s="392" t="n"/>
      <c r="G1568" s="392" t="n">
        <v>20</v>
      </c>
      <c r="H1568" s="52">
        <f>H1567-G1568</f>
        <v/>
      </c>
      <c r="I1568" s="392" t="n"/>
      <c r="J1568" s="392" t="n"/>
      <c r="K1568" s="392" t="n"/>
      <c r="L1568" s="392" t="n"/>
    </row>
    <row r="1569">
      <c r="A1569" s="568" t="n">
        <v>44455</v>
      </c>
      <c r="B1569" s="392" t="n">
        <v>8430</v>
      </c>
      <c r="C1569" s="392" t="n">
        <v>72.84</v>
      </c>
      <c r="D1569" s="392" t="n"/>
      <c r="E1569" s="392" t="n"/>
      <c r="F1569" s="392" t="n"/>
      <c r="G1569" s="392" t="n">
        <v>36</v>
      </c>
      <c r="H1569" s="52">
        <f>H1568-G1569</f>
        <v/>
      </c>
      <c r="I1569" s="392" t="n"/>
      <c r="J1569" s="392" t="n"/>
      <c r="K1569" s="392" t="n"/>
      <c r="L1569" s="392" t="n"/>
    </row>
    <row r="1570">
      <c r="A1570" s="568" t="n">
        <v>44455</v>
      </c>
      <c r="B1570" s="392" t="n">
        <v>8432</v>
      </c>
      <c r="C1570" s="392" t="n">
        <v>72</v>
      </c>
      <c r="D1570" s="392" t="n"/>
      <c r="E1570" s="392" t="n"/>
      <c r="F1570" s="392" t="n"/>
      <c r="G1570" s="392" t="n">
        <v>25</v>
      </c>
      <c r="H1570" s="52">
        <f>H1569-G1570</f>
        <v/>
      </c>
      <c r="I1570" s="392" t="n"/>
      <c r="J1570" s="392" t="n"/>
      <c r="K1570" s="392" t="n"/>
      <c r="L1570" s="392" t="n"/>
    </row>
    <row r="1571">
      <c r="A1571" s="568" t="n">
        <v>44455</v>
      </c>
      <c r="B1571" s="392" t="n">
        <v>8434</v>
      </c>
      <c r="C1571" s="392" t="n">
        <v>73</v>
      </c>
      <c r="D1571" s="392" t="n"/>
      <c r="E1571" s="392" t="n"/>
      <c r="F1571" s="392" t="n"/>
      <c r="G1571" s="392" t="n">
        <v>10</v>
      </c>
      <c r="H1571" s="52">
        <f>H1570-G1571</f>
        <v/>
      </c>
      <c r="I1571" s="392" t="n"/>
      <c r="J1571" s="392" t="n"/>
      <c r="K1571" s="392" t="n"/>
      <c r="L1571" s="392" t="n"/>
    </row>
    <row r="1572">
      <c r="A1572" s="568" t="n">
        <v>44455</v>
      </c>
      <c r="B1572" s="392" t="n">
        <v>8436</v>
      </c>
      <c r="C1572" s="392" t="n">
        <v>72</v>
      </c>
      <c r="D1572" s="392" t="n"/>
      <c r="E1572" s="392" t="n"/>
      <c r="F1572" s="392" t="n"/>
      <c r="G1572" s="392" t="n">
        <v>100</v>
      </c>
      <c r="H1572" s="52">
        <f>H1571-G1572</f>
        <v/>
      </c>
      <c r="I1572" s="392" t="n"/>
      <c r="J1572" s="392" t="n"/>
      <c r="K1572" s="392" t="n"/>
      <c r="L1572" s="392" t="n"/>
    </row>
    <row r="1573">
      <c r="A1573" s="568" t="n">
        <v>44459</v>
      </c>
      <c r="B1573" s="392" t="n">
        <v>8440</v>
      </c>
      <c r="C1573" s="392" t="n">
        <v>72</v>
      </c>
      <c r="D1573" s="392" t="n"/>
      <c r="E1573" s="392" t="n"/>
      <c r="F1573" s="392" t="n"/>
      <c r="G1573" s="392" t="n">
        <v>50</v>
      </c>
      <c r="H1573" s="52">
        <f>H1572-G1573</f>
        <v/>
      </c>
      <c r="I1573" s="392" t="n"/>
      <c r="J1573" s="392" t="n"/>
      <c r="K1573" s="392" t="n"/>
      <c r="L1573" s="392" t="n"/>
    </row>
    <row r="1574">
      <c r="A1574" s="568" t="n">
        <v>44459</v>
      </c>
      <c r="B1574" s="392" t="n">
        <v>8441</v>
      </c>
      <c r="C1574" s="392" t="n">
        <v>72</v>
      </c>
      <c r="D1574" s="392" t="n"/>
      <c r="E1574" s="392" t="n"/>
      <c r="F1574" s="392" t="n"/>
      <c r="G1574" s="392" t="n">
        <v>20</v>
      </c>
      <c r="H1574" s="52">
        <f>H1573-G1574</f>
        <v/>
      </c>
      <c r="I1574" s="392" t="n"/>
      <c r="J1574" s="392" t="n"/>
      <c r="K1574" s="392" t="n"/>
      <c r="L1574" s="392" t="n"/>
    </row>
    <row r="1575">
      <c r="A1575" s="568" t="n">
        <v>44459</v>
      </c>
      <c r="B1575" s="392" t="n">
        <v>8442</v>
      </c>
      <c r="C1575" s="392" t="n">
        <v>72</v>
      </c>
      <c r="D1575" s="392" t="n"/>
      <c r="E1575" s="392" t="n"/>
      <c r="F1575" s="392" t="n"/>
      <c r="G1575" s="392" t="n">
        <v>70</v>
      </c>
      <c r="H1575" s="52">
        <f>H1574-G1575</f>
        <v/>
      </c>
      <c r="I1575" s="392" t="n"/>
      <c r="J1575" s="392" t="n"/>
      <c r="K1575" s="392" t="n"/>
      <c r="L1575" s="392" t="n"/>
    </row>
    <row r="1576">
      <c r="A1576" s="568" t="n">
        <v>44461</v>
      </c>
      <c r="B1576" s="392" t="n">
        <v>8451</v>
      </c>
      <c r="C1576" s="392" t="n">
        <v>72</v>
      </c>
      <c r="D1576" s="392" t="n"/>
      <c r="E1576" s="392" t="n"/>
      <c r="F1576" s="392" t="n"/>
      <c r="G1576" s="392" t="n">
        <v>36</v>
      </c>
      <c r="H1576" s="52">
        <f>H1575-G1576</f>
        <v/>
      </c>
      <c r="I1576" s="392" t="n"/>
      <c r="J1576" s="392" t="n"/>
      <c r="K1576" s="392" t="n"/>
      <c r="L1576" s="392" t="n"/>
    </row>
    <row r="1577">
      <c r="A1577" s="568" t="n">
        <v>44461</v>
      </c>
      <c r="B1577" s="392" t="n">
        <v>8452</v>
      </c>
      <c r="C1577" s="392" t="n">
        <v>73</v>
      </c>
      <c r="D1577" s="392" t="n"/>
      <c r="E1577" s="392" t="n"/>
      <c r="F1577" s="392" t="n"/>
      <c r="G1577" s="392" t="n">
        <v>50</v>
      </c>
      <c r="H1577" s="52">
        <f>H1576-G1577</f>
        <v/>
      </c>
      <c r="I1577" s="392" t="n"/>
      <c r="J1577" s="392" t="n"/>
      <c r="K1577" s="392" t="n"/>
      <c r="L1577" s="392" t="n"/>
    </row>
    <row r="1578">
      <c r="A1578" s="568" t="n">
        <v>44461</v>
      </c>
      <c r="B1578" s="392" t="n">
        <v>8454</v>
      </c>
      <c r="C1578" s="392" t="n">
        <v>72.84</v>
      </c>
      <c r="D1578" s="392" t="n"/>
      <c r="E1578" s="392" t="n"/>
      <c r="F1578" s="392" t="n"/>
      <c r="G1578" s="392" t="n">
        <v>36</v>
      </c>
      <c r="H1578" s="52">
        <f>H1577-G1578</f>
        <v/>
      </c>
      <c r="I1578" s="392" t="n"/>
      <c r="J1578" s="392" t="n"/>
      <c r="K1578" s="392" t="n"/>
      <c r="L1578" s="392" t="n"/>
    </row>
    <row r="1579">
      <c r="A1579" s="568" t="n">
        <v>44461</v>
      </c>
      <c r="B1579" s="392" t="n">
        <v>8459</v>
      </c>
      <c r="C1579" s="392" t="n">
        <v>73.75</v>
      </c>
      <c r="D1579" s="392" t="n"/>
      <c r="E1579" s="392" t="n"/>
      <c r="F1579" s="392" t="n"/>
      <c r="G1579" s="392" t="n">
        <v>20</v>
      </c>
      <c r="H1579" s="52">
        <f>H1578-G1579</f>
        <v/>
      </c>
      <c r="I1579" s="392" t="n"/>
      <c r="J1579" s="392" t="n"/>
      <c r="K1579" s="392" t="n"/>
      <c r="L1579" s="392" t="n"/>
    </row>
    <row r="1580">
      <c r="A1580" s="568" t="n">
        <v>44461</v>
      </c>
      <c r="B1580" s="392" t="n">
        <v>8561</v>
      </c>
      <c r="C1580" s="392" t="n">
        <v>72</v>
      </c>
      <c r="D1580" s="392" t="n"/>
      <c r="E1580" s="392" t="n"/>
      <c r="F1580" s="392" t="n"/>
      <c r="G1580" s="392" t="n">
        <v>20</v>
      </c>
      <c r="H1580" s="52">
        <f>H1579-G1580</f>
        <v/>
      </c>
      <c r="I1580" s="392" t="n"/>
      <c r="J1580" s="392" t="n"/>
      <c r="K1580" s="392" t="n"/>
      <c r="L1580" s="392" t="n"/>
    </row>
    <row r="1581">
      <c r="A1581" s="568" t="n">
        <v>44466</v>
      </c>
      <c r="B1581" s="392" t="n">
        <v>8464</v>
      </c>
      <c r="C1581" s="392" t="n">
        <v>72</v>
      </c>
      <c r="D1581" s="392" t="n"/>
      <c r="E1581" s="392" t="n"/>
      <c r="F1581" s="392" t="n"/>
      <c r="G1581" s="392" t="n">
        <v>15</v>
      </c>
      <c r="H1581" s="52">
        <f>H1580-G1581</f>
        <v/>
      </c>
      <c r="I1581" s="392" t="n"/>
      <c r="J1581" s="392" t="n"/>
      <c r="K1581" s="392" t="n"/>
      <c r="L1581" s="392" t="n"/>
    </row>
    <row r="1582">
      <c r="A1582" s="568" t="n">
        <v>44466</v>
      </c>
      <c r="B1582" s="392" t="n">
        <v>8464</v>
      </c>
      <c r="C1582" s="392" t="n">
        <v>71.7</v>
      </c>
      <c r="D1582" s="392" t="n"/>
      <c r="E1582" s="392" t="n"/>
      <c r="F1582" s="392" t="n"/>
      <c r="G1582" s="392" t="n">
        <v>16</v>
      </c>
      <c r="H1582" s="52">
        <f>H1581-G1582</f>
        <v/>
      </c>
      <c r="I1582" s="392" t="n"/>
      <c r="J1582" s="392" t="n"/>
      <c r="K1582" s="392" t="n"/>
      <c r="L1582" s="392" t="n"/>
    </row>
    <row r="1583">
      <c r="A1583" s="568" t="n">
        <v>44466</v>
      </c>
      <c r="B1583" s="392" t="n">
        <v>8466</v>
      </c>
      <c r="C1583" s="392" t="n">
        <v>72</v>
      </c>
      <c r="D1583" s="392" t="n"/>
      <c r="E1583" s="392" t="n"/>
      <c r="F1583" s="392" t="n"/>
      <c r="G1583" s="392" t="n">
        <v>20</v>
      </c>
      <c r="H1583" s="52">
        <f>H1582-G1583</f>
        <v/>
      </c>
      <c r="I1583" s="392" t="n"/>
      <c r="J1583" s="392" t="n"/>
      <c r="K1583" s="392" t="n"/>
      <c r="L1583" s="392" t="n"/>
    </row>
    <row r="1584">
      <c r="A1584" s="568" t="n">
        <v>44466</v>
      </c>
      <c r="B1584" s="392" t="n">
        <v>8467</v>
      </c>
      <c r="C1584" s="392" t="n">
        <v>72</v>
      </c>
      <c r="D1584" s="392" t="n"/>
      <c r="E1584" s="392" t="n"/>
      <c r="F1584" s="392" t="n"/>
      <c r="G1584" s="392" t="n">
        <v>40</v>
      </c>
      <c r="H1584" s="52">
        <f>H1583-G1584</f>
        <v/>
      </c>
      <c r="I1584" s="392" t="n"/>
      <c r="J1584" s="392" t="n"/>
      <c r="K1584" s="392" t="n"/>
      <c r="L1584" s="392" t="n"/>
    </row>
    <row r="1585">
      <c r="A1585" s="568" t="n">
        <v>44466</v>
      </c>
      <c r="B1585" s="392" t="n">
        <v>8469</v>
      </c>
      <c r="C1585" s="392" t="n">
        <v>73.09999999999999</v>
      </c>
      <c r="D1585" s="392" t="n"/>
      <c r="E1585" s="392" t="n"/>
      <c r="F1585" s="392" t="n"/>
      <c r="G1585" s="392" t="n">
        <v>32</v>
      </c>
      <c r="H1585" s="52">
        <f>H1584-G1585</f>
        <v/>
      </c>
      <c r="I1585" s="392" t="n"/>
      <c r="J1585" s="392" t="n"/>
      <c r="K1585" s="392" t="n"/>
      <c r="L1585" s="392" t="n"/>
    </row>
    <row r="1586">
      <c r="A1586" s="568" t="n">
        <v>44466</v>
      </c>
      <c r="B1586" s="392" t="n">
        <v>8471</v>
      </c>
      <c r="C1586" s="392" t="n">
        <v>72</v>
      </c>
      <c r="D1586" s="392" t="n"/>
      <c r="E1586" s="392" t="n"/>
      <c r="F1586" s="392" t="n"/>
      <c r="G1586" s="392" t="n">
        <v>30</v>
      </c>
      <c r="H1586" s="52">
        <f>H1585-G1586</f>
        <v/>
      </c>
      <c r="I1586" s="392" t="n"/>
      <c r="J1586" s="392" t="n"/>
      <c r="K1586" s="392" t="n"/>
      <c r="L1586" s="392" t="n"/>
    </row>
    <row r="1587">
      <c r="A1587" s="568" t="n">
        <v>44468</v>
      </c>
      <c r="B1587" s="392" t="n">
        <v>8476</v>
      </c>
      <c r="C1587" s="392" t="n">
        <v>72.84</v>
      </c>
      <c r="D1587" s="568" t="n"/>
      <c r="E1587" s="568" t="n"/>
      <c r="F1587" s="568" t="n"/>
      <c r="G1587" s="392" t="n">
        <v>36</v>
      </c>
      <c r="H1587" s="52">
        <f>H1586-G1587</f>
        <v/>
      </c>
      <c r="I1587" s="568" t="n"/>
      <c r="J1587" s="568" t="n"/>
      <c r="K1587" s="568" t="n"/>
      <c r="L1587" s="568" t="n"/>
    </row>
    <row r="1588">
      <c r="A1588" s="568" t="n">
        <v>44468</v>
      </c>
      <c r="B1588" s="392" t="n">
        <v>8479</v>
      </c>
      <c r="C1588" s="392" t="n">
        <v>71.5</v>
      </c>
      <c r="D1588" s="392" t="n"/>
      <c r="E1588" s="392" t="n"/>
      <c r="F1588" s="392" t="n"/>
      <c r="G1588" s="392" t="n">
        <v>20</v>
      </c>
      <c r="H1588" s="52">
        <f>H1587-G1588</f>
        <v/>
      </c>
      <c r="I1588" s="568" t="n"/>
      <c r="J1588" s="568" t="n"/>
      <c r="K1588" s="568" t="n"/>
      <c r="L1588" s="568" t="n"/>
    </row>
    <row r="1589">
      <c r="A1589" s="568" t="n">
        <v>44468</v>
      </c>
      <c r="B1589" s="392" t="n">
        <v>8480</v>
      </c>
      <c r="C1589" s="392" t="n">
        <v>74.5</v>
      </c>
      <c r="D1589" s="392" t="n"/>
      <c r="E1589" s="392" t="n"/>
      <c r="F1589" s="392" t="n"/>
      <c r="G1589" s="392" t="n">
        <v>20</v>
      </c>
      <c r="H1589" s="52">
        <f>H1588-G1589</f>
        <v/>
      </c>
      <c r="I1589" s="568" t="n"/>
      <c r="J1589" s="568" t="n"/>
      <c r="K1589" s="568" t="n"/>
      <c r="L1589" s="568" t="n"/>
    </row>
    <row r="1590">
      <c r="A1590" s="568" t="n">
        <v>44468</v>
      </c>
      <c r="B1590" s="392" t="n">
        <v>8481</v>
      </c>
      <c r="C1590" s="392" t="n">
        <v>72</v>
      </c>
      <c r="D1590" s="392" t="n"/>
      <c r="E1590" s="392" t="n"/>
      <c r="F1590" s="392" t="n"/>
      <c r="G1590" s="392" t="n">
        <v>25</v>
      </c>
      <c r="H1590" s="52">
        <f>H1589-G1590</f>
        <v/>
      </c>
      <c r="I1590" s="568" t="n"/>
      <c r="J1590" s="568" t="n"/>
      <c r="K1590" s="568" t="n"/>
      <c r="L1590" s="568" t="n"/>
    </row>
    <row r="1591">
      <c r="A1591" s="568" t="n"/>
      <c r="B1591" s="392" t="n"/>
      <c r="C1591" s="392" t="n"/>
      <c r="D1591" s="392" t="n"/>
      <c r="E1591" s="392" t="n"/>
      <c r="F1591" s="392" t="n"/>
      <c r="G1591" s="392" t="n"/>
      <c r="H1591" s="52">
        <f>H1590-G1591</f>
        <v/>
      </c>
      <c r="I1591" s="568" t="n"/>
      <c r="J1591" s="568" t="n"/>
      <c r="K1591" s="568" t="n"/>
      <c r="L1591" s="568" t="n"/>
    </row>
    <row r="1592" ht="15.75" customHeight="1" s="436" thickBot="1"/>
    <row r="1593" ht="21.75" customHeight="1" s="436" thickBot="1">
      <c r="A1593" s="757" t="inlineStr">
        <is>
          <t>Outubro</t>
        </is>
      </c>
      <c r="B1593" s="697" t="n"/>
      <c r="C1593" s="697" t="n"/>
      <c r="D1593" s="697" t="n"/>
      <c r="E1593" s="697" t="n"/>
      <c r="F1593" s="697" t="n"/>
      <c r="G1593" s="697" t="n"/>
      <c r="H1593" s="697" t="n"/>
      <c r="I1593" s="697" t="n"/>
      <c r="J1593" s="697" t="n"/>
      <c r="K1593" s="697" t="n"/>
      <c r="L1593" s="698" t="n"/>
    </row>
    <row r="1594" ht="21.75" customHeight="1" s="436" thickBot="1">
      <c r="A1594" s="699" t="inlineStr">
        <is>
          <t xml:space="preserve">021 - DENISE FURTADO DE SOUZA - ME </t>
        </is>
      </c>
      <c r="B1594" s="697" t="n"/>
      <c r="C1594" s="697" t="n"/>
      <c r="D1594" s="697" t="n"/>
      <c r="E1594" s="697" t="n"/>
      <c r="F1594" s="697" t="n"/>
      <c r="G1594" s="697" t="n"/>
      <c r="H1594" s="697" t="n"/>
      <c r="I1594" s="697" t="n"/>
      <c r="J1594" s="697" t="n"/>
      <c r="K1594" s="697" t="n"/>
      <c r="L1594" s="698" t="n"/>
    </row>
    <row r="1595" ht="24" customHeight="1" s="436" thickBot="1">
      <c r="A1595" s="745" t="inlineStr">
        <is>
          <t xml:space="preserve">  PRÉ MISTURA - 25 KG</t>
        </is>
      </c>
      <c r="B1595" s="737" t="n"/>
      <c r="C1595" s="737" t="n"/>
      <c r="D1595" s="737" t="n"/>
      <c r="E1595" s="737" t="n"/>
      <c r="F1595" s="737" t="n"/>
      <c r="G1595" s="737" t="n"/>
      <c r="H1595" s="737" t="n"/>
      <c r="I1595" s="737" t="n"/>
      <c r="J1595" s="737" t="n"/>
      <c r="K1595" s="737" t="n"/>
      <c r="L1595" s="736" t="n"/>
    </row>
    <row r="1596">
      <c r="A1596" s="746" t="inlineStr">
        <is>
          <t>DATA</t>
        </is>
      </c>
      <c r="B1596" s="3" t="inlineStr">
        <is>
          <t>N.F.</t>
        </is>
      </c>
      <c r="C1596" s="3" t="inlineStr">
        <is>
          <t>TIPO</t>
        </is>
      </c>
      <c r="D1596" s="3" t="inlineStr">
        <is>
          <t>PREÇO UNITÁRIO</t>
        </is>
      </c>
      <c r="E1596" s="736" t="n"/>
      <c r="F1596" s="3" t="inlineStr">
        <is>
          <t>QUANTIDADE / KG</t>
        </is>
      </c>
      <c r="G1596" s="737" t="n"/>
      <c r="H1596" s="736" t="n"/>
      <c r="I1596" s="631" t="inlineStr">
        <is>
          <t>PREÇO</t>
        </is>
      </c>
      <c r="J1596" s="631" t="inlineStr">
        <is>
          <t>VALORES</t>
        </is>
      </c>
      <c r="K1596" s="737" t="n"/>
      <c r="L1596" s="736" t="n"/>
    </row>
    <row r="1597" ht="15.75" customHeight="1" s="436" thickBot="1">
      <c r="A1597" s="703" t="n"/>
      <c r="B1597" s="704" t="n"/>
      <c r="C1597" s="704" t="n"/>
      <c r="D1597" s="703" t="n"/>
      <c r="E1597" s="701" t="n"/>
      <c r="F1597" s="705" t="n"/>
      <c r="G1597" s="706" t="n"/>
      <c r="H1597" s="707" t="n"/>
      <c r="I1597" s="704" t="n"/>
      <c r="J1597" s="703" t="n"/>
      <c r="L1597" s="701" t="n"/>
    </row>
    <row r="1598" ht="15.75" customHeight="1" s="436" thickBot="1">
      <c r="A1598" s="703" t="n"/>
      <c r="B1598" s="704" t="n"/>
      <c r="C1598" s="704" t="n"/>
      <c r="D1598" s="705" t="n"/>
      <c r="E1598" s="707" t="n"/>
      <c r="F1598" s="3" t="inlineStr">
        <is>
          <t>ENTRADA</t>
        </is>
      </c>
      <c r="G1598" s="3" t="inlineStr">
        <is>
          <t>SAÍDA</t>
        </is>
      </c>
      <c r="H1598" s="640" t="n"/>
      <c r="I1598" s="633" t="inlineStr">
        <is>
          <t>MÉDIO</t>
        </is>
      </c>
      <c r="J1598" s="652" t="inlineStr">
        <is>
          <t>SALDO EM 30/12/2017</t>
        </is>
      </c>
      <c r="K1598" s="706" t="n"/>
      <c r="L1598" s="17" t="n"/>
    </row>
    <row r="1599" ht="15.75" customHeight="1" s="436" thickBot="1">
      <c r="A1599" s="705" t="n"/>
      <c r="B1599" s="695" t="n"/>
      <c r="C1599" s="695" t="n"/>
      <c r="D1599" s="3" t="inlineStr">
        <is>
          <t>C/ICMS</t>
        </is>
      </c>
      <c r="E1599" s="3" t="inlineStr">
        <is>
          <t>S/ICMS</t>
        </is>
      </c>
      <c r="F1599" s="695" t="n"/>
      <c r="G1599" s="695" t="n"/>
      <c r="H1599" s="361" t="inlineStr">
        <is>
          <t>Saldo em 30/09/2021</t>
        </is>
      </c>
      <c r="I1599" s="695" t="n"/>
      <c r="J1599" s="645" t="inlineStr">
        <is>
          <t>ENTRADA</t>
        </is>
      </c>
      <c r="K1599" s="633" t="inlineStr">
        <is>
          <t>SAÍDA / CMV</t>
        </is>
      </c>
      <c r="L1599" s="633" t="inlineStr">
        <is>
          <t>SALDO</t>
        </is>
      </c>
    </row>
    <row r="1600">
      <c r="A1600" s="568" t="n">
        <v>44482</v>
      </c>
      <c r="B1600" s="392" t="n">
        <v>8509</v>
      </c>
      <c r="C1600" s="392" t="n">
        <v>72</v>
      </c>
      <c r="D1600" s="392" t="n"/>
      <c r="E1600" s="392" t="n"/>
      <c r="F1600" s="392" t="n"/>
      <c r="G1600" s="392" t="n">
        <v>50</v>
      </c>
      <c r="H1600" s="52" t="n">
        <v>557</v>
      </c>
      <c r="I1600" s="71" t="n"/>
      <c r="J1600" s="747">
        <f>F1600*I1600</f>
        <v/>
      </c>
      <c r="K1600" s="747" t="n"/>
      <c r="L1600" s="748">
        <f>J1600-K1600</f>
        <v/>
      </c>
    </row>
    <row r="1601">
      <c r="A1601" s="568" t="n">
        <v>44482</v>
      </c>
      <c r="B1601" s="392" t="n">
        <v>8510</v>
      </c>
      <c r="C1601" s="392" t="n">
        <v>71.67</v>
      </c>
      <c r="D1601" s="392" t="n"/>
      <c r="E1601" s="392" t="n"/>
      <c r="F1601" s="392" t="n"/>
      <c r="G1601" s="392" t="n">
        <v>15</v>
      </c>
      <c r="H1601" s="52">
        <f>H1600-G1601</f>
        <v/>
      </c>
      <c r="I1601" s="568" t="n"/>
      <c r="J1601" s="568" t="n"/>
      <c r="K1601" s="568" t="n"/>
      <c r="L1601" s="568" t="n"/>
    </row>
    <row r="1602">
      <c r="A1602" s="568" t="n">
        <v>44482</v>
      </c>
      <c r="B1602" s="392" t="n">
        <v>8513</v>
      </c>
      <c r="C1602" s="392" t="n">
        <v>73.25</v>
      </c>
      <c r="D1602" s="392" t="n"/>
      <c r="E1602" s="392" t="n"/>
      <c r="F1602" s="392" t="n"/>
      <c r="G1602" s="392" t="n">
        <v>20</v>
      </c>
      <c r="H1602" s="52">
        <f>H1601-G1602</f>
        <v/>
      </c>
      <c r="I1602" s="568" t="n"/>
      <c r="J1602" s="568" t="n"/>
      <c r="K1602" s="568" t="n"/>
      <c r="L1602" s="568" t="n"/>
    </row>
    <row r="1603">
      <c r="A1603" s="568" t="n">
        <v>44482</v>
      </c>
      <c r="B1603" s="392" t="n">
        <v>8516</v>
      </c>
      <c r="C1603" s="392" t="n">
        <v>73.06</v>
      </c>
      <c r="D1603" s="392" t="n"/>
      <c r="E1603" s="392" t="n"/>
      <c r="F1603" s="392" t="n"/>
      <c r="G1603" s="392" t="n">
        <v>38</v>
      </c>
      <c r="H1603" s="52">
        <f>H1602-G1603</f>
        <v/>
      </c>
      <c r="I1603" s="568" t="n"/>
      <c r="J1603" s="568" t="n"/>
      <c r="K1603" s="568" t="n"/>
      <c r="L1603" s="568" t="n"/>
    </row>
    <row r="1604">
      <c r="A1604" s="568" t="n">
        <v>44482</v>
      </c>
      <c r="B1604" s="392" t="n">
        <v>8517</v>
      </c>
      <c r="C1604" s="392" t="n">
        <v>72</v>
      </c>
      <c r="D1604" s="392" t="n"/>
      <c r="E1604" s="392" t="n"/>
      <c r="F1604" s="392" t="n"/>
      <c r="G1604" s="392" t="n">
        <v>35</v>
      </c>
      <c r="H1604" s="52">
        <f>H1603-G1604</f>
        <v/>
      </c>
      <c r="I1604" s="568" t="n"/>
      <c r="J1604" s="568" t="n"/>
      <c r="K1604" s="568" t="n"/>
      <c r="L1604" s="568" t="n"/>
    </row>
    <row r="1605">
      <c r="A1605" s="568" t="n">
        <v>44482</v>
      </c>
      <c r="B1605" s="392" t="n">
        <v>8518</v>
      </c>
      <c r="C1605" s="392" t="n">
        <v>72</v>
      </c>
      <c r="D1605" s="392" t="n"/>
      <c r="E1605" s="392" t="n"/>
      <c r="F1605" s="392" t="n"/>
      <c r="G1605" s="392" t="n">
        <v>15</v>
      </c>
      <c r="H1605" s="52">
        <f>H1604-G1605</f>
        <v/>
      </c>
      <c r="I1605" s="568" t="n"/>
      <c r="J1605" s="568" t="n"/>
      <c r="K1605" s="568" t="n"/>
      <c r="L1605" s="568" t="n"/>
    </row>
    <row r="1606">
      <c r="A1606" s="568" t="n">
        <v>44482</v>
      </c>
      <c r="B1606" s="392" t="n">
        <v>8520</v>
      </c>
      <c r="C1606" s="392" t="n">
        <v>72</v>
      </c>
      <c r="D1606" s="392" t="n"/>
      <c r="E1606" s="392" t="n"/>
      <c r="F1606" s="392" t="n"/>
      <c r="G1606" s="392" t="n">
        <v>15</v>
      </c>
      <c r="H1606" s="52">
        <f>H1605-G1606</f>
        <v/>
      </c>
      <c r="I1606" s="568" t="n"/>
      <c r="J1606" s="568" t="n"/>
      <c r="K1606" s="568" t="n"/>
      <c r="L1606" s="568" t="n"/>
    </row>
    <row r="1607">
      <c r="A1607" s="568" t="n">
        <v>44482</v>
      </c>
      <c r="B1607" s="392" t="n">
        <v>8521</v>
      </c>
      <c r="C1607" s="392" t="n">
        <v>72</v>
      </c>
      <c r="D1607" s="392" t="n"/>
      <c r="E1607" s="392" t="n"/>
      <c r="F1607" s="392" t="n"/>
      <c r="G1607" s="392" t="n">
        <v>25</v>
      </c>
      <c r="H1607" s="52">
        <f>H1606-G1607</f>
        <v/>
      </c>
      <c r="I1607" s="568" t="n"/>
      <c r="J1607" s="568" t="n"/>
      <c r="K1607" s="568" t="n"/>
      <c r="L1607" s="568" t="n"/>
    </row>
    <row r="1608">
      <c r="A1608" s="568" t="n">
        <v>44482</v>
      </c>
      <c r="B1608" s="392" t="n">
        <v>8523</v>
      </c>
      <c r="C1608" s="392" t="n">
        <v>72</v>
      </c>
      <c r="D1608" s="392" t="n"/>
      <c r="E1608" s="392" t="n"/>
      <c r="F1608" s="392" t="n"/>
      <c r="G1608" s="392" t="n">
        <v>15</v>
      </c>
      <c r="H1608" s="52">
        <f>H1607-G1608</f>
        <v/>
      </c>
      <c r="I1608" s="568" t="n"/>
      <c r="J1608" s="568" t="n"/>
      <c r="K1608" s="568" t="n"/>
      <c r="L1608" s="568" t="n"/>
    </row>
    <row r="1609">
      <c r="A1609" s="568" t="n">
        <v>44488</v>
      </c>
      <c r="B1609" s="392" t="n">
        <v>8526</v>
      </c>
      <c r="C1609" s="392" t="n">
        <v>72</v>
      </c>
      <c r="D1609" s="392" t="n"/>
      <c r="E1609" s="392" t="n"/>
      <c r="F1609" s="392" t="n"/>
      <c r="G1609" s="392" t="n">
        <v>25</v>
      </c>
      <c r="H1609" s="277" t="n">
        <v>1333</v>
      </c>
      <c r="I1609" s="568" t="n"/>
      <c r="J1609" s="568" t="n"/>
      <c r="K1609" s="568" t="n"/>
      <c r="L1609" s="568" t="n"/>
    </row>
    <row r="1610">
      <c r="A1610" s="568" t="n">
        <v>44488</v>
      </c>
      <c r="B1610" s="392" t="n">
        <v>8533</v>
      </c>
      <c r="C1610" s="392" t="n">
        <v>74.67</v>
      </c>
      <c r="D1610" s="392" t="n"/>
      <c r="E1610" s="392" t="n"/>
      <c r="F1610" s="392" t="n"/>
      <c r="G1610" s="392" t="n">
        <v>15</v>
      </c>
      <c r="H1610" s="52">
        <f>H1609-G1610</f>
        <v/>
      </c>
      <c r="I1610" s="568" t="n"/>
      <c r="J1610" s="568" t="n"/>
      <c r="K1610" s="568" t="n"/>
      <c r="L1610" s="568" t="n"/>
    </row>
    <row r="1611">
      <c r="A1611" s="568" t="n">
        <v>44488</v>
      </c>
      <c r="B1611" s="392" t="n">
        <v>8534</v>
      </c>
      <c r="C1611" s="392" t="n">
        <v>73</v>
      </c>
      <c r="D1611" s="392" t="n"/>
      <c r="E1611" s="392" t="n"/>
      <c r="F1611" s="392" t="n"/>
      <c r="G1611" s="392" t="n">
        <v>35</v>
      </c>
      <c r="H1611" s="52">
        <f>H1610-G1611</f>
        <v/>
      </c>
      <c r="I1611" s="568" t="n"/>
      <c r="J1611" s="568" t="n"/>
      <c r="K1611" s="568" t="n"/>
      <c r="L1611" s="568" t="n"/>
    </row>
    <row r="1612">
      <c r="A1612" s="568" t="n">
        <v>44488</v>
      </c>
      <c r="B1612" s="392" t="n">
        <v>8535</v>
      </c>
      <c r="C1612" s="392" t="n">
        <v>72</v>
      </c>
      <c r="D1612" s="392" t="n"/>
      <c r="E1612" s="392" t="n"/>
      <c r="F1612" s="392" t="n"/>
      <c r="G1612" s="392" t="n">
        <v>15</v>
      </c>
      <c r="H1612" s="52">
        <f>H1611-G1612</f>
        <v/>
      </c>
      <c r="I1612" s="568" t="n"/>
      <c r="J1612" s="568" t="n"/>
      <c r="K1612" s="568" t="n"/>
      <c r="L1612" s="568" t="n"/>
    </row>
    <row r="1613">
      <c r="A1613" s="568" t="n">
        <v>44488</v>
      </c>
      <c r="B1613" s="392" t="n">
        <v>8536</v>
      </c>
      <c r="C1613" s="392" t="n">
        <v>72</v>
      </c>
      <c r="D1613" s="392" t="n"/>
      <c r="E1613" s="392" t="n"/>
      <c r="F1613" s="392" t="n"/>
      <c r="G1613" s="392" t="n">
        <v>70</v>
      </c>
      <c r="H1613" s="52">
        <f>H1612-G1613</f>
        <v/>
      </c>
      <c r="I1613" s="568" t="n"/>
      <c r="J1613" s="568" t="n"/>
      <c r="K1613" s="568" t="n"/>
      <c r="L1613" s="568" t="n"/>
    </row>
    <row r="1614">
      <c r="A1614" s="568" t="n">
        <v>44488</v>
      </c>
      <c r="B1614" s="392" t="n">
        <v>8537</v>
      </c>
      <c r="C1614" s="392" t="n">
        <v>74.34</v>
      </c>
      <c r="D1614" s="392" t="n"/>
      <c r="E1614" s="392" t="n"/>
      <c r="F1614" s="392" t="n"/>
      <c r="G1614" s="392" t="n">
        <v>15</v>
      </c>
      <c r="H1614" s="52">
        <f>H1613-G1614</f>
        <v/>
      </c>
      <c r="I1614" s="568" t="n"/>
      <c r="J1614" s="568" t="n"/>
      <c r="K1614" s="568" t="n"/>
      <c r="L1614" s="568" t="n"/>
    </row>
    <row r="1615">
      <c r="A1615" s="568" t="n">
        <v>44489</v>
      </c>
      <c r="B1615" s="392" t="n">
        <v>8540</v>
      </c>
      <c r="C1615" s="392" t="n">
        <v>72.84</v>
      </c>
      <c r="D1615" s="392" t="n"/>
      <c r="E1615" s="392" t="n"/>
      <c r="F1615" s="392" t="n"/>
      <c r="G1615" s="392" t="n">
        <v>36</v>
      </c>
      <c r="H1615" s="52">
        <f>H1614-G1615</f>
        <v/>
      </c>
      <c r="I1615" s="568" t="n"/>
      <c r="J1615" s="568" t="n"/>
      <c r="K1615" s="568" t="n"/>
      <c r="L1615" s="568" t="n"/>
    </row>
    <row r="1616">
      <c r="A1616" s="568" t="n">
        <v>44489</v>
      </c>
      <c r="B1616" s="392" t="n">
        <v>8541</v>
      </c>
      <c r="C1616" s="392" t="n">
        <v>73.89</v>
      </c>
      <c r="D1616" s="392" t="n"/>
      <c r="E1616" s="392" t="n"/>
      <c r="F1616" s="392" t="n"/>
      <c r="G1616" s="392" t="n">
        <v>45</v>
      </c>
      <c r="H1616" s="52">
        <f>H1615-G1616</f>
        <v/>
      </c>
      <c r="I1616" s="568" t="n"/>
      <c r="J1616" s="568" t="n"/>
      <c r="K1616" s="568" t="n"/>
      <c r="L1616" s="568" t="n"/>
    </row>
    <row r="1617">
      <c r="A1617" s="568" t="n">
        <v>44489</v>
      </c>
      <c r="B1617" s="392" t="n">
        <v>8543</v>
      </c>
      <c r="C1617" s="392" t="n">
        <v>73</v>
      </c>
      <c r="D1617" s="392" t="n"/>
      <c r="E1617" s="392" t="n"/>
      <c r="F1617" s="392" t="n"/>
      <c r="G1617" s="392" t="n">
        <v>20</v>
      </c>
      <c r="H1617" s="52">
        <f>H1616-G1617</f>
        <v/>
      </c>
      <c r="I1617" s="568" t="n"/>
      <c r="J1617" s="568" t="n"/>
      <c r="K1617" s="568" t="n"/>
      <c r="L1617" s="568" t="n"/>
    </row>
    <row r="1618">
      <c r="A1618" s="304" t="n">
        <v>44499</v>
      </c>
      <c r="B1618" s="401" t="n">
        <v>176890</v>
      </c>
      <c r="C1618" s="401" t="n">
        <v>61</v>
      </c>
      <c r="D1618" s="401" t="n"/>
      <c r="E1618" s="401" t="n"/>
      <c r="F1618" s="401" t="n">
        <v>1280</v>
      </c>
      <c r="G1618" s="401" t="n"/>
      <c r="H1618" s="52">
        <f>H1617-G1618</f>
        <v/>
      </c>
      <c r="I1618" s="568" t="n"/>
      <c r="J1618" s="568" t="n"/>
      <c r="K1618" s="568" t="n"/>
      <c r="L1618" s="568" t="n"/>
    </row>
    <row r="1619">
      <c r="A1619" s="568" t="n">
        <v>44495</v>
      </c>
      <c r="B1619" s="392" t="n">
        <v>8551</v>
      </c>
      <c r="C1619" s="392" t="n">
        <v>73</v>
      </c>
      <c r="D1619" s="392" t="n"/>
      <c r="E1619" s="392" t="n"/>
      <c r="F1619" s="392" t="n"/>
      <c r="G1619" s="392" t="n">
        <v>20</v>
      </c>
      <c r="H1619" s="52">
        <f>H1618-G1619</f>
        <v/>
      </c>
      <c r="I1619" s="568" t="n"/>
      <c r="J1619" s="568" t="n"/>
      <c r="K1619" s="568" t="n"/>
      <c r="L1619" s="568" t="n"/>
    </row>
    <row r="1620">
      <c r="A1620" s="568" t="n">
        <v>44495</v>
      </c>
      <c r="B1620" s="392" t="n">
        <v>8552</v>
      </c>
      <c r="C1620" s="392" t="n">
        <v>73</v>
      </c>
      <c r="D1620" s="392" t="n"/>
      <c r="E1620" s="392" t="n"/>
      <c r="F1620" s="392" t="n"/>
      <c r="G1620" s="392" t="n">
        <v>30</v>
      </c>
      <c r="H1620" s="52">
        <f>H1619-G1620</f>
        <v/>
      </c>
      <c r="I1620" s="568" t="n"/>
      <c r="J1620" s="568" t="n"/>
      <c r="K1620" s="568" t="n"/>
      <c r="L1620" s="568" t="n"/>
    </row>
    <row r="1621">
      <c r="A1621" s="568" t="n">
        <v>44495</v>
      </c>
      <c r="B1621" s="392" t="n">
        <v>8553</v>
      </c>
      <c r="C1621" s="392" t="n">
        <v>72.84</v>
      </c>
      <c r="D1621" s="392" t="n"/>
      <c r="E1621" s="392" t="n"/>
      <c r="F1621" s="392" t="n"/>
      <c r="G1621" s="392" t="n">
        <v>12</v>
      </c>
      <c r="H1621" s="52">
        <f>H1620-G1621</f>
        <v/>
      </c>
      <c r="I1621" s="568" t="n"/>
      <c r="J1621" s="568" t="n"/>
      <c r="K1621" s="568" t="n"/>
      <c r="L1621" s="568" t="n"/>
    </row>
    <row r="1622">
      <c r="A1622" s="568" t="n">
        <v>44495</v>
      </c>
      <c r="B1622" s="392" t="n">
        <v>8554</v>
      </c>
      <c r="C1622" s="392" t="n">
        <v>71.5</v>
      </c>
      <c r="D1622" s="392" t="n"/>
      <c r="E1622" s="392" t="n"/>
      <c r="F1622" s="392" t="n"/>
      <c r="G1622" s="392" t="n">
        <v>10</v>
      </c>
      <c r="H1622" s="52">
        <f>H1621-G1622</f>
        <v/>
      </c>
      <c r="I1622" s="568" t="n"/>
      <c r="J1622" s="568" t="n"/>
      <c r="K1622" s="568" t="n"/>
      <c r="L1622" s="568" t="n"/>
    </row>
    <row r="1623">
      <c r="A1623" s="568" t="n">
        <v>44495</v>
      </c>
      <c r="B1623" s="392" t="n">
        <v>8556</v>
      </c>
      <c r="C1623" s="392" t="n">
        <v>73.84</v>
      </c>
      <c r="D1623" s="392" t="n"/>
      <c r="E1623" s="392" t="n"/>
      <c r="F1623" s="392" t="n"/>
      <c r="G1623" s="392" t="n">
        <v>12</v>
      </c>
      <c r="H1623" s="52">
        <f>H1622-G1623</f>
        <v/>
      </c>
      <c r="I1623" s="568" t="n"/>
      <c r="J1623" s="568" t="n"/>
      <c r="K1623" s="568" t="n"/>
      <c r="L1623" s="568" t="n"/>
    </row>
    <row r="1624">
      <c r="A1624" s="568" t="n">
        <v>44495</v>
      </c>
      <c r="B1624" s="392" t="n">
        <v>8559</v>
      </c>
      <c r="C1624" s="392" t="n">
        <v>73</v>
      </c>
      <c r="D1624" s="392" t="n"/>
      <c r="E1624" s="392" t="n"/>
      <c r="F1624" s="392" t="n"/>
      <c r="G1624" s="392" t="n">
        <v>25</v>
      </c>
      <c r="H1624" s="52">
        <f>H1623-G1624</f>
        <v/>
      </c>
      <c r="I1624" s="568" t="n"/>
      <c r="J1624" s="568" t="n"/>
      <c r="K1624" s="568" t="n"/>
      <c r="L1624" s="568" t="n"/>
    </row>
    <row r="1625">
      <c r="A1625" s="568" t="n">
        <v>44495</v>
      </c>
      <c r="B1625" s="392" t="n">
        <v>8560</v>
      </c>
      <c r="C1625" s="392" t="n">
        <v>72.75</v>
      </c>
      <c r="D1625" s="392" t="n"/>
      <c r="E1625" s="392" t="n"/>
      <c r="F1625" s="392" t="n"/>
      <c r="G1625" s="392" t="n">
        <v>40</v>
      </c>
      <c r="H1625" s="52">
        <f>H1624-G1625</f>
        <v/>
      </c>
      <c r="I1625" s="568" t="n"/>
      <c r="J1625" s="568" t="n"/>
      <c r="K1625" s="568" t="n"/>
      <c r="L1625" s="568" t="n"/>
    </row>
    <row r="1626">
      <c r="A1626" s="568" t="n">
        <v>44495</v>
      </c>
      <c r="B1626" s="392" t="n">
        <v>8566</v>
      </c>
      <c r="C1626" s="392" t="n">
        <v>74.67</v>
      </c>
      <c r="D1626" s="392" t="n"/>
      <c r="E1626" s="392" t="n"/>
      <c r="F1626" s="392" t="n"/>
      <c r="G1626" s="392" t="n">
        <v>15</v>
      </c>
      <c r="H1626" s="52">
        <f>H1625-G1626</f>
        <v/>
      </c>
      <c r="I1626" s="568" t="n"/>
      <c r="J1626" s="568" t="n"/>
      <c r="K1626" s="568" t="n"/>
      <c r="L1626" s="568" t="n"/>
    </row>
    <row r="1627">
      <c r="A1627" s="568" t="n">
        <v>44496</v>
      </c>
      <c r="B1627" s="392" t="n">
        <v>8567</v>
      </c>
      <c r="C1627" s="392" t="n">
        <v>73</v>
      </c>
      <c r="D1627" s="392" t="n"/>
      <c r="E1627" s="392" t="n"/>
      <c r="F1627" s="392" t="n"/>
      <c r="G1627" s="392" t="n">
        <v>15</v>
      </c>
      <c r="H1627" s="52">
        <f>H1626-G1627</f>
        <v/>
      </c>
      <c r="I1627" s="568" t="n"/>
      <c r="J1627" s="568" t="n"/>
      <c r="K1627" s="568" t="n"/>
      <c r="L1627" s="568" t="n"/>
    </row>
    <row r="1628" ht="15.75" customHeight="1" s="436" thickBot="1"/>
    <row r="1629" ht="21.75" customHeight="1" s="436" thickBot="1">
      <c r="A1629" s="757" t="inlineStr">
        <is>
          <t>Novembro</t>
        </is>
      </c>
      <c r="B1629" s="697" t="n"/>
      <c r="C1629" s="697" t="n"/>
      <c r="D1629" s="697" t="n"/>
      <c r="E1629" s="697" t="n"/>
      <c r="F1629" s="697" t="n"/>
      <c r="G1629" s="697" t="n"/>
      <c r="H1629" s="697" t="n"/>
      <c r="I1629" s="697" t="n"/>
      <c r="J1629" s="697" t="n"/>
      <c r="K1629" s="697" t="n"/>
      <c r="L1629" s="698" t="n"/>
    </row>
    <row r="1630" ht="21.75" customHeight="1" s="436" thickBot="1">
      <c r="A1630" s="699" t="inlineStr">
        <is>
          <t xml:space="preserve">021 - DENISE FURTADO DE SOUZA - ME </t>
        </is>
      </c>
      <c r="B1630" s="697" t="n"/>
      <c r="C1630" s="697" t="n"/>
      <c r="D1630" s="697" t="n"/>
      <c r="E1630" s="697" t="n"/>
      <c r="F1630" s="697" t="n"/>
      <c r="G1630" s="697" t="n"/>
      <c r="H1630" s="697" t="n"/>
      <c r="I1630" s="697" t="n"/>
      <c r="J1630" s="697" t="n"/>
      <c r="K1630" s="697" t="n"/>
      <c r="L1630" s="698" t="n"/>
    </row>
    <row r="1631" ht="24" customHeight="1" s="436" thickBot="1">
      <c r="A1631" s="745" t="inlineStr">
        <is>
          <t xml:space="preserve">  PRÉ MISTURA - 25 KG</t>
        </is>
      </c>
      <c r="B1631" s="737" t="n"/>
      <c r="C1631" s="737" t="n"/>
      <c r="D1631" s="737" t="n"/>
      <c r="E1631" s="737" t="n"/>
      <c r="F1631" s="737" t="n"/>
      <c r="G1631" s="737" t="n"/>
      <c r="H1631" s="737" t="n"/>
      <c r="I1631" s="737" t="n"/>
      <c r="J1631" s="737" t="n"/>
      <c r="K1631" s="737" t="n"/>
      <c r="L1631" s="736" t="n"/>
    </row>
    <row r="1632">
      <c r="A1632" s="746" t="inlineStr">
        <is>
          <t>DATA</t>
        </is>
      </c>
      <c r="B1632" s="3" t="inlineStr">
        <is>
          <t>N.F.</t>
        </is>
      </c>
      <c r="C1632" s="3" t="inlineStr">
        <is>
          <t>TIPO</t>
        </is>
      </c>
      <c r="D1632" s="3" t="inlineStr">
        <is>
          <t>PREÇO UNITÁRIO</t>
        </is>
      </c>
      <c r="E1632" s="736" t="n"/>
      <c r="F1632" s="3" t="inlineStr">
        <is>
          <t>QUANTIDADE / KG</t>
        </is>
      </c>
      <c r="G1632" s="737" t="n"/>
      <c r="H1632" s="736" t="n"/>
      <c r="I1632" s="631" t="inlineStr">
        <is>
          <t>PREÇO</t>
        </is>
      </c>
      <c r="J1632" s="631" t="inlineStr">
        <is>
          <t>VALORES</t>
        </is>
      </c>
      <c r="K1632" s="737" t="n"/>
      <c r="L1632" s="736" t="n"/>
    </row>
    <row r="1633" ht="15.75" customHeight="1" s="436" thickBot="1">
      <c r="A1633" s="703" t="n"/>
      <c r="B1633" s="704" t="n"/>
      <c r="C1633" s="704" t="n"/>
      <c r="D1633" s="703" t="n"/>
      <c r="E1633" s="701" t="n"/>
      <c r="F1633" s="705" t="n"/>
      <c r="G1633" s="706" t="n"/>
      <c r="H1633" s="707" t="n"/>
      <c r="I1633" s="704" t="n"/>
      <c r="J1633" s="703" t="n"/>
      <c r="L1633" s="701" t="n"/>
    </row>
    <row r="1634" ht="15.75" customHeight="1" s="436" thickBot="1">
      <c r="A1634" s="703" t="n"/>
      <c r="B1634" s="704" t="n"/>
      <c r="C1634" s="704" t="n"/>
      <c r="D1634" s="705" t="n"/>
      <c r="E1634" s="707" t="n"/>
      <c r="F1634" s="3" t="inlineStr">
        <is>
          <t>ENTRADA</t>
        </is>
      </c>
      <c r="G1634" s="3" t="inlineStr">
        <is>
          <t>SAÍDA</t>
        </is>
      </c>
      <c r="H1634" s="640" t="n"/>
      <c r="I1634" s="633" t="inlineStr">
        <is>
          <t>MÉDIO</t>
        </is>
      </c>
      <c r="J1634" s="652" t="inlineStr">
        <is>
          <t>SALDO EM 30/12/2017</t>
        </is>
      </c>
      <c r="K1634" s="706" t="n"/>
      <c r="L1634" s="17" t="n"/>
    </row>
    <row r="1635" ht="15.75" customHeight="1" s="436" thickBot="1">
      <c r="A1635" s="705" t="n"/>
      <c r="B1635" s="695" t="n"/>
      <c r="C1635" s="695" t="n"/>
      <c r="D1635" s="3" t="inlineStr">
        <is>
          <t>C/ICMS</t>
        </is>
      </c>
      <c r="E1635" s="3" t="inlineStr">
        <is>
          <t>S/ICMS</t>
        </is>
      </c>
      <c r="F1635" s="695" t="n"/>
      <c r="G1635" s="695" t="n"/>
      <c r="H1635" s="361" t="inlineStr">
        <is>
          <t>Saldo em 30/10/2021</t>
        </is>
      </c>
      <c r="I1635" s="695" t="n"/>
      <c r="J1635" s="645" t="inlineStr">
        <is>
          <t>ENTRADA</t>
        </is>
      </c>
      <c r="K1635" s="633" t="inlineStr">
        <is>
          <t>SAÍDA / CMV</t>
        </is>
      </c>
      <c r="L1635" s="633" t="inlineStr">
        <is>
          <t>SALDO</t>
        </is>
      </c>
    </row>
    <row r="1636">
      <c r="A1636" s="568" t="n"/>
      <c r="B1636" s="392" t="n"/>
      <c r="C1636" s="392" t="n"/>
      <c r="D1636" s="392" t="n"/>
      <c r="E1636" s="392" t="n"/>
      <c r="F1636" s="392" t="n"/>
      <c r="G1636" s="392" t="n"/>
      <c r="H1636" s="52" t="n">
        <v>903</v>
      </c>
      <c r="I1636" s="568" t="n"/>
      <c r="J1636" s="568" t="n"/>
      <c r="K1636" s="568" t="n"/>
      <c r="L1636" s="568" t="n"/>
    </row>
    <row r="1637">
      <c r="A1637" s="568" t="n">
        <v>44503</v>
      </c>
      <c r="B1637" s="392" t="n">
        <v>8570</v>
      </c>
      <c r="C1637" s="392" t="n">
        <v>73.84</v>
      </c>
      <c r="D1637" s="392" t="n"/>
      <c r="E1637" s="392" t="n"/>
      <c r="F1637" s="392" t="n"/>
      <c r="G1637" s="392" t="n">
        <v>30</v>
      </c>
      <c r="H1637" s="52">
        <f>H1636-G1637</f>
        <v/>
      </c>
      <c r="I1637" s="568" t="n"/>
      <c r="J1637" s="568" t="n"/>
      <c r="K1637" s="568" t="n"/>
      <c r="L1637" s="568" t="n"/>
    </row>
    <row r="1638">
      <c r="A1638" s="568" t="n">
        <v>44503</v>
      </c>
      <c r="B1638" s="392" t="n">
        <v>8571</v>
      </c>
      <c r="C1638" s="392" t="n">
        <v>70</v>
      </c>
      <c r="D1638" s="392" t="n"/>
      <c r="E1638" s="392" t="n"/>
      <c r="F1638" s="392" t="n"/>
      <c r="G1638" s="392" t="n">
        <v>50</v>
      </c>
      <c r="H1638" s="52">
        <f>H1637-G1638</f>
        <v/>
      </c>
      <c r="I1638" s="568" t="n"/>
      <c r="J1638" s="568" t="n"/>
      <c r="K1638" s="568" t="n"/>
      <c r="L1638" s="568" t="n"/>
    </row>
    <row r="1639">
      <c r="A1639" s="568" t="n">
        <v>44503</v>
      </c>
      <c r="B1639" s="392" t="n">
        <v>8574</v>
      </c>
      <c r="C1639" s="392" t="n">
        <v>73</v>
      </c>
      <c r="D1639" s="392" t="n"/>
      <c r="E1639" s="392" t="n"/>
      <c r="F1639" s="392" t="n"/>
      <c r="G1639" s="392" t="n">
        <v>15</v>
      </c>
      <c r="H1639" s="52">
        <f>H1638-G1639</f>
        <v/>
      </c>
      <c r="I1639" s="568" t="n"/>
      <c r="J1639" s="568" t="n"/>
      <c r="K1639" s="568" t="n"/>
      <c r="L1639" s="568" t="n"/>
    </row>
    <row r="1640">
      <c r="A1640" s="568" t="n">
        <v>44503</v>
      </c>
      <c r="B1640" s="392" t="n">
        <v>8577</v>
      </c>
      <c r="C1640" s="392" t="n">
        <v>73</v>
      </c>
      <c r="D1640" s="392" t="n"/>
      <c r="E1640" s="392" t="n"/>
      <c r="F1640" s="392" t="n"/>
      <c r="G1640" s="392" t="n">
        <v>15</v>
      </c>
      <c r="H1640" s="52">
        <f>H1639-G1640</f>
        <v/>
      </c>
      <c r="I1640" s="568" t="n"/>
      <c r="J1640" s="568" t="n"/>
      <c r="K1640" s="568" t="n"/>
      <c r="L1640" s="568" t="n"/>
    </row>
    <row r="1641">
      <c r="A1641" s="568" t="n">
        <v>44503</v>
      </c>
      <c r="B1641" s="392" t="n">
        <v>8580</v>
      </c>
      <c r="C1641" s="392" t="n">
        <v>73.84</v>
      </c>
      <c r="D1641" s="392" t="n"/>
      <c r="E1641" s="392" t="n"/>
      <c r="F1641" s="392" t="n"/>
      <c r="G1641" s="392" t="n">
        <v>30</v>
      </c>
      <c r="H1641" s="52">
        <f>H1640-G1641</f>
        <v/>
      </c>
      <c r="I1641" s="568" t="n"/>
      <c r="J1641" s="568" t="n"/>
      <c r="K1641" s="568" t="n"/>
      <c r="L1641" s="568" t="n"/>
    </row>
    <row r="1642">
      <c r="A1642" s="568" t="n">
        <v>44503</v>
      </c>
      <c r="B1642" s="392" t="n">
        <v>8581</v>
      </c>
      <c r="C1642" s="392" t="n">
        <v>72.84</v>
      </c>
      <c r="D1642" s="392" t="n"/>
      <c r="E1642" s="392" t="n"/>
      <c r="F1642" s="392" t="n"/>
      <c r="G1642" s="392" t="n">
        <v>12</v>
      </c>
      <c r="H1642" s="52">
        <f>H1641-G1642</f>
        <v/>
      </c>
      <c r="I1642" s="568" t="n"/>
      <c r="J1642" s="568" t="n"/>
      <c r="K1642" s="568" t="n"/>
      <c r="L1642" s="568" t="n"/>
    </row>
    <row r="1643">
      <c r="A1643" s="568" t="n">
        <v>44504</v>
      </c>
      <c r="B1643" s="392" t="n">
        <v>8582</v>
      </c>
      <c r="C1643" s="392" t="n">
        <v>74.37</v>
      </c>
      <c r="D1643" s="392" t="n"/>
      <c r="E1643" s="392" t="n"/>
      <c r="F1643" s="392" t="n"/>
      <c r="G1643" s="392" t="n">
        <v>11</v>
      </c>
      <c r="H1643" s="52">
        <f>H1642-G1643</f>
        <v/>
      </c>
      <c r="I1643" s="568" t="n"/>
      <c r="J1643" s="568" t="n"/>
      <c r="K1643" s="568" t="n"/>
      <c r="L1643" s="568" t="n"/>
    </row>
    <row r="1644">
      <c r="A1644" s="568" t="n">
        <v>44504</v>
      </c>
      <c r="B1644" s="392" t="n">
        <v>8585</v>
      </c>
      <c r="C1644" s="392" t="n">
        <v>74</v>
      </c>
      <c r="D1644" s="392" t="n"/>
      <c r="E1644" s="392" t="n"/>
      <c r="F1644" s="392" t="n"/>
      <c r="G1644" s="392" t="n">
        <v>37</v>
      </c>
      <c r="H1644" s="52">
        <f>H1643-G1644</f>
        <v/>
      </c>
      <c r="I1644" s="568" t="n"/>
      <c r="J1644" s="568" t="n"/>
      <c r="K1644" s="568" t="n"/>
      <c r="L1644" s="568" t="n"/>
    </row>
    <row r="1645">
      <c r="A1645" s="568" t="n">
        <v>44504</v>
      </c>
      <c r="B1645" s="392" t="n">
        <v>8588</v>
      </c>
      <c r="C1645" s="392" t="n">
        <v>75.5</v>
      </c>
      <c r="D1645" s="392" t="n"/>
      <c r="E1645" s="392" t="n"/>
      <c r="F1645" s="392" t="n"/>
      <c r="G1645" s="392" t="n">
        <v>20</v>
      </c>
      <c r="H1645" s="52">
        <f>H1644-G1645</f>
        <v/>
      </c>
      <c r="I1645" s="568" t="n"/>
      <c r="J1645" s="568" t="n"/>
      <c r="K1645" s="568" t="n"/>
      <c r="L1645" s="568" t="n"/>
    </row>
    <row r="1646">
      <c r="A1646" s="568" t="n">
        <v>44504</v>
      </c>
      <c r="B1646" s="392" t="n">
        <v>8589</v>
      </c>
      <c r="C1646" s="392" t="n">
        <v>73</v>
      </c>
      <c r="D1646" s="392" t="n"/>
      <c r="E1646" s="392" t="n"/>
      <c r="F1646" s="392" t="n"/>
      <c r="G1646" s="392" t="n">
        <v>60</v>
      </c>
      <c r="H1646" s="52">
        <f>H1645-G1646</f>
        <v/>
      </c>
      <c r="I1646" s="568" t="n"/>
      <c r="J1646" s="568" t="n"/>
      <c r="K1646" s="568" t="n"/>
      <c r="L1646" s="568" t="n"/>
    </row>
    <row r="1647">
      <c r="A1647" s="568" t="n">
        <v>44510</v>
      </c>
      <c r="B1647" s="392" t="n">
        <v>8596</v>
      </c>
      <c r="C1647" s="392" t="n">
        <v>73</v>
      </c>
      <c r="D1647" s="392" t="n"/>
      <c r="E1647" s="392" t="n"/>
      <c r="F1647" s="392" t="n"/>
      <c r="G1647" s="392" t="n">
        <v>45</v>
      </c>
      <c r="H1647" s="52">
        <f>H1646-G1647</f>
        <v/>
      </c>
      <c r="I1647" s="568" t="n"/>
      <c r="J1647" s="568" t="n"/>
      <c r="K1647" s="568" t="n"/>
      <c r="L1647" s="568" t="n"/>
    </row>
    <row r="1648">
      <c r="A1648" s="568" t="n">
        <v>44510</v>
      </c>
      <c r="B1648" s="392" t="n">
        <v>8598</v>
      </c>
      <c r="C1648" s="392" t="n">
        <v>74.5</v>
      </c>
      <c r="D1648" s="392" t="n"/>
      <c r="E1648" s="392" t="n"/>
      <c r="F1648" s="392" t="n"/>
      <c r="G1648" s="392" t="n">
        <v>10</v>
      </c>
      <c r="H1648" s="52">
        <f>H1647-G1648</f>
        <v/>
      </c>
      <c r="I1648" s="568" t="n"/>
      <c r="J1648" s="568" t="n"/>
      <c r="K1648" s="568" t="n"/>
      <c r="L1648" s="568" t="n"/>
    </row>
    <row r="1649">
      <c r="A1649" s="568" t="n">
        <v>44510</v>
      </c>
      <c r="B1649" s="392" t="n">
        <v>8599</v>
      </c>
      <c r="C1649" s="392" t="n">
        <v>74.09999999999999</v>
      </c>
      <c r="D1649" s="392" t="n"/>
      <c r="E1649" s="392" t="n"/>
      <c r="F1649" s="392" t="n"/>
      <c r="G1649" s="392" t="n">
        <v>32</v>
      </c>
      <c r="H1649" s="52">
        <f>H1648-G1649</f>
        <v/>
      </c>
      <c r="I1649" s="568" t="n"/>
      <c r="J1649" s="568" t="n"/>
      <c r="K1649" s="568" t="n"/>
      <c r="L1649" s="568" t="n"/>
    </row>
    <row r="1650">
      <c r="A1650" s="568" t="n">
        <v>44510</v>
      </c>
      <c r="B1650" s="392" t="n">
        <v>8602</v>
      </c>
      <c r="C1650" s="392" t="n">
        <v>73</v>
      </c>
      <c r="D1650" s="392" t="n"/>
      <c r="E1650" s="392" t="n"/>
      <c r="F1650" s="392" t="n"/>
      <c r="G1650" s="392" t="n">
        <v>20</v>
      </c>
      <c r="H1650" s="52">
        <f>H1649-G1650</f>
        <v/>
      </c>
      <c r="I1650" s="568" t="n"/>
      <c r="J1650" s="568" t="n"/>
      <c r="K1650" s="568" t="n"/>
      <c r="L1650" s="568" t="n"/>
    </row>
    <row r="1651">
      <c r="A1651" s="568" t="n">
        <v>44510</v>
      </c>
      <c r="B1651" s="392" t="n">
        <v>8603</v>
      </c>
      <c r="C1651" s="392" t="n">
        <v>73</v>
      </c>
      <c r="D1651" s="392" t="n"/>
      <c r="E1651" s="392" t="n"/>
      <c r="F1651" s="392" t="n"/>
      <c r="G1651" s="392" t="n">
        <v>25</v>
      </c>
      <c r="H1651" s="52">
        <f>H1650-G1651</f>
        <v/>
      </c>
      <c r="I1651" s="568" t="n"/>
      <c r="J1651" s="568" t="n"/>
      <c r="K1651" s="568" t="n"/>
      <c r="L1651" s="568" t="n"/>
    </row>
    <row r="1652">
      <c r="A1652" s="568" t="n">
        <v>44510</v>
      </c>
      <c r="B1652" s="392" t="n">
        <v>8604</v>
      </c>
      <c r="C1652" s="392" t="n">
        <v>73</v>
      </c>
      <c r="D1652" s="392" t="n"/>
      <c r="E1652" s="392" t="n"/>
      <c r="F1652" s="392" t="n"/>
      <c r="G1652" s="392" t="n">
        <v>15</v>
      </c>
      <c r="H1652" s="52">
        <f>H1651-G1652</f>
        <v/>
      </c>
      <c r="I1652" s="568" t="n"/>
      <c r="J1652" s="568" t="n"/>
      <c r="K1652" s="568" t="n"/>
      <c r="L1652" s="568" t="n"/>
    </row>
    <row r="1653">
      <c r="A1653" s="568" t="n">
        <v>44517</v>
      </c>
      <c r="B1653" s="392" t="n">
        <v>8613</v>
      </c>
      <c r="C1653" s="392" t="n">
        <v>73.58</v>
      </c>
      <c r="D1653" s="392" t="n"/>
      <c r="E1653" s="392" t="n"/>
      <c r="F1653" s="392" t="n"/>
      <c r="G1653" s="392" t="n">
        <v>70</v>
      </c>
      <c r="H1653" s="52">
        <f>H1652-G1653</f>
        <v/>
      </c>
      <c r="I1653" s="568" t="n"/>
      <c r="J1653" s="568" t="n"/>
      <c r="K1653" s="568" t="n"/>
      <c r="L1653" s="568" t="n"/>
    </row>
    <row r="1654">
      <c r="A1654" s="568" t="n">
        <v>44517</v>
      </c>
      <c r="B1654" s="392" t="n">
        <v>8614</v>
      </c>
      <c r="C1654" s="392" t="n">
        <v>73</v>
      </c>
      <c r="D1654" s="392" t="n"/>
      <c r="E1654" s="392" t="n"/>
      <c r="F1654" s="392" t="n"/>
      <c r="G1654" s="392" t="n">
        <v>70</v>
      </c>
      <c r="H1654" s="52">
        <f>H1653-G1654</f>
        <v/>
      </c>
      <c r="I1654" s="568" t="n"/>
      <c r="J1654" s="568" t="n"/>
      <c r="K1654" s="568" t="n"/>
      <c r="L1654" s="568" t="n"/>
    </row>
    <row r="1655">
      <c r="A1655" s="568" t="n">
        <v>44517</v>
      </c>
      <c r="B1655" s="392" t="n">
        <v>8618</v>
      </c>
      <c r="C1655" s="392" t="n">
        <v>73</v>
      </c>
      <c r="D1655" s="392" t="n"/>
      <c r="E1655" s="392" t="n"/>
      <c r="F1655" s="392" t="n"/>
      <c r="G1655" s="392" t="n">
        <v>15</v>
      </c>
      <c r="H1655" s="52">
        <f>H1654-G1655</f>
        <v/>
      </c>
      <c r="I1655" s="568" t="n"/>
      <c r="J1655" s="568" t="n"/>
      <c r="K1655" s="568" t="n"/>
      <c r="L1655" s="568" t="n"/>
    </row>
    <row r="1656">
      <c r="A1656" s="568" t="n">
        <v>44518</v>
      </c>
      <c r="B1656" s="392" t="n">
        <v>8621</v>
      </c>
      <c r="C1656" s="392" t="n">
        <v>73.72</v>
      </c>
      <c r="D1656" s="392" t="n"/>
      <c r="E1656" s="392" t="n"/>
      <c r="F1656" s="392" t="n"/>
      <c r="G1656" s="392" t="n">
        <v>35</v>
      </c>
      <c r="H1656" s="52">
        <f>H1655-G1656</f>
        <v/>
      </c>
      <c r="I1656" s="568" t="n"/>
      <c r="J1656" s="568" t="n"/>
      <c r="K1656" s="568" t="n"/>
      <c r="L1656" s="568" t="n"/>
    </row>
    <row r="1657">
      <c r="A1657" s="568" t="n">
        <v>44518</v>
      </c>
      <c r="B1657" s="392" t="n">
        <v>8622</v>
      </c>
      <c r="C1657" s="392" t="n">
        <v>73.81999999999999</v>
      </c>
      <c r="D1657" s="392" t="n"/>
      <c r="E1657" s="392" t="n"/>
      <c r="F1657" s="392" t="n"/>
      <c r="G1657" s="392" t="n">
        <v>11</v>
      </c>
      <c r="H1657" s="52">
        <f>H1656-G1657</f>
        <v/>
      </c>
      <c r="I1657" s="568" t="n"/>
      <c r="J1657" s="568" t="n"/>
      <c r="K1657" s="568" t="n"/>
      <c r="L1657" s="568" t="n"/>
    </row>
    <row r="1658">
      <c r="A1658" s="568" t="n">
        <v>44518</v>
      </c>
      <c r="B1658" s="392" t="n">
        <v>8625</v>
      </c>
      <c r="C1658" s="392" t="n">
        <v>73</v>
      </c>
      <c r="D1658" s="392" t="n"/>
      <c r="E1658" s="392" t="n"/>
      <c r="F1658" s="392" t="n"/>
      <c r="G1658" s="392" t="n">
        <v>30</v>
      </c>
      <c r="H1658" s="52">
        <f>H1657-G1658</f>
        <v/>
      </c>
      <c r="I1658" s="568" t="n"/>
      <c r="J1658" s="568" t="n"/>
      <c r="K1658" s="568" t="n"/>
      <c r="L1658" s="568" t="n"/>
    </row>
    <row r="1659">
      <c r="A1659" s="568" t="n">
        <v>44518</v>
      </c>
      <c r="B1659" s="392" t="n">
        <v>8628</v>
      </c>
      <c r="C1659" s="392" t="n">
        <v>72.5</v>
      </c>
      <c r="D1659" s="392" t="n"/>
      <c r="E1659" s="392" t="n"/>
      <c r="F1659" s="392" t="n"/>
      <c r="G1659" s="392" t="n">
        <v>20</v>
      </c>
      <c r="H1659" s="52">
        <f>H1658-G1659</f>
        <v/>
      </c>
      <c r="I1659" s="568" t="n"/>
      <c r="J1659" s="568" t="n"/>
      <c r="K1659" s="568" t="n"/>
      <c r="L1659" s="568" t="n"/>
    </row>
    <row r="1660">
      <c r="A1660" s="568" t="n">
        <v>44523</v>
      </c>
      <c r="B1660" s="392" t="n">
        <v>8630</v>
      </c>
      <c r="C1660" s="392" t="n">
        <v>73.84</v>
      </c>
      <c r="D1660" s="392" t="n"/>
      <c r="E1660" s="392" t="n"/>
      <c r="F1660" s="392" t="n"/>
      <c r="G1660" s="392" t="n">
        <v>36</v>
      </c>
      <c r="H1660" s="52">
        <f>H1659-G1660</f>
        <v/>
      </c>
      <c r="I1660" s="568" t="n"/>
      <c r="J1660" s="568" t="n"/>
      <c r="K1660" s="568" t="n"/>
      <c r="L1660" s="568" t="n"/>
    </row>
    <row r="1661">
      <c r="A1661" s="568" t="n">
        <v>44523</v>
      </c>
      <c r="B1661" s="392" t="n">
        <v>8636</v>
      </c>
      <c r="C1661" s="392" t="n">
        <v>73</v>
      </c>
      <c r="D1661" s="392" t="n"/>
      <c r="E1661" s="392" t="n"/>
      <c r="F1661" s="392" t="n"/>
      <c r="G1661" s="392" t="n">
        <v>20</v>
      </c>
      <c r="H1661" s="52">
        <f>H1660-G1661</f>
        <v/>
      </c>
      <c r="I1661" s="568" t="n"/>
      <c r="J1661" s="568" t="n"/>
      <c r="K1661" s="568" t="n"/>
      <c r="L1661" s="568" t="n"/>
    </row>
    <row r="1662">
      <c r="A1662" s="568" t="n">
        <v>44523</v>
      </c>
      <c r="B1662" s="392" t="n">
        <v>8637</v>
      </c>
      <c r="C1662" s="392" t="n">
        <v>73</v>
      </c>
      <c r="D1662" s="392" t="n"/>
      <c r="E1662" s="392" t="n"/>
      <c r="F1662" s="392" t="n"/>
      <c r="G1662" s="392" t="n">
        <v>20</v>
      </c>
      <c r="H1662" s="52">
        <f>H1661-G1662</f>
        <v/>
      </c>
      <c r="I1662" s="568" t="n"/>
      <c r="J1662" s="568" t="n"/>
      <c r="K1662" s="568" t="n"/>
      <c r="L1662" s="568" t="n"/>
    </row>
    <row r="1663">
      <c r="A1663" s="568" t="n">
        <v>44523</v>
      </c>
      <c r="B1663" s="392" t="n">
        <v>8642</v>
      </c>
      <c r="C1663" s="392" t="n">
        <v>75.5</v>
      </c>
      <c r="D1663" s="392" t="n"/>
      <c r="E1663" s="392" t="n"/>
      <c r="F1663" s="392" t="n"/>
      <c r="G1663" s="392" t="n">
        <v>50</v>
      </c>
      <c r="H1663" s="52">
        <f>H1662-G1663</f>
        <v/>
      </c>
      <c r="I1663" s="568" t="n"/>
      <c r="J1663" s="568" t="n"/>
      <c r="K1663" s="568" t="n"/>
      <c r="L1663" s="568" t="n"/>
    </row>
    <row r="1664">
      <c r="A1664" s="568" t="n">
        <v>44523</v>
      </c>
      <c r="B1664" s="392" t="n">
        <v>8643</v>
      </c>
      <c r="C1664" s="392" t="n">
        <v>73</v>
      </c>
      <c r="D1664" s="392" t="n"/>
      <c r="E1664" s="392" t="n"/>
      <c r="F1664" s="392" t="n"/>
      <c r="G1664" s="392" t="n">
        <v>15</v>
      </c>
      <c r="H1664" s="52">
        <f>H1663-G1664</f>
        <v/>
      </c>
      <c r="I1664" s="568" t="n"/>
      <c r="J1664" s="568" t="n"/>
      <c r="K1664" s="568" t="n"/>
      <c r="L1664" s="568" t="n"/>
    </row>
    <row r="1665">
      <c r="A1665" s="568" t="n">
        <v>44523</v>
      </c>
      <c r="B1665" s="392" t="n">
        <v>8644</v>
      </c>
      <c r="C1665" s="392" t="n">
        <v>72.5</v>
      </c>
      <c r="D1665" s="392" t="n"/>
      <c r="E1665" s="392" t="n"/>
      <c r="F1665" s="392" t="n"/>
      <c r="G1665" s="392" t="n">
        <v>10</v>
      </c>
      <c r="H1665" s="52">
        <f>H1664-G1665</f>
        <v/>
      </c>
      <c r="I1665" s="568" t="n"/>
      <c r="J1665" s="568" t="n"/>
      <c r="K1665" s="568" t="n"/>
      <c r="L1665" s="568" t="n"/>
    </row>
    <row r="1666">
      <c r="A1666" s="568" t="n">
        <v>44523</v>
      </c>
      <c r="B1666" s="392" t="n">
        <v>8645</v>
      </c>
      <c r="C1666" s="392" t="n">
        <v>74</v>
      </c>
      <c r="D1666" s="392" t="n"/>
      <c r="E1666" s="392" t="n"/>
      <c r="F1666" s="392" t="n"/>
      <c r="G1666" s="392" t="n">
        <v>10</v>
      </c>
      <c r="H1666" s="52">
        <f>H1665-G1666</f>
        <v/>
      </c>
      <c r="I1666" s="568" t="n"/>
      <c r="J1666" s="568" t="n"/>
      <c r="K1666" s="568" t="n"/>
      <c r="L1666" s="568" t="n"/>
    </row>
    <row r="1667">
      <c r="A1667" s="304" t="n">
        <v>44526</v>
      </c>
      <c r="B1667" s="401" t="n">
        <v>179015</v>
      </c>
      <c r="C1667" s="401" t="n">
        <v>62</v>
      </c>
      <c r="D1667" s="401" t="n"/>
      <c r="E1667" s="401" t="n"/>
      <c r="F1667" s="401" t="n">
        <v>627</v>
      </c>
      <c r="G1667" s="401" t="n"/>
      <c r="H1667" s="277" t="n">
        <v>701</v>
      </c>
      <c r="I1667" s="568" t="n"/>
      <c r="J1667" s="568" t="n"/>
      <c r="K1667" s="568" t="n"/>
      <c r="L1667" s="568" t="n"/>
    </row>
    <row r="1668">
      <c r="A1668" s="568" t="n">
        <v>44530</v>
      </c>
      <c r="B1668" s="392" t="n">
        <v>8650</v>
      </c>
      <c r="C1668" s="392" t="n">
        <v>73.81</v>
      </c>
      <c r="D1668" s="392" t="n"/>
      <c r="E1668" s="392" t="n"/>
      <c r="F1668" s="392" t="n"/>
      <c r="G1668" s="392" t="n">
        <v>31</v>
      </c>
      <c r="H1668" s="52">
        <f>H1667-G1668</f>
        <v/>
      </c>
      <c r="I1668" s="568" t="n"/>
      <c r="J1668" s="568" t="n"/>
      <c r="K1668" s="568" t="n"/>
      <c r="L1668" s="568" t="n"/>
    </row>
    <row r="1669">
      <c r="A1669" s="568" t="n">
        <v>44530</v>
      </c>
      <c r="B1669" s="392" t="n">
        <v>8651</v>
      </c>
      <c r="C1669" s="392" t="n">
        <v>75.67</v>
      </c>
      <c r="D1669" s="392" t="n"/>
      <c r="E1669" s="392" t="n"/>
      <c r="F1669" s="392" t="n"/>
      <c r="G1669" s="392" t="n">
        <v>30</v>
      </c>
      <c r="H1669" s="52">
        <f>H1668-G1669</f>
        <v/>
      </c>
      <c r="I1669" s="568" t="n"/>
      <c r="J1669" s="568" t="n"/>
      <c r="K1669" s="568" t="n"/>
      <c r="L1669" s="568" t="n"/>
    </row>
    <row r="1670">
      <c r="A1670" s="568" t="n">
        <v>44530</v>
      </c>
      <c r="B1670" s="392" t="n">
        <v>8653</v>
      </c>
      <c r="C1670" s="392" t="n">
        <v>76.5</v>
      </c>
      <c r="D1670" s="392" t="n"/>
      <c r="E1670" s="392" t="n"/>
      <c r="F1670" s="392" t="n"/>
      <c r="G1670" s="392" t="n">
        <v>20</v>
      </c>
      <c r="H1670" s="52">
        <f>H1669-G1670</f>
        <v/>
      </c>
      <c r="I1670" s="568" t="n"/>
      <c r="J1670" s="568" t="n"/>
      <c r="K1670" s="568" t="n"/>
      <c r="L1670" s="568" t="n"/>
    </row>
    <row r="1671">
      <c r="A1671" s="568" t="n">
        <v>44530</v>
      </c>
      <c r="B1671" s="392" t="n">
        <v>8656</v>
      </c>
      <c r="C1671" s="392" t="n">
        <v>73</v>
      </c>
      <c r="D1671" s="392" t="n"/>
      <c r="E1671" s="392" t="n"/>
      <c r="F1671" s="392" t="n"/>
      <c r="G1671" s="392" t="n">
        <v>15</v>
      </c>
      <c r="H1671" s="52">
        <f>H1670-G1671</f>
        <v/>
      </c>
      <c r="I1671" s="568" t="n"/>
      <c r="J1671" s="568" t="n"/>
      <c r="K1671" s="568" t="n"/>
      <c r="L1671" s="568" t="n"/>
    </row>
    <row r="1672" ht="15.75" customHeight="1" s="436" thickBot="1"/>
    <row r="1673" ht="21.75" customHeight="1" s="436" thickBot="1">
      <c r="A1673" s="757" t="inlineStr">
        <is>
          <t>Dezembro</t>
        </is>
      </c>
      <c r="B1673" s="697" t="n"/>
      <c r="C1673" s="697" t="n"/>
      <c r="D1673" s="697" t="n"/>
      <c r="E1673" s="697" t="n"/>
      <c r="F1673" s="697" t="n"/>
      <c r="G1673" s="697" t="n"/>
      <c r="H1673" s="697" t="n"/>
      <c r="I1673" s="697" t="n"/>
      <c r="J1673" s="697" t="n"/>
      <c r="K1673" s="697" t="n"/>
      <c r="L1673" s="698" t="n"/>
    </row>
    <row r="1674" ht="21.75" customHeight="1" s="436" thickBot="1">
      <c r="A1674" s="699" t="inlineStr">
        <is>
          <t xml:space="preserve">021 - DENISE FURTADO DE SOUZA - ME </t>
        </is>
      </c>
      <c r="B1674" s="697" t="n"/>
      <c r="C1674" s="697" t="n"/>
      <c r="D1674" s="697" t="n"/>
      <c r="E1674" s="697" t="n"/>
      <c r="F1674" s="697" t="n"/>
      <c r="G1674" s="697" t="n"/>
      <c r="H1674" s="697" t="n"/>
      <c r="I1674" s="697" t="n"/>
      <c r="J1674" s="697" t="n"/>
      <c r="K1674" s="697" t="n"/>
      <c r="L1674" s="698" t="n"/>
    </row>
    <row r="1675" ht="24" customHeight="1" s="436" thickBot="1">
      <c r="A1675" s="745" t="inlineStr">
        <is>
          <t xml:space="preserve">  PRÉ MISTURA - 25 KG</t>
        </is>
      </c>
      <c r="B1675" s="737" t="n"/>
      <c r="C1675" s="737" t="n"/>
      <c r="D1675" s="737" t="n"/>
      <c r="E1675" s="737" t="n"/>
      <c r="F1675" s="737" t="n"/>
      <c r="G1675" s="737" t="n"/>
      <c r="H1675" s="737" t="n"/>
      <c r="I1675" s="737" t="n"/>
      <c r="J1675" s="737" t="n"/>
      <c r="K1675" s="737" t="n"/>
      <c r="L1675" s="736" t="n"/>
    </row>
    <row r="1676">
      <c r="A1676" s="746" t="inlineStr">
        <is>
          <t>DATA</t>
        </is>
      </c>
      <c r="B1676" s="3" t="inlineStr">
        <is>
          <t>N.F.</t>
        </is>
      </c>
      <c r="C1676" s="3" t="inlineStr">
        <is>
          <t>TIPO</t>
        </is>
      </c>
      <c r="D1676" s="3" t="inlineStr">
        <is>
          <t>PREÇO UNITÁRIO</t>
        </is>
      </c>
      <c r="E1676" s="736" t="n"/>
      <c r="F1676" s="3" t="inlineStr">
        <is>
          <t>QUANTIDADE / KG</t>
        </is>
      </c>
      <c r="G1676" s="737" t="n"/>
      <c r="H1676" s="736" t="n"/>
      <c r="I1676" s="631" t="inlineStr">
        <is>
          <t>PREÇO</t>
        </is>
      </c>
      <c r="J1676" s="631" t="inlineStr">
        <is>
          <t>VALORES</t>
        </is>
      </c>
      <c r="K1676" s="737" t="n"/>
      <c r="L1676" s="736" t="n"/>
    </row>
    <row r="1677" ht="15.75" customHeight="1" s="436" thickBot="1">
      <c r="A1677" s="703" t="n"/>
      <c r="B1677" s="704" t="n"/>
      <c r="C1677" s="704" t="n"/>
      <c r="D1677" s="703" t="n"/>
      <c r="E1677" s="701" t="n"/>
      <c r="F1677" s="705" t="n"/>
      <c r="G1677" s="706" t="n"/>
      <c r="H1677" s="707" t="n"/>
      <c r="I1677" s="704" t="n"/>
      <c r="J1677" s="703" t="n"/>
      <c r="L1677" s="701" t="n"/>
    </row>
    <row r="1678" ht="15.75" customHeight="1" s="436" thickBot="1">
      <c r="A1678" s="703" t="n"/>
      <c r="B1678" s="704" t="n"/>
      <c r="C1678" s="704" t="n"/>
      <c r="D1678" s="705" t="n"/>
      <c r="E1678" s="707" t="n"/>
      <c r="F1678" s="3" t="inlineStr">
        <is>
          <t>ENTRADA</t>
        </is>
      </c>
      <c r="G1678" s="3" t="inlineStr">
        <is>
          <t>SAÍDA</t>
        </is>
      </c>
      <c r="H1678" s="640" t="n"/>
      <c r="I1678" s="633" t="inlineStr">
        <is>
          <t>MÉDIO</t>
        </is>
      </c>
      <c r="J1678" s="652" t="inlineStr">
        <is>
          <t>SALDO EM 30/12/2017</t>
        </is>
      </c>
      <c r="K1678" s="706" t="n"/>
      <c r="L1678" s="17" t="n"/>
    </row>
    <row r="1679" ht="15.75" customHeight="1" s="436" thickBot="1">
      <c r="A1679" s="705" t="n"/>
      <c r="B1679" s="695" t="n"/>
      <c r="C1679" s="695" t="n"/>
      <c r="D1679" s="3" t="inlineStr">
        <is>
          <t>C/ICMS</t>
        </is>
      </c>
      <c r="E1679" s="3" t="inlineStr">
        <is>
          <t>S/ICMS</t>
        </is>
      </c>
      <c r="F1679" s="695" t="n"/>
      <c r="G1679" s="695" t="n"/>
      <c r="H1679" s="361" t="inlineStr">
        <is>
          <t>Saldo em 30/10/2021</t>
        </is>
      </c>
      <c r="I1679" s="695" t="n"/>
      <c r="J1679" s="645" t="inlineStr">
        <is>
          <t>ENTRADA</t>
        </is>
      </c>
      <c r="K1679" s="633" t="inlineStr">
        <is>
          <t>SAÍDA / CMV</t>
        </is>
      </c>
      <c r="L1679" s="633" t="inlineStr">
        <is>
          <t>SALDO</t>
        </is>
      </c>
    </row>
    <row r="1680">
      <c r="A1680" s="568" t="n"/>
      <c r="B1680" s="392" t="n"/>
      <c r="C1680" s="392" t="n"/>
      <c r="D1680" s="392" t="n"/>
      <c r="E1680" s="392" t="n"/>
      <c r="F1680" s="392" t="n"/>
      <c r="G1680" s="392" t="n"/>
      <c r="H1680" s="52" t="n">
        <v>605</v>
      </c>
      <c r="I1680" s="568" t="n"/>
      <c r="J1680" s="568" t="n"/>
      <c r="K1680" s="568" t="n"/>
      <c r="L1680" s="568" t="n"/>
    </row>
    <row r="1681">
      <c r="A1681" s="304" t="n">
        <v>44896</v>
      </c>
      <c r="B1681" s="401" t="n">
        <v>180175</v>
      </c>
      <c r="C1681" s="401" t="n">
        <v>65</v>
      </c>
      <c r="D1681" s="401" t="n"/>
      <c r="E1681" s="401" t="n">
        <v>880</v>
      </c>
      <c r="F1681" s="401" t="n"/>
      <c r="G1681" s="401" t="n"/>
      <c r="H1681" s="277" t="n">
        <v>1485</v>
      </c>
      <c r="I1681" s="568" t="n"/>
      <c r="J1681" s="568" t="n"/>
      <c r="K1681" s="568" t="n"/>
      <c r="L1681" s="568" t="n"/>
    </row>
    <row r="1682">
      <c r="A1682" s="568" t="n">
        <v>44531</v>
      </c>
      <c r="B1682" s="392" t="n">
        <v>8660</v>
      </c>
      <c r="C1682" s="392" t="n">
        <v>73.84</v>
      </c>
      <c r="D1682" s="392" t="n"/>
      <c r="E1682" s="392" t="n"/>
      <c r="F1682" s="392" t="n"/>
      <c r="G1682" s="392" t="n">
        <v>36</v>
      </c>
      <c r="H1682" s="52">
        <f>H1681-G1682</f>
        <v/>
      </c>
      <c r="I1682" s="568" t="n"/>
      <c r="J1682" s="568" t="n"/>
      <c r="K1682" s="568" t="n"/>
      <c r="L1682" s="568" t="n"/>
    </row>
    <row r="1683">
      <c r="A1683" s="568" t="n">
        <v>44531</v>
      </c>
      <c r="B1683" s="392" t="n">
        <v>8662</v>
      </c>
      <c r="C1683" s="392" t="n">
        <v>75.40000000000001</v>
      </c>
      <c r="D1683" s="392" t="n"/>
      <c r="E1683" s="392" t="n"/>
      <c r="F1683" s="392" t="n"/>
      <c r="G1683" s="392" t="n">
        <v>20</v>
      </c>
      <c r="H1683" s="52">
        <f>H1682-G1683</f>
        <v/>
      </c>
      <c r="I1683" s="568" t="n"/>
      <c r="J1683" s="568" t="n"/>
      <c r="K1683" s="568" t="n"/>
      <c r="L1683" s="568" t="n"/>
    </row>
    <row r="1684">
      <c r="A1684" s="568" t="n">
        <v>44531</v>
      </c>
      <c r="B1684" s="392" t="n">
        <v>8663</v>
      </c>
      <c r="C1684" s="392" t="n">
        <v>73.5</v>
      </c>
      <c r="D1684" s="392" t="n"/>
      <c r="E1684" s="392" t="n"/>
      <c r="F1684" s="392" t="n"/>
      <c r="G1684" s="392" t="n">
        <v>50</v>
      </c>
      <c r="H1684" s="52">
        <f>H1683-G1684</f>
        <v/>
      </c>
      <c r="I1684" s="568" t="n"/>
      <c r="J1684" s="568" t="n"/>
      <c r="K1684" s="568" t="n"/>
      <c r="L1684" s="568" t="n"/>
    </row>
    <row r="1685">
      <c r="A1685" s="568" t="n">
        <v>44531</v>
      </c>
      <c r="B1685" s="392" t="n">
        <v>8664</v>
      </c>
      <c r="C1685" s="392" t="n">
        <v>74.8</v>
      </c>
      <c r="D1685" s="392" t="n"/>
      <c r="E1685" s="392" t="n"/>
      <c r="F1685" s="392" t="n"/>
      <c r="G1685" s="392" t="n">
        <v>50</v>
      </c>
      <c r="H1685" s="52">
        <f>H1684-G1685</f>
        <v/>
      </c>
      <c r="I1685" s="568" t="n"/>
      <c r="J1685" s="568" t="n"/>
      <c r="K1685" s="568" t="n"/>
      <c r="L1685" s="568" t="n"/>
    </row>
    <row r="1686">
      <c r="A1686" s="568" t="n">
        <v>44537</v>
      </c>
      <c r="B1686" s="392" t="n">
        <v>8675</v>
      </c>
      <c r="C1686" s="392" t="n">
        <v>74</v>
      </c>
      <c r="D1686" s="392" t="n"/>
      <c r="E1686" s="392" t="n"/>
      <c r="F1686" s="392" t="n"/>
      <c r="G1686" s="392" t="n">
        <v>80</v>
      </c>
      <c r="H1686" s="52">
        <f>H1685-G1686</f>
        <v/>
      </c>
      <c r="I1686" s="568" t="n"/>
      <c r="J1686" s="568" t="n"/>
      <c r="K1686" s="568" t="n"/>
      <c r="L1686" s="568" t="n"/>
    </row>
    <row r="1687">
      <c r="A1687" s="568" t="n">
        <v>44539</v>
      </c>
      <c r="B1687" s="392" t="n">
        <v>8681</v>
      </c>
      <c r="C1687" s="392" t="n">
        <v>73.86</v>
      </c>
      <c r="D1687" s="392" t="n"/>
      <c r="E1687" s="392" t="n"/>
      <c r="F1687" s="392" t="n"/>
      <c r="G1687" s="392" t="n">
        <v>140</v>
      </c>
      <c r="H1687" s="52">
        <f>H1686-G1687</f>
        <v/>
      </c>
      <c r="I1687" s="568" t="n"/>
      <c r="J1687" s="568" t="n"/>
      <c r="K1687" s="568" t="n"/>
      <c r="L1687" s="568" t="n"/>
    </row>
    <row r="1688">
      <c r="A1688" s="568" t="n">
        <v>44539</v>
      </c>
      <c r="B1688" s="392" t="n">
        <v>8682</v>
      </c>
      <c r="C1688" s="392" t="n">
        <v>74</v>
      </c>
      <c r="D1688" s="392" t="n"/>
      <c r="E1688" s="392" t="n"/>
      <c r="F1688" s="392" t="n"/>
      <c r="G1688" s="392" t="n">
        <v>15</v>
      </c>
      <c r="H1688" s="52">
        <f>H1687-G1688</f>
        <v/>
      </c>
      <c r="I1688" s="568" t="n"/>
      <c r="J1688" s="568" t="n"/>
      <c r="K1688" s="568" t="n"/>
      <c r="L1688" s="568" t="n"/>
    </row>
    <row r="1689">
      <c r="A1689" s="568" t="n">
        <v>44539</v>
      </c>
      <c r="B1689" s="392" t="n">
        <v>8683</v>
      </c>
      <c r="C1689" s="392" t="n">
        <v>72.5</v>
      </c>
      <c r="D1689" s="392" t="n"/>
      <c r="E1689" s="392" t="n"/>
      <c r="F1689" s="392" t="n"/>
      <c r="G1689" s="392" t="n">
        <v>35</v>
      </c>
      <c r="H1689" s="52">
        <f>H1688-G1689</f>
        <v/>
      </c>
      <c r="I1689" s="568" t="n"/>
      <c r="J1689" s="568" t="n"/>
      <c r="K1689" s="568" t="n"/>
      <c r="L1689" s="568" t="n"/>
    </row>
    <row r="1690">
      <c r="A1690" s="568" t="n">
        <v>44539</v>
      </c>
      <c r="B1690" s="392" t="n">
        <v>8686</v>
      </c>
      <c r="C1690" s="392" t="n">
        <v>75</v>
      </c>
      <c r="D1690" s="392" t="n"/>
      <c r="E1690" s="392" t="n"/>
      <c r="F1690" s="392" t="n"/>
      <c r="G1690" s="392" t="n">
        <v>15</v>
      </c>
      <c r="H1690" s="52">
        <f>H1689-G1690</f>
        <v/>
      </c>
      <c r="I1690" s="568" t="n"/>
      <c r="J1690" s="568" t="n"/>
      <c r="K1690" s="568" t="n"/>
      <c r="L1690" s="568" t="n"/>
    </row>
    <row r="1691">
      <c r="A1691" s="568" t="n">
        <v>44539</v>
      </c>
      <c r="B1691" s="392" t="n">
        <v>8687</v>
      </c>
      <c r="C1691" s="392" t="n">
        <v>76.25</v>
      </c>
      <c r="D1691" s="392" t="n"/>
      <c r="E1691" s="392" t="n"/>
      <c r="F1691" s="392" t="n"/>
      <c r="G1691" s="392" t="n">
        <v>20</v>
      </c>
      <c r="H1691" s="52">
        <f>H1690-G1691</f>
        <v/>
      </c>
      <c r="I1691" s="568" t="n"/>
      <c r="J1691" s="568" t="n"/>
      <c r="K1691" s="568" t="n"/>
      <c r="L1691" s="568" t="n"/>
    </row>
    <row r="1692">
      <c r="A1692" s="568" t="n">
        <v>44539</v>
      </c>
      <c r="B1692" s="392" t="n">
        <v>8689</v>
      </c>
      <c r="C1692" s="392" t="n">
        <v>75</v>
      </c>
      <c r="D1692" s="392" t="n"/>
      <c r="E1692" s="392" t="n"/>
      <c r="F1692" s="392" t="n"/>
      <c r="G1692" s="392" t="n">
        <v>35</v>
      </c>
      <c r="H1692" s="52">
        <f>H1691-G1692</f>
        <v/>
      </c>
      <c r="I1692" s="568" t="n"/>
      <c r="J1692" s="568" t="n"/>
      <c r="K1692" s="568" t="n"/>
      <c r="L1692" s="568" t="n"/>
    </row>
    <row r="1693">
      <c r="A1693" s="568" t="n">
        <v>44539</v>
      </c>
      <c r="B1693" s="392" t="n">
        <v>8690</v>
      </c>
      <c r="C1693" s="392" t="n">
        <v>73.95</v>
      </c>
      <c r="D1693" s="392" t="n"/>
      <c r="E1693" s="392" t="n"/>
      <c r="F1693" s="392" t="n"/>
      <c r="G1693" s="392" t="n">
        <v>37</v>
      </c>
      <c r="H1693" s="52">
        <f>H1692-G1693</f>
        <v/>
      </c>
      <c r="I1693" s="568" t="n"/>
      <c r="J1693" s="568" t="n"/>
      <c r="K1693" s="568" t="n"/>
      <c r="L1693" s="568" t="n"/>
    </row>
    <row r="1694">
      <c r="A1694" s="568" t="n">
        <v>44539</v>
      </c>
      <c r="B1694" s="392" t="n">
        <v>8691</v>
      </c>
      <c r="C1694" s="392" t="n">
        <v>75</v>
      </c>
      <c r="D1694" s="392" t="n"/>
      <c r="E1694" s="392" t="n"/>
      <c r="F1694" s="392" t="n"/>
      <c r="G1694" s="392" t="n">
        <v>30</v>
      </c>
      <c r="H1694" s="52">
        <f>H1693-G1694</f>
        <v/>
      </c>
      <c r="I1694" s="568" t="n"/>
      <c r="J1694" s="568" t="n"/>
      <c r="K1694" s="568" t="n"/>
      <c r="L1694" s="568" t="n"/>
    </row>
    <row r="1695">
      <c r="A1695" s="568" t="n">
        <v>44539</v>
      </c>
      <c r="B1695" s="392" t="n">
        <v>8692</v>
      </c>
      <c r="C1695" s="392" t="n">
        <v>87.17</v>
      </c>
      <c r="D1695" s="392" t="n"/>
      <c r="E1695" s="392" t="n"/>
      <c r="F1695" s="392" t="n"/>
      <c r="G1695" s="392" t="n">
        <v>35</v>
      </c>
      <c r="H1695" s="52">
        <f>H1694-G1695</f>
        <v/>
      </c>
      <c r="I1695" s="568" t="n"/>
      <c r="J1695" s="568" t="n"/>
      <c r="K1695" s="568" t="n"/>
      <c r="L1695" s="568" t="n"/>
    </row>
    <row r="1696">
      <c r="A1696" s="568" t="n">
        <v>44543</v>
      </c>
      <c r="B1696" s="392" t="n">
        <v>8694</v>
      </c>
      <c r="C1696" s="392" t="n">
        <v>73.64</v>
      </c>
      <c r="D1696" s="392" t="n"/>
      <c r="E1696" s="392" t="n"/>
      <c r="F1696" s="392" t="n"/>
      <c r="G1696" s="392" t="n">
        <v>55</v>
      </c>
      <c r="H1696" s="52">
        <f>H1695-G1696</f>
        <v/>
      </c>
      <c r="I1696" s="568" t="n"/>
      <c r="J1696" s="568" t="n"/>
      <c r="K1696" s="568" t="n"/>
      <c r="L1696" s="568" t="n"/>
    </row>
    <row r="1697">
      <c r="A1697" s="568" t="n">
        <v>44544</v>
      </c>
      <c r="B1697" s="392" t="n">
        <v>8705</v>
      </c>
      <c r="C1697" s="392" t="n">
        <v>75</v>
      </c>
      <c r="D1697" s="392" t="n"/>
      <c r="E1697" s="392" t="n"/>
      <c r="F1697" s="392" t="n"/>
      <c r="G1697" s="392" t="n">
        <v>20</v>
      </c>
      <c r="H1697" s="52">
        <f>H1696-G1697</f>
        <v/>
      </c>
      <c r="I1697" s="568" t="n"/>
      <c r="J1697" s="568" t="n"/>
      <c r="K1697" s="568" t="n"/>
      <c r="L1697" s="568" t="n"/>
    </row>
    <row r="1698">
      <c r="A1698" s="568" t="n">
        <v>44544</v>
      </c>
      <c r="B1698" s="392" t="n">
        <v>8706</v>
      </c>
      <c r="C1698" s="392" t="n">
        <v>74</v>
      </c>
      <c r="D1698" s="392" t="n"/>
      <c r="E1698" s="392" t="n"/>
      <c r="F1698" s="392" t="n"/>
      <c r="G1698" s="392" t="n">
        <v>30</v>
      </c>
      <c r="H1698" s="52">
        <f>H1697-G1698</f>
        <v/>
      </c>
      <c r="I1698" s="568" t="n"/>
      <c r="J1698" s="568" t="n"/>
      <c r="K1698" s="568" t="n"/>
      <c r="L1698" s="568" t="n"/>
    </row>
    <row r="1699">
      <c r="A1699" s="568" t="n">
        <v>44544</v>
      </c>
      <c r="B1699" s="392" t="n">
        <v>8708</v>
      </c>
      <c r="C1699" s="392" t="n">
        <v>75</v>
      </c>
      <c r="D1699" s="392" t="n"/>
      <c r="E1699" s="392" t="n"/>
      <c r="F1699" s="392" t="n"/>
      <c r="G1699" s="392" t="n">
        <v>20</v>
      </c>
      <c r="H1699" s="52">
        <f>H1698-G1699</f>
        <v/>
      </c>
      <c r="I1699" s="568" t="n"/>
      <c r="J1699" s="568" t="n"/>
      <c r="K1699" s="568" t="n"/>
      <c r="L1699" s="568" t="n"/>
    </row>
    <row r="1700">
      <c r="A1700" s="568" t="n">
        <v>44546</v>
      </c>
      <c r="B1700" s="392" t="n">
        <v>8722</v>
      </c>
      <c r="C1700" s="392" t="n">
        <v>75</v>
      </c>
      <c r="D1700" s="392" t="n"/>
      <c r="E1700" s="392" t="n"/>
      <c r="F1700" s="392" t="n"/>
      <c r="G1700" s="392" t="n">
        <v>30</v>
      </c>
      <c r="H1700" s="52">
        <f>H1699-G1700</f>
        <v/>
      </c>
      <c r="I1700" s="568" t="n"/>
      <c r="J1700" s="568" t="n"/>
      <c r="K1700" s="568" t="n"/>
      <c r="L1700" s="568" t="n"/>
    </row>
    <row r="1701">
      <c r="A1701" s="568" t="n">
        <v>44546</v>
      </c>
      <c r="B1701" s="392" t="n">
        <v>8724</v>
      </c>
      <c r="C1701" s="392" t="n">
        <v>75</v>
      </c>
      <c r="D1701" s="392" t="n"/>
      <c r="E1701" s="392" t="n"/>
      <c r="F1701" s="392" t="n"/>
      <c r="G1701" s="392" t="n">
        <v>40</v>
      </c>
      <c r="H1701" s="52">
        <f>H1700-G1701</f>
        <v/>
      </c>
      <c r="I1701" s="568" t="n"/>
      <c r="J1701" s="568" t="n"/>
      <c r="K1701" s="568" t="n"/>
      <c r="L1701" s="568" t="n"/>
    </row>
    <row r="1702">
      <c r="A1702" s="568" t="n">
        <v>44546</v>
      </c>
      <c r="B1702" s="392" t="n">
        <v>8727</v>
      </c>
      <c r="C1702" s="392" t="n">
        <v>75.84</v>
      </c>
      <c r="D1702" s="392" t="n"/>
      <c r="E1702" s="392" t="n"/>
      <c r="F1702" s="392" t="n"/>
      <c r="G1702" s="392" t="n">
        <v>30</v>
      </c>
      <c r="H1702" s="52">
        <f>H1701-G1702</f>
        <v/>
      </c>
      <c r="I1702" s="568" t="n"/>
      <c r="J1702" s="568" t="n"/>
      <c r="K1702" s="568" t="n"/>
      <c r="L1702" s="568" t="n"/>
    </row>
    <row r="1703">
      <c r="A1703" s="568" t="inlineStr">
        <is>
          <t>17/12//2021</t>
        </is>
      </c>
      <c r="B1703" s="392" t="n">
        <v>8732</v>
      </c>
      <c r="C1703" s="392" t="n">
        <v>75</v>
      </c>
      <c r="D1703" s="392" t="n"/>
      <c r="E1703" s="392" t="n"/>
      <c r="F1703" s="392" t="n"/>
      <c r="G1703" s="392" t="n">
        <v>10</v>
      </c>
      <c r="H1703" s="52">
        <f>H1702-G1703</f>
        <v/>
      </c>
      <c r="I1703" s="568" t="n"/>
      <c r="J1703" s="568" t="n"/>
      <c r="K1703" s="568" t="n"/>
      <c r="L1703" s="568" t="n"/>
    </row>
    <row r="1704">
      <c r="A1704" s="304" t="n">
        <v>44922</v>
      </c>
      <c r="B1704" s="401" t="n">
        <v>182869</v>
      </c>
      <c r="C1704" s="401" t="n">
        <v>67</v>
      </c>
      <c r="D1704" s="401" t="n"/>
      <c r="E1704" s="401" t="n"/>
      <c r="F1704" s="401" t="n">
        <v>600</v>
      </c>
      <c r="G1704" s="401" t="n"/>
      <c r="H1704" s="277" t="n">
        <v>1272</v>
      </c>
      <c r="I1704" s="568" t="n"/>
      <c r="J1704" s="568" t="n"/>
      <c r="K1704" s="568" t="n"/>
      <c r="L1704" s="568" t="n"/>
    </row>
    <row r="1705">
      <c r="A1705" s="568" t="inlineStr">
        <is>
          <t>17/12//2023</t>
        </is>
      </c>
      <c r="B1705" s="392" t="n">
        <v>8732</v>
      </c>
      <c r="C1705" s="392" t="n">
        <v>75</v>
      </c>
      <c r="D1705" s="392" t="n"/>
      <c r="E1705" s="392" t="n"/>
      <c r="F1705" s="392" t="n"/>
      <c r="G1705" s="392" t="n"/>
      <c r="H1705" s="52">
        <f>H1704-G1705</f>
        <v/>
      </c>
      <c r="I1705" s="568" t="n"/>
      <c r="J1705" s="568" t="n"/>
      <c r="K1705" s="568" t="n"/>
      <c r="L1705" s="568" t="n"/>
    </row>
    <row r="1706">
      <c r="A1706" s="568" t="inlineStr">
        <is>
          <t>17/12//2024</t>
        </is>
      </c>
      <c r="B1706" s="392" t="n">
        <v>8732</v>
      </c>
      <c r="C1706" s="392" t="n">
        <v>75</v>
      </c>
      <c r="D1706" s="392" t="n"/>
      <c r="E1706" s="392" t="n"/>
      <c r="F1706" s="392" t="n"/>
      <c r="G1706" s="392" t="n"/>
      <c r="H1706" s="52">
        <f>H1705-G1706</f>
        <v/>
      </c>
      <c r="I1706" s="568" t="n"/>
      <c r="J1706" s="568" t="n"/>
      <c r="K1706" s="568" t="n"/>
      <c r="L1706" s="568" t="n"/>
    </row>
    <row r="1707"/>
    <row r="1708"/>
    <row r="1709"/>
    <row r="1710"/>
    <row r="1711" ht="15.75" customHeight="1" s="436" thickBot="1"/>
    <row r="1712" ht="21.75" customHeight="1" s="436" thickBot="1">
      <c r="A1712" s="757" t="inlineStr">
        <is>
          <t>Janeiro</t>
        </is>
      </c>
      <c r="B1712" s="697" t="n"/>
      <c r="C1712" s="697" t="n"/>
      <c r="D1712" s="697" t="n"/>
      <c r="E1712" s="697" t="n"/>
      <c r="F1712" s="697" t="n"/>
      <c r="G1712" s="697" t="n"/>
      <c r="H1712" s="697" t="n"/>
      <c r="I1712" s="697" t="n"/>
      <c r="J1712" s="697" t="n"/>
      <c r="K1712" s="697" t="n"/>
      <c r="L1712" s="698" t="n"/>
    </row>
    <row r="1713" ht="21.75" customHeight="1" s="436" thickBot="1">
      <c r="A1713" s="699" t="inlineStr">
        <is>
          <t xml:space="preserve">021 - DENISE FURTADO DE SOUZA - ME </t>
        </is>
      </c>
      <c r="B1713" s="697" t="n"/>
      <c r="C1713" s="697" t="n"/>
      <c r="D1713" s="697" t="n"/>
      <c r="E1713" s="697" t="n"/>
      <c r="F1713" s="697" t="n"/>
      <c r="G1713" s="697" t="n"/>
      <c r="H1713" s="697" t="n"/>
      <c r="I1713" s="697" t="n"/>
      <c r="J1713" s="697" t="n"/>
      <c r="K1713" s="697" t="n"/>
      <c r="L1713" s="698" t="n"/>
    </row>
    <row r="1714" ht="24" customHeight="1" s="436" thickBot="1">
      <c r="A1714" s="745" t="inlineStr">
        <is>
          <t xml:space="preserve">  PRÉ MISTURA - 25 KG</t>
        </is>
      </c>
      <c r="B1714" s="737" t="n"/>
      <c r="C1714" s="737" t="n"/>
      <c r="D1714" s="737" t="n"/>
      <c r="E1714" s="737" t="n"/>
      <c r="F1714" s="737" t="n"/>
      <c r="G1714" s="737" t="n"/>
      <c r="H1714" s="737" t="n"/>
      <c r="I1714" s="737" t="n"/>
      <c r="J1714" s="737" t="n"/>
      <c r="K1714" s="737" t="n"/>
      <c r="L1714" s="736" t="n"/>
    </row>
    <row r="1715">
      <c r="A1715" s="746" t="inlineStr">
        <is>
          <t>DATA</t>
        </is>
      </c>
      <c r="B1715" s="3" t="inlineStr">
        <is>
          <t>N.F.</t>
        </is>
      </c>
      <c r="C1715" s="3" t="inlineStr">
        <is>
          <t>TIPO</t>
        </is>
      </c>
      <c r="D1715" s="3" t="inlineStr">
        <is>
          <t>PREÇO UNITÁRIO</t>
        </is>
      </c>
      <c r="E1715" s="736" t="n"/>
      <c r="F1715" s="3" t="inlineStr">
        <is>
          <t>QUANTIDADE / KG</t>
        </is>
      </c>
      <c r="G1715" s="737" t="n"/>
      <c r="H1715" s="736" t="n"/>
      <c r="I1715" s="631" t="inlineStr">
        <is>
          <t>PREÇO</t>
        </is>
      </c>
      <c r="J1715" s="631" t="inlineStr">
        <is>
          <t>VALORES</t>
        </is>
      </c>
      <c r="K1715" s="737" t="n"/>
      <c r="L1715" s="736" t="n"/>
    </row>
    <row r="1716" ht="15.75" customHeight="1" s="436" thickBot="1">
      <c r="A1716" s="703" t="n"/>
      <c r="B1716" s="704" t="n"/>
      <c r="C1716" s="704" t="n"/>
      <c r="D1716" s="703" t="n"/>
      <c r="E1716" s="701" t="n"/>
      <c r="F1716" s="705" t="n"/>
      <c r="G1716" s="706" t="n"/>
      <c r="H1716" s="707" t="n"/>
      <c r="I1716" s="704" t="n"/>
      <c r="J1716" s="703" t="n"/>
      <c r="L1716" s="701" t="n"/>
    </row>
    <row r="1717" ht="15.75" customHeight="1" s="436" thickBot="1">
      <c r="A1717" s="703" t="n"/>
      <c r="B1717" s="704" t="n"/>
      <c r="C1717" s="704" t="n"/>
      <c r="D1717" s="705" t="n"/>
      <c r="E1717" s="707" t="n"/>
      <c r="F1717" s="3" t="inlineStr">
        <is>
          <t>ENTRADA</t>
        </is>
      </c>
      <c r="G1717" s="3" t="inlineStr">
        <is>
          <t>SAÍDA</t>
        </is>
      </c>
      <c r="H1717" s="640" t="n"/>
      <c r="I1717" s="633" t="inlineStr">
        <is>
          <t>MÉDIO</t>
        </is>
      </c>
      <c r="J1717" s="652" t="inlineStr">
        <is>
          <t>SALDO EM 30/12/2017</t>
        </is>
      </c>
      <c r="K1717" s="706" t="n"/>
      <c r="L1717" s="17" t="n"/>
    </row>
    <row r="1718" ht="15.75" customHeight="1" s="436" thickBot="1">
      <c r="A1718" s="705" t="n"/>
      <c r="B1718" s="695" t="n"/>
      <c r="C1718" s="695" t="n"/>
      <c r="D1718" s="3" t="inlineStr">
        <is>
          <t>C/ICMS</t>
        </is>
      </c>
      <c r="E1718" s="3" t="inlineStr">
        <is>
          <t>S/ICMS</t>
        </is>
      </c>
      <c r="F1718" s="695" t="n"/>
      <c r="G1718" s="695" t="n"/>
      <c r="H1718" s="361" t="inlineStr">
        <is>
          <t>Saldo em 1/01/2022</t>
        </is>
      </c>
      <c r="I1718" s="695" t="n"/>
      <c r="J1718" s="645" t="inlineStr">
        <is>
          <t>ENTRADA</t>
        </is>
      </c>
      <c r="K1718" s="633" t="inlineStr">
        <is>
          <t>SAÍDA / CMV</t>
        </is>
      </c>
      <c r="L1718" s="633" t="inlineStr">
        <is>
          <t>SALDO</t>
        </is>
      </c>
    </row>
    <row r="1719">
      <c r="A1719" s="568" t="n"/>
      <c r="B1719" s="392" t="n"/>
      <c r="C1719" s="392" t="n"/>
      <c r="D1719" s="392" t="n"/>
      <c r="E1719" s="392" t="n"/>
      <c r="F1719" s="392" t="n"/>
      <c r="G1719" s="392" t="n"/>
      <c r="H1719" s="52" t="n">
        <v>1272</v>
      </c>
      <c r="I1719" s="568" t="n"/>
      <c r="J1719" s="568" t="n"/>
      <c r="K1719" s="568" t="n"/>
      <c r="L1719" s="568" t="n"/>
    </row>
    <row r="1720">
      <c r="A1720" s="568" t="n">
        <v>44564</v>
      </c>
      <c r="B1720" s="392" t="n">
        <v>8733</v>
      </c>
      <c r="C1720" s="392" t="n">
        <v>75.72</v>
      </c>
      <c r="D1720" s="392" t="n"/>
      <c r="E1720" s="392" t="n"/>
      <c r="F1720" s="392" t="n"/>
      <c r="G1720" s="392" t="n">
        <v>32</v>
      </c>
      <c r="H1720" s="52">
        <f>H1719-G1720</f>
        <v/>
      </c>
      <c r="I1720" s="568" t="n"/>
      <c r="J1720" s="568" t="n"/>
      <c r="K1720" s="568" t="n"/>
      <c r="L1720" s="568" t="n"/>
    </row>
    <row r="1721">
      <c r="A1721" s="568" t="n">
        <v>44564</v>
      </c>
      <c r="B1721" s="392" t="n">
        <v>8741</v>
      </c>
      <c r="C1721" s="392" t="n">
        <v>75</v>
      </c>
      <c r="D1721" s="392" t="n"/>
      <c r="E1721" s="392" t="n"/>
      <c r="F1721" s="392" t="n"/>
      <c r="G1721" s="392" t="n">
        <v>30</v>
      </c>
      <c r="H1721" s="52">
        <f>H1720-G1721</f>
        <v/>
      </c>
      <c r="I1721" s="568" t="n"/>
      <c r="J1721" s="568" t="n"/>
      <c r="K1721" s="568" t="n"/>
      <c r="L1721" s="568" t="n"/>
    </row>
    <row r="1722">
      <c r="A1722" s="568" t="n">
        <v>44564</v>
      </c>
      <c r="B1722" s="392" t="n">
        <v>8742</v>
      </c>
      <c r="C1722" s="392" t="n">
        <v>76</v>
      </c>
      <c r="D1722" s="392" t="n"/>
      <c r="E1722" s="392" t="n"/>
      <c r="F1722" s="392" t="n"/>
      <c r="G1722" s="392" t="n">
        <v>20</v>
      </c>
      <c r="H1722" s="52">
        <f>H1721-G1722</f>
        <v/>
      </c>
      <c r="I1722" s="568" t="n"/>
      <c r="J1722" s="568" t="n"/>
      <c r="K1722" s="568" t="n"/>
      <c r="L1722" s="568" t="n"/>
    </row>
    <row r="1723">
      <c r="A1723" s="568" t="n">
        <v>44565</v>
      </c>
      <c r="B1723" s="392" t="n">
        <v>8745</v>
      </c>
      <c r="C1723" s="392" t="n">
        <v>75</v>
      </c>
      <c r="D1723" s="392" t="n"/>
      <c r="E1723" s="392" t="n"/>
      <c r="F1723" s="392" t="n"/>
      <c r="G1723" s="392" t="n">
        <v>15</v>
      </c>
      <c r="H1723" s="52">
        <f>H1722-G1723</f>
        <v/>
      </c>
      <c r="I1723" s="568" t="n"/>
      <c r="J1723" s="568" t="n"/>
      <c r="K1723" s="568" t="n"/>
      <c r="L1723" s="568" t="n"/>
    </row>
    <row r="1724">
      <c r="A1724" s="568" t="n">
        <v>44564</v>
      </c>
      <c r="B1724" s="392" t="n">
        <v>8746</v>
      </c>
      <c r="C1724" s="392" t="n">
        <v>75</v>
      </c>
      <c r="D1724" s="392" t="n"/>
      <c r="E1724" s="392" t="n"/>
      <c r="F1724" s="392" t="n"/>
      <c r="G1724" s="392" t="n">
        <v>15</v>
      </c>
      <c r="H1724" s="52">
        <f>H1723-G1724</f>
        <v/>
      </c>
      <c r="I1724" s="568" t="n"/>
      <c r="J1724" s="568" t="n"/>
      <c r="K1724" s="568" t="n"/>
      <c r="L1724" s="568" t="n"/>
    </row>
    <row r="1725">
      <c r="A1725" s="568" t="n">
        <v>44566</v>
      </c>
      <c r="B1725" s="392" t="n">
        <v>8747</v>
      </c>
      <c r="C1725" s="392" t="n">
        <v>75</v>
      </c>
      <c r="D1725" s="392" t="n"/>
      <c r="E1725" s="392" t="n"/>
      <c r="F1725" s="392" t="n"/>
      <c r="G1725" s="392" t="n">
        <v>30</v>
      </c>
      <c r="H1725" s="52">
        <f>H1724-G1725</f>
        <v/>
      </c>
      <c r="I1725" s="568" t="n"/>
      <c r="J1725" s="568" t="n"/>
      <c r="K1725" s="568" t="n"/>
      <c r="L1725" s="568" t="n"/>
    </row>
    <row r="1726">
      <c r="A1726" s="568" t="n">
        <v>44566</v>
      </c>
      <c r="B1726" s="392" t="n">
        <v>8748</v>
      </c>
      <c r="C1726" s="392" t="n">
        <v>75</v>
      </c>
      <c r="D1726" s="392" t="n"/>
      <c r="E1726" s="392" t="n"/>
      <c r="F1726" s="392" t="n"/>
      <c r="G1726" s="392" t="n">
        <v>16</v>
      </c>
      <c r="H1726" s="52">
        <f>H1725-G1726</f>
        <v/>
      </c>
      <c r="I1726" s="568" t="n"/>
      <c r="J1726" s="568" t="n"/>
      <c r="K1726" s="568" t="n"/>
      <c r="L1726" s="568" t="n"/>
    </row>
    <row r="1727">
      <c r="A1727" s="568" t="n">
        <v>44566</v>
      </c>
      <c r="B1727" s="392" t="n">
        <v>8749</v>
      </c>
      <c r="C1727" s="392" t="n">
        <v>76.05</v>
      </c>
      <c r="D1727" s="392" t="n"/>
      <c r="E1727" s="392" t="n"/>
      <c r="F1727" s="392" t="n"/>
      <c r="G1727" s="392" t="n">
        <v>38</v>
      </c>
      <c r="H1727" s="52">
        <f>H1726-G1727</f>
        <v/>
      </c>
      <c r="I1727" s="568" t="n"/>
      <c r="J1727" s="568" t="n"/>
      <c r="K1727" s="568" t="n"/>
      <c r="L1727" s="568" t="n"/>
    </row>
    <row r="1728">
      <c r="A1728" s="568" t="n">
        <v>44566</v>
      </c>
      <c r="B1728" s="392" t="n">
        <v>8750</v>
      </c>
      <c r="C1728" s="392" t="n">
        <v>75.56</v>
      </c>
      <c r="D1728" s="392" t="n"/>
      <c r="E1728" s="392" t="n"/>
      <c r="F1728" s="392" t="n"/>
      <c r="G1728" s="392" t="n">
        <v>45</v>
      </c>
      <c r="H1728" s="52">
        <f>H1727-G1728</f>
        <v/>
      </c>
      <c r="I1728" s="568" t="n"/>
      <c r="J1728" s="568" t="n"/>
      <c r="K1728" s="568" t="n"/>
      <c r="L1728" s="568" t="n"/>
    </row>
    <row r="1729">
      <c r="A1729" s="568" t="n">
        <v>44566</v>
      </c>
      <c r="B1729" s="392" t="n">
        <v>8755</v>
      </c>
      <c r="C1729" s="392" t="n">
        <v>75</v>
      </c>
      <c r="D1729" s="392" t="n"/>
      <c r="E1729" s="392" t="n"/>
      <c r="F1729" s="392" t="n"/>
      <c r="G1729" s="392" t="n">
        <v>30</v>
      </c>
      <c r="H1729" s="52">
        <f>H1728-G1729</f>
        <v/>
      </c>
      <c r="I1729" s="568" t="n"/>
      <c r="J1729" s="568" t="n"/>
      <c r="K1729" s="568" t="n"/>
      <c r="L1729" s="568" t="n"/>
    </row>
    <row r="1730">
      <c r="A1730" s="568" t="n">
        <v>44572</v>
      </c>
      <c r="B1730" s="392" t="n">
        <v>8759</v>
      </c>
      <c r="C1730" s="392" t="n">
        <v>77</v>
      </c>
      <c r="D1730" s="392" t="n"/>
      <c r="E1730" s="392" t="n"/>
      <c r="F1730" s="392" t="n"/>
      <c r="G1730" s="392" t="n">
        <v>30</v>
      </c>
      <c r="H1730" s="52">
        <f>H1729-G1730</f>
        <v/>
      </c>
      <c r="I1730" s="568" t="n"/>
      <c r="J1730" s="568" t="n"/>
      <c r="K1730" s="568" t="n"/>
      <c r="L1730" s="568" t="n"/>
    </row>
    <row r="1731">
      <c r="A1731" s="568" t="n">
        <v>44572</v>
      </c>
      <c r="B1731" s="392" t="n">
        <v>8762</v>
      </c>
      <c r="C1731" s="392" t="n">
        <v>77</v>
      </c>
      <c r="D1731" s="392" t="n"/>
      <c r="E1731" s="392" t="n"/>
      <c r="F1731" s="392" t="n"/>
      <c r="G1731" s="392" t="n">
        <v>30</v>
      </c>
      <c r="H1731" s="52">
        <f>H1730-G1731</f>
        <v/>
      </c>
      <c r="I1731" s="568" t="n"/>
      <c r="J1731" s="568" t="n"/>
      <c r="K1731" s="568" t="n"/>
      <c r="L1731" s="568" t="n"/>
    </row>
    <row r="1732">
      <c r="A1732" s="568" t="n">
        <v>44572</v>
      </c>
      <c r="B1732" s="392" t="n">
        <v>8765</v>
      </c>
      <c r="C1732" s="392" t="n">
        <v>77.91</v>
      </c>
      <c r="D1732" s="392" t="n"/>
      <c r="E1732" s="392" t="n"/>
      <c r="F1732" s="392" t="n"/>
      <c r="G1732" s="392" t="n">
        <v>55</v>
      </c>
      <c r="H1732" s="52">
        <f>H1731-G1732</f>
        <v/>
      </c>
      <c r="I1732" s="568" t="n"/>
      <c r="J1732" s="568" t="n"/>
      <c r="K1732" s="568" t="n"/>
      <c r="L1732" s="568" t="n"/>
    </row>
    <row r="1733">
      <c r="A1733" s="568" t="n">
        <v>44573</v>
      </c>
      <c r="B1733" s="392" t="n">
        <v>8772</v>
      </c>
      <c r="C1733" s="392" t="n">
        <v>77</v>
      </c>
      <c r="D1733" s="392" t="n"/>
      <c r="E1733" s="392" t="n"/>
      <c r="F1733" s="392" t="n"/>
      <c r="G1733" s="392" t="n">
        <v>20</v>
      </c>
      <c r="H1733" s="52">
        <f>H1732-G1733</f>
        <v/>
      </c>
      <c r="I1733" s="568" t="n"/>
      <c r="J1733" s="568" t="n"/>
      <c r="K1733" s="568" t="n"/>
      <c r="L1733" s="568" t="n"/>
    </row>
    <row r="1734">
      <c r="A1734" s="568" t="n">
        <v>44573</v>
      </c>
      <c r="B1734" s="392" t="n">
        <v>8773</v>
      </c>
      <c r="C1734" s="392" t="n">
        <v>79.33</v>
      </c>
      <c r="D1734" s="392" t="n"/>
      <c r="E1734" s="392" t="n"/>
      <c r="F1734" s="392" t="n"/>
      <c r="G1734" s="392" t="n">
        <v>17</v>
      </c>
      <c r="H1734" s="52">
        <f>H1733-G1734</f>
        <v/>
      </c>
      <c r="I1734" s="568" t="n"/>
      <c r="J1734" s="568" t="n"/>
      <c r="K1734" s="568" t="n"/>
      <c r="L1734" s="568" t="n"/>
    </row>
    <row r="1735">
      <c r="A1735" s="568" t="n">
        <v>44573</v>
      </c>
      <c r="B1735" s="392" t="n">
        <v>8774</v>
      </c>
      <c r="C1735" s="392" t="n">
        <v>76.05</v>
      </c>
      <c r="D1735" s="392" t="n"/>
      <c r="E1735" s="392" t="n"/>
      <c r="F1735" s="392" t="n"/>
      <c r="G1735" s="392" t="n">
        <v>38</v>
      </c>
      <c r="H1735" s="52">
        <f>H1734-G1735</f>
        <v/>
      </c>
      <c r="I1735" s="568" t="n"/>
      <c r="J1735" s="568" t="n"/>
      <c r="K1735" s="568" t="n"/>
      <c r="L1735" s="568" t="n"/>
    </row>
    <row r="1736">
      <c r="A1736" s="568" t="n">
        <v>44573</v>
      </c>
      <c r="B1736" s="392" t="n">
        <v>8775</v>
      </c>
      <c r="C1736" s="392" t="n">
        <v>76.75</v>
      </c>
      <c r="D1736" s="392" t="n"/>
      <c r="E1736" s="392" t="n"/>
      <c r="F1736" s="392" t="n"/>
      <c r="G1736" s="392" t="n">
        <v>40</v>
      </c>
      <c r="H1736" s="52">
        <f>H1735-G1736</f>
        <v/>
      </c>
      <c r="I1736" s="568" t="n"/>
      <c r="J1736" s="568" t="n"/>
      <c r="K1736" s="568" t="n"/>
      <c r="L1736" s="568" t="n"/>
    </row>
    <row r="1737">
      <c r="A1737" s="568" t="n">
        <v>44573</v>
      </c>
      <c r="B1737" s="392" t="n">
        <v>8776</v>
      </c>
      <c r="C1737" s="392" t="n">
        <v>77</v>
      </c>
      <c r="D1737" s="392" t="n"/>
      <c r="E1737" s="392" t="n"/>
      <c r="F1737" s="392" t="n"/>
      <c r="G1737" s="392" t="n">
        <v>10</v>
      </c>
      <c r="H1737" s="52">
        <f>H1736-G1737</f>
        <v/>
      </c>
      <c r="I1737" s="568" t="n"/>
      <c r="J1737" s="568" t="n"/>
      <c r="K1737" s="568" t="n"/>
      <c r="L1737" s="568" t="n"/>
    </row>
    <row r="1738">
      <c r="A1738" s="568" t="n">
        <v>44587</v>
      </c>
      <c r="B1738" s="392" t="n">
        <v>8804</v>
      </c>
      <c r="C1738" s="392" t="n">
        <v>79</v>
      </c>
      <c r="D1738" s="392" t="n"/>
      <c r="E1738" s="392" t="n"/>
      <c r="F1738" s="392" t="n"/>
      <c r="G1738" s="392" t="n">
        <v>50</v>
      </c>
      <c r="H1738" s="52">
        <f>H1737-G1738</f>
        <v/>
      </c>
      <c r="I1738" s="568" t="n"/>
      <c r="J1738" s="568" t="n"/>
      <c r="K1738" s="568" t="n"/>
      <c r="L1738" s="568" t="n"/>
    </row>
    <row r="1739">
      <c r="A1739" s="568" t="n">
        <v>44587</v>
      </c>
      <c r="B1739" s="392" t="n">
        <v>8807</v>
      </c>
      <c r="C1739" s="392" t="n">
        <v>79</v>
      </c>
      <c r="D1739" s="392" t="n"/>
      <c r="E1739" s="392" t="n"/>
      <c r="F1739" s="392" t="n"/>
      <c r="G1739" s="392" t="n">
        <v>30</v>
      </c>
      <c r="H1739" s="52">
        <f>H1738-G1739</f>
        <v/>
      </c>
      <c r="I1739" s="568" t="n"/>
      <c r="J1739" s="568" t="n"/>
      <c r="K1739" s="568" t="n"/>
      <c r="L1739" s="568" t="n"/>
    </row>
    <row r="1740">
      <c r="A1740" s="568" t="n">
        <v>44587</v>
      </c>
      <c r="B1740" s="392" t="n">
        <v>8810</v>
      </c>
      <c r="C1740" s="392" t="n">
        <v>79</v>
      </c>
      <c r="D1740" s="392" t="n"/>
      <c r="E1740" s="392" t="n"/>
      <c r="F1740" s="392" t="n"/>
      <c r="G1740" s="392" t="n">
        <v>25</v>
      </c>
      <c r="H1740" s="52">
        <f>H1739-G1740</f>
        <v/>
      </c>
      <c r="I1740" s="568" t="n"/>
      <c r="J1740" s="568" t="n"/>
      <c r="K1740" s="568" t="n"/>
      <c r="L1740" s="568" t="n"/>
    </row>
    <row r="1741">
      <c r="A1741" s="568" t="n">
        <v>44587</v>
      </c>
      <c r="B1741" s="392" t="n">
        <v>8812</v>
      </c>
      <c r="C1741" s="392" t="n">
        <v>79.17</v>
      </c>
      <c r="D1741" s="392" t="n"/>
      <c r="E1741" s="392" t="n"/>
      <c r="F1741" s="392" t="n"/>
      <c r="G1741" s="392" t="n">
        <v>31</v>
      </c>
      <c r="H1741" s="52">
        <f>H1740-G1741</f>
        <v/>
      </c>
      <c r="I1741" s="568" t="n"/>
      <c r="J1741" s="568" t="n"/>
      <c r="K1741" s="568" t="n"/>
      <c r="L1741" s="568" t="n"/>
    </row>
    <row r="1742">
      <c r="A1742" s="568" t="n">
        <v>44587</v>
      </c>
      <c r="B1742" s="392" t="n">
        <v>8813</v>
      </c>
      <c r="C1742" s="392" t="n">
        <v>81</v>
      </c>
      <c r="D1742" s="392" t="n"/>
      <c r="E1742" s="392" t="n"/>
      <c r="F1742" s="392" t="n"/>
      <c r="G1742" s="392" t="n">
        <v>15</v>
      </c>
      <c r="H1742" s="52">
        <f>H1741-G1742</f>
        <v/>
      </c>
      <c r="I1742" s="568" t="n"/>
      <c r="J1742" s="568" t="n"/>
      <c r="K1742" s="568" t="n"/>
      <c r="L1742" s="568" t="n"/>
    </row>
    <row r="1743">
      <c r="A1743" s="568" t="n">
        <v>44587</v>
      </c>
      <c r="B1743" s="392" t="n">
        <v>8814</v>
      </c>
      <c r="C1743" s="392" t="n">
        <v>79</v>
      </c>
      <c r="D1743" s="392" t="n"/>
      <c r="E1743" s="392" t="n"/>
      <c r="F1743" s="392" t="n"/>
      <c r="G1743" s="392" t="n">
        <v>15</v>
      </c>
      <c r="H1743" s="52">
        <f>H1742-G1743</f>
        <v/>
      </c>
      <c r="I1743" s="568" t="n"/>
      <c r="J1743" s="568" t="n"/>
      <c r="K1743" s="568" t="n"/>
      <c r="L1743" s="568" t="n"/>
    </row>
    <row r="1744">
      <c r="A1744" s="568" t="n">
        <v>44587</v>
      </c>
      <c r="B1744" s="392" t="n">
        <v>8815</v>
      </c>
      <c r="C1744" s="392" t="n">
        <v>79</v>
      </c>
      <c r="D1744" s="392" t="n"/>
      <c r="E1744" s="392" t="n"/>
      <c r="F1744" s="392" t="n"/>
      <c r="G1744" s="392" t="n">
        <v>15</v>
      </c>
      <c r="H1744" s="52">
        <f>H1743-G1744</f>
        <v/>
      </c>
      <c r="I1744" s="568" t="n"/>
      <c r="J1744" s="568" t="n"/>
      <c r="K1744" s="568" t="n"/>
      <c r="L1744" s="568" t="n"/>
    </row>
    <row r="1745">
      <c r="A1745" s="568" t="n">
        <v>44587</v>
      </c>
      <c r="B1745" s="392" t="n">
        <v>8817</v>
      </c>
      <c r="C1745" s="392" t="n">
        <v>80.2</v>
      </c>
      <c r="D1745" s="392" t="n"/>
      <c r="E1745" s="392" t="n"/>
      <c r="F1745" s="392" t="n"/>
      <c r="G1745" s="392" t="n">
        <v>50</v>
      </c>
      <c r="H1745" s="52">
        <f>H1744-G1745</f>
        <v/>
      </c>
      <c r="I1745" s="568" t="n"/>
      <c r="J1745" s="568" t="n"/>
      <c r="K1745" s="568" t="n"/>
      <c r="L1745" s="568" t="n"/>
    </row>
    <row r="1746">
      <c r="A1746" s="568" t="n">
        <v>44587</v>
      </c>
      <c r="B1746" s="392" t="n">
        <v>8818</v>
      </c>
      <c r="C1746" s="392" t="n">
        <v>79</v>
      </c>
      <c r="D1746" s="392" t="n"/>
      <c r="E1746" s="392" t="n"/>
      <c r="F1746" s="392" t="n"/>
      <c r="G1746" s="392" t="n">
        <v>20</v>
      </c>
      <c r="H1746" s="52">
        <f>H1745-G1746</f>
        <v/>
      </c>
      <c r="I1746" s="568" t="n"/>
      <c r="J1746" s="568" t="n"/>
      <c r="K1746" s="568" t="n"/>
      <c r="L1746" s="568" t="n"/>
    </row>
    <row r="1747">
      <c r="A1747" s="568" t="n"/>
      <c r="B1747" s="392" t="n"/>
      <c r="C1747" s="392" t="n"/>
      <c r="D1747" s="392" t="n"/>
      <c r="E1747" s="392" t="n"/>
      <c r="F1747" s="392" t="n"/>
      <c r="G1747" s="392" t="n"/>
      <c r="H1747" s="52">
        <f>H1746-G1747</f>
        <v/>
      </c>
      <c r="I1747" s="568" t="n"/>
      <c r="J1747" s="568" t="n"/>
      <c r="K1747" s="568" t="n"/>
      <c r="L1747" s="568" t="n"/>
    </row>
    <row r="1748" ht="15.75" customHeight="1" s="436" thickBot="1"/>
    <row r="1749" ht="21.75" customHeight="1" s="436" thickBot="1">
      <c r="A1749" s="757" t="inlineStr">
        <is>
          <t>Fevereiro</t>
        </is>
      </c>
      <c r="B1749" s="697" t="n"/>
      <c r="C1749" s="697" t="n"/>
      <c r="D1749" s="697" t="n"/>
      <c r="E1749" s="697" t="n"/>
      <c r="F1749" s="697" t="n"/>
      <c r="G1749" s="697" t="n"/>
      <c r="H1749" s="697" t="n"/>
      <c r="I1749" s="697" t="n"/>
      <c r="J1749" s="697" t="n"/>
      <c r="K1749" s="697" t="n"/>
      <c r="L1749" s="698" t="n"/>
    </row>
    <row r="1750" ht="21.75" customHeight="1" s="436" thickBot="1">
      <c r="A1750" s="699" t="inlineStr">
        <is>
          <t xml:space="preserve">021 - DENISE FURTADO DE SOUZA - ME </t>
        </is>
      </c>
      <c r="B1750" s="697" t="n"/>
      <c r="C1750" s="697" t="n"/>
      <c r="D1750" s="697" t="n"/>
      <c r="E1750" s="697" t="n"/>
      <c r="F1750" s="697" t="n"/>
      <c r="G1750" s="697" t="n"/>
      <c r="H1750" s="697" t="n"/>
      <c r="I1750" s="697" t="n"/>
      <c r="J1750" s="697" t="n"/>
      <c r="K1750" s="697" t="n"/>
      <c r="L1750" s="698" t="n"/>
    </row>
    <row r="1751" ht="24" customHeight="1" s="436" thickBot="1">
      <c r="A1751" s="745" t="inlineStr">
        <is>
          <t xml:space="preserve">  PRÉ MISTURA - 25 KG</t>
        </is>
      </c>
      <c r="B1751" s="737" t="n"/>
      <c r="C1751" s="737" t="n"/>
      <c r="D1751" s="737" t="n"/>
      <c r="E1751" s="737" t="n"/>
      <c r="F1751" s="737" t="n"/>
      <c r="G1751" s="737" t="n"/>
      <c r="H1751" s="737" t="n"/>
      <c r="I1751" s="737" t="n"/>
      <c r="J1751" s="737" t="n"/>
      <c r="K1751" s="737" t="n"/>
      <c r="L1751" s="736" t="n"/>
    </row>
    <row r="1752">
      <c r="A1752" s="746" t="inlineStr">
        <is>
          <t>DATA</t>
        </is>
      </c>
      <c r="B1752" s="3" t="inlineStr">
        <is>
          <t>N.F.</t>
        </is>
      </c>
      <c r="C1752" s="3" t="inlineStr">
        <is>
          <t>TIPO</t>
        </is>
      </c>
      <c r="D1752" s="3" t="inlineStr">
        <is>
          <t>PREÇO UNITÁRIO</t>
        </is>
      </c>
      <c r="E1752" s="736" t="n"/>
      <c r="F1752" s="3" t="inlineStr">
        <is>
          <t>QUANTIDADE / KG</t>
        </is>
      </c>
      <c r="G1752" s="737" t="n"/>
      <c r="H1752" s="736" t="n"/>
      <c r="I1752" s="631" t="inlineStr">
        <is>
          <t>PREÇO</t>
        </is>
      </c>
      <c r="J1752" s="631" t="inlineStr">
        <is>
          <t>VALORES</t>
        </is>
      </c>
      <c r="K1752" s="737" t="n"/>
      <c r="L1752" s="736" t="n"/>
    </row>
    <row r="1753" ht="15.75" customHeight="1" s="436" thickBot="1">
      <c r="A1753" s="703" t="n"/>
      <c r="B1753" s="704" t="n"/>
      <c r="C1753" s="704" t="n"/>
      <c r="D1753" s="703" t="n"/>
      <c r="E1753" s="701" t="n"/>
      <c r="F1753" s="705" t="n"/>
      <c r="G1753" s="706" t="n"/>
      <c r="H1753" s="707" t="n"/>
      <c r="I1753" s="704" t="n"/>
      <c r="J1753" s="703" t="n"/>
      <c r="L1753" s="701" t="n"/>
    </row>
    <row r="1754" ht="15.75" customHeight="1" s="436" thickBot="1">
      <c r="A1754" s="703" t="n"/>
      <c r="B1754" s="704" t="n"/>
      <c r="C1754" s="704" t="n"/>
      <c r="D1754" s="705" t="n"/>
      <c r="E1754" s="707" t="n"/>
      <c r="F1754" s="3" t="inlineStr">
        <is>
          <t>ENTRADA</t>
        </is>
      </c>
      <c r="G1754" s="3" t="inlineStr">
        <is>
          <t>SAÍDA</t>
        </is>
      </c>
      <c r="H1754" s="640" t="n"/>
      <c r="I1754" s="633" t="inlineStr">
        <is>
          <t>MÉDIO</t>
        </is>
      </c>
      <c r="J1754" s="652" t="inlineStr">
        <is>
          <t>SALDO EM 30/12/2017</t>
        </is>
      </c>
      <c r="K1754" s="706" t="n"/>
      <c r="L1754" s="17" t="n"/>
    </row>
    <row r="1755" ht="15.75" customHeight="1" s="436" thickBot="1">
      <c r="A1755" s="705" t="n"/>
      <c r="B1755" s="695" t="n"/>
      <c r="C1755" s="695" t="n"/>
      <c r="D1755" s="3" t="inlineStr">
        <is>
          <t>C/ICMS</t>
        </is>
      </c>
      <c r="E1755" s="3" t="inlineStr">
        <is>
          <t>S/ICMS</t>
        </is>
      </c>
      <c r="F1755" s="695" t="n"/>
      <c r="G1755" s="695" t="n"/>
      <c r="H1755" s="361" t="inlineStr">
        <is>
          <t>Saldo em 01/02/2022</t>
        </is>
      </c>
      <c r="I1755" s="695" t="n"/>
      <c r="J1755" s="645" t="inlineStr">
        <is>
          <t>ENTRADA</t>
        </is>
      </c>
      <c r="K1755" s="633" t="inlineStr">
        <is>
          <t>SAÍDA / CMV</t>
        </is>
      </c>
      <c r="L1755" s="633" t="inlineStr">
        <is>
          <t>SALDO</t>
        </is>
      </c>
    </row>
    <row r="1756">
      <c r="A1756" s="568" t="n"/>
      <c r="B1756" s="392" t="n"/>
      <c r="C1756" s="392" t="n"/>
      <c r="D1756" s="392" t="n"/>
      <c r="E1756" s="392" t="n"/>
      <c r="F1756" s="392" t="n"/>
      <c r="G1756" s="392" t="n"/>
      <c r="H1756" s="52" t="n">
        <v>510</v>
      </c>
      <c r="I1756" s="568" t="n"/>
      <c r="J1756" s="568" t="n"/>
      <c r="K1756" s="568" t="n"/>
      <c r="L1756" s="568" t="n"/>
    </row>
    <row r="1757">
      <c r="A1757" s="568" t="n">
        <v>44594</v>
      </c>
      <c r="B1757" s="392" t="n">
        <v>8819</v>
      </c>
      <c r="C1757" s="392" t="n">
        <v>80</v>
      </c>
      <c r="D1757" s="392" t="n"/>
      <c r="E1757" s="392" t="n"/>
      <c r="F1757" s="392" t="n"/>
      <c r="G1757" s="392" t="n">
        <v>10</v>
      </c>
      <c r="H1757" s="52">
        <f>H1756-G1757</f>
        <v/>
      </c>
      <c r="I1757" s="568" t="n"/>
      <c r="J1757" s="568" t="n"/>
      <c r="K1757" s="568" t="n"/>
      <c r="L1757" s="568" t="n"/>
    </row>
    <row r="1758">
      <c r="A1758" s="568" t="n">
        <v>44594</v>
      </c>
      <c r="B1758" s="392" t="n">
        <v>8820</v>
      </c>
      <c r="C1758" s="392" t="n">
        <v>85</v>
      </c>
      <c r="D1758" s="392" t="n"/>
      <c r="E1758" s="392" t="n"/>
      <c r="F1758" s="392" t="n"/>
      <c r="G1758" s="392" t="n">
        <v>20</v>
      </c>
      <c r="H1758" s="52">
        <f>H1757-G1758</f>
        <v/>
      </c>
      <c r="I1758" s="568" t="n"/>
      <c r="J1758" s="568" t="n"/>
      <c r="K1758" s="568" t="n"/>
      <c r="L1758" s="568" t="n"/>
    </row>
    <row r="1759">
      <c r="A1759" s="568" t="n">
        <v>44594</v>
      </c>
      <c r="B1759" s="392" t="n">
        <v>8826</v>
      </c>
      <c r="C1759" s="392" t="n">
        <v>82.2</v>
      </c>
      <c r="D1759" s="392" t="n"/>
      <c r="E1759" s="392" t="n"/>
      <c r="F1759" s="392" t="n"/>
      <c r="G1759" s="392" t="n">
        <v>10</v>
      </c>
      <c r="H1759" s="52">
        <f>H1758-G1759</f>
        <v/>
      </c>
      <c r="I1759" s="568" t="n"/>
      <c r="J1759" s="568" t="n"/>
      <c r="K1759" s="568" t="n"/>
      <c r="L1759" s="568" t="n"/>
    </row>
    <row r="1760">
      <c r="A1760" s="568" t="n">
        <v>44594</v>
      </c>
      <c r="B1760" s="392" t="n">
        <v>8828</v>
      </c>
      <c r="C1760" s="392" t="n">
        <v>81.86</v>
      </c>
      <c r="D1760" s="392" t="n"/>
      <c r="E1760" s="392" t="n"/>
      <c r="F1760" s="392" t="n"/>
      <c r="G1760" s="392" t="n">
        <v>35</v>
      </c>
      <c r="H1760" s="52">
        <f>H1759-G1760</f>
        <v/>
      </c>
      <c r="I1760" s="568" t="n"/>
      <c r="J1760" s="568" t="n"/>
      <c r="K1760" s="568" t="n"/>
      <c r="L1760" s="568" t="n"/>
    </row>
    <row r="1761">
      <c r="A1761" s="568" t="n">
        <v>44594</v>
      </c>
      <c r="B1761" s="392" t="n">
        <v>8830</v>
      </c>
      <c r="C1761" s="392" t="n">
        <v>81</v>
      </c>
      <c r="D1761" s="392" t="n"/>
      <c r="E1761" s="392" t="n"/>
      <c r="F1761" s="392" t="n"/>
      <c r="G1761" s="392" t="n">
        <v>15</v>
      </c>
      <c r="H1761" s="52">
        <f>H1760-G1761</f>
        <v/>
      </c>
      <c r="I1761" s="568" t="n"/>
      <c r="J1761" s="568" t="n"/>
      <c r="K1761" s="568" t="n"/>
      <c r="L1761" s="568" t="n"/>
    </row>
    <row r="1762">
      <c r="A1762" s="568" t="n">
        <v>44594</v>
      </c>
      <c r="B1762" s="392" t="n">
        <v>8831</v>
      </c>
      <c r="C1762" s="392" t="n">
        <v>80.8</v>
      </c>
      <c r="D1762" s="392" t="n"/>
      <c r="E1762" s="392" t="n"/>
      <c r="F1762" s="392" t="n"/>
      <c r="G1762" s="392" t="n">
        <v>51</v>
      </c>
      <c r="H1762" s="52">
        <f>H1761-G1762</f>
        <v/>
      </c>
      <c r="I1762" s="568" t="n"/>
      <c r="J1762" s="568" t="n"/>
      <c r="K1762" s="568" t="n"/>
      <c r="L1762" s="568" t="n"/>
    </row>
    <row r="1763">
      <c r="A1763" s="568" t="n">
        <v>44594</v>
      </c>
      <c r="B1763" s="392" t="n">
        <v>8832</v>
      </c>
      <c r="C1763" s="392" t="n">
        <v>81</v>
      </c>
      <c r="D1763" s="392" t="n"/>
      <c r="E1763" s="392" t="n"/>
      <c r="F1763" s="392" t="n"/>
      <c r="G1763" s="392" t="n">
        <v>10</v>
      </c>
      <c r="H1763" s="52">
        <f>H1762-G1763</f>
        <v/>
      </c>
      <c r="I1763" s="568" t="n"/>
      <c r="J1763" s="568" t="n"/>
      <c r="K1763" s="568" t="n"/>
      <c r="L1763" s="568" t="n"/>
    </row>
    <row r="1764">
      <c r="A1764" s="568" t="n">
        <v>44594</v>
      </c>
      <c r="B1764" s="392" t="n">
        <v>8833</v>
      </c>
      <c r="C1764" s="392" t="n">
        <v>81.40000000000001</v>
      </c>
      <c r="D1764" s="392" t="n"/>
      <c r="E1764" s="392" t="n"/>
      <c r="F1764" s="392" t="n"/>
      <c r="G1764" s="392" t="n">
        <v>50</v>
      </c>
      <c r="H1764" s="52">
        <f>H1763-G1764</f>
        <v/>
      </c>
      <c r="I1764" s="568" t="n"/>
      <c r="J1764" s="568" t="n"/>
      <c r="K1764" s="568" t="n"/>
      <c r="L1764" s="568" t="n"/>
    </row>
    <row r="1765">
      <c r="A1765" s="568" t="n">
        <v>44594</v>
      </c>
      <c r="B1765" s="392" t="n">
        <v>8834</v>
      </c>
      <c r="C1765" s="392" t="n">
        <v>79</v>
      </c>
      <c r="D1765" s="392" t="n"/>
      <c r="E1765" s="392" t="n"/>
      <c r="F1765" s="392" t="n"/>
      <c r="G1765" s="392" t="n">
        <v>36</v>
      </c>
      <c r="H1765" s="52">
        <f>H1764-G1765</f>
        <v/>
      </c>
      <c r="I1765" s="568" t="n"/>
      <c r="J1765" s="568" t="n"/>
      <c r="K1765" s="568" t="n"/>
      <c r="L1765" s="568" t="n"/>
    </row>
    <row r="1766">
      <c r="A1766" s="568" t="n">
        <v>44594</v>
      </c>
      <c r="B1766" s="392" t="n">
        <v>8836</v>
      </c>
      <c r="C1766" s="392" t="n">
        <v>81</v>
      </c>
      <c r="D1766" s="392" t="n"/>
      <c r="E1766" s="392" t="n"/>
      <c r="F1766" s="392" t="n"/>
      <c r="G1766" s="392" t="n">
        <v>30</v>
      </c>
      <c r="H1766" s="52">
        <f>H1765-G1766</f>
        <v/>
      </c>
      <c r="I1766" s="568" t="n"/>
      <c r="J1766" s="568" t="n"/>
      <c r="K1766" s="568" t="n"/>
      <c r="L1766" s="568" t="n"/>
    </row>
    <row r="1767">
      <c r="A1767" s="568" t="n">
        <v>44595</v>
      </c>
      <c r="B1767" s="392" t="n">
        <v>8837</v>
      </c>
      <c r="C1767" s="392" t="n">
        <v>81</v>
      </c>
      <c r="D1767" s="392" t="n"/>
      <c r="E1767" s="392" t="n"/>
      <c r="F1767" s="392" t="n"/>
      <c r="G1767" s="392" t="n">
        <v>10</v>
      </c>
      <c r="H1767" s="52">
        <f>H1766-G1767</f>
        <v/>
      </c>
      <c r="I1767" s="568" t="n"/>
      <c r="J1767" s="568" t="n"/>
      <c r="K1767" s="568" t="n"/>
      <c r="L1767" s="568" t="n"/>
    </row>
    <row r="1768">
      <c r="A1768" s="568" t="n">
        <v>44601</v>
      </c>
      <c r="B1768" s="392" t="n">
        <v>8842</v>
      </c>
      <c r="C1768" s="392" t="n">
        <v>84</v>
      </c>
      <c r="D1768" s="392" t="n"/>
      <c r="E1768" s="392" t="n"/>
      <c r="F1768" s="392" t="n"/>
      <c r="G1768" s="392" t="n">
        <v>20</v>
      </c>
      <c r="H1768" s="52">
        <f>H1767-G1768</f>
        <v/>
      </c>
      <c r="I1768" s="568" t="n"/>
      <c r="J1768" s="568" t="n"/>
      <c r="K1768" s="568" t="n"/>
      <c r="L1768" s="568" t="n"/>
    </row>
    <row r="1769">
      <c r="A1769" s="568" t="n">
        <v>44601</v>
      </c>
      <c r="B1769" s="392" t="n">
        <v>8844</v>
      </c>
      <c r="C1769" s="392" t="n">
        <v>82.5</v>
      </c>
      <c r="D1769" s="392" t="n"/>
      <c r="E1769" s="392" t="n"/>
      <c r="F1769" s="392" t="n"/>
      <c r="G1769" s="392" t="n">
        <v>20</v>
      </c>
      <c r="H1769" s="52">
        <f>H1768-G1769</f>
        <v/>
      </c>
      <c r="I1769" s="568" t="n"/>
      <c r="J1769" s="568" t="n"/>
      <c r="K1769" s="568" t="n"/>
      <c r="L1769" s="568" t="n"/>
    </row>
    <row r="1770">
      <c r="A1770" s="568" t="n">
        <v>44601</v>
      </c>
      <c r="B1770" s="392" t="n">
        <v>8846</v>
      </c>
      <c r="C1770" s="392" t="n">
        <v>81.86</v>
      </c>
      <c r="D1770" s="392" t="n"/>
      <c r="E1770" s="392" t="n"/>
      <c r="F1770" s="392" t="n"/>
      <c r="G1770" s="392" t="n">
        <v>35</v>
      </c>
      <c r="H1770" s="52">
        <f>H1769-G1770</f>
        <v/>
      </c>
      <c r="I1770" s="568" t="n"/>
      <c r="J1770" s="568" t="n"/>
      <c r="K1770" s="568" t="n"/>
      <c r="L1770" s="568" t="n"/>
    </row>
    <row r="1771">
      <c r="A1771" s="568" t="n">
        <v>44601</v>
      </c>
      <c r="B1771" s="392" t="n">
        <v>8848</v>
      </c>
      <c r="C1771" s="392" t="n">
        <v>81</v>
      </c>
      <c r="D1771" s="392" t="n"/>
      <c r="E1771" s="392" t="n"/>
      <c r="F1771" s="392" t="n"/>
      <c r="G1771" s="392" t="n">
        <v>15</v>
      </c>
      <c r="H1771" s="52">
        <f>H1770-G1771</f>
        <v/>
      </c>
      <c r="I1771" s="568" t="n"/>
      <c r="J1771" s="568" t="n"/>
      <c r="K1771" s="568" t="n"/>
      <c r="L1771" s="568" t="n"/>
    </row>
    <row r="1772">
      <c r="A1772" s="568" t="n">
        <v>44601</v>
      </c>
      <c r="B1772" s="392" t="n">
        <v>8850</v>
      </c>
      <c r="C1772" s="392" t="n">
        <v>81</v>
      </c>
      <c r="D1772" s="392" t="n"/>
      <c r="E1772" s="392" t="n"/>
      <c r="F1772" s="392" t="n"/>
      <c r="G1772" s="392" t="n">
        <v>30</v>
      </c>
      <c r="H1772" s="52">
        <f>H1771-G1772</f>
        <v/>
      </c>
      <c r="I1772" s="568" t="n"/>
      <c r="J1772" s="568" t="n"/>
      <c r="K1772" s="568" t="n"/>
      <c r="L1772" s="568" t="n"/>
    </row>
    <row r="1773">
      <c r="A1773" s="568" t="n">
        <v>44601</v>
      </c>
      <c r="B1773" s="392" t="n">
        <v>8854</v>
      </c>
      <c r="C1773" s="392" t="n">
        <v>84</v>
      </c>
      <c r="D1773" s="392" t="n"/>
      <c r="E1773" s="392" t="n"/>
      <c r="F1773" s="392" t="n"/>
      <c r="G1773" s="392" t="n">
        <v>40</v>
      </c>
      <c r="H1773" s="52">
        <f>H1772-G1773</f>
        <v/>
      </c>
      <c r="I1773" s="568" t="n"/>
      <c r="J1773" s="568" t="n"/>
      <c r="K1773" s="568" t="n"/>
      <c r="L1773" s="568" t="n"/>
    </row>
    <row r="1774">
      <c r="A1774" s="568" t="n">
        <v>44601</v>
      </c>
      <c r="B1774" s="392" t="n">
        <v>8855</v>
      </c>
      <c r="C1774" s="392" t="n">
        <v>79.2</v>
      </c>
      <c r="D1774" s="392" t="n"/>
      <c r="E1774" s="392" t="n"/>
      <c r="F1774" s="392" t="n"/>
      <c r="G1774" s="392" t="n">
        <v>37</v>
      </c>
      <c r="H1774" s="52">
        <f>H1773-G1774</f>
        <v/>
      </c>
      <c r="I1774" s="568" t="n"/>
      <c r="J1774" s="568" t="n"/>
      <c r="K1774" s="568" t="n"/>
      <c r="L1774" s="568" t="n"/>
    </row>
    <row r="1775">
      <c r="A1775" s="568" t="n">
        <v>44601</v>
      </c>
      <c r="B1775" s="392" t="n">
        <v>8856</v>
      </c>
      <c r="C1775" s="392" t="n">
        <v>81.47</v>
      </c>
      <c r="D1775" s="392" t="n"/>
      <c r="E1775" s="392" t="n"/>
      <c r="F1775" s="392" t="n"/>
      <c r="G1775" s="392" t="n">
        <v>13</v>
      </c>
      <c r="H1775" s="52">
        <f>H1774-G1775</f>
        <v/>
      </c>
      <c r="I1775" s="568" t="n"/>
      <c r="J1775" s="568" t="n"/>
      <c r="K1775" s="568" t="n"/>
      <c r="L1775" s="568" t="n"/>
    </row>
    <row r="1776">
      <c r="A1776" s="568" t="n">
        <v>44601</v>
      </c>
      <c r="B1776" s="392" t="n">
        <v>8857</v>
      </c>
      <c r="C1776" s="392" t="n">
        <v>81</v>
      </c>
      <c r="D1776" s="392" t="n"/>
      <c r="E1776" s="392" t="n"/>
      <c r="F1776" s="392" t="n"/>
      <c r="G1776" s="392" t="n">
        <v>11</v>
      </c>
      <c r="H1776" s="52">
        <f>H1775-G1776</f>
        <v/>
      </c>
      <c r="I1776" s="568" t="n"/>
      <c r="J1776" s="568" t="n"/>
      <c r="K1776" s="568" t="n"/>
      <c r="L1776" s="568" t="n"/>
    </row>
    <row r="1777">
      <c r="A1777" s="304" t="n">
        <v>44608</v>
      </c>
      <c r="B1777" s="401" t="n">
        <v>185544</v>
      </c>
      <c r="C1777" s="401" t="n">
        <v>71</v>
      </c>
      <c r="D1777" s="401" t="n"/>
      <c r="E1777" s="401" t="n"/>
      <c r="F1777" s="401" t="n">
        <v>880</v>
      </c>
      <c r="G1777" s="401" t="n"/>
      <c r="H1777" s="277" t="n">
        <v>892</v>
      </c>
      <c r="I1777" s="568" t="n"/>
      <c r="J1777" s="568" t="n"/>
      <c r="K1777" s="568" t="n"/>
      <c r="L1777" s="568" t="n"/>
    </row>
    <row r="1778">
      <c r="A1778" s="568" t="n">
        <v>44608</v>
      </c>
      <c r="B1778" s="392" t="n">
        <v>8878</v>
      </c>
      <c r="C1778" s="392" t="n">
        <v>81</v>
      </c>
      <c r="D1778" s="392" t="n"/>
      <c r="E1778" s="392" t="n"/>
      <c r="F1778" s="392" t="n"/>
      <c r="G1778" s="392" t="n">
        <v>10</v>
      </c>
      <c r="H1778" s="52">
        <f>H1777-G1778</f>
        <v/>
      </c>
      <c r="I1778" s="568" t="n"/>
      <c r="J1778" s="568" t="n"/>
      <c r="K1778" s="568" t="n"/>
      <c r="L1778" s="568" t="n"/>
    </row>
    <row r="1779">
      <c r="A1779" s="568" t="n">
        <v>44608</v>
      </c>
      <c r="B1779" s="392" t="n">
        <v>8879</v>
      </c>
      <c r="C1779" s="392" t="n">
        <v>81</v>
      </c>
      <c r="D1779" s="392" t="n"/>
      <c r="E1779" s="392" t="n"/>
      <c r="F1779" s="392" t="n"/>
      <c r="G1779" s="392" t="n">
        <v>15</v>
      </c>
      <c r="H1779" s="52">
        <f>H1778-G1779</f>
        <v/>
      </c>
      <c r="I1779" s="568" t="n"/>
      <c r="J1779" s="568" t="n"/>
      <c r="K1779" s="568" t="n"/>
      <c r="L1779" s="568" t="n"/>
    </row>
    <row r="1780">
      <c r="A1780" s="568" t="n">
        <v>44614</v>
      </c>
      <c r="B1780" s="392" t="n">
        <v>8884</v>
      </c>
      <c r="C1780" s="392" t="n">
        <v>81</v>
      </c>
      <c r="D1780" s="392" t="n"/>
      <c r="E1780" s="392" t="n"/>
      <c r="F1780" s="392" t="n"/>
      <c r="G1780" s="392" t="n">
        <v>10</v>
      </c>
      <c r="H1780" s="52">
        <f>H1779-G1780</f>
        <v/>
      </c>
      <c r="I1780" s="568" t="n"/>
      <c r="J1780" s="568" t="n"/>
      <c r="K1780" s="568" t="n"/>
      <c r="L1780" s="568" t="n"/>
    </row>
    <row r="1781">
      <c r="A1781" s="568" t="n">
        <v>44614</v>
      </c>
      <c r="B1781" s="392" t="n">
        <v>8887</v>
      </c>
      <c r="C1781" s="392" t="n">
        <v>81.3</v>
      </c>
      <c r="D1781" s="392" t="n"/>
      <c r="E1781" s="392" t="n"/>
      <c r="F1781" s="392" t="n"/>
      <c r="G1781" s="392" t="n">
        <v>50</v>
      </c>
      <c r="H1781" s="52">
        <f>H1780-G1781</f>
        <v/>
      </c>
      <c r="I1781" s="568" t="n"/>
      <c r="J1781" s="568" t="n"/>
      <c r="K1781" s="568" t="n"/>
      <c r="L1781" s="568" t="n"/>
    </row>
    <row r="1782">
      <c r="A1782" s="568" t="n">
        <v>44614</v>
      </c>
      <c r="B1782" s="392" t="n">
        <v>8888</v>
      </c>
      <c r="C1782" s="392" t="n">
        <v>81</v>
      </c>
      <c r="D1782" s="392" t="n"/>
      <c r="E1782" s="392" t="n"/>
      <c r="F1782" s="392" t="n"/>
      <c r="G1782" s="392" t="n">
        <v>20</v>
      </c>
      <c r="H1782" s="52">
        <f>H1781-G1782</f>
        <v/>
      </c>
      <c r="I1782" s="568" t="n"/>
      <c r="J1782" s="568" t="n"/>
      <c r="K1782" s="568" t="n"/>
      <c r="L1782" s="568" t="n"/>
    </row>
    <row r="1783">
      <c r="A1783" s="568" t="n">
        <v>44614</v>
      </c>
      <c r="B1783" s="392" t="n">
        <v>8889</v>
      </c>
      <c r="C1783" s="392" t="n">
        <v>80.8</v>
      </c>
      <c r="D1783" s="392" t="n"/>
      <c r="E1783" s="392" t="n"/>
      <c r="F1783" s="392" t="n"/>
      <c r="G1783" s="392" t="n">
        <v>50</v>
      </c>
      <c r="H1783" s="52">
        <f>H1782-G1783</f>
        <v/>
      </c>
      <c r="I1783" s="568" t="n"/>
      <c r="J1783" s="568" t="n"/>
      <c r="K1783" s="568" t="n"/>
      <c r="L1783" s="568" t="n"/>
    </row>
    <row r="1784">
      <c r="A1784" s="568" t="n">
        <v>44614</v>
      </c>
      <c r="B1784" s="392" t="n">
        <v>8891</v>
      </c>
      <c r="C1784" s="392" t="n">
        <v>82.59999999999999</v>
      </c>
      <c r="D1784" s="392" t="n"/>
      <c r="E1784" s="392" t="n"/>
      <c r="F1784" s="392" t="n"/>
      <c r="G1784" s="392" t="n">
        <v>30</v>
      </c>
      <c r="H1784" s="52">
        <f>H1783-G1784</f>
        <v/>
      </c>
      <c r="I1784" s="568" t="n"/>
      <c r="J1784" s="568" t="n"/>
      <c r="K1784" s="568" t="n"/>
      <c r="L1784" s="568" t="n"/>
    </row>
    <row r="1785">
      <c r="A1785" s="568" t="n">
        <v>44615</v>
      </c>
      <c r="B1785" s="392" t="n">
        <v>8893</v>
      </c>
      <c r="C1785" s="392" t="n">
        <v>82.5</v>
      </c>
      <c r="D1785" s="392" t="n"/>
      <c r="E1785" s="392" t="n"/>
      <c r="F1785" s="392" t="n"/>
      <c r="G1785" s="392" t="n">
        <v>20</v>
      </c>
      <c r="H1785" s="52">
        <f>H1784-G1785</f>
        <v/>
      </c>
      <c r="I1785" s="568" t="n"/>
      <c r="J1785" s="568" t="n"/>
      <c r="K1785" s="568" t="n"/>
      <c r="L1785" s="568" t="n"/>
    </row>
    <row r="1786">
      <c r="A1786" s="568" t="n">
        <v>44615</v>
      </c>
      <c r="B1786" s="392" t="n">
        <v>8894</v>
      </c>
      <c r="C1786" s="392" t="n">
        <v>82.5</v>
      </c>
      <c r="D1786" s="392" t="n"/>
      <c r="E1786" s="392" t="n"/>
      <c r="F1786" s="392" t="n"/>
      <c r="G1786" s="392" t="n">
        <v>20</v>
      </c>
      <c r="H1786" s="52">
        <f>H1785-G1786</f>
        <v/>
      </c>
      <c r="I1786" s="568" t="n"/>
      <c r="J1786" s="568" t="n"/>
      <c r="K1786" s="568" t="n"/>
      <c r="L1786" s="568" t="n"/>
    </row>
    <row r="1787">
      <c r="A1787" s="568" t="n">
        <v>44615</v>
      </c>
      <c r="B1787" s="392" t="n">
        <v>8895</v>
      </c>
      <c r="C1787" s="392" t="n">
        <v>81</v>
      </c>
      <c r="D1787" s="392" t="n"/>
      <c r="E1787" s="392" t="n"/>
      <c r="F1787" s="392" t="n"/>
      <c r="G1787" s="392" t="n">
        <v>10</v>
      </c>
      <c r="H1787" s="52">
        <f>H1786-G1787</f>
        <v/>
      </c>
      <c r="I1787" s="568" t="n"/>
      <c r="J1787" s="568" t="n"/>
      <c r="K1787" s="568" t="n"/>
      <c r="L1787" s="568" t="n"/>
    </row>
    <row r="1788">
      <c r="A1788" s="568" t="n">
        <v>44615</v>
      </c>
      <c r="B1788" s="392" t="n">
        <v>8896</v>
      </c>
      <c r="C1788" s="392" t="n">
        <v>81</v>
      </c>
      <c r="D1788" s="392" t="n"/>
      <c r="E1788" s="392" t="n"/>
      <c r="F1788" s="392" t="n"/>
      <c r="G1788" s="392" t="n">
        <v>30</v>
      </c>
      <c r="H1788" s="52">
        <f>H1787-G1788</f>
        <v/>
      </c>
      <c r="I1788" s="568" t="n"/>
      <c r="J1788" s="568" t="n"/>
      <c r="K1788" s="568" t="n"/>
      <c r="L1788" s="568" t="n"/>
    </row>
    <row r="1789">
      <c r="A1789" s="304" t="n">
        <v>44617</v>
      </c>
      <c r="B1789" s="401" t="n">
        <v>186315</v>
      </c>
      <c r="C1789" s="401" t="n">
        <v>71</v>
      </c>
      <c r="D1789" s="401" t="n"/>
      <c r="E1789" s="401" t="n"/>
      <c r="F1789" s="401" t="n">
        <v>980</v>
      </c>
      <c r="G1789" s="401" t="n"/>
      <c r="H1789" s="277" t="n">
        <v>1607</v>
      </c>
      <c r="I1789" s="568" t="n"/>
      <c r="J1789" s="568" t="n"/>
      <c r="K1789" s="568" t="n"/>
      <c r="L1789" s="568" t="n"/>
    </row>
    <row r="1790">
      <c r="A1790" s="568" t="n"/>
      <c r="B1790" s="392" t="n"/>
      <c r="C1790" s="392" t="n"/>
      <c r="D1790" s="392" t="n"/>
      <c r="E1790" s="392" t="n"/>
      <c r="F1790" s="392" t="n"/>
      <c r="G1790" s="392" t="n"/>
      <c r="H1790" s="52">
        <f>H1789-G1790</f>
        <v/>
      </c>
      <c r="I1790" s="568" t="n"/>
      <c r="J1790" s="568" t="n"/>
      <c r="K1790" s="568" t="n"/>
      <c r="L1790" s="568" t="n"/>
    </row>
    <row r="1791" ht="15.75" customHeight="1" s="436" thickBot="1"/>
    <row r="1792" ht="21.75" customHeight="1" s="436" thickBot="1">
      <c r="A1792" s="757" t="inlineStr">
        <is>
          <t>Março</t>
        </is>
      </c>
      <c r="B1792" s="697" t="n"/>
      <c r="C1792" s="697" t="n"/>
      <c r="D1792" s="697" t="n"/>
      <c r="E1792" s="697" t="n"/>
      <c r="F1792" s="697" t="n"/>
      <c r="G1792" s="697" t="n"/>
      <c r="H1792" s="697" t="n"/>
      <c r="I1792" s="697" t="n"/>
      <c r="J1792" s="697" t="n"/>
      <c r="K1792" s="697" t="n"/>
      <c r="L1792" s="698" t="n"/>
    </row>
    <row r="1793" ht="21.75" customHeight="1" s="436" thickBot="1">
      <c r="A1793" s="699" t="inlineStr">
        <is>
          <t xml:space="preserve">021 - DENISE FURTADO DE SOUZA - ME </t>
        </is>
      </c>
      <c r="B1793" s="697" t="n"/>
      <c r="C1793" s="697" t="n"/>
      <c r="D1793" s="697" t="n"/>
      <c r="E1793" s="697" t="n"/>
      <c r="F1793" s="697" t="n"/>
      <c r="G1793" s="697" t="n"/>
      <c r="H1793" s="697" t="n"/>
      <c r="I1793" s="697" t="n"/>
      <c r="J1793" s="697" t="n"/>
      <c r="K1793" s="697" t="n"/>
      <c r="L1793" s="698" t="n"/>
    </row>
    <row r="1794" ht="24" customHeight="1" s="436" thickBot="1">
      <c r="A1794" s="745" t="inlineStr">
        <is>
          <t xml:space="preserve">  PRÉ MISTURA - 25 KG</t>
        </is>
      </c>
      <c r="B1794" s="737" t="n"/>
      <c r="C1794" s="737" t="n"/>
      <c r="D1794" s="737" t="n"/>
      <c r="E1794" s="737" t="n"/>
      <c r="F1794" s="737" t="n"/>
      <c r="G1794" s="737" t="n"/>
      <c r="H1794" s="737" t="n"/>
      <c r="I1794" s="737" t="n"/>
      <c r="J1794" s="737" t="n"/>
      <c r="K1794" s="737" t="n"/>
      <c r="L1794" s="736" t="n"/>
    </row>
    <row r="1795">
      <c r="A1795" s="746" t="inlineStr">
        <is>
          <t>DATA</t>
        </is>
      </c>
      <c r="B1795" s="3" t="inlineStr">
        <is>
          <t>N.F.</t>
        </is>
      </c>
      <c r="C1795" s="3" t="inlineStr">
        <is>
          <t>TIPO</t>
        </is>
      </c>
      <c r="D1795" s="3" t="inlineStr">
        <is>
          <t>PREÇO UNITÁRIO</t>
        </is>
      </c>
      <c r="E1795" s="736" t="n"/>
      <c r="F1795" s="3" t="inlineStr">
        <is>
          <t>QUANTIDADE / KG</t>
        </is>
      </c>
      <c r="G1795" s="737" t="n"/>
      <c r="H1795" s="736" t="n"/>
      <c r="I1795" s="631" t="inlineStr">
        <is>
          <t>PREÇO</t>
        </is>
      </c>
      <c r="J1795" s="631" t="inlineStr">
        <is>
          <t>VALORES</t>
        </is>
      </c>
      <c r="K1795" s="737" t="n"/>
      <c r="L1795" s="736" t="n"/>
    </row>
    <row r="1796" ht="15.75" customHeight="1" s="436" thickBot="1">
      <c r="A1796" s="703" t="n"/>
      <c r="B1796" s="704" t="n"/>
      <c r="C1796" s="704" t="n"/>
      <c r="D1796" s="703" t="n"/>
      <c r="E1796" s="701" t="n"/>
      <c r="F1796" s="705" t="n"/>
      <c r="G1796" s="706" t="n"/>
      <c r="H1796" s="707" t="n"/>
      <c r="I1796" s="704" t="n"/>
      <c r="J1796" s="703" t="n"/>
      <c r="L1796" s="701" t="n"/>
    </row>
    <row r="1797" ht="15.75" customHeight="1" s="436" thickBot="1">
      <c r="A1797" s="703" t="n"/>
      <c r="B1797" s="704" t="n"/>
      <c r="C1797" s="704" t="n"/>
      <c r="D1797" s="705" t="n"/>
      <c r="E1797" s="707" t="n"/>
      <c r="F1797" s="3" t="inlineStr">
        <is>
          <t>ENTRADA</t>
        </is>
      </c>
      <c r="G1797" s="3" t="inlineStr">
        <is>
          <t>SAÍDA</t>
        </is>
      </c>
      <c r="H1797" s="640" t="n"/>
      <c r="I1797" s="633" t="inlineStr">
        <is>
          <t>MÉDIO</t>
        </is>
      </c>
      <c r="J1797" s="652" t="inlineStr">
        <is>
          <t>SALDO EM 30/12/2017</t>
        </is>
      </c>
      <c r="K1797" s="706" t="n"/>
      <c r="L1797" s="17" t="n"/>
    </row>
    <row r="1798" ht="15.75" customHeight="1" s="436" thickBot="1">
      <c r="A1798" s="705" t="n"/>
      <c r="B1798" s="695" t="n"/>
      <c r="C1798" s="695" t="n"/>
      <c r="D1798" s="3" t="inlineStr">
        <is>
          <t>C/ICMS</t>
        </is>
      </c>
      <c r="E1798" s="3" t="inlineStr">
        <is>
          <t>S/ICMS</t>
        </is>
      </c>
      <c r="F1798" s="695" t="n"/>
      <c r="G1798" s="695" t="n"/>
      <c r="H1798" s="361" t="inlineStr">
        <is>
          <t>Saldo em 01/03/2022</t>
        </is>
      </c>
      <c r="I1798" s="695" t="n"/>
      <c r="J1798" s="645" t="inlineStr">
        <is>
          <t>ENTRADA</t>
        </is>
      </c>
      <c r="K1798" s="633" t="inlineStr">
        <is>
          <t>SAÍDA / CMV</t>
        </is>
      </c>
      <c r="L1798" s="633" t="inlineStr">
        <is>
          <t>SALDO</t>
        </is>
      </c>
    </row>
    <row r="1799">
      <c r="A1799" s="568" t="n"/>
      <c r="B1799" s="392" t="n"/>
      <c r="C1799" s="392" t="n"/>
      <c r="D1799" s="392" t="n"/>
      <c r="E1799" s="392" t="n"/>
      <c r="F1799" s="392" t="n"/>
      <c r="G1799" s="392" t="n"/>
      <c r="H1799" s="52" t="n">
        <v>1607</v>
      </c>
      <c r="I1799" s="568" t="n"/>
      <c r="J1799" s="568" t="n"/>
      <c r="K1799" s="568" t="n"/>
      <c r="L1799" s="568" t="n"/>
    </row>
    <row r="1800">
      <c r="A1800" s="568" t="n">
        <v>44622</v>
      </c>
      <c r="B1800" s="392" t="n">
        <v>8898</v>
      </c>
      <c r="C1800" s="392" t="n">
        <v>81</v>
      </c>
      <c r="D1800" s="392" t="n"/>
      <c r="E1800" s="392" t="n"/>
      <c r="F1800" s="392" t="n"/>
      <c r="G1800" s="392" t="n">
        <v>50</v>
      </c>
      <c r="H1800" s="52">
        <f>H1799-G1800</f>
        <v/>
      </c>
      <c r="I1800" s="568" t="n"/>
      <c r="J1800" s="568" t="n"/>
      <c r="K1800" s="568" t="n"/>
      <c r="L1800" s="568" t="n"/>
    </row>
    <row r="1801">
      <c r="A1801" s="568" t="n">
        <v>44622</v>
      </c>
      <c r="B1801" s="392" t="n">
        <v>8903</v>
      </c>
      <c r="C1801" s="392" t="n">
        <v>80.84</v>
      </c>
      <c r="D1801" s="392" t="n"/>
      <c r="E1801" s="392" t="n"/>
      <c r="F1801" s="392" t="n"/>
      <c r="G1801" s="392" t="n">
        <v>30</v>
      </c>
      <c r="H1801" s="52">
        <f>H1800-G1801</f>
        <v/>
      </c>
      <c r="I1801" s="568" t="n"/>
      <c r="J1801" s="568" t="n"/>
      <c r="K1801" s="568" t="n"/>
      <c r="L1801" s="568" t="n"/>
    </row>
    <row r="1802">
      <c r="A1802" s="568" t="n">
        <v>44622</v>
      </c>
      <c r="B1802" s="392" t="n">
        <v>8905</v>
      </c>
      <c r="C1802" s="392" t="n">
        <v>81</v>
      </c>
      <c r="D1802" s="392" t="n"/>
      <c r="E1802" s="392" t="n"/>
      <c r="F1802" s="392" t="n"/>
      <c r="G1802" s="392" t="n">
        <v>20</v>
      </c>
      <c r="H1802" s="52">
        <f>H1801-G1802</f>
        <v/>
      </c>
      <c r="I1802" s="568" t="n"/>
      <c r="J1802" s="568" t="n"/>
      <c r="K1802" s="568" t="n"/>
      <c r="L1802" s="568" t="n"/>
    </row>
    <row r="1803">
      <c r="A1803" s="568" t="n">
        <v>44622</v>
      </c>
      <c r="B1803" s="392" t="n">
        <v>8904</v>
      </c>
      <c r="C1803" s="392" t="n">
        <v>84.43000000000001</v>
      </c>
      <c r="D1803" s="392" t="n"/>
      <c r="E1803" s="392" t="n"/>
      <c r="F1803" s="392" t="n"/>
      <c r="G1803" s="392" t="n">
        <v>70</v>
      </c>
      <c r="H1803" s="52">
        <f>H1802-G1803</f>
        <v/>
      </c>
      <c r="I1803" s="568" t="n"/>
      <c r="J1803" s="568" t="n"/>
      <c r="K1803" s="568" t="n"/>
      <c r="L1803" s="568" t="n"/>
    </row>
    <row r="1804">
      <c r="A1804" s="568" t="n">
        <v>44623</v>
      </c>
      <c r="B1804" s="392" t="n">
        <v>8909</v>
      </c>
      <c r="C1804" s="392" t="n">
        <v>86.5</v>
      </c>
      <c r="D1804" s="392" t="n"/>
      <c r="E1804" s="392" t="n"/>
      <c r="F1804" s="392" t="n"/>
      <c r="G1804" s="392" t="n">
        <v>20</v>
      </c>
      <c r="H1804" s="52">
        <f>H1803-G1804</f>
        <v/>
      </c>
      <c r="I1804" s="568" t="n"/>
      <c r="J1804" s="568" t="n"/>
      <c r="K1804" s="568" t="n"/>
      <c r="L1804" s="568" t="n"/>
    </row>
    <row r="1805">
      <c r="A1805" s="568" t="n">
        <v>44623</v>
      </c>
      <c r="B1805" s="392" t="n">
        <v>8912</v>
      </c>
      <c r="C1805" s="392" t="n">
        <v>82</v>
      </c>
      <c r="D1805" s="392" t="n"/>
      <c r="E1805" s="392" t="n"/>
      <c r="F1805" s="392" t="n"/>
      <c r="G1805" s="392" t="n">
        <v>36</v>
      </c>
      <c r="H1805" s="52">
        <f>H1804-G1805</f>
        <v/>
      </c>
      <c r="I1805" s="568" t="n"/>
      <c r="J1805" s="568" t="n"/>
      <c r="K1805" s="568" t="n"/>
      <c r="L1805" s="568" t="n"/>
    </row>
    <row r="1806">
      <c r="A1806" s="568" t="n">
        <v>44623</v>
      </c>
      <c r="B1806" s="392" t="n">
        <v>8914</v>
      </c>
      <c r="C1806" s="392" t="n">
        <v>85.40000000000001</v>
      </c>
      <c r="D1806" s="392" t="n"/>
      <c r="E1806" s="392" t="n"/>
      <c r="F1806" s="392" t="n"/>
      <c r="G1806" s="392" t="n">
        <v>15</v>
      </c>
      <c r="H1806" s="52">
        <f>H1805-G1806</f>
        <v/>
      </c>
      <c r="I1806" s="568" t="n"/>
      <c r="J1806" s="568" t="n"/>
      <c r="K1806" s="568" t="n"/>
      <c r="L1806" s="568" t="n"/>
    </row>
    <row r="1807">
      <c r="A1807" s="568" t="n">
        <v>44623</v>
      </c>
      <c r="B1807" s="392" t="n">
        <v>8915</v>
      </c>
      <c r="C1807" s="392" t="n">
        <v>84</v>
      </c>
      <c r="D1807" s="392" t="n"/>
      <c r="E1807" s="392" t="n"/>
      <c r="F1807" s="392" t="n"/>
      <c r="G1807" s="392" t="n">
        <v>10</v>
      </c>
      <c r="H1807" s="52">
        <f>H1806-G1807</f>
        <v/>
      </c>
      <c r="I1807" s="568" t="n"/>
      <c r="J1807" s="568" t="n"/>
      <c r="K1807" s="568" t="n"/>
      <c r="L1807" s="568" t="n"/>
    </row>
    <row r="1808">
      <c r="A1808" s="568" t="n">
        <v>44628</v>
      </c>
      <c r="B1808" s="392" t="n">
        <v>8920</v>
      </c>
      <c r="C1808" s="392" t="n">
        <v>83.59999999999999</v>
      </c>
      <c r="D1808" s="392" t="n"/>
      <c r="E1808" s="392" t="n"/>
      <c r="F1808" s="392" t="n"/>
      <c r="G1808" s="392" t="n">
        <v>10</v>
      </c>
      <c r="H1808" s="52">
        <f>H1807-G1808</f>
        <v/>
      </c>
      <c r="I1808" s="568" t="n"/>
      <c r="J1808" s="568" t="n"/>
      <c r="K1808" s="568" t="n"/>
      <c r="L1808" s="568" t="n"/>
    </row>
    <row r="1809">
      <c r="A1809" s="568" t="n">
        <v>44628</v>
      </c>
      <c r="B1809" s="392" t="n">
        <v>8923</v>
      </c>
      <c r="C1809" s="392" t="n">
        <v>84.5</v>
      </c>
      <c r="D1809" s="392" t="n"/>
      <c r="E1809" s="392" t="n"/>
      <c r="F1809" s="392" t="n"/>
      <c r="G1809" s="392" t="n">
        <v>30</v>
      </c>
      <c r="H1809" s="52">
        <f>H1808-G1809</f>
        <v/>
      </c>
      <c r="I1809" s="568" t="n"/>
      <c r="J1809" s="568" t="n"/>
      <c r="K1809" s="568" t="n"/>
      <c r="L1809" s="568" t="n"/>
    </row>
    <row r="1810">
      <c r="A1810" s="568" t="n">
        <v>44628</v>
      </c>
      <c r="B1810" s="392" t="n">
        <v>8925</v>
      </c>
      <c r="C1810" s="392" t="n">
        <v>84</v>
      </c>
      <c r="D1810" s="392" t="n"/>
      <c r="E1810" s="392" t="n"/>
      <c r="F1810" s="392" t="n"/>
      <c r="G1810" s="392" t="n">
        <v>15</v>
      </c>
      <c r="H1810" s="52">
        <f>H1809-G1810</f>
        <v/>
      </c>
      <c r="I1810" s="568" t="n"/>
      <c r="J1810" s="568" t="n"/>
      <c r="K1810" s="568" t="n"/>
      <c r="L1810" s="568" t="n"/>
    </row>
    <row r="1811">
      <c r="A1811" s="568" t="n">
        <v>44628</v>
      </c>
      <c r="B1811" s="392" t="n">
        <v>8926</v>
      </c>
      <c r="C1811" s="392" t="n">
        <v>83.13</v>
      </c>
      <c r="D1811" s="392" t="n"/>
      <c r="E1811" s="392" t="n"/>
      <c r="F1811" s="392" t="n"/>
      <c r="G1811" s="392" t="n">
        <v>40</v>
      </c>
      <c r="H1811" s="52">
        <f>H1810-G1811</f>
        <v/>
      </c>
      <c r="I1811" s="568" t="n"/>
      <c r="J1811" s="568" t="n"/>
      <c r="K1811" s="568" t="n"/>
      <c r="L1811" s="568" t="n"/>
    </row>
    <row r="1812">
      <c r="A1812" s="568" t="n">
        <v>44628</v>
      </c>
      <c r="B1812" s="392" t="n">
        <v>8930</v>
      </c>
      <c r="C1812" s="392" t="n">
        <v>84.8</v>
      </c>
      <c r="D1812" s="392" t="n"/>
      <c r="E1812" s="392" t="n"/>
      <c r="F1812" s="392" t="n"/>
      <c r="G1812" s="392" t="n">
        <v>50</v>
      </c>
      <c r="H1812" s="52">
        <f>H1811-G1812</f>
        <v/>
      </c>
      <c r="I1812" s="568" t="n"/>
      <c r="J1812" s="568" t="n"/>
      <c r="K1812" s="568" t="n"/>
      <c r="L1812" s="568" t="n"/>
    </row>
    <row r="1813">
      <c r="A1813" s="568" t="n">
        <v>44629</v>
      </c>
      <c r="B1813" s="392" t="n">
        <v>8933</v>
      </c>
      <c r="C1813" s="392" t="n">
        <v>85.16</v>
      </c>
      <c r="D1813" s="392" t="n"/>
      <c r="E1813" s="392" t="n"/>
      <c r="F1813" s="392" t="n"/>
      <c r="G1813" s="392" t="n">
        <v>26</v>
      </c>
      <c r="H1813" s="52">
        <f>H1812-G1813</f>
        <v/>
      </c>
      <c r="I1813" s="568" t="n"/>
      <c r="J1813" s="568" t="n"/>
      <c r="K1813" s="568" t="n"/>
      <c r="L1813" s="568" t="n"/>
    </row>
    <row r="1814">
      <c r="A1814" s="568" t="n">
        <v>44629</v>
      </c>
      <c r="B1814" s="392" t="n">
        <v>8934</v>
      </c>
      <c r="C1814" s="392" t="n">
        <v>84.84</v>
      </c>
      <c r="D1814" s="392" t="n"/>
      <c r="E1814" s="392" t="n"/>
      <c r="F1814" s="392" t="n"/>
      <c r="G1814" s="392" t="n">
        <v>36</v>
      </c>
      <c r="H1814" s="52">
        <f>H1813-G1814</f>
        <v/>
      </c>
      <c r="I1814" s="568" t="n"/>
      <c r="J1814" s="568" t="n"/>
      <c r="K1814" s="568" t="n"/>
      <c r="L1814" s="568" t="n"/>
    </row>
    <row r="1815">
      <c r="A1815" s="568" t="n">
        <v>44629</v>
      </c>
      <c r="B1815" s="392" t="n">
        <v>8935</v>
      </c>
      <c r="C1815" s="392" t="n">
        <v>84</v>
      </c>
      <c r="D1815" s="392" t="n"/>
      <c r="E1815" s="392" t="n"/>
      <c r="F1815" s="392" t="n"/>
      <c r="G1815" s="392" t="n">
        <v>10</v>
      </c>
      <c r="H1815" s="52">
        <f>H1814-G1815</f>
        <v/>
      </c>
      <c r="I1815" s="568" t="n"/>
      <c r="J1815" s="568" t="n"/>
      <c r="K1815" s="568" t="n"/>
      <c r="L1815" s="568" t="n"/>
    </row>
    <row r="1816">
      <c r="A1816" s="568" t="n">
        <v>44629</v>
      </c>
      <c r="B1816" s="392" t="n">
        <v>8936</v>
      </c>
      <c r="C1816" s="392" t="n">
        <v>85.25</v>
      </c>
      <c r="D1816" s="392" t="n"/>
      <c r="E1816" s="392" t="n"/>
      <c r="F1816" s="392" t="n"/>
      <c r="G1816" s="392" t="n">
        <v>20</v>
      </c>
      <c r="H1816" s="52">
        <f>H1815-G1816</f>
        <v/>
      </c>
      <c r="I1816" s="568" t="n"/>
      <c r="J1816" s="568" t="n"/>
      <c r="K1816" s="568" t="n"/>
      <c r="L1816" s="568" t="n"/>
    </row>
    <row r="1817">
      <c r="A1817" s="568" t="n">
        <v>44629</v>
      </c>
      <c r="B1817" s="392" t="n">
        <v>8937</v>
      </c>
      <c r="C1817" s="392" t="n">
        <v>79</v>
      </c>
      <c r="D1817" s="392" t="n"/>
      <c r="E1817" s="392" t="n"/>
      <c r="F1817" s="392" t="n"/>
      <c r="G1817" s="392" t="n">
        <v>120</v>
      </c>
      <c r="H1817" s="52">
        <f>H1816-G1817</f>
        <v/>
      </c>
      <c r="I1817" s="568" t="n"/>
      <c r="J1817" s="568" t="n"/>
      <c r="K1817" s="568" t="n"/>
      <c r="L1817" s="568" t="n"/>
    </row>
    <row r="1818">
      <c r="A1818" s="568" t="n">
        <v>44629</v>
      </c>
      <c r="B1818" s="392" t="n">
        <v>8939</v>
      </c>
      <c r="C1818" s="392" t="n">
        <v>84.84</v>
      </c>
      <c r="D1818" s="392" t="n"/>
      <c r="E1818" s="392" t="n"/>
      <c r="F1818" s="392" t="n"/>
      <c r="G1818" s="392" t="n">
        <v>20</v>
      </c>
      <c r="H1818" s="52">
        <f>H1817-G1818</f>
        <v/>
      </c>
      <c r="I1818" s="568" t="n"/>
      <c r="J1818" s="568" t="n"/>
      <c r="K1818" s="568" t="n"/>
      <c r="L1818" s="568" t="n"/>
    </row>
    <row r="1819">
      <c r="A1819" s="568" t="n">
        <v>44629</v>
      </c>
      <c r="B1819" s="392" t="n">
        <v>8940</v>
      </c>
      <c r="C1819" s="392" t="n">
        <v>84</v>
      </c>
      <c r="D1819" s="392" t="n"/>
      <c r="E1819" s="392" t="n"/>
      <c r="F1819" s="392" t="n"/>
      <c r="G1819" s="392" t="n">
        <v>110</v>
      </c>
      <c r="H1819" s="52">
        <f>H1818-G1819</f>
        <v/>
      </c>
      <c r="I1819" s="568" t="n"/>
      <c r="J1819" s="568" t="n"/>
      <c r="K1819" s="568" t="n"/>
      <c r="L1819" s="568" t="n"/>
    </row>
    <row r="1820">
      <c r="A1820" s="568" t="n">
        <v>44630</v>
      </c>
      <c r="B1820" s="392" t="n">
        <v>8942</v>
      </c>
      <c r="C1820" s="392" t="n">
        <v>86.67</v>
      </c>
      <c r="D1820" s="392" t="n"/>
      <c r="E1820" s="392" t="n"/>
      <c r="F1820" s="392" t="n"/>
      <c r="G1820" s="392" t="n">
        <v>30</v>
      </c>
      <c r="H1820" s="52">
        <f>H1819-G1820</f>
        <v/>
      </c>
      <c r="I1820" s="568" t="n"/>
      <c r="J1820" s="568" t="n"/>
      <c r="K1820" s="568" t="n"/>
      <c r="L1820" s="568" t="n"/>
    </row>
    <row r="1821">
      <c r="A1821" s="304" t="n">
        <v>44634</v>
      </c>
      <c r="B1821" s="401" t="n">
        <v>187461</v>
      </c>
      <c r="C1821" s="401" t="n">
        <v>72</v>
      </c>
      <c r="D1821" s="401" t="n"/>
      <c r="E1821" s="401" t="n"/>
      <c r="F1821" s="401" t="n">
        <v>300</v>
      </c>
      <c r="G1821" s="401" t="n"/>
      <c r="H1821" s="277" t="n">
        <v>1139</v>
      </c>
      <c r="I1821" s="568" t="n"/>
      <c r="J1821" s="568" t="n"/>
      <c r="K1821" s="568" t="n"/>
      <c r="L1821" s="568" t="n"/>
    </row>
    <row r="1822">
      <c r="A1822" s="568" t="n">
        <v>44636</v>
      </c>
      <c r="B1822" s="392" t="n">
        <v>8951</v>
      </c>
      <c r="C1822" s="392" t="n">
        <v>86.28</v>
      </c>
      <c r="D1822" s="392" t="n"/>
      <c r="E1822" s="392" t="n"/>
      <c r="F1822" s="392" t="n"/>
      <c r="G1822" s="392" t="n">
        <v>110</v>
      </c>
      <c r="H1822" s="52">
        <f>H1821-G1822</f>
        <v/>
      </c>
      <c r="I1822" s="568" t="n"/>
      <c r="J1822" s="568" t="n"/>
      <c r="K1822" s="568" t="n"/>
      <c r="L1822" s="568" t="n"/>
    </row>
    <row r="1823">
      <c r="A1823" s="568" t="n">
        <v>44636</v>
      </c>
      <c r="B1823" s="392" t="n">
        <v>8952</v>
      </c>
      <c r="C1823" s="392" t="n">
        <v>85</v>
      </c>
      <c r="D1823" s="392" t="n"/>
      <c r="E1823" s="392" t="n"/>
      <c r="F1823" s="392" t="n"/>
      <c r="G1823" s="392" t="n">
        <v>20</v>
      </c>
      <c r="H1823" s="52">
        <f>H1822-G1823</f>
        <v/>
      </c>
      <c r="I1823" s="568" t="n"/>
      <c r="J1823" s="568" t="n"/>
      <c r="K1823" s="568" t="n"/>
      <c r="L1823" s="568" t="n"/>
    </row>
    <row r="1824">
      <c r="A1824" s="568" t="n">
        <v>44636</v>
      </c>
      <c r="B1824" s="392" t="n">
        <v>8954</v>
      </c>
      <c r="C1824" s="392" t="n">
        <v>87</v>
      </c>
      <c r="D1824" s="392" t="n"/>
      <c r="E1824" s="392" t="n"/>
      <c r="F1824" s="392" t="n"/>
      <c r="G1824" s="392" t="n">
        <v>15</v>
      </c>
      <c r="H1824" s="52">
        <f>H1823-G1824</f>
        <v/>
      </c>
      <c r="I1824" s="568" t="n"/>
      <c r="J1824" s="568" t="n"/>
      <c r="K1824" s="568" t="n"/>
      <c r="L1824" s="568" t="n"/>
    </row>
    <row r="1825">
      <c r="A1825" s="568" t="n">
        <v>44636</v>
      </c>
      <c r="B1825" s="392" t="n">
        <v>8955</v>
      </c>
      <c r="C1825" s="392" t="n">
        <v>87.3</v>
      </c>
      <c r="D1825" s="392" t="n"/>
      <c r="E1825" s="392" t="n"/>
      <c r="F1825" s="392" t="n"/>
      <c r="G1825" s="392" t="n">
        <v>30</v>
      </c>
      <c r="H1825" s="52">
        <f>H1824-G1825</f>
        <v/>
      </c>
      <c r="I1825" s="568" t="n"/>
      <c r="J1825" s="568" t="n"/>
      <c r="K1825" s="568" t="n"/>
      <c r="L1825" s="568" t="n"/>
    </row>
    <row r="1826">
      <c r="A1826" s="568" t="n">
        <v>44636</v>
      </c>
      <c r="B1826" s="392" t="n">
        <v>8956</v>
      </c>
      <c r="C1826" s="392" t="n">
        <v>87.66</v>
      </c>
      <c r="D1826" s="392" t="n"/>
      <c r="E1826" s="392" t="n"/>
      <c r="F1826" s="392" t="n"/>
      <c r="G1826" s="392" t="n">
        <v>46</v>
      </c>
      <c r="H1826" s="52">
        <f>H1825-G1826</f>
        <v/>
      </c>
      <c r="I1826" s="568" t="n"/>
      <c r="J1826" s="568" t="n"/>
      <c r="K1826" s="568" t="n"/>
      <c r="L1826" s="568" t="n"/>
    </row>
    <row r="1827">
      <c r="A1827" s="568" t="n">
        <v>44637</v>
      </c>
      <c r="B1827" s="392" t="n">
        <v>8958</v>
      </c>
      <c r="C1827" s="392" t="n">
        <v>87</v>
      </c>
      <c r="D1827" s="392" t="n"/>
      <c r="E1827" s="392" t="n"/>
      <c r="F1827" s="392" t="n"/>
      <c r="G1827" s="392" t="n">
        <v>10</v>
      </c>
      <c r="H1827" s="52">
        <f>H1826-G1827</f>
        <v/>
      </c>
      <c r="I1827" s="568" t="n"/>
      <c r="J1827" s="568" t="n"/>
      <c r="K1827" s="568" t="n"/>
      <c r="L1827" s="568" t="n"/>
    </row>
    <row r="1828">
      <c r="A1828" s="568" t="n">
        <v>44637</v>
      </c>
      <c r="B1828" s="392" t="n">
        <v>8959</v>
      </c>
      <c r="C1828" s="392" t="n">
        <v>87</v>
      </c>
      <c r="D1828" s="392" t="n"/>
      <c r="E1828" s="392" t="n"/>
      <c r="F1828" s="392" t="n"/>
      <c r="G1828" s="392" t="n">
        <v>10</v>
      </c>
      <c r="H1828" s="52">
        <f>H1827-G1828</f>
        <v/>
      </c>
      <c r="I1828" s="568" t="n"/>
      <c r="J1828" s="568" t="n"/>
      <c r="K1828" s="568" t="n"/>
      <c r="L1828" s="568" t="n"/>
    </row>
    <row r="1829">
      <c r="A1829" s="568" t="n">
        <v>44641</v>
      </c>
      <c r="B1829" s="392" t="n">
        <v>8961</v>
      </c>
      <c r="C1829" s="392" t="n">
        <v>89</v>
      </c>
      <c r="D1829" s="392" t="n"/>
      <c r="E1829" s="392" t="n"/>
      <c r="F1829" s="392" t="n"/>
      <c r="G1829" s="392" t="n">
        <v>30</v>
      </c>
      <c r="H1829" s="52">
        <f>H1828-G1829</f>
        <v/>
      </c>
      <c r="I1829" s="568" t="n"/>
      <c r="J1829" s="568" t="n"/>
      <c r="K1829" s="568" t="n"/>
      <c r="L1829" s="568" t="n"/>
    </row>
    <row r="1830">
      <c r="A1830" s="568" t="n">
        <v>44641</v>
      </c>
      <c r="B1830" s="392" t="n">
        <v>8962</v>
      </c>
      <c r="C1830" s="392" t="n">
        <v>86.8</v>
      </c>
      <c r="D1830" s="392" t="n"/>
      <c r="E1830" s="392" t="n"/>
      <c r="F1830" s="392" t="n"/>
      <c r="G1830" s="392" t="n">
        <v>50</v>
      </c>
      <c r="H1830" s="52">
        <f>H1829-G1830</f>
        <v/>
      </c>
      <c r="I1830" s="568" t="n"/>
      <c r="J1830" s="568" t="n"/>
      <c r="K1830" s="568" t="n"/>
      <c r="L1830" s="568" t="n"/>
    </row>
    <row r="1831">
      <c r="A1831" s="568" t="n">
        <v>44641</v>
      </c>
      <c r="B1831" s="392" t="n">
        <v>8964</v>
      </c>
      <c r="C1831" s="392" t="n">
        <v>89</v>
      </c>
      <c r="D1831" s="392" t="n"/>
      <c r="E1831" s="392" t="n"/>
      <c r="F1831" s="392" t="n"/>
      <c r="G1831" s="392" t="n">
        <v>10</v>
      </c>
      <c r="H1831" s="52">
        <f>H1830-G1831</f>
        <v/>
      </c>
      <c r="I1831" s="568" t="n"/>
      <c r="J1831" s="568" t="n"/>
      <c r="K1831" s="568" t="n"/>
      <c r="L1831" s="568" t="n"/>
    </row>
    <row r="1832">
      <c r="A1832" s="568" t="n">
        <v>44641</v>
      </c>
      <c r="B1832" s="392" t="n">
        <v>8967</v>
      </c>
      <c r="C1832" s="392" t="n">
        <v>88.84</v>
      </c>
      <c r="D1832" s="392" t="n"/>
      <c r="E1832" s="392" t="n"/>
      <c r="F1832" s="392" t="n"/>
      <c r="G1832" s="392" t="n">
        <v>30</v>
      </c>
      <c r="H1832" s="52">
        <f>H1831-G1832</f>
        <v/>
      </c>
      <c r="I1832" s="568" t="n"/>
      <c r="J1832" s="568" t="n"/>
      <c r="K1832" s="568" t="n"/>
      <c r="L1832" s="568" t="n"/>
    </row>
    <row r="1833">
      <c r="A1833" s="568" t="n">
        <v>44641</v>
      </c>
      <c r="B1833" s="392" t="n">
        <v>8968</v>
      </c>
      <c r="C1833" s="392" t="n">
        <v>89</v>
      </c>
      <c r="D1833" s="392" t="n"/>
      <c r="E1833" s="392" t="n"/>
      <c r="F1833" s="392" t="n"/>
      <c r="G1833" s="392" t="n">
        <v>30</v>
      </c>
      <c r="H1833" s="52">
        <f>H1832-G1833</f>
        <v/>
      </c>
      <c r="I1833" s="568" t="n"/>
      <c r="J1833" s="568" t="n"/>
      <c r="K1833" s="568" t="n"/>
      <c r="L1833" s="568" t="n"/>
    </row>
    <row r="1834">
      <c r="A1834" s="568" t="n">
        <v>44641</v>
      </c>
      <c r="B1834" s="392" t="n">
        <v>8969</v>
      </c>
      <c r="C1834" s="392" t="n">
        <v>89.40000000000001</v>
      </c>
      <c r="D1834" s="392" t="n"/>
      <c r="E1834" s="392" t="n"/>
      <c r="F1834" s="392" t="n"/>
      <c r="G1834" s="392" t="n">
        <v>25</v>
      </c>
      <c r="H1834" s="52">
        <f>H1833-G1834</f>
        <v/>
      </c>
      <c r="I1834" s="568" t="n"/>
      <c r="J1834" s="568" t="n"/>
      <c r="K1834" s="568" t="n"/>
      <c r="L1834" s="568" t="n"/>
    </row>
    <row r="1835">
      <c r="A1835" s="304" t="n">
        <v>44643</v>
      </c>
      <c r="B1835" s="401" t="n">
        <v>188046</v>
      </c>
      <c r="C1835" s="401" t="n">
        <v>72</v>
      </c>
      <c r="D1835" s="401" t="n"/>
      <c r="E1835" s="401" t="n"/>
      <c r="F1835" s="401" t="n">
        <v>700</v>
      </c>
      <c r="G1835" s="401" t="n"/>
      <c r="H1835" s="277" t="n">
        <v>1423</v>
      </c>
      <c r="I1835" s="568" t="n"/>
      <c r="J1835" s="568" t="n"/>
      <c r="K1835" s="568" t="n"/>
      <c r="L1835" s="568" t="n"/>
    </row>
    <row r="1836">
      <c r="A1836" s="568" t="n">
        <v>44643</v>
      </c>
      <c r="B1836" s="392" t="n">
        <v>8971</v>
      </c>
      <c r="C1836" s="392" t="n">
        <v>89</v>
      </c>
      <c r="D1836" s="392" t="n"/>
      <c r="E1836" s="392" t="n"/>
      <c r="F1836" s="392" t="n"/>
      <c r="G1836" s="392" t="n">
        <v>10</v>
      </c>
      <c r="H1836" s="52">
        <f>H1835-G1836</f>
        <v/>
      </c>
      <c r="I1836" s="568" t="n"/>
      <c r="J1836" s="568" t="n"/>
      <c r="K1836" s="568" t="n"/>
      <c r="L1836" s="568" t="n"/>
    </row>
    <row r="1837">
      <c r="A1837" s="568" t="n">
        <v>44643</v>
      </c>
      <c r="B1837" s="392" t="n">
        <v>8972</v>
      </c>
      <c r="C1837" s="392" t="n">
        <v>89</v>
      </c>
      <c r="D1837" s="392" t="n"/>
      <c r="E1837" s="392" t="n"/>
      <c r="F1837" s="392" t="n"/>
      <c r="G1837" s="392" t="n">
        <v>20</v>
      </c>
      <c r="H1837" s="52">
        <f>H1836-G1837</f>
        <v/>
      </c>
      <c r="I1837" s="568" t="n"/>
      <c r="J1837" s="568" t="n"/>
      <c r="K1837" s="568" t="n"/>
      <c r="L1837" s="568" t="n"/>
    </row>
    <row r="1838">
      <c r="A1838" s="568" t="n">
        <v>44643</v>
      </c>
      <c r="B1838" s="392" t="n">
        <v>8973</v>
      </c>
      <c r="C1838" s="392" t="n">
        <v>90.25</v>
      </c>
      <c r="D1838" s="392" t="n"/>
      <c r="E1838" s="392" t="n"/>
      <c r="F1838" s="392" t="n"/>
      <c r="G1838" s="392" t="n">
        <v>40</v>
      </c>
      <c r="H1838" s="52">
        <f>H1837-G1838</f>
        <v/>
      </c>
      <c r="I1838" s="568" t="n"/>
      <c r="J1838" s="568" t="n"/>
      <c r="K1838" s="568" t="n"/>
      <c r="L1838" s="568" t="n"/>
    </row>
    <row r="1839">
      <c r="A1839" s="568" t="n">
        <v>44649</v>
      </c>
      <c r="B1839" s="392" t="n">
        <v>8977</v>
      </c>
      <c r="C1839" s="392" t="n">
        <v>80</v>
      </c>
      <c r="D1839" s="392" t="n"/>
      <c r="E1839" s="392" t="n"/>
      <c r="F1839" s="392" t="n"/>
      <c r="G1839" s="392" t="n">
        <v>75</v>
      </c>
      <c r="H1839" s="52">
        <f>H1838-G1839</f>
        <v/>
      </c>
      <c r="I1839" s="568" t="n"/>
      <c r="J1839" s="568" t="n"/>
      <c r="K1839" s="568" t="n"/>
      <c r="L1839" s="568" t="n"/>
    </row>
    <row r="1840">
      <c r="A1840" s="568" t="n">
        <v>44649</v>
      </c>
      <c r="B1840" s="392" t="n">
        <v>8981</v>
      </c>
      <c r="C1840" s="392" t="n">
        <v>89.81999999999999</v>
      </c>
      <c r="D1840" s="392" t="n"/>
      <c r="E1840" s="392" t="n"/>
      <c r="F1840" s="392" t="n"/>
      <c r="G1840" s="392" t="n">
        <v>60</v>
      </c>
      <c r="H1840" s="52">
        <f>H1839-G1840</f>
        <v/>
      </c>
      <c r="I1840" s="568" t="n"/>
      <c r="J1840" s="568" t="n"/>
      <c r="K1840" s="568" t="n"/>
      <c r="L1840" s="568" t="n"/>
    </row>
    <row r="1841">
      <c r="A1841" s="568" t="n">
        <v>44649</v>
      </c>
      <c r="B1841" s="392" t="n">
        <v>8982</v>
      </c>
      <c r="C1841" s="392" t="n">
        <v>90</v>
      </c>
      <c r="D1841" s="392" t="n"/>
      <c r="E1841" s="392" t="n"/>
      <c r="F1841" s="392" t="n"/>
      <c r="G1841" s="392" t="n">
        <v>20</v>
      </c>
      <c r="H1841" s="52">
        <f>H1840-G1841</f>
        <v/>
      </c>
      <c r="I1841" s="568" t="n"/>
      <c r="J1841" s="568" t="n"/>
      <c r="K1841" s="568" t="n"/>
      <c r="L1841" s="568" t="n"/>
    </row>
    <row r="1842">
      <c r="A1842" s="568" t="n">
        <v>44650</v>
      </c>
      <c r="B1842" s="392" t="n">
        <v>8988</v>
      </c>
      <c r="C1842" s="392" t="n">
        <v>90.28</v>
      </c>
      <c r="D1842" s="392" t="n"/>
      <c r="E1842" s="392" t="n"/>
      <c r="F1842" s="392" t="n"/>
      <c r="G1842" s="392" t="n">
        <v>35</v>
      </c>
      <c r="H1842" s="52">
        <f>H1841-G1842</f>
        <v/>
      </c>
      <c r="I1842" s="568" t="n"/>
      <c r="J1842" s="568" t="n"/>
      <c r="K1842" s="568" t="n"/>
      <c r="L1842" s="568" t="n"/>
    </row>
    <row r="1843">
      <c r="A1843" s="568" t="n">
        <v>44650</v>
      </c>
      <c r="B1843" s="392" t="n">
        <v>8992</v>
      </c>
      <c r="C1843" s="392" t="n">
        <v>90</v>
      </c>
      <c r="D1843" s="392" t="n"/>
      <c r="E1843" s="392" t="n"/>
      <c r="F1843" s="392" t="n"/>
      <c r="G1843" s="392" t="n">
        <v>20</v>
      </c>
      <c r="H1843" s="52">
        <f>H1842-G1843</f>
        <v/>
      </c>
      <c r="I1843" s="568" t="n"/>
      <c r="J1843" s="568" t="n"/>
      <c r="K1843" s="568" t="n"/>
      <c r="L1843" s="568" t="n"/>
    </row>
    <row r="1844">
      <c r="A1844" s="568" t="n">
        <v>44650</v>
      </c>
      <c r="B1844" s="392" t="n">
        <v>8993</v>
      </c>
      <c r="C1844" s="392" t="n">
        <v>90.88</v>
      </c>
      <c r="D1844" s="392" t="n"/>
      <c r="E1844" s="392" t="n"/>
      <c r="F1844" s="392" t="n"/>
      <c r="G1844" s="392" t="n">
        <v>32</v>
      </c>
      <c r="H1844" s="52">
        <f>H1843-G1844</f>
        <v/>
      </c>
      <c r="I1844" s="568" t="n"/>
      <c r="J1844" s="568" t="n"/>
      <c r="K1844" s="568" t="n"/>
      <c r="L1844" s="568" t="n"/>
    </row>
    <row r="1845">
      <c r="A1845" s="568" t="n">
        <v>44650</v>
      </c>
      <c r="B1845" s="392" t="n">
        <v>8995</v>
      </c>
      <c r="C1845" s="392" t="n">
        <v>91.59999999999999</v>
      </c>
      <c r="D1845" s="392" t="n"/>
      <c r="E1845" s="392" t="n"/>
      <c r="F1845" s="392" t="n"/>
      <c r="G1845" s="392" t="n">
        <v>35</v>
      </c>
      <c r="H1845" s="52">
        <f>H1844-G1845</f>
        <v/>
      </c>
      <c r="I1845" s="568" t="n"/>
      <c r="J1845" s="568" t="n"/>
      <c r="K1845" s="568" t="n"/>
      <c r="L1845" s="568" t="n"/>
    </row>
    <row r="1846">
      <c r="A1846" s="568" t="n"/>
      <c r="B1846" s="392" t="n"/>
      <c r="C1846" s="392" t="n"/>
      <c r="D1846" s="392" t="n"/>
      <c r="E1846" s="392" t="n"/>
      <c r="F1846" s="392" t="n"/>
      <c r="G1846" s="392" t="n"/>
      <c r="H1846" s="52">
        <f>H1845-G1846</f>
        <v/>
      </c>
      <c r="I1846" s="568" t="n"/>
      <c r="J1846" s="568" t="n"/>
      <c r="K1846" s="568" t="n"/>
      <c r="L1846" s="568" t="n"/>
    </row>
    <row r="1847" ht="15.75" customHeight="1" s="436" thickBot="1"/>
    <row r="1848" ht="21.75" customHeight="1" s="436" thickBot="1">
      <c r="A1848" s="757" t="inlineStr">
        <is>
          <t>Março</t>
        </is>
      </c>
      <c r="B1848" s="697" t="n"/>
      <c r="C1848" s="697" t="n"/>
      <c r="D1848" s="697" t="n"/>
      <c r="E1848" s="697" t="n"/>
      <c r="F1848" s="697" t="n"/>
      <c r="G1848" s="697" t="n"/>
      <c r="H1848" s="697" t="n"/>
      <c r="I1848" s="697" t="n"/>
      <c r="J1848" s="697" t="n"/>
      <c r="K1848" s="697" t="n"/>
      <c r="L1848" s="698" t="n"/>
    </row>
    <row r="1849" ht="21.75" customHeight="1" s="436" thickBot="1">
      <c r="A1849" s="699" t="inlineStr">
        <is>
          <t xml:space="preserve">021 - DENISE FURTADO DE SOUZA - ME </t>
        </is>
      </c>
      <c r="B1849" s="697" t="n"/>
      <c r="C1849" s="697" t="n"/>
      <c r="D1849" s="697" t="n"/>
      <c r="E1849" s="697" t="n"/>
      <c r="F1849" s="697" t="n"/>
      <c r="G1849" s="697" t="n"/>
      <c r="H1849" s="697" t="n"/>
      <c r="I1849" s="697" t="n"/>
      <c r="J1849" s="697" t="n"/>
      <c r="K1849" s="697" t="n"/>
      <c r="L1849" s="698" t="n"/>
    </row>
    <row r="1850" ht="24" customHeight="1" s="436" thickBot="1">
      <c r="A1850" s="745" t="inlineStr">
        <is>
          <t xml:space="preserve">  PRÉ MISTURA - 25 KG</t>
        </is>
      </c>
      <c r="B1850" s="737" t="n"/>
      <c r="C1850" s="737" t="n"/>
      <c r="D1850" s="737" t="n"/>
      <c r="E1850" s="737" t="n"/>
      <c r="F1850" s="737" t="n"/>
      <c r="G1850" s="737" t="n"/>
      <c r="H1850" s="737" t="n"/>
      <c r="I1850" s="737" t="n"/>
      <c r="J1850" s="737" t="n"/>
      <c r="K1850" s="737" t="n"/>
      <c r="L1850" s="736" t="n"/>
    </row>
    <row r="1851">
      <c r="A1851" s="746" t="inlineStr">
        <is>
          <t>DATA</t>
        </is>
      </c>
      <c r="B1851" s="3" t="inlineStr">
        <is>
          <t>N.F.</t>
        </is>
      </c>
      <c r="C1851" s="3" t="inlineStr">
        <is>
          <t>TIPO</t>
        </is>
      </c>
      <c r="D1851" s="3" t="inlineStr">
        <is>
          <t>PREÇO UNITÁRIO</t>
        </is>
      </c>
      <c r="E1851" s="736" t="n"/>
      <c r="F1851" s="3" t="inlineStr">
        <is>
          <t>QUANTIDADE / KG</t>
        </is>
      </c>
      <c r="G1851" s="737" t="n"/>
      <c r="H1851" s="736" t="n"/>
      <c r="I1851" s="631" t="inlineStr">
        <is>
          <t>PREÇO</t>
        </is>
      </c>
      <c r="J1851" s="631" t="inlineStr">
        <is>
          <t>VALORES</t>
        </is>
      </c>
      <c r="K1851" s="737" t="n"/>
      <c r="L1851" s="736" t="n"/>
    </row>
    <row r="1852" ht="15.75" customHeight="1" s="436" thickBot="1">
      <c r="A1852" s="703" t="n"/>
      <c r="B1852" s="704" t="n"/>
      <c r="C1852" s="704" t="n"/>
      <c r="D1852" s="703" t="n"/>
      <c r="E1852" s="701" t="n"/>
      <c r="F1852" s="705" t="n"/>
      <c r="G1852" s="706" t="n"/>
      <c r="H1852" s="707" t="n"/>
      <c r="I1852" s="704" t="n"/>
      <c r="J1852" s="703" t="n"/>
      <c r="L1852" s="701" t="n"/>
    </row>
    <row r="1853" ht="15.75" customHeight="1" s="436" thickBot="1">
      <c r="A1853" s="703" t="n"/>
      <c r="B1853" s="704" t="n"/>
      <c r="C1853" s="704" t="n"/>
      <c r="D1853" s="705" t="n"/>
      <c r="E1853" s="707" t="n"/>
      <c r="F1853" s="3" t="inlineStr">
        <is>
          <t>ENTRADA</t>
        </is>
      </c>
      <c r="G1853" s="3" t="inlineStr">
        <is>
          <t>SAÍDA</t>
        </is>
      </c>
      <c r="H1853" s="640" t="n"/>
      <c r="I1853" s="633" t="inlineStr">
        <is>
          <t>MÉDIO</t>
        </is>
      </c>
      <c r="J1853" s="652" t="inlineStr">
        <is>
          <t>SALDO EM 30/12/2017</t>
        </is>
      </c>
      <c r="K1853" s="706" t="n"/>
      <c r="L1853" s="17" t="n"/>
    </row>
    <row r="1854" ht="15.75" customHeight="1" s="436" thickBot="1">
      <c r="A1854" s="705" t="n"/>
      <c r="B1854" s="695" t="n"/>
      <c r="C1854" s="695" t="n"/>
      <c r="D1854" s="3" t="inlineStr">
        <is>
          <t>C/ICMS</t>
        </is>
      </c>
      <c r="E1854" s="3" t="inlineStr">
        <is>
          <t>S/ICMS</t>
        </is>
      </c>
      <c r="F1854" s="695" t="n"/>
      <c r="G1854" s="695" t="n"/>
      <c r="H1854" s="361" t="inlineStr">
        <is>
          <t>Saldo em 01/03/2022</t>
        </is>
      </c>
      <c r="I1854" s="695" t="n"/>
      <c r="J1854" s="645" t="inlineStr">
        <is>
          <t>ENTRADA</t>
        </is>
      </c>
      <c r="K1854" s="633" t="inlineStr">
        <is>
          <t>SAÍDA / CMV</t>
        </is>
      </c>
      <c r="L1854" s="633" t="inlineStr">
        <is>
          <t>SALDO</t>
        </is>
      </c>
    </row>
    <row r="1855">
      <c r="A1855" s="568" t="n"/>
      <c r="B1855" s="392" t="n"/>
      <c r="C1855" s="392" t="n"/>
      <c r="D1855" s="392" t="n"/>
      <c r="E1855" s="392" t="n"/>
      <c r="F1855" s="392" t="n"/>
      <c r="G1855" s="392" t="n"/>
      <c r="H1855" s="52" t="n">
        <v>1076</v>
      </c>
      <c r="I1855" s="568" t="n"/>
      <c r="J1855" s="568" t="n"/>
      <c r="K1855" s="568" t="n"/>
      <c r="L1855" s="568" t="n"/>
    </row>
    <row r="1856">
      <c r="A1856" s="568" t="n">
        <v>44657</v>
      </c>
      <c r="B1856" s="392" t="n">
        <v>8999</v>
      </c>
      <c r="C1856" s="392" t="n">
        <v>92.8</v>
      </c>
      <c r="D1856" s="392" t="n"/>
      <c r="E1856" s="392" t="n"/>
      <c r="F1856" s="392" t="n"/>
      <c r="G1856" s="392" t="n">
        <v>25</v>
      </c>
      <c r="H1856" s="52">
        <f>H1855-G1856</f>
        <v/>
      </c>
      <c r="I1856" s="568" t="n"/>
      <c r="J1856" s="568" t="n"/>
      <c r="K1856" s="568" t="n"/>
      <c r="L1856" s="568" t="n"/>
    </row>
    <row r="1857">
      <c r="A1857" s="568" t="n">
        <v>44657</v>
      </c>
      <c r="B1857" s="392" t="n">
        <v>9000</v>
      </c>
      <c r="C1857" s="392" t="n">
        <v>92</v>
      </c>
      <c r="D1857" s="392" t="n"/>
      <c r="E1857" s="392" t="n"/>
      <c r="F1857" s="392" t="n"/>
      <c r="G1857" s="392" t="n">
        <v>10</v>
      </c>
      <c r="H1857" s="52">
        <f>H1856-G1857</f>
        <v/>
      </c>
      <c r="I1857" s="568" t="n"/>
      <c r="J1857" s="568" t="n"/>
      <c r="K1857" s="568" t="n"/>
      <c r="L1857" s="568" t="n"/>
    </row>
    <row r="1858">
      <c r="A1858" s="568" t="n">
        <v>44657</v>
      </c>
      <c r="B1858" s="392" t="n">
        <v>9005</v>
      </c>
      <c r="C1858" s="392" t="n">
        <v>91.75</v>
      </c>
      <c r="D1858" s="392" t="n"/>
      <c r="E1858" s="392" t="n"/>
      <c r="F1858" s="392" t="n"/>
      <c r="G1858" s="392" t="n">
        <v>20</v>
      </c>
      <c r="H1858" s="52">
        <f>H1857-G1858</f>
        <v/>
      </c>
      <c r="I1858" s="568" t="n"/>
      <c r="J1858" s="568" t="n"/>
      <c r="K1858" s="568" t="n"/>
      <c r="L1858" s="568" t="n"/>
    </row>
    <row r="1859">
      <c r="A1859" s="568" t="n">
        <v>44657</v>
      </c>
      <c r="B1859" s="392" t="n">
        <v>9007</v>
      </c>
      <c r="C1859" s="392" t="n">
        <v>92.8</v>
      </c>
      <c r="D1859" s="392" t="n"/>
      <c r="E1859" s="392" t="n"/>
      <c r="F1859" s="392" t="n"/>
      <c r="G1859" s="392" t="n">
        <v>25</v>
      </c>
      <c r="H1859" s="52">
        <f>H1858-G1859</f>
        <v/>
      </c>
      <c r="I1859" s="568" t="n"/>
      <c r="J1859" s="568" t="n"/>
      <c r="K1859" s="568" t="n"/>
      <c r="L1859" s="568" t="n"/>
    </row>
    <row r="1860">
      <c r="A1860" s="568" t="n">
        <v>44657</v>
      </c>
      <c r="B1860" s="392" t="n">
        <v>9011</v>
      </c>
      <c r="C1860" s="392" t="n">
        <v>93.59999999999999</v>
      </c>
      <c r="D1860" s="392" t="n"/>
      <c r="E1860" s="392" t="n"/>
      <c r="F1860" s="392" t="n"/>
      <c r="G1860" s="392" t="n">
        <v>25</v>
      </c>
      <c r="H1860" s="52">
        <f>H1859-G1860</f>
        <v/>
      </c>
      <c r="I1860" s="568" t="n"/>
      <c r="J1860" s="568" t="n"/>
      <c r="K1860" s="568" t="n"/>
      <c r="L1860" s="568" t="n"/>
    </row>
    <row r="1861">
      <c r="A1861" s="568" t="n">
        <v>44657</v>
      </c>
      <c r="B1861" s="392" t="n">
        <v>9012</v>
      </c>
      <c r="C1861" s="392" t="n">
        <v>92</v>
      </c>
      <c r="D1861" s="392" t="n"/>
      <c r="E1861" s="392" t="n"/>
      <c r="F1861" s="392" t="n"/>
      <c r="G1861" s="392" t="n">
        <v>10</v>
      </c>
      <c r="H1861" s="52">
        <f>H1860-G1861</f>
        <v/>
      </c>
      <c r="I1861" s="568" t="n"/>
      <c r="J1861" s="568" t="n"/>
      <c r="K1861" s="568" t="n"/>
      <c r="L1861" s="568" t="n"/>
    </row>
    <row r="1862">
      <c r="A1862" s="568" t="n">
        <v>44657</v>
      </c>
      <c r="B1862" s="392" t="n">
        <v>9013</v>
      </c>
      <c r="C1862" s="392" t="n">
        <v>93.04000000000001</v>
      </c>
      <c r="D1862" s="392" t="n"/>
      <c r="E1862" s="392" t="n"/>
      <c r="F1862" s="392" t="n"/>
      <c r="G1862" s="392" t="n">
        <v>27</v>
      </c>
      <c r="H1862" s="52">
        <f>H1861-G1862</f>
        <v/>
      </c>
      <c r="I1862" s="568" t="n"/>
      <c r="J1862" s="568" t="n"/>
      <c r="K1862" s="568" t="n"/>
      <c r="L1862" s="568" t="n"/>
    </row>
    <row r="1863">
      <c r="A1863" s="568" t="n">
        <v>44657</v>
      </c>
      <c r="B1863" s="392" t="n">
        <v>9014</v>
      </c>
      <c r="C1863" s="392" t="n">
        <v>92</v>
      </c>
      <c r="D1863" s="392" t="n"/>
      <c r="E1863" s="392" t="n"/>
      <c r="F1863" s="392" t="n"/>
      <c r="G1863" s="392" t="n">
        <v>10</v>
      </c>
      <c r="H1863" s="52">
        <f>H1862-G1863</f>
        <v/>
      </c>
      <c r="I1863" s="568" t="n"/>
      <c r="J1863" s="568" t="n"/>
      <c r="K1863" s="568" t="n"/>
      <c r="L1863" s="568" t="n"/>
    </row>
    <row r="1864">
      <c r="A1864" s="568" t="n">
        <v>44663</v>
      </c>
      <c r="B1864" s="392" t="n">
        <v>9021</v>
      </c>
      <c r="C1864" s="392" t="n">
        <v>94</v>
      </c>
      <c r="D1864" s="392" t="n"/>
      <c r="E1864" s="392" t="n"/>
      <c r="F1864" s="392" t="n"/>
      <c r="G1864" s="392" t="n">
        <v>100</v>
      </c>
      <c r="H1864" s="52">
        <f>H1863-G1864</f>
        <v/>
      </c>
      <c r="I1864" s="568" t="n"/>
      <c r="J1864" s="568" t="n"/>
      <c r="K1864" s="568" t="n"/>
      <c r="L1864" s="568" t="n"/>
    </row>
    <row r="1865">
      <c r="A1865" s="568" t="n">
        <v>44663</v>
      </c>
      <c r="B1865" s="392" t="n">
        <v>9022</v>
      </c>
      <c r="C1865" s="392" t="n">
        <v>94</v>
      </c>
      <c r="D1865" s="392" t="n"/>
      <c r="E1865" s="392" t="n"/>
      <c r="F1865" s="392" t="n"/>
      <c r="G1865" s="392" t="n">
        <v>30</v>
      </c>
      <c r="H1865" s="52">
        <f>H1864-G1865</f>
        <v/>
      </c>
      <c r="I1865" s="568" t="n"/>
      <c r="J1865" s="568" t="n"/>
      <c r="K1865" s="568" t="n"/>
      <c r="L1865" s="568" t="n"/>
    </row>
    <row r="1866">
      <c r="A1866" s="568" t="n">
        <v>44663</v>
      </c>
      <c r="B1866" s="392" t="n">
        <v>9023</v>
      </c>
      <c r="C1866" s="392" t="n">
        <v>93.8</v>
      </c>
      <c r="D1866" s="392" t="n"/>
      <c r="E1866" s="392" t="n"/>
      <c r="F1866" s="392" t="n"/>
      <c r="G1866" s="392" t="n">
        <v>25</v>
      </c>
      <c r="H1866" s="52">
        <f>H1865-G1866</f>
        <v/>
      </c>
      <c r="I1866" s="568" t="n"/>
      <c r="J1866" s="568" t="n"/>
      <c r="K1866" s="568" t="n"/>
      <c r="L1866" s="568" t="n"/>
    </row>
    <row r="1867">
      <c r="A1867" s="568" t="n">
        <v>44663</v>
      </c>
      <c r="B1867" s="392" t="n">
        <v>9025</v>
      </c>
      <c r="C1867" s="392" t="n">
        <v>94.95999999999999</v>
      </c>
      <c r="D1867" s="392" t="n"/>
      <c r="E1867" s="392" t="n"/>
      <c r="F1867" s="392" t="n"/>
      <c r="G1867" s="392" t="n">
        <v>21</v>
      </c>
      <c r="H1867" s="52">
        <f>H1866-G1867</f>
        <v/>
      </c>
      <c r="I1867" s="568" t="n"/>
      <c r="J1867" s="568" t="n"/>
      <c r="K1867" s="568" t="n"/>
      <c r="L1867" s="568" t="n"/>
    </row>
    <row r="1868">
      <c r="A1868" s="568" t="n">
        <v>44663</v>
      </c>
      <c r="B1868" s="392" t="n">
        <v>9027</v>
      </c>
      <c r="C1868" s="392" t="n">
        <v>95.34</v>
      </c>
      <c r="D1868" s="392" t="n"/>
      <c r="E1868" s="392" t="n"/>
      <c r="F1868" s="392" t="n"/>
      <c r="G1868" s="392" t="n">
        <v>30</v>
      </c>
      <c r="H1868" s="52">
        <f>H1867-G1868</f>
        <v/>
      </c>
      <c r="I1868" s="568" t="n"/>
      <c r="J1868" s="568" t="n"/>
      <c r="K1868" s="568" t="n"/>
      <c r="L1868" s="568" t="n"/>
    </row>
    <row r="1869">
      <c r="A1869" s="568" t="n">
        <v>44663</v>
      </c>
      <c r="B1869" s="392" t="n">
        <v>9028</v>
      </c>
      <c r="C1869" s="392" t="n">
        <v>94</v>
      </c>
      <c r="D1869" s="392" t="n"/>
      <c r="E1869" s="392" t="n"/>
      <c r="F1869" s="392" t="n"/>
      <c r="G1869" s="392" t="n">
        <v>30</v>
      </c>
      <c r="H1869" s="52">
        <f>H1868-G1869</f>
        <v/>
      </c>
      <c r="I1869" s="568" t="n"/>
      <c r="J1869" s="568" t="n"/>
      <c r="K1869" s="568" t="n"/>
      <c r="L1869" s="568" t="n"/>
    </row>
    <row r="1870">
      <c r="A1870" s="568" t="n">
        <v>44663</v>
      </c>
      <c r="B1870" s="392" t="n">
        <v>9029</v>
      </c>
      <c r="C1870" s="392" t="n">
        <v>94</v>
      </c>
      <c r="D1870" s="392" t="n"/>
      <c r="E1870" s="392" t="n"/>
      <c r="F1870" s="392" t="n"/>
      <c r="G1870" s="392" t="n">
        <v>10</v>
      </c>
      <c r="H1870" s="52">
        <f>H1869-G1870</f>
        <v/>
      </c>
      <c r="I1870" s="568" t="n"/>
      <c r="J1870" s="568" t="n"/>
      <c r="K1870" s="568" t="n"/>
      <c r="L1870" s="568" t="n"/>
    </row>
    <row r="1871">
      <c r="A1871" s="568" t="n">
        <v>44663</v>
      </c>
      <c r="B1871" s="392" t="n">
        <v>9030</v>
      </c>
      <c r="C1871" s="392" t="n">
        <v>94.67</v>
      </c>
      <c r="D1871" s="392" t="n"/>
      <c r="E1871" s="392" t="n"/>
      <c r="F1871" s="392" t="n"/>
      <c r="G1871" s="392" t="n">
        <v>30</v>
      </c>
      <c r="H1871" s="52">
        <f>H1870-G1871</f>
        <v/>
      </c>
      <c r="I1871" s="568" t="n"/>
      <c r="J1871" s="568" t="n"/>
      <c r="K1871" s="568" t="n"/>
      <c r="L1871" s="568" t="n"/>
    </row>
    <row r="1872">
      <c r="A1872" s="568" t="n">
        <v>44669</v>
      </c>
      <c r="B1872" s="392" t="n">
        <v>9037</v>
      </c>
      <c r="C1872" s="392" t="n">
        <v>96</v>
      </c>
      <c r="D1872" s="392" t="n"/>
      <c r="E1872" s="392" t="n"/>
      <c r="F1872" s="392" t="n"/>
      <c r="G1872" s="392" t="n">
        <v>40</v>
      </c>
      <c r="H1872" s="52">
        <f>H1871-G1872</f>
        <v/>
      </c>
      <c r="I1872" s="568" t="n"/>
      <c r="J1872" s="568" t="n"/>
      <c r="K1872" s="568" t="n"/>
      <c r="L1872" s="568" t="n"/>
    </row>
    <row r="1873">
      <c r="A1873" s="568" t="n">
        <v>44669</v>
      </c>
      <c r="B1873" s="392" t="n">
        <v>9038</v>
      </c>
      <c r="C1873" s="392" t="n">
        <v>95</v>
      </c>
      <c r="D1873" s="392" t="n"/>
      <c r="E1873" s="392" t="n"/>
      <c r="F1873" s="392" t="n"/>
      <c r="G1873" s="392" t="n">
        <v>20</v>
      </c>
      <c r="H1873" s="52">
        <f>H1872-G1873</f>
        <v/>
      </c>
      <c r="I1873" s="568" t="n"/>
      <c r="J1873" s="568" t="n"/>
      <c r="K1873" s="568" t="n"/>
      <c r="L1873" s="568" t="n"/>
    </row>
    <row r="1874">
      <c r="A1874" s="568" t="n">
        <v>44669</v>
      </c>
      <c r="B1874" s="392" t="n">
        <v>9042</v>
      </c>
      <c r="C1874" s="392" t="n">
        <v>94.59999999999999</v>
      </c>
      <c r="D1874" s="392" t="n"/>
      <c r="E1874" s="392" t="n"/>
      <c r="F1874" s="392" t="n"/>
      <c r="G1874" s="392" t="n">
        <v>25</v>
      </c>
      <c r="H1874" s="52">
        <f>H1873-G1874</f>
        <v/>
      </c>
      <c r="I1874" s="568" t="n"/>
      <c r="J1874" s="568" t="n"/>
      <c r="K1874" s="568" t="n"/>
      <c r="L1874" s="568" t="n"/>
    </row>
    <row r="1875">
      <c r="A1875" s="568" t="n">
        <v>44669</v>
      </c>
      <c r="B1875" s="392" t="n">
        <v>9044</v>
      </c>
      <c r="C1875" s="392" t="n">
        <v>94</v>
      </c>
      <c r="D1875" s="392" t="n"/>
      <c r="E1875" s="392" t="n"/>
      <c r="F1875" s="392" t="n"/>
      <c r="G1875" s="392" t="n">
        <v>10</v>
      </c>
      <c r="H1875" s="52">
        <f>H1874-G1875</f>
        <v/>
      </c>
      <c r="I1875" s="568" t="n"/>
      <c r="J1875" s="568" t="n"/>
      <c r="K1875" s="568" t="n"/>
      <c r="L1875" s="568" t="n"/>
    </row>
    <row r="1876">
      <c r="A1876" s="568" t="n">
        <v>44671</v>
      </c>
      <c r="B1876" s="392" t="n">
        <v>9048</v>
      </c>
      <c r="C1876" s="392" t="n">
        <v>94.8</v>
      </c>
      <c r="D1876" s="392" t="n"/>
      <c r="E1876" s="392" t="n"/>
      <c r="F1876" s="392" t="n"/>
      <c r="G1876" s="392" t="n">
        <v>25</v>
      </c>
      <c r="H1876" s="52">
        <f>H1875-G1876</f>
        <v/>
      </c>
      <c r="I1876" s="568" t="n"/>
      <c r="J1876" s="568" t="n"/>
      <c r="K1876" s="568" t="n"/>
      <c r="L1876" s="568" t="n"/>
    </row>
    <row r="1877">
      <c r="A1877" s="568" t="n">
        <v>44676</v>
      </c>
      <c r="B1877" s="392" t="n">
        <v>9053</v>
      </c>
      <c r="C1877" s="392" t="n">
        <v>94.67</v>
      </c>
      <c r="D1877" s="392" t="n"/>
      <c r="E1877" s="392" t="n"/>
      <c r="F1877" s="392" t="n"/>
      <c r="G1877" s="392" t="n">
        <v>12</v>
      </c>
      <c r="H1877" s="52">
        <f>H1876-G1877</f>
        <v/>
      </c>
      <c r="I1877" s="568" t="n"/>
      <c r="J1877" s="568" t="n"/>
      <c r="K1877" s="568" t="n"/>
      <c r="L1877" s="568" t="n"/>
    </row>
    <row r="1878">
      <c r="A1878" s="568" t="n">
        <v>44676</v>
      </c>
      <c r="B1878" s="392" t="n">
        <v>9056</v>
      </c>
      <c r="C1878" s="392" t="n">
        <v>94.48</v>
      </c>
      <c r="D1878" s="392" t="n"/>
      <c r="E1878" s="392" t="n"/>
      <c r="F1878" s="392" t="n"/>
      <c r="G1878" s="392" t="n">
        <v>25</v>
      </c>
      <c r="H1878" s="52">
        <f>H1877-G1878</f>
        <v/>
      </c>
      <c r="I1878" s="568" t="n"/>
      <c r="J1878" s="568" t="n"/>
      <c r="K1878" s="568" t="n"/>
      <c r="L1878" s="568" t="n"/>
    </row>
    <row r="1879">
      <c r="A1879" s="568" t="n">
        <v>44676</v>
      </c>
      <c r="B1879" s="392" t="n">
        <v>9057</v>
      </c>
      <c r="C1879" s="392" t="n">
        <v>94.67</v>
      </c>
      <c r="D1879" s="392" t="n"/>
      <c r="E1879" s="392" t="n"/>
      <c r="F1879" s="392" t="n"/>
      <c r="G1879" s="392" t="n">
        <v>15</v>
      </c>
      <c r="H1879" s="52">
        <f>H1878-G1879</f>
        <v/>
      </c>
      <c r="I1879" s="568" t="n"/>
      <c r="J1879" s="568" t="n"/>
      <c r="K1879" s="568" t="n"/>
      <c r="L1879" s="568" t="n"/>
    </row>
    <row r="1880">
      <c r="A1880" s="568" t="n">
        <v>44676</v>
      </c>
      <c r="B1880" s="392" t="n">
        <v>9058</v>
      </c>
      <c r="C1880" s="392" t="n">
        <v>94</v>
      </c>
      <c r="D1880" s="392" t="n"/>
      <c r="E1880" s="392" t="n"/>
      <c r="F1880" s="392" t="n"/>
      <c r="G1880" s="392" t="n">
        <v>20</v>
      </c>
      <c r="H1880" s="52">
        <f>H1879-G1880</f>
        <v/>
      </c>
      <c r="I1880" s="568" t="n"/>
      <c r="J1880" s="568" t="n"/>
      <c r="K1880" s="568" t="n"/>
      <c r="L1880" s="568" t="n"/>
    </row>
    <row r="1881">
      <c r="A1881" s="568" t="n">
        <v>44676</v>
      </c>
      <c r="B1881" s="392" t="n">
        <v>9061</v>
      </c>
      <c r="C1881" s="392" t="n">
        <v>93.88</v>
      </c>
      <c r="D1881" s="392" t="n"/>
      <c r="E1881" s="392" t="n"/>
      <c r="F1881" s="392" t="n"/>
      <c r="G1881" s="392" t="n">
        <v>40</v>
      </c>
      <c r="H1881" s="52">
        <f>H1880-G1881</f>
        <v/>
      </c>
      <c r="I1881" s="568" t="n"/>
      <c r="J1881" s="568" t="n"/>
      <c r="K1881" s="568" t="n"/>
      <c r="L1881" s="568" t="n"/>
    </row>
    <row r="1882">
      <c r="A1882" s="568" t="n">
        <v>44676</v>
      </c>
      <c r="B1882" s="392" t="n">
        <v>9062</v>
      </c>
      <c r="C1882" s="392" t="n">
        <v>94.2</v>
      </c>
      <c r="D1882" s="392" t="n"/>
      <c r="E1882" s="392" t="n"/>
      <c r="F1882" s="392" t="n"/>
      <c r="G1882" s="392" t="n">
        <v>35</v>
      </c>
      <c r="H1882" s="52">
        <f>H1881-G1882</f>
        <v/>
      </c>
      <c r="I1882" s="568" t="n"/>
      <c r="J1882" s="568" t="n"/>
      <c r="K1882" s="568" t="n"/>
      <c r="L1882" s="568" t="n"/>
    </row>
    <row r="1883">
      <c r="A1883" s="568" t="n">
        <v>44676</v>
      </c>
      <c r="B1883" s="392" t="n">
        <v>9063</v>
      </c>
      <c r="C1883" s="392" t="n">
        <v>93.67</v>
      </c>
      <c r="D1883" s="392" t="n"/>
      <c r="E1883" s="392" t="n"/>
      <c r="F1883" s="392" t="n"/>
      <c r="G1883" s="392" t="n">
        <v>30</v>
      </c>
      <c r="H1883" s="52">
        <f>H1882-G1883</f>
        <v/>
      </c>
      <c r="I1883" s="568" t="n"/>
      <c r="J1883" s="568" t="n"/>
      <c r="K1883" s="568" t="n"/>
      <c r="L1883" s="568" t="n"/>
    </row>
    <row r="1884">
      <c r="A1884" s="568" t="n">
        <v>44678</v>
      </c>
      <c r="B1884" s="392" t="n">
        <v>9066</v>
      </c>
      <c r="C1884" s="392" t="n">
        <v>94.58</v>
      </c>
      <c r="D1884" s="392" t="n"/>
      <c r="E1884" s="392" t="n"/>
      <c r="F1884" s="392" t="n"/>
      <c r="G1884" s="392" t="n">
        <v>35</v>
      </c>
      <c r="H1884" s="52">
        <f>H1883-G1884</f>
        <v/>
      </c>
      <c r="I1884" s="568" t="n"/>
      <c r="J1884" s="568" t="n"/>
      <c r="K1884" s="568" t="n"/>
      <c r="L1884" s="568" t="n"/>
    </row>
    <row r="1885">
      <c r="A1885" s="304" t="n">
        <v>44681</v>
      </c>
      <c r="B1885" s="401" t="n">
        <v>189885</v>
      </c>
      <c r="C1885" s="401" t="n">
        <v>82</v>
      </c>
      <c r="D1885" s="401" t="n"/>
      <c r="E1885" s="401" t="n"/>
      <c r="F1885" s="401" t="n">
        <v>860</v>
      </c>
      <c r="G1885" s="401" t="n"/>
      <c r="H1885" s="277" t="n">
        <v>1176</v>
      </c>
      <c r="I1885" s="568" t="n"/>
      <c r="J1885" s="568" t="n"/>
      <c r="K1885" s="568" t="n"/>
      <c r="L1885" s="568" t="n"/>
    </row>
    <row r="1886">
      <c r="I1886" s="568" t="n"/>
      <c r="J1886" s="568" t="n"/>
      <c r="K1886" s="568" t="n"/>
      <c r="L1886" s="568" t="n"/>
    </row>
    <row r="1887" ht="15.75" customHeight="1" s="436" thickBot="1"/>
    <row r="1888" ht="21.75" customHeight="1" s="436" thickBot="1">
      <c r="A1888" s="757" t="inlineStr">
        <is>
          <t>Abril</t>
        </is>
      </c>
      <c r="B1888" s="697" t="n"/>
      <c r="C1888" s="697" t="n"/>
      <c r="D1888" s="697" t="n"/>
      <c r="E1888" s="697" t="n"/>
      <c r="F1888" s="697" t="n"/>
      <c r="G1888" s="697" t="n"/>
      <c r="H1888" s="697" t="n"/>
      <c r="I1888" s="697" t="n"/>
      <c r="J1888" s="697" t="n"/>
      <c r="K1888" s="697" t="n"/>
      <c r="L1888" s="698" t="n"/>
    </row>
    <row r="1889" ht="21.75" customHeight="1" s="436" thickBot="1">
      <c r="A1889" s="699" t="inlineStr">
        <is>
          <t xml:space="preserve">021 - DENISE FURTADO DE SOUZA - ME </t>
        </is>
      </c>
      <c r="B1889" s="697" t="n"/>
      <c r="C1889" s="697" t="n"/>
      <c r="D1889" s="697" t="n"/>
      <c r="E1889" s="697" t="n"/>
      <c r="F1889" s="697" t="n"/>
      <c r="G1889" s="697" t="n"/>
      <c r="H1889" s="697" t="n"/>
      <c r="I1889" s="697" t="n"/>
      <c r="J1889" s="697" t="n"/>
      <c r="K1889" s="697" t="n"/>
      <c r="L1889" s="698" t="n"/>
    </row>
    <row r="1890" ht="24" customHeight="1" s="436" thickBot="1">
      <c r="A1890" s="745" t="inlineStr">
        <is>
          <t xml:space="preserve">  PRÉ MISTURA - 25 KG</t>
        </is>
      </c>
      <c r="B1890" s="737" t="n"/>
      <c r="C1890" s="737" t="n"/>
      <c r="D1890" s="737" t="n"/>
      <c r="E1890" s="737" t="n"/>
      <c r="F1890" s="737" t="n"/>
      <c r="G1890" s="737" t="n"/>
      <c r="H1890" s="737" t="n"/>
      <c r="I1890" s="737" t="n"/>
      <c r="J1890" s="737" t="n"/>
      <c r="K1890" s="737" t="n"/>
      <c r="L1890" s="736" t="n"/>
    </row>
    <row r="1891">
      <c r="A1891" s="746" t="inlineStr">
        <is>
          <t>DATA</t>
        </is>
      </c>
      <c r="B1891" s="3" t="inlineStr">
        <is>
          <t>N.F.</t>
        </is>
      </c>
      <c r="C1891" s="3" t="inlineStr">
        <is>
          <t>TIPO</t>
        </is>
      </c>
      <c r="D1891" s="3" t="inlineStr">
        <is>
          <t>PREÇO UNITÁRIO</t>
        </is>
      </c>
      <c r="E1891" s="736" t="n"/>
      <c r="F1891" s="3" t="inlineStr">
        <is>
          <t>QUANTIDADE / KG</t>
        </is>
      </c>
      <c r="G1891" s="737" t="n"/>
      <c r="H1891" s="736" t="n"/>
      <c r="I1891" s="631" t="inlineStr">
        <is>
          <t>PREÇO</t>
        </is>
      </c>
      <c r="J1891" s="631" t="inlineStr">
        <is>
          <t>VALORES</t>
        </is>
      </c>
      <c r="K1891" s="737" t="n"/>
      <c r="L1891" s="736" t="n"/>
    </row>
    <row r="1892" ht="15.75" customHeight="1" s="436" thickBot="1">
      <c r="A1892" s="703" t="n"/>
      <c r="B1892" s="704" t="n"/>
      <c r="C1892" s="704" t="n"/>
      <c r="D1892" s="703" t="n"/>
      <c r="E1892" s="701" t="n"/>
      <c r="F1892" s="705" t="n"/>
      <c r="G1892" s="706" t="n"/>
      <c r="H1892" s="707" t="n"/>
      <c r="I1892" s="704" t="n"/>
      <c r="J1892" s="703" t="n"/>
      <c r="L1892" s="701" t="n"/>
    </row>
    <row r="1893" ht="15.75" customHeight="1" s="436" thickBot="1">
      <c r="A1893" s="703" t="n"/>
      <c r="B1893" s="704" t="n"/>
      <c r="C1893" s="704" t="n"/>
      <c r="D1893" s="705" t="n"/>
      <c r="E1893" s="707" t="n"/>
      <c r="F1893" s="3" t="inlineStr">
        <is>
          <t>ENTRADA</t>
        </is>
      </c>
      <c r="G1893" s="3" t="inlineStr">
        <is>
          <t>SAÍDA</t>
        </is>
      </c>
      <c r="H1893" s="640" t="n"/>
      <c r="I1893" s="633" t="inlineStr">
        <is>
          <t>MÉDIO</t>
        </is>
      </c>
      <c r="J1893" s="652" t="inlineStr">
        <is>
          <t>SALDO EM 30/12/2017</t>
        </is>
      </c>
      <c r="K1893" s="706" t="n"/>
      <c r="L1893" s="17" t="n"/>
    </row>
    <row r="1894" ht="15.75" customHeight="1" s="436" thickBot="1">
      <c r="A1894" s="705" t="n"/>
      <c r="B1894" s="695" t="n"/>
      <c r="C1894" s="695" t="n"/>
      <c r="D1894" s="3" t="inlineStr">
        <is>
          <t>C/ICMS</t>
        </is>
      </c>
      <c r="E1894" s="3" t="inlineStr">
        <is>
          <t>S/ICMS</t>
        </is>
      </c>
      <c r="F1894" s="695" t="n"/>
      <c r="G1894" s="695" t="n"/>
      <c r="H1894" s="361" t="inlineStr">
        <is>
          <t>Saldo em 01/05/2022</t>
        </is>
      </c>
      <c r="I1894" s="695" t="n"/>
      <c r="J1894" s="645" t="inlineStr">
        <is>
          <t>ENTRADA</t>
        </is>
      </c>
      <c r="K1894" s="633" t="inlineStr">
        <is>
          <t>SAÍDA / CMV</t>
        </is>
      </c>
      <c r="L1894" s="633" t="inlineStr">
        <is>
          <t>SALDO</t>
        </is>
      </c>
    </row>
    <row r="1895">
      <c r="A1895" s="568" t="n"/>
      <c r="B1895" s="392" t="n"/>
      <c r="C1895" s="392" t="n"/>
      <c r="D1895" s="392" t="n"/>
      <c r="E1895" s="392" t="n"/>
      <c r="F1895" s="392" t="n"/>
      <c r="G1895" s="392" t="n"/>
      <c r="H1895" s="52" t="n">
        <v>1176</v>
      </c>
      <c r="I1895" s="568" t="n"/>
      <c r="J1895" s="568" t="n"/>
      <c r="K1895" s="568" t="n"/>
      <c r="L1895" s="568" t="n"/>
    </row>
    <row r="1896">
      <c r="A1896" s="568" t="n">
        <v>44682</v>
      </c>
      <c r="B1896" s="392" t="n">
        <v>9070</v>
      </c>
      <c r="C1896" s="392" t="n">
        <v>93</v>
      </c>
      <c r="D1896" s="392" t="n"/>
      <c r="E1896" s="392" t="n"/>
      <c r="F1896" s="392" t="n"/>
      <c r="G1896" s="392" t="n">
        <v>90</v>
      </c>
      <c r="H1896" s="52">
        <f>H1885-G1896</f>
        <v/>
      </c>
      <c r="I1896" s="568" t="n"/>
      <c r="J1896" s="568" t="n"/>
      <c r="K1896" s="568" t="n"/>
      <c r="L1896" s="568" t="n"/>
    </row>
    <row r="1897">
      <c r="A1897" s="568" t="n">
        <v>44683</v>
      </c>
      <c r="B1897" s="392" t="n">
        <v>9076</v>
      </c>
      <c r="C1897" s="392" t="n">
        <v>94.2</v>
      </c>
      <c r="D1897" s="392" t="n"/>
      <c r="E1897" s="392" t="n"/>
      <c r="F1897" s="392" t="n"/>
      <c r="G1897" s="392" t="n">
        <v>100</v>
      </c>
      <c r="H1897" s="52">
        <f>H1896-G1897</f>
        <v/>
      </c>
      <c r="I1897" s="568" t="n"/>
      <c r="J1897" s="568" t="n"/>
      <c r="K1897" s="568" t="n"/>
      <c r="L1897" s="568" t="n"/>
    </row>
    <row r="1898">
      <c r="A1898" s="568" t="n">
        <v>44683</v>
      </c>
      <c r="B1898" s="392" t="n">
        <v>9079</v>
      </c>
      <c r="C1898" s="392" t="n">
        <v>94.2</v>
      </c>
      <c r="D1898" s="392" t="n"/>
      <c r="E1898" s="392" t="n"/>
      <c r="F1898" s="392" t="n"/>
      <c r="G1898" s="392" t="n">
        <v>30</v>
      </c>
      <c r="H1898" s="52">
        <f>H1897-G1898</f>
        <v/>
      </c>
      <c r="I1898" s="568" t="n"/>
      <c r="J1898" s="568" t="n"/>
      <c r="K1898" s="568" t="n"/>
      <c r="L1898" s="568" t="n"/>
    </row>
    <row r="1899">
      <c r="A1899" s="568" t="n">
        <v>44685</v>
      </c>
      <c r="B1899" s="392" t="n">
        <v>9081</v>
      </c>
      <c r="C1899" s="392" t="n">
        <v>94.7</v>
      </c>
      <c r="D1899" s="392" t="n"/>
      <c r="E1899" s="392" t="n"/>
      <c r="F1899" s="392" t="n"/>
      <c r="G1899" s="392" t="n">
        <v>50</v>
      </c>
      <c r="H1899" s="52">
        <f>H1898-G1899</f>
        <v/>
      </c>
      <c r="I1899" s="568" t="n"/>
      <c r="J1899" s="568" t="n"/>
      <c r="K1899" s="568" t="n"/>
      <c r="L1899" s="568" t="n"/>
    </row>
    <row r="1900">
      <c r="A1900" s="568" t="n">
        <v>44685</v>
      </c>
      <c r="B1900" s="392" t="n">
        <v>9083</v>
      </c>
      <c r="C1900" s="392" t="n">
        <v>94.90000000000001</v>
      </c>
      <c r="D1900" s="392" t="n"/>
      <c r="E1900" s="392" t="n"/>
      <c r="F1900" s="392" t="n"/>
      <c r="G1900" s="392" t="n">
        <v>32</v>
      </c>
      <c r="H1900" s="52">
        <f>H1899-G1900</f>
        <v/>
      </c>
      <c r="I1900" s="568" t="n"/>
      <c r="J1900" s="568" t="n"/>
      <c r="K1900" s="568" t="n"/>
      <c r="L1900" s="568" t="n"/>
    </row>
    <row r="1901">
      <c r="A1901" s="568" t="n">
        <v>44685</v>
      </c>
      <c r="B1901" s="392" t="n">
        <v>9084</v>
      </c>
      <c r="C1901" s="392" t="n">
        <v>94</v>
      </c>
      <c r="D1901" s="392" t="n"/>
      <c r="E1901" s="392" t="n"/>
      <c r="F1901" s="392" t="n"/>
      <c r="G1901" s="392" t="n">
        <v>30</v>
      </c>
      <c r="H1901" s="52">
        <f>H1900-G1901</f>
        <v/>
      </c>
      <c r="I1901" s="568" t="n"/>
      <c r="J1901" s="568" t="n"/>
      <c r="K1901" s="568" t="n"/>
      <c r="L1901" s="568" t="n"/>
    </row>
    <row r="1902">
      <c r="A1902" s="568" t="n">
        <v>44685</v>
      </c>
      <c r="B1902" s="392" t="n">
        <v>9085</v>
      </c>
      <c r="C1902" s="392" t="n">
        <v>94.2</v>
      </c>
      <c r="D1902" s="392" t="n"/>
      <c r="E1902" s="392" t="n"/>
      <c r="F1902" s="392" t="n"/>
      <c r="G1902" s="392" t="n">
        <v>11</v>
      </c>
      <c r="H1902" s="52">
        <f>H1901-G1902</f>
        <v/>
      </c>
      <c r="I1902" s="568" t="n"/>
      <c r="J1902" s="568" t="n"/>
      <c r="K1902" s="568" t="n"/>
      <c r="L1902" s="568" t="n"/>
    </row>
    <row r="1903">
      <c r="A1903" s="568" t="n">
        <v>44685</v>
      </c>
      <c r="B1903" s="392" t="n">
        <v>9086</v>
      </c>
      <c r="C1903" s="392" t="n">
        <v>94.15000000000001</v>
      </c>
      <c r="D1903" s="392" t="n"/>
      <c r="E1903" s="392" t="n"/>
      <c r="F1903" s="392" t="n"/>
      <c r="G1903" s="392" t="n">
        <v>35</v>
      </c>
      <c r="H1903" s="52">
        <f>H1902-G1903</f>
        <v/>
      </c>
      <c r="I1903" s="568" t="n"/>
      <c r="J1903" s="568" t="n"/>
      <c r="K1903" s="568" t="n"/>
      <c r="L1903" s="568" t="n"/>
    </row>
    <row r="1904">
      <c r="A1904" s="568" t="n">
        <v>44685</v>
      </c>
      <c r="B1904" s="392" t="n">
        <v>9087</v>
      </c>
      <c r="C1904" s="392" t="n">
        <v>94.67</v>
      </c>
      <c r="D1904" s="392" t="n"/>
      <c r="E1904" s="392" t="n"/>
      <c r="F1904" s="392" t="n"/>
      <c r="G1904" s="392" t="n">
        <v>12</v>
      </c>
      <c r="H1904" s="52">
        <f>H1903-G1904</f>
        <v/>
      </c>
      <c r="I1904" s="568" t="n"/>
      <c r="J1904" s="568" t="n"/>
      <c r="K1904" s="568" t="n"/>
      <c r="L1904" s="568" t="n"/>
    </row>
    <row r="1905">
      <c r="A1905" s="568" t="n">
        <v>44685</v>
      </c>
      <c r="B1905" s="392" t="n">
        <v>9089</v>
      </c>
      <c r="C1905" s="392" t="n">
        <v>95.40000000000001</v>
      </c>
      <c r="D1905" s="392" t="n"/>
      <c r="E1905" s="392" t="n"/>
      <c r="F1905" s="392" t="n"/>
      <c r="G1905" s="392" t="n">
        <v>30</v>
      </c>
      <c r="H1905" s="52">
        <f>H1904-G1905</f>
        <v/>
      </c>
      <c r="I1905" s="568" t="n"/>
      <c r="J1905" s="568" t="n"/>
      <c r="K1905" s="568" t="n"/>
      <c r="L1905" s="568" t="n"/>
    </row>
    <row r="1906">
      <c r="A1906" s="568" t="n">
        <v>44685</v>
      </c>
      <c r="B1906" s="392" t="n">
        <v>9090</v>
      </c>
      <c r="C1906" s="392" t="n">
        <v>94</v>
      </c>
      <c r="D1906" s="392" t="n"/>
      <c r="E1906" s="392" t="n"/>
      <c r="F1906" s="392" t="n"/>
      <c r="G1906" s="392" t="n">
        <v>30</v>
      </c>
      <c r="H1906" s="52">
        <f>H1905-G1906</f>
        <v/>
      </c>
      <c r="I1906" s="568" t="n"/>
      <c r="J1906" s="568" t="n"/>
      <c r="K1906" s="568" t="n"/>
      <c r="L1906" s="568" t="n"/>
    </row>
    <row r="1907">
      <c r="A1907" s="568" t="n">
        <v>44690</v>
      </c>
      <c r="B1907" s="392" t="n">
        <v>9093</v>
      </c>
      <c r="C1907" s="392" t="n">
        <v>96</v>
      </c>
      <c r="D1907" s="392" t="n"/>
      <c r="E1907" s="392" t="n"/>
      <c r="F1907" s="392" t="n"/>
      <c r="G1907" s="392" t="n">
        <v>40</v>
      </c>
      <c r="H1907" s="52">
        <f>H1906-G1907</f>
        <v/>
      </c>
      <c r="I1907" s="568" t="n"/>
      <c r="J1907" s="568" t="n"/>
      <c r="K1907" s="568" t="n"/>
      <c r="L1907" s="568" t="n"/>
    </row>
    <row r="1908">
      <c r="A1908" s="568" t="n">
        <v>44690</v>
      </c>
      <c r="B1908" s="392" t="n">
        <v>9094</v>
      </c>
      <c r="C1908" s="392" t="n">
        <v>94</v>
      </c>
      <c r="D1908" s="392" t="n"/>
      <c r="E1908" s="392" t="n"/>
      <c r="F1908" s="392" t="n"/>
      <c r="G1908" s="392" t="n">
        <v>10</v>
      </c>
      <c r="H1908" s="52">
        <f>H1907-G1908</f>
        <v/>
      </c>
      <c r="I1908" s="568" t="n"/>
      <c r="J1908" s="568" t="n"/>
      <c r="K1908" s="568" t="n"/>
      <c r="L1908" s="568" t="n"/>
    </row>
    <row r="1909">
      <c r="A1909" s="568" t="n">
        <v>44692</v>
      </c>
      <c r="B1909" s="392" t="n">
        <v>9102</v>
      </c>
      <c r="C1909" s="392" t="n">
        <v>96.72</v>
      </c>
      <c r="D1909" s="392" t="n"/>
      <c r="E1909" s="392" t="n"/>
      <c r="F1909" s="392" t="n"/>
      <c r="G1909" s="392" t="n">
        <v>21</v>
      </c>
      <c r="H1909" s="52">
        <f>H1908-G1909</f>
        <v/>
      </c>
      <c r="I1909" s="568" t="n"/>
      <c r="J1909" s="568" t="n"/>
      <c r="K1909" s="568" t="n"/>
      <c r="L1909" s="568" t="n"/>
    </row>
    <row r="1910">
      <c r="A1910" s="568" t="n">
        <v>44692</v>
      </c>
      <c r="B1910" s="392" t="n">
        <v>9105</v>
      </c>
      <c r="C1910" s="392" t="n">
        <v>95.8</v>
      </c>
      <c r="D1910" s="392" t="n"/>
      <c r="E1910" s="392" t="n"/>
      <c r="F1910" s="392" t="n"/>
      <c r="G1910" s="392" t="n">
        <v>25</v>
      </c>
      <c r="H1910" s="52">
        <f>H1909-G1910</f>
        <v/>
      </c>
      <c r="I1910" s="568" t="n"/>
      <c r="J1910" s="568" t="n"/>
      <c r="K1910" s="568" t="n"/>
      <c r="L1910" s="568" t="n"/>
    </row>
    <row r="1911">
      <c r="A1911" s="568" t="n">
        <v>44692</v>
      </c>
      <c r="B1911" s="392" t="n">
        <v>9106</v>
      </c>
      <c r="C1911" s="392" t="n">
        <v>94.58</v>
      </c>
      <c r="D1911" s="392" t="n"/>
      <c r="E1911" s="392" t="n"/>
      <c r="F1911" s="392" t="n"/>
      <c r="G1911" s="392" t="n">
        <v>35</v>
      </c>
      <c r="H1911" s="52">
        <f>H1910-G1911</f>
        <v/>
      </c>
      <c r="I1911" s="568" t="n"/>
      <c r="J1911" s="568" t="n"/>
      <c r="K1911" s="568" t="n"/>
      <c r="L1911" s="568" t="n"/>
    </row>
    <row r="1912">
      <c r="A1912" s="568" t="n">
        <v>44692</v>
      </c>
      <c r="B1912" s="392" t="n">
        <v>9107</v>
      </c>
      <c r="C1912" s="392" t="n">
        <v>96</v>
      </c>
      <c r="D1912" s="392" t="n"/>
      <c r="E1912" s="392" t="n"/>
      <c r="F1912" s="392" t="n"/>
      <c r="G1912" s="392" t="n">
        <v>30</v>
      </c>
      <c r="H1912" s="52">
        <f>H1911-G1912</f>
        <v/>
      </c>
      <c r="I1912" s="568" t="n"/>
      <c r="J1912" s="568" t="n"/>
      <c r="K1912" s="568" t="n"/>
      <c r="L1912" s="568" t="n"/>
    </row>
    <row r="1913">
      <c r="A1913" s="568" t="n">
        <v>44693</v>
      </c>
      <c r="B1913" s="392" t="n">
        <v>9110</v>
      </c>
      <c r="C1913" s="392" t="n">
        <v>96</v>
      </c>
      <c r="D1913" s="392" t="n"/>
      <c r="E1913" s="392" t="n"/>
      <c r="F1913" s="392" t="n"/>
      <c r="G1913" s="392" t="n">
        <v>10</v>
      </c>
      <c r="H1913" s="52">
        <f>H1912-G1913</f>
        <v/>
      </c>
      <c r="I1913" s="568" t="n"/>
      <c r="J1913" s="568" t="n"/>
      <c r="K1913" s="568" t="n"/>
      <c r="L1913" s="568" t="n"/>
    </row>
    <row r="1914">
      <c r="A1914" s="568" t="n">
        <v>44693</v>
      </c>
      <c r="B1914" s="392" t="n">
        <v>9111</v>
      </c>
      <c r="C1914" s="392" t="n">
        <v>99</v>
      </c>
      <c r="D1914" s="392" t="n"/>
      <c r="E1914" s="392" t="n"/>
      <c r="F1914" s="392" t="n"/>
      <c r="G1914" s="392" t="n">
        <v>30</v>
      </c>
      <c r="H1914" s="52">
        <f>H1913-G1914</f>
        <v/>
      </c>
      <c r="I1914" s="568" t="n"/>
      <c r="J1914" s="568" t="n"/>
      <c r="K1914" s="568" t="n"/>
      <c r="L1914" s="568" t="n"/>
    </row>
    <row r="1915">
      <c r="A1915" s="304" t="n">
        <v>44693</v>
      </c>
      <c r="B1915" s="401" t="n">
        <v>190276</v>
      </c>
      <c r="C1915" s="401" t="n">
        <v>82</v>
      </c>
      <c r="D1915" s="401" t="n"/>
      <c r="E1915" s="401" t="n"/>
      <c r="F1915" s="401" t="n">
        <v>780</v>
      </c>
      <c r="G1915" s="401" t="n"/>
      <c r="H1915" s="277" t="n">
        <v>1305</v>
      </c>
      <c r="I1915" s="568" t="n"/>
      <c r="J1915" s="568" t="n"/>
      <c r="K1915" s="568" t="n"/>
      <c r="L1915" s="568" t="n"/>
    </row>
    <row r="1916">
      <c r="A1916" s="568" t="n">
        <v>44697</v>
      </c>
      <c r="B1916" s="392" t="n">
        <v>9113</v>
      </c>
      <c r="C1916" s="392" t="n">
        <v>95.8</v>
      </c>
      <c r="D1916" s="392" t="n"/>
      <c r="E1916" s="392" t="n"/>
      <c r="F1916" s="392" t="n"/>
      <c r="G1916" s="392" t="n">
        <v>50</v>
      </c>
      <c r="H1916" s="52">
        <f>H1915-G1916</f>
        <v/>
      </c>
      <c r="I1916" s="568" t="n"/>
      <c r="J1916" s="568" t="n"/>
      <c r="K1916" s="568" t="n"/>
      <c r="L1916" s="568" t="n"/>
    </row>
    <row r="1917">
      <c r="A1917" s="568" t="n">
        <v>44697</v>
      </c>
      <c r="B1917" s="392" t="n">
        <v>9115</v>
      </c>
      <c r="C1917" s="392" t="n">
        <v>98.25</v>
      </c>
      <c r="D1917" s="392" t="n"/>
      <c r="E1917" s="392" t="n"/>
      <c r="F1917" s="392" t="n"/>
      <c r="G1917" s="392" t="n">
        <v>40</v>
      </c>
      <c r="H1917" s="52">
        <f>H1916-G1917</f>
        <v/>
      </c>
      <c r="I1917" s="568" t="n"/>
      <c r="J1917" s="568" t="n"/>
      <c r="K1917" s="568" t="n"/>
      <c r="L1917" s="568" t="n"/>
    </row>
    <row r="1918">
      <c r="A1918" s="568" t="n">
        <v>44697</v>
      </c>
      <c r="B1918" s="392" t="n">
        <v>9116</v>
      </c>
      <c r="C1918" s="392" t="n">
        <v>96.47</v>
      </c>
      <c r="D1918" s="392" t="n"/>
      <c r="E1918" s="392" t="n"/>
      <c r="F1918" s="392" t="n"/>
      <c r="G1918" s="392" t="n">
        <v>15</v>
      </c>
      <c r="H1918" s="52">
        <f>H1917-G1918</f>
        <v/>
      </c>
      <c r="I1918" s="568" t="n"/>
      <c r="J1918" s="568" t="n"/>
      <c r="K1918" s="568" t="n"/>
      <c r="L1918" s="568" t="n"/>
    </row>
    <row r="1919">
      <c r="A1919" s="568" t="n">
        <v>44697</v>
      </c>
      <c r="B1919" s="392" t="n">
        <v>9117</v>
      </c>
      <c r="C1919" s="392" t="n">
        <v>95.94</v>
      </c>
      <c r="D1919" s="392" t="n"/>
      <c r="E1919" s="392" t="n"/>
      <c r="F1919" s="392" t="n"/>
      <c r="G1919" s="392" t="n">
        <v>50</v>
      </c>
      <c r="H1919" s="52">
        <f>H1918-G1919</f>
        <v/>
      </c>
      <c r="I1919" s="568" t="n"/>
      <c r="J1919" s="568" t="n"/>
      <c r="K1919" s="568" t="n"/>
      <c r="L1919" s="568" t="n"/>
    </row>
    <row r="1920">
      <c r="A1920" s="568" t="n">
        <v>44697</v>
      </c>
      <c r="B1920" s="392" t="n">
        <v>9120</v>
      </c>
      <c r="C1920" s="392" t="n">
        <v>97.2</v>
      </c>
      <c r="D1920" s="392" t="n"/>
      <c r="E1920" s="392" t="n"/>
      <c r="F1920" s="392" t="n"/>
      <c r="G1920" s="392" t="n">
        <v>100</v>
      </c>
      <c r="H1920" s="52">
        <f>H1919-G1920</f>
        <v/>
      </c>
      <c r="I1920" s="568" t="n"/>
      <c r="J1920" s="568" t="n"/>
      <c r="K1920" s="568" t="n"/>
      <c r="L1920" s="568" t="n"/>
    </row>
    <row r="1921">
      <c r="A1921" s="568" t="n">
        <v>44704</v>
      </c>
      <c r="B1921" s="392" t="n">
        <v>9132</v>
      </c>
      <c r="C1921" s="392" t="n">
        <v>98.59999999999999</v>
      </c>
      <c r="D1921" s="392" t="n"/>
      <c r="E1921" s="392" t="n"/>
      <c r="F1921" s="392" t="n"/>
      <c r="G1921" s="392" t="n">
        <v>25</v>
      </c>
      <c r="H1921" s="52">
        <f>H1920-G1921</f>
        <v/>
      </c>
      <c r="I1921" s="568" t="n"/>
      <c r="J1921" s="568" t="n"/>
      <c r="K1921" s="568" t="n"/>
      <c r="L1921" s="568" t="n"/>
    </row>
    <row r="1922">
      <c r="A1922" s="568" t="n">
        <v>44704</v>
      </c>
      <c r="B1922" s="392" t="n">
        <v>9134</v>
      </c>
      <c r="C1922" s="392" t="n">
        <v>98</v>
      </c>
      <c r="D1922" s="392" t="n"/>
      <c r="E1922" s="392" t="n"/>
      <c r="F1922" s="392" t="n"/>
      <c r="G1922" s="392" t="n">
        <v>100</v>
      </c>
      <c r="H1922" s="52">
        <f>H1921-G1922</f>
        <v/>
      </c>
      <c r="I1922" s="568" t="n"/>
      <c r="J1922" s="568" t="n"/>
      <c r="K1922" s="568" t="n"/>
      <c r="L1922" s="568" t="n"/>
    </row>
    <row r="1923">
      <c r="A1923" s="568" t="n">
        <v>44704</v>
      </c>
      <c r="B1923" s="392" t="n">
        <v>9135</v>
      </c>
      <c r="C1923" s="392" t="n">
        <v>98</v>
      </c>
      <c r="D1923" s="392" t="n"/>
      <c r="E1923" s="392" t="n"/>
      <c r="F1923" s="392" t="n"/>
      <c r="G1923" s="392" t="n">
        <v>100</v>
      </c>
      <c r="H1923" s="52">
        <f>H1922-G1923</f>
        <v/>
      </c>
      <c r="I1923" s="568" t="n"/>
      <c r="J1923" s="568" t="n"/>
      <c r="K1923" s="568" t="n"/>
      <c r="L1923" s="568" t="n"/>
    </row>
    <row r="1924">
      <c r="A1924" s="568" t="n">
        <v>44704</v>
      </c>
      <c r="B1924" s="392" t="n">
        <v>9136</v>
      </c>
      <c r="C1924" s="392" t="n">
        <v>98.5</v>
      </c>
      <c r="D1924" s="392" t="n"/>
      <c r="E1924" s="392" t="n"/>
      <c r="F1924" s="392" t="n"/>
      <c r="G1924" s="392" t="n">
        <v>50</v>
      </c>
      <c r="H1924" s="52">
        <f>H1923-G1924</f>
        <v/>
      </c>
      <c r="I1924" s="568" t="n"/>
      <c r="J1924" s="568" t="n"/>
      <c r="K1924" s="568" t="n"/>
      <c r="L1924" s="568" t="n"/>
    </row>
    <row r="1925">
      <c r="A1925" s="568" t="n">
        <v>44705</v>
      </c>
      <c r="B1925" s="392" t="n">
        <v>9138</v>
      </c>
      <c r="C1925" s="392" t="n">
        <v>97.72</v>
      </c>
      <c r="D1925" s="392" t="n"/>
      <c r="E1925" s="392" t="n"/>
      <c r="F1925" s="392" t="n"/>
      <c r="G1925" s="392" t="n">
        <v>35</v>
      </c>
      <c r="H1925" s="52">
        <f>H1924-G1925</f>
        <v/>
      </c>
      <c r="I1925" s="568" t="n"/>
      <c r="J1925" s="568" t="n"/>
      <c r="K1925" s="568" t="n"/>
      <c r="L1925" s="568" t="n"/>
    </row>
    <row r="1926">
      <c r="A1926" s="568" t="n">
        <v>44706</v>
      </c>
      <c r="B1926" s="392" t="n">
        <v>9140</v>
      </c>
      <c r="C1926" s="392" t="n">
        <v>98</v>
      </c>
      <c r="D1926" s="392" t="n"/>
      <c r="E1926" s="392" t="n"/>
      <c r="F1926" s="392" t="n"/>
      <c r="G1926" s="392" t="n">
        <v>10</v>
      </c>
      <c r="H1926" s="52">
        <f>H1925-G1926</f>
        <v/>
      </c>
      <c r="I1926" s="568" t="n"/>
      <c r="J1926" s="568" t="n"/>
      <c r="K1926" s="568" t="n"/>
      <c r="L1926" s="568" t="n"/>
    </row>
    <row r="1927">
      <c r="A1927" s="568" t="n">
        <v>44706</v>
      </c>
      <c r="B1927" s="392" t="n">
        <v>9141</v>
      </c>
      <c r="C1927" s="392" t="n">
        <v>99.75</v>
      </c>
      <c r="D1927" s="392" t="n"/>
      <c r="E1927" s="392" t="n"/>
      <c r="F1927" s="392" t="n"/>
      <c r="G1927" s="392" t="n">
        <v>40</v>
      </c>
      <c r="H1927" s="52">
        <f>H1926-G1927</f>
        <v/>
      </c>
      <c r="I1927" s="568" t="n"/>
      <c r="J1927" s="568" t="n"/>
      <c r="K1927" s="568" t="n"/>
      <c r="L1927" s="568" t="n"/>
    </row>
    <row r="1928">
      <c r="A1928" s="568" t="n">
        <v>44706</v>
      </c>
      <c r="B1928" s="392" t="n">
        <v>9145</v>
      </c>
      <c r="C1928" s="392" t="n">
        <v>98</v>
      </c>
      <c r="D1928" s="392" t="n"/>
      <c r="E1928" s="392" t="n"/>
      <c r="F1928" s="392" t="n"/>
      <c r="G1928" s="392" t="n">
        <v>30</v>
      </c>
      <c r="H1928" s="52">
        <f>H1927-G1928</f>
        <v/>
      </c>
      <c r="I1928" s="568" t="n"/>
      <c r="J1928" s="568" t="n"/>
      <c r="K1928" s="568" t="n"/>
      <c r="L1928" s="568" t="n"/>
    </row>
    <row r="1929">
      <c r="A1929" s="568" t="n">
        <v>44706</v>
      </c>
      <c r="B1929" s="392" t="n">
        <v>9146</v>
      </c>
      <c r="C1929" s="392" t="n">
        <v>98</v>
      </c>
      <c r="D1929" s="392" t="n"/>
      <c r="E1929" s="392" t="n"/>
      <c r="F1929" s="392" t="n"/>
      <c r="G1929" s="392" t="n">
        <v>10</v>
      </c>
      <c r="H1929" s="52">
        <f>H1928-G1929</f>
        <v/>
      </c>
      <c r="I1929" s="568" t="n"/>
      <c r="J1929" s="568" t="n"/>
      <c r="K1929" s="568" t="n"/>
      <c r="L1929" s="568" t="n"/>
    </row>
    <row r="1930">
      <c r="A1930" s="568" t="n">
        <v>44706</v>
      </c>
      <c r="B1930" s="392" t="n">
        <v>9147</v>
      </c>
      <c r="C1930" s="392" t="n">
        <v>99.75</v>
      </c>
      <c r="D1930" s="392" t="n"/>
      <c r="E1930" s="392" t="n"/>
      <c r="F1930" s="392" t="n"/>
      <c r="G1930" s="392" t="n">
        <v>20</v>
      </c>
      <c r="H1930" s="52">
        <f>H1929-G1930</f>
        <v/>
      </c>
      <c r="I1930" s="568" t="n"/>
      <c r="J1930" s="568" t="n"/>
      <c r="K1930" s="568" t="n"/>
      <c r="L1930" s="568" t="n"/>
    </row>
    <row r="1931">
      <c r="A1931" s="568" t="n">
        <v>44706</v>
      </c>
      <c r="B1931" s="392" t="n">
        <v>9148</v>
      </c>
      <c r="C1931" s="392" t="n">
        <v>96</v>
      </c>
      <c r="D1931" s="392" t="n"/>
      <c r="E1931" s="392" t="n"/>
      <c r="F1931" s="392" t="n"/>
      <c r="G1931" s="392" t="n">
        <v>30</v>
      </c>
      <c r="H1931" s="52">
        <f>H1930-G1931</f>
        <v/>
      </c>
      <c r="I1931" s="568" t="n"/>
      <c r="J1931" s="568" t="n"/>
      <c r="K1931" s="568" t="n"/>
      <c r="L1931" s="568" t="n"/>
    </row>
    <row r="1932">
      <c r="A1932" s="568" t="n">
        <v>44706</v>
      </c>
      <c r="B1932" s="392" t="n">
        <v>9149</v>
      </c>
      <c r="C1932" s="392" t="n">
        <v>99.17</v>
      </c>
      <c r="D1932" s="392" t="n"/>
      <c r="E1932" s="392" t="n"/>
      <c r="F1932" s="392" t="n"/>
      <c r="G1932" s="392" t="n">
        <v>30</v>
      </c>
      <c r="H1932" s="52">
        <f>H1931-G1932</f>
        <v/>
      </c>
      <c r="I1932" s="568" t="n"/>
      <c r="J1932" s="568" t="n"/>
      <c r="K1932" s="568" t="n"/>
      <c r="L1932" s="568" t="n"/>
    </row>
    <row r="1933">
      <c r="A1933" s="568" t="n">
        <v>44706</v>
      </c>
      <c r="B1933" s="392" t="n">
        <v>9150</v>
      </c>
      <c r="C1933" s="392" t="n">
        <v>98</v>
      </c>
      <c r="D1933" s="392" t="n"/>
      <c r="E1933" s="392" t="n"/>
      <c r="F1933" s="392" t="n"/>
      <c r="G1933" s="392" t="n">
        <v>10</v>
      </c>
      <c r="H1933" s="52">
        <f>H1932-G1933</f>
        <v/>
      </c>
      <c r="I1933" s="568" t="n"/>
      <c r="J1933" s="568" t="n"/>
      <c r="K1933" s="568" t="n"/>
      <c r="L1933" s="568" t="n"/>
    </row>
    <row r="1934">
      <c r="A1934" s="568" t="n">
        <v>44711</v>
      </c>
      <c r="B1934" s="392" t="n">
        <v>9154</v>
      </c>
      <c r="C1934" s="392" t="n">
        <v>100.1</v>
      </c>
      <c r="D1934" s="392" t="n"/>
      <c r="E1934" s="392" t="n"/>
      <c r="F1934" s="392" t="n"/>
      <c r="G1934" s="392" t="n">
        <v>100</v>
      </c>
      <c r="H1934" s="52">
        <f>H1933-G1934</f>
        <v/>
      </c>
      <c r="I1934" s="568" t="n"/>
      <c r="J1934" s="568" t="n"/>
      <c r="K1934" s="568" t="n"/>
      <c r="L1934" s="568" t="n"/>
    </row>
    <row r="1935">
      <c r="A1935" s="568" t="n">
        <v>44711</v>
      </c>
      <c r="B1935" s="392" t="n">
        <v>9155</v>
      </c>
      <c r="C1935" s="392" t="n">
        <v>98</v>
      </c>
      <c r="D1935" s="392" t="n"/>
      <c r="E1935" s="392" t="n"/>
      <c r="F1935" s="392" t="n"/>
      <c r="G1935" s="392" t="n">
        <v>10</v>
      </c>
      <c r="H1935" s="52">
        <f>H1934-G1935</f>
        <v/>
      </c>
      <c r="I1935" s="568" t="n"/>
      <c r="J1935" s="568" t="n"/>
      <c r="K1935" s="568" t="n"/>
      <c r="L1935" s="568" t="n"/>
    </row>
    <row r="1936">
      <c r="A1936" s="568" t="n">
        <v>44711</v>
      </c>
      <c r="B1936" s="392" t="n">
        <v>9156</v>
      </c>
      <c r="C1936" s="392" t="n">
        <v>98</v>
      </c>
      <c r="D1936" s="392" t="n"/>
      <c r="E1936" s="392" t="n"/>
      <c r="F1936" s="392" t="n"/>
      <c r="G1936" s="392" t="n">
        <v>30</v>
      </c>
      <c r="H1936" s="52">
        <f>H1935-G1936</f>
        <v/>
      </c>
      <c r="I1936" s="568" t="n"/>
      <c r="J1936" s="568" t="n"/>
      <c r="K1936" s="568" t="n"/>
      <c r="L1936" s="568" t="n"/>
    </row>
    <row r="1937">
      <c r="A1937" s="568" t="n">
        <v>44711</v>
      </c>
      <c r="B1937" s="392" t="n">
        <v>9160</v>
      </c>
      <c r="C1937" s="392" t="n">
        <v>101.67</v>
      </c>
      <c r="D1937" s="392" t="n"/>
      <c r="E1937" s="392" t="n"/>
      <c r="F1937" s="392" t="n"/>
      <c r="G1937" s="392" t="n">
        <v>15</v>
      </c>
      <c r="H1937" s="52">
        <f>H1936-G1937</f>
        <v/>
      </c>
      <c r="I1937" s="568" t="n"/>
      <c r="J1937" s="568" t="n"/>
      <c r="K1937" s="568" t="n"/>
      <c r="L1937" s="568" t="n"/>
    </row>
    <row r="1938">
      <c r="A1938" s="568" t="n">
        <v>44711</v>
      </c>
      <c r="B1938" s="392" t="n">
        <v>9161</v>
      </c>
      <c r="C1938" s="392" t="n">
        <v>98</v>
      </c>
      <c r="D1938" s="392" t="n"/>
      <c r="E1938" s="392" t="n"/>
      <c r="F1938" s="392" t="n"/>
      <c r="G1938" s="392" t="n">
        <v>100</v>
      </c>
      <c r="H1938" s="52">
        <f>H1937-G1938</f>
        <v/>
      </c>
      <c r="I1938" s="568" t="n"/>
      <c r="J1938" s="568" t="n"/>
      <c r="K1938" s="568" t="n"/>
      <c r="L1938" s="568" t="n"/>
    </row>
    <row r="1939">
      <c r="A1939" s="568" t="n">
        <v>44711</v>
      </c>
      <c r="B1939" s="392" t="n">
        <v>9162</v>
      </c>
      <c r="C1939" s="392" t="n">
        <v>105</v>
      </c>
      <c r="D1939" s="392" t="n"/>
      <c r="E1939" s="392" t="n"/>
      <c r="F1939" s="392" t="n"/>
      <c r="G1939" s="392" t="n">
        <v>15</v>
      </c>
      <c r="H1939" s="52">
        <f>H1938-G1939</f>
        <v/>
      </c>
      <c r="I1939" s="568" t="n"/>
      <c r="J1939" s="568" t="n"/>
      <c r="K1939" s="568" t="n"/>
      <c r="L1939" s="568" t="n"/>
    </row>
    <row r="1940">
      <c r="A1940" s="304" t="n">
        <v>44712</v>
      </c>
      <c r="B1940" s="401" t="n">
        <v>191485</v>
      </c>
      <c r="C1940" s="401" t="n">
        <v>87</v>
      </c>
      <c r="D1940" s="401" t="n"/>
      <c r="E1940" s="401" t="n"/>
      <c r="F1940" s="401" t="n">
        <v>550</v>
      </c>
      <c r="G1940" s="401" t="n"/>
      <c r="H1940" s="277" t="n">
        <v>840</v>
      </c>
      <c r="I1940" s="568" t="n"/>
      <c r="J1940" s="568" t="n"/>
      <c r="K1940" s="568" t="n"/>
      <c r="L1940" s="568" t="n"/>
    </row>
    <row r="1941">
      <c r="A1941" s="568" t="n"/>
      <c r="B1941" s="392" t="n"/>
      <c r="C1941" s="392" t="n"/>
      <c r="D1941" s="392" t="n"/>
      <c r="E1941" s="392" t="n"/>
      <c r="F1941" s="392" t="n"/>
      <c r="G1941" s="392" t="n"/>
      <c r="H1941" s="52" t="n"/>
      <c r="I1941" s="568" t="n"/>
      <c r="J1941" s="568" t="n"/>
      <c r="K1941" s="568" t="n"/>
      <c r="L1941" s="568" t="n"/>
    </row>
    <row r="1942">
      <c r="A1942" s="568" t="n"/>
      <c r="B1942" s="392" t="n"/>
      <c r="C1942" s="392" t="n"/>
      <c r="D1942" s="392" t="n"/>
      <c r="E1942" s="392" t="n"/>
      <c r="F1942" s="392" t="n"/>
      <c r="G1942" s="392" t="n"/>
      <c r="H1942" s="52" t="n"/>
      <c r="I1942" s="568" t="n"/>
      <c r="J1942" s="568" t="n"/>
      <c r="K1942" s="568" t="n"/>
      <c r="L1942" s="568" t="n"/>
    </row>
    <row r="1943">
      <c r="A1943" s="568" t="n"/>
      <c r="B1943" s="392" t="n"/>
      <c r="C1943" s="392" t="n"/>
      <c r="D1943" s="392" t="n"/>
      <c r="E1943" s="392" t="n"/>
      <c r="F1943" s="392" t="n"/>
      <c r="G1943" s="392" t="n"/>
      <c r="H1943" s="52" t="n"/>
      <c r="I1943" s="568" t="n"/>
      <c r="J1943" s="568" t="n"/>
      <c r="K1943" s="568" t="n"/>
      <c r="L1943" s="568" t="n"/>
    </row>
    <row r="1944">
      <c r="A1944" s="568" t="n"/>
      <c r="B1944" s="392" t="n"/>
      <c r="C1944" s="392" t="n"/>
      <c r="D1944" s="392" t="n"/>
      <c r="E1944" s="392" t="n"/>
      <c r="F1944" s="392" t="n"/>
      <c r="G1944" s="392" t="n"/>
      <c r="H1944" s="52" t="n"/>
      <c r="I1944" s="568" t="n"/>
      <c r="J1944" s="568" t="n"/>
      <c r="K1944" s="568" t="n"/>
      <c r="L1944" s="568" t="n"/>
    </row>
    <row r="1945">
      <c r="A1945" s="414" t="n"/>
      <c r="H1945" s="171" t="n"/>
      <c r="I1945" s="414" t="n"/>
      <c r="J1945" s="414" t="n"/>
      <c r="K1945" s="414" t="n"/>
      <c r="L1945" s="414" t="n"/>
    </row>
    <row r="1946">
      <c r="A1946" s="414" t="n"/>
      <c r="H1946" s="171" t="n"/>
      <c r="I1946" s="414" t="n"/>
      <c r="J1946" s="414" t="n"/>
      <c r="K1946" s="414" t="n"/>
      <c r="L1946" s="414" t="n"/>
    </row>
    <row r="1947">
      <c r="A1947" s="414" t="n"/>
      <c r="H1947" s="171" t="n"/>
      <c r="I1947" s="414" t="n"/>
      <c r="J1947" s="414" t="n"/>
      <c r="K1947" s="414" t="n"/>
      <c r="L1947" s="414" t="n"/>
    </row>
    <row r="1948">
      <c r="A1948" s="414" t="n"/>
      <c r="H1948" s="171" t="n"/>
      <c r="I1948" s="414" t="n"/>
      <c r="J1948" s="414" t="n"/>
      <c r="K1948" s="414" t="n"/>
      <c r="L1948" s="414" t="n"/>
    </row>
    <row r="1949" ht="15.75" customHeight="1" s="436" thickBot="1"/>
    <row r="1950" ht="21.75" customHeight="1" s="436" thickBot="1">
      <c r="A1950" s="757" t="inlineStr">
        <is>
          <t>Junho</t>
        </is>
      </c>
      <c r="B1950" s="697" t="n"/>
      <c r="C1950" s="697" t="n"/>
      <c r="D1950" s="697" t="n"/>
      <c r="E1950" s="697" t="n"/>
      <c r="F1950" s="697" t="n"/>
      <c r="G1950" s="697" t="n"/>
      <c r="H1950" s="697" t="n"/>
      <c r="I1950" s="697" t="n"/>
      <c r="J1950" s="697" t="n"/>
      <c r="K1950" s="697" t="n"/>
      <c r="L1950" s="698" t="n"/>
    </row>
    <row r="1951" ht="21.75" customHeight="1" s="436" thickBot="1">
      <c r="A1951" s="699" t="inlineStr">
        <is>
          <t xml:space="preserve">021 - DENISE FURTADO DE SOUZA - ME </t>
        </is>
      </c>
      <c r="B1951" s="697" t="n"/>
      <c r="C1951" s="697" t="n"/>
      <c r="D1951" s="697" t="n"/>
      <c r="E1951" s="697" t="n"/>
      <c r="F1951" s="697" t="n"/>
      <c r="G1951" s="697" t="n"/>
      <c r="H1951" s="697" t="n"/>
      <c r="I1951" s="697" t="n"/>
      <c r="J1951" s="697" t="n"/>
      <c r="K1951" s="697" t="n"/>
      <c r="L1951" s="698" t="n"/>
    </row>
    <row r="1952" ht="24" customHeight="1" s="436" thickBot="1">
      <c r="A1952" s="745" t="inlineStr">
        <is>
          <t xml:space="preserve">  PRÉ MISTURA - 25 KG</t>
        </is>
      </c>
      <c r="B1952" s="737" t="n"/>
      <c r="C1952" s="737" t="n"/>
      <c r="D1952" s="737" t="n"/>
      <c r="E1952" s="737" t="n"/>
      <c r="F1952" s="737" t="n"/>
      <c r="G1952" s="737" t="n"/>
      <c r="H1952" s="737" t="n"/>
      <c r="I1952" s="737" t="n"/>
      <c r="J1952" s="737" t="n"/>
      <c r="K1952" s="737" t="n"/>
      <c r="L1952" s="736" t="n"/>
    </row>
    <row r="1953">
      <c r="A1953" s="746" t="inlineStr">
        <is>
          <t>DATA</t>
        </is>
      </c>
      <c r="B1953" s="3" t="inlineStr">
        <is>
          <t>N.F.</t>
        </is>
      </c>
      <c r="C1953" s="3" t="inlineStr">
        <is>
          <t>TIPO</t>
        </is>
      </c>
      <c r="D1953" s="3" t="inlineStr">
        <is>
          <t>PREÇO UNITÁRIO</t>
        </is>
      </c>
      <c r="E1953" s="736" t="n"/>
      <c r="F1953" s="3" t="inlineStr">
        <is>
          <t>QUANTIDADE / KG</t>
        </is>
      </c>
      <c r="G1953" s="737" t="n"/>
      <c r="H1953" s="736" t="n"/>
      <c r="I1953" s="631" t="inlineStr">
        <is>
          <t>PREÇO</t>
        </is>
      </c>
      <c r="J1953" s="631" t="inlineStr">
        <is>
          <t>VALORES</t>
        </is>
      </c>
      <c r="K1953" s="737" t="n"/>
      <c r="L1953" s="736" t="n"/>
    </row>
    <row r="1954" ht="15.75" customHeight="1" s="436" thickBot="1">
      <c r="A1954" s="703" t="n"/>
      <c r="B1954" s="704" t="n"/>
      <c r="C1954" s="704" t="n"/>
      <c r="D1954" s="703" t="n"/>
      <c r="E1954" s="701" t="n"/>
      <c r="F1954" s="705" t="n"/>
      <c r="G1954" s="706" t="n"/>
      <c r="H1954" s="707" t="n"/>
      <c r="I1954" s="704" t="n"/>
      <c r="J1954" s="703" t="n"/>
      <c r="L1954" s="701" t="n"/>
    </row>
    <row r="1955" ht="15.75" customHeight="1" s="436" thickBot="1">
      <c r="A1955" s="703" t="n"/>
      <c r="B1955" s="704" t="n"/>
      <c r="C1955" s="704" t="n"/>
      <c r="D1955" s="705" t="n"/>
      <c r="E1955" s="707" t="n"/>
      <c r="F1955" s="3" t="inlineStr">
        <is>
          <t>ENTRADA</t>
        </is>
      </c>
      <c r="G1955" s="3" t="inlineStr">
        <is>
          <t>SAÍDA</t>
        </is>
      </c>
      <c r="H1955" s="640" t="n"/>
      <c r="I1955" s="633" t="inlineStr">
        <is>
          <t>MÉDIO</t>
        </is>
      </c>
      <c r="J1955" s="652" t="inlineStr">
        <is>
          <t>SALDO EM 30/12/2017</t>
        </is>
      </c>
      <c r="K1955" s="706" t="n"/>
      <c r="L1955" s="17" t="n"/>
    </row>
    <row r="1956" ht="15.75" customHeight="1" s="436" thickBot="1">
      <c r="A1956" s="705" t="n"/>
      <c r="B1956" s="695" t="n"/>
      <c r="C1956" s="695" t="n"/>
      <c r="D1956" s="3" t="inlineStr">
        <is>
          <t>C/ICMS</t>
        </is>
      </c>
      <c r="E1956" s="3" t="inlineStr">
        <is>
          <t>S/ICMS</t>
        </is>
      </c>
      <c r="F1956" s="695" t="n"/>
      <c r="G1956" s="695" t="n"/>
      <c r="H1956" s="361" t="inlineStr">
        <is>
          <t>Saldo em 01/06/2022</t>
        </is>
      </c>
      <c r="I1956" s="695" t="n"/>
      <c r="J1956" s="645" t="inlineStr">
        <is>
          <t>ENTRADA</t>
        </is>
      </c>
      <c r="K1956" s="633" t="inlineStr">
        <is>
          <t>SAÍDA / CMV</t>
        </is>
      </c>
      <c r="L1956" s="633" t="inlineStr">
        <is>
          <t>SALDO</t>
        </is>
      </c>
    </row>
    <row r="1957">
      <c r="A1957" s="568" t="n"/>
      <c r="B1957" s="392" t="n"/>
      <c r="C1957" s="392" t="n"/>
      <c r="D1957" s="392" t="n"/>
      <c r="E1957" s="392" t="n"/>
      <c r="F1957" s="392" t="n"/>
      <c r="G1957" s="392" t="n"/>
      <c r="H1957" s="277" t="n">
        <v>840</v>
      </c>
      <c r="I1957" s="568" t="n"/>
      <c r="J1957" s="568" t="n"/>
      <c r="K1957" s="568" t="n"/>
      <c r="L1957" s="568" t="n"/>
    </row>
    <row r="1958">
      <c r="A1958" s="568" t="n">
        <v>44713</v>
      </c>
      <c r="B1958" s="392" t="n">
        <v>9166</v>
      </c>
      <c r="C1958" s="392" t="n">
        <v>98.88</v>
      </c>
      <c r="D1958" s="392" t="n"/>
      <c r="E1958" s="392" t="n"/>
      <c r="F1958" s="392" t="n"/>
      <c r="G1958" s="392" t="n">
        <v>40</v>
      </c>
      <c r="H1958" s="52">
        <f>H1957-G1958</f>
        <v/>
      </c>
      <c r="I1958" s="568" t="n"/>
      <c r="J1958" s="568" t="n"/>
      <c r="K1958" s="568" t="n"/>
      <c r="L1958" s="568" t="n"/>
    </row>
    <row r="1959">
      <c r="A1959" s="568" t="n">
        <v>44713</v>
      </c>
      <c r="B1959" s="392" t="n">
        <v>9167</v>
      </c>
      <c r="C1959" s="392" t="n">
        <v>98</v>
      </c>
      <c r="D1959" s="392" t="n"/>
      <c r="E1959" s="392" t="n"/>
      <c r="F1959" s="392" t="n"/>
      <c r="G1959" s="392" t="n">
        <v>15</v>
      </c>
      <c r="H1959" s="52">
        <f>H1958-G1959</f>
        <v/>
      </c>
      <c r="I1959" s="568" t="n"/>
      <c r="J1959" s="568" t="n"/>
      <c r="K1959" s="568" t="n"/>
      <c r="L1959" s="568" t="n"/>
    </row>
    <row r="1960">
      <c r="A1960" s="568" t="n">
        <v>44713</v>
      </c>
      <c r="B1960" s="392" t="n">
        <v>9168</v>
      </c>
      <c r="C1960" s="392" t="n">
        <v>99</v>
      </c>
      <c r="D1960" s="392" t="n"/>
      <c r="E1960" s="392" t="n"/>
      <c r="F1960" s="392" t="n"/>
      <c r="G1960" s="392" t="n">
        <v>20</v>
      </c>
      <c r="H1960" s="52">
        <f>H1959-G1960</f>
        <v/>
      </c>
      <c r="I1960" s="568" t="n"/>
      <c r="J1960" s="568" t="n"/>
      <c r="K1960" s="568" t="n"/>
      <c r="L1960" s="568" t="n"/>
    </row>
    <row r="1961">
      <c r="A1961" s="568" t="n">
        <v>44713</v>
      </c>
      <c r="B1961" s="392" t="n">
        <v>9170</v>
      </c>
      <c r="C1961" s="392" t="n">
        <v>99</v>
      </c>
      <c r="D1961" s="392" t="n"/>
      <c r="E1961" s="392" t="n"/>
      <c r="F1961" s="392" t="n"/>
      <c r="G1961" s="392" t="n">
        <v>30</v>
      </c>
      <c r="H1961" s="52">
        <f>H1960-G1961</f>
        <v/>
      </c>
      <c r="I1961" s="568" t="n"/>
      <c r="J1961" s="568" t="n"/>
      <c r="K1961" s="568" t="n"/>
      <c r="L1961" s="568" t="n"/>
    </row>
    <row r="1962">
      <c r="A1962" s="568" t="n">
        <v>44713</v>
      </c>
      <c r="B1962" s="392" t="n">
        <v>9171</v>
      </c>
      <c r="C1962" s="392" t="n">
        <v>99.33</v>
      </c>
      <c r="D1962" s="392" t="n"/>
      <c r="E1962" s="392" t="n"/>
      <c r="F1962" s="392" t="n"/>
      <c r="G1962" s="392" t="n">
        <v>37</v>
      </c>
      <c r="H1962" s="52">
        <f>H1961-G1962</f>
        <v/>
      </c>
      <c r="I1962" s="568" t="n"/>
      <c r="J1962" s="568" t="n"/>
      <c r="K1962" s="568" t="n"/>
      <c r="L1962" s="568" t="n"/>
    </row>
    <row r="1963">
      <c r="A1963" s="568" t="n">
        <v>44713</v>
      </c>
      <c r="B1963" s="392" t="n">
        <v>9172</v>
      </c>
      <c r="C1963" s="392" t="n">
        <v>97</v>
      </c>
      <c r="D1963" s="392" t="n"/>
      <c r="E1963" s="392" t="n"/>
      <c r="F1963" s="392" t="n"/>
      <c r="G1963" s="392" t="n">
        <v>30</v>
      </c>
      <c r="H1963" s="52">
        <f>H1962-G1963</f>
        <v/>
      </c>
      <c r="I1963" s="568" t="n"/>
      <c r="J1963" s="568" t="n"/>
      <c r="K1963" s="568" t="n"/>
      <c r="L1963" s="568" t="n"/>
    </row>
    <row r="1964">
      <c r="A1964" s="568" t="n">
        <v>44713</v>
      </c>
      <c r="B1964" s="392" t="n">
        <v>9173</v>
      </c>
      <c r="C1964" s="392" t="n">
        <v>98</v>
      </c>
      <c r="D1964" s="392" t="n"/>
      <c r="E1964" s="392" t="n"/>
      <c r="F1964" s="392" t="n"/>
      <c r="G1964" s="392" t="n">
        <v>10</v>
      </c>
      <c r="H1964" s="52">
        <f>H1963-G1964</f>
        <v/>
      </c>
      <c r="I1964" s="568" t="n"/>
      <c r="J1964" s="568" t="n"/>
      <c r="K1964" s="568" t="n"/>
      <c r="L1964" s="568" t="n"/>
    </row>
    <row r="1965">
      <c r="A1965" s="568" t="n">
        <v>44713</v>
      </c>
      <c r="B1965" s="392" t="n">
        <v>9174</v>
      </c>
      <c r="C1965" s="392" t="n">
        <v>100.33</v>
      </c>
      <c r="D1965" s="392" t="n"/>
      <c r="E1965" s="392" t="n"/>
      <c r="F1965" s="392" t="n"/>
      <c r="G1965" s="392" t="n">
        <v>30</v>
      </c>
      <c r="H1965" s="52">
        <f>H1964-G1965</f>
        <v/>
      </c>
      <c r="I1965" s="568" t="n"/>
      <c r="J1965" s="568" t="n"/>
      <c r="K1965" s="568" t="n"/>
      <c r="L1965" s="568" t="n"/>
    </row>
    <row r="1966">
      <c r="A1966" s="568" t="n">
        <v>44715</v>
      </c>
      <c r="B1966" s="392" t="n">
        <v>9175</v>
      </c>
      <c r="C1966" s="392" t="n">
        <v>99</v>
      </c>
      <c r="D1966" s="392" t="n"/>
      <c r="E1966" s="392" t="n"/>
      <c r="F1966" s="392" t="n"/>
      <c r="G1966" s="392" t="n">
        <v>15</v>
      </c>
      <c r="H1966" s="52">
        <f>H1965-G1966</f>
        <v/>
      </c>
      <c r="I1966" s="568" t="n"/>
      <c r="J1966" s="568" t="n"/>
      <c r="K1966" s="568" t="n"/>
      <c r="L1966" s="568" t="n"/>
    </row>
    <row r="1967">
      <c r="A1967" s="568" t="n">
        <v>44720</v>
      </c>
      <c r="B1967" s="392" t="n">
        <v>9176</v>
      </c>
      <c r="C1967" s="392" t="n">
        <v>99</v>
      </c>
      <c r="D1967" s="392" t="n"/>
      <c r="E1967" s="392" t="n"/>
      <c r="F1967" s="392" t="n"/>
      <c r="G1967" s="392" t="n">
        <v>50</v>
      </c>
      <c r="H1967" s="52">
        <f>H1966-G1967</f>
        <v/>
      </c>
      <c r="I1967" s="568" t="n"/>
      <c r="J1967" s="568" t="n"/>
      <c r="K1967" s="568" t="n"/>
      <c r="L1967" s="568" t="n"/>
    </row>
    <row r="1968">
      <c r="A1968" s="568" t="n">
        <v>44720</v>
      </c>
      <c r="B1968" s="392" t="n">
        <v>9182</v>
      </c>
      <c r="C1968" s="392" t="n">
        <v>99</v>
      </c>
      <c r="D1968" s="392" t="n"/>
      <c r="E1968" s="392" t="n"/>
      <c r="F1968" s="392" t="n"/>
      <c r="G1968" s="392" t="n">
        <v>10</v>
      </c>
      <c r="H1968" s="52">
        <f>H1967-G1968</f>
        <v/>
      </c>
      <c r="I1968" s="568" t="n"/>
      <c r="J1968" s="568" t="n"/>
      <c r="K1968" s="568" t="n"/>
      <c r="L1968" s="568" t="n"/>
    </row>
    <row r="1969">
      <c r="A1969" s="568" t="n">
        <v>44720</v>
      </c>
      <c r="B1969" s="392" t="n">
        <v>9183</v>
      </c>
      <c r="C1969" s="392" t="n">
        <v>98.67</v>
      </c>
      <c r="D1969" s="392" t="n"/>
      <c r="E1969" s="392" t="n"/>
      <c r="F1969" s="392" t="n"/>
      <c r="G1969" s="392" t="n">
        <v>30</v>
      </c>
      <c r="H1969" s="52">
        <f>H1968-G1969</f>
        <v/>
      </c>
      <c r="I1969" s="568" t="n"/>
      <c r="J1969" s="568" t="n"/>
      <c r="K1969" s="568" t="n"/>
      <c r="L1969" s="568" t="n"/>
    </row>
    <row r="1970">
      <c r="A1970" s="568" t="n">
        <v>44720</v>
      </c>
      <c r="B1970" s="392" t="n">
        <v>9184</v>
      </c>
      <c r="C1970" s="392" t="n">
        <v>100</v>
      </c>
      <c r="D1970" s="392" t="n"/>
      <c r="E1970" s="392" t="n"/>
      <c r="F1970" s="392" t="n"/>
      <c r="G1970" s="392" t="n">
        <v>35</v>
      </c>
      <c r="H1970" s="52">
        <f>H1969-G1970</f>
        <v/>
      </c>
      <c r="I1970" s="568" t="n"/>
      <c r="J1970" s="568" t="n"/>
      <c r="K1970" s="568" t="n"/>
      <c r="L1970" s="568" t="n"/>
    </row>
    <row r="1971">
      <c r="A1971" s="568" t="n">
        <v>44720</v>
      </c>
      <c r="B1971" s="392" t="n">
        <v>9185</v>
      </c>
      <c r="C1971" s="392" t="n">
        <v>101</v>
      </c>
      <c r="D1971" s="392" t="n"/>
      <c r="E1971" s="392" t="n"/>
      <c r="F1971" s="392" t="n"/>
      <c r="G1971" s="392" t="n">
        <v>20</v>
      </c>
      <c r="H1971" s="52">
        <f>H1970-G1971</f>
        <v/>
      </c>
      <c r="I1971" s="568" t="n"/>
      <c r="J1971" s="568" t="n"/>
      <c r="K1971" s="568" t="n"/>
      <c r="L1971" s="568" t="n"/>
    </row>
    <row r="1972">
      <c r="A1972" s="568" t="n">
        <v>44720</v>
      </c>
      <c r="B1972" s="392" t="n">
        <v>9186</v>
      </c>
      <c r="C1972" s="392" t="n">
        <v>99</v>
      </c>
      <c r="D1972" s="392" t="n"/>
      <c r="E1972" s="392" t="n"/>
      <c r="F1972" s="392" t="n"/>
      <c r="G1972" s="392" t="n">
        <v>10</v>
      </c>
      <c r="H1972" s="52">
        <f>H1971-G1972</f>
        <v/>
      </c>
      <c r="I1972" s="568" t="n"/>
      <c r="J1972" s="568" t="n"/>
      <c r="K1972" s="568" t="n"/>
      <c r="L1972" s="568" t="n"/>
    </row>
    <row r="1973">
      <c r="A1973" s="568" t="n">
        <v>44720</v>
      </c>
      <c r="B1973" s="392" t="n">
        <v>9187</v>
      </c>
      <c r="C1973" s="392" t="n">
        <v>101.67</v>
      </c>
      <c r="D1973" s="392" t="n"/>
      <c r="E1973" s="392" t="n"/>
      <c r="F1973" s="392" t="n"/>
      <c r="G1973" s="392" t="n">
        <v>15</v>
      </c>
      <c r="H1973" s="52">
        <f>H1972-G1973</f>
        <v/>
      </c>
      <c r="I1973" s="568" t="n"/>
      <c r="J1973" s="568" t="n"/>
      <c r="K1973" s="568" t="n"/>
      <c r="L1973" s="568" t="n"/>
    </row>
    <row r="1974">
      <c r="A1974" s="568" t="n">
        <v>44725</v>
      </c>
      <c r="B1974" s="392" t="n">
        <v>9189</v>
      </c>
      <c r="C1974" s="392" t="n">
        <v>99.8</v>
      </c>
      <c r="D1974" s="392" t="n"/>
      <c r="E1974" s="392" t="n"/>
      <c r="F1974" s="392" t="n"/>
      <c r="G1974" s="392" t="n">
        <v>50</v>
      </c>
      <c r="H1974" s="52">
        <f>H1973-G1974</f>
        <v/>
      </c>
      <c r="I1974" s="568" t="n"/>
      <c r="J1974" s="568" t="n"/>
      <c r="K1974" s="568" t="n"/>
      <c r="L1974" s="568" t="n"/>
    </row>
    <row r="1975">
      <c r="A1975" s="568" t="n">
        <v>44725</v>
      </c>
      <c r="B1975" s="392" t="n">
        <v>9190</v>
      </c>
      <c r="C1975" s="392" t="n">
        <v>101.67</v>
      </c>
      <c r="D1975" s="392" t="n"/>
      <c r="E1975" s="392" t="n"/>
      <c r="F1975" s="392" t="n"/>
      <c r="G1975" s="392" t="n">
        <v>30</v>
      </c>
      <c r="H1975" s="52">
        <f>H1974-G1975</f>
        <v/>
      </c>
      <c r="I1975" s="568" t="n"/>
      <c r="J1975" s="568" t="n"/>
      <c r="K1975" s="568" t="n"/>
      <c r="L1975" s="568" t="n"/>
    </row>
    <row r="1976">
      <c r="A1976" s="568" t="n">
        <v>44725</v>
      </c>
      <c r="B1976" s="392" t="n">
        <v>9191</v>
      </c>
      <c r="C1976" s="392" t="n">
        <v>99</v>
      </c>
      <c r="D1976" s="392" t="n"/>
      <c r="E1976" s="392" t="n"/>
      <c r="F1976" s="392" t="n"/>
      <c r="G1976" s="392" t="n">
        <v>15</v>
      </c>
      <c r="H1976" s="52">
        <f>H1975-G1976</f>
        <v/>
      </c>
      <c r="I1976" s="568" t="n"/>
      <c r="J1976" s="568" t="n"/>
      <c r="K1976" s="568" t="n"/>
      <c r="L1976" s="568" t="n"/>
    </row>
    <row r="1977">
      <c r="A1977" s="568" t="n">
        <v>44725</v>
      </c>
      <c r="B1977" s="392" t="n">
        <v>9192</v>
      </c>
      <c r="C1977" s="392" t="n">
        <v>100.6</v>
      </c>
      <c r="D1977" s="392" t="n"/>
      <c r="E1977" s="392" t="n"/>
      <c r="F1977" s="392" t="n"/>
      <c r="G1977" s="392" t="n">
        <v>50</v>
      </c>
      <c r="H1977" s="52">
        <f>H1976-G1977</f>
        <v/>
      </c>
      <c r="I1977" s="568" t="n"/>
      <c r="J1977" s="568" t="n"/>
      <c r="K1977" s="568" t="n"/>
      <c r="L1977" s="568" t="n"/>
    </row>
    <row r="1978">
      <c r="A1978" s="568" t="n">
        <v>44725</v>
      </c>
      <c r="B1978" s="392" t="n">
        <v>9195</v>
      </c>
      <c r="C1978" s="392" t="n">
        <v>98.7</v>
      </c>
      <c r="D1978" s="392" t="n"/>
      <c r="E1978" s="392" t="n"/>
      <c r="F1978" s="392" t="n"/>
      <c r="G1978" s="392" t="n">
        <v>10</v>
      </c>
      <c r="H1978" s="52">
        <f>H1977-G1978</f>
        <v/>
      </c>
      <c r="I1978" s="568" t="n"/>
      <c r="J1978" s="568" t="n"/>
      <c r="K1978" s="568" t="n"/>
      <c r="L1978" s="568" t="n"/>
    </row>
    <row r="1979">
      <c r="A1979" s="568" t="n">
        <v>44725</v>
      </c>
      <c r="B1979" s="392" t="n">
        <v>9196</v>
      </c>
      <c r="C1979" s="392" t="n">
        <v>99</v>
      </c>
      <c r="D1979" s="392" t="n"/>
      <c r="E1979" s="392" t="n"/>
      <c r="F1979" s="392" t="n"/>
      <c r="G1979" s="392" t="n">
        <v>30</v>
      </c>
      <c r="H1979" s="52">
        <f>H1978-G1979</f>
        <v/>
      </c>
      <c r="I1979" s="568" t="n"/>
      <c r="J1979" s="568" t="n"/>
      <c r="K1979" s="568" t="n"/>
      <c r="L1979" s="568" t="n"/>
    </row>
    <row r="1980">
      <c r="A1980" s="568" t="n">
        <v>44726</v>
      </c>
      <c r="B1980" s="392" t="n">
        <v>9199</v>
      </c>
      <c r="C1980" s="392" t="n">
        <v>100.24</v>
      </c>
      <c r="D1980" s="392" t="n"/>
      <c r="E1980" s="392" t="n"/>
      <c r="F1980" s="392" t="n"/>
      <c r="G1980" s="392" t="n">
        <v>25</v>
      </c>
      <c r="H1980" s="52">
        <f>H1979-G1980</f>
        <v/>
      </c>
      <c r="I1980" s="568" t="n"/>
      <c r="J1980" s="568" t="n"/>
      <c r="K1980" s="568" t="n"/>
      <c r="L1980" s="568" t="n"/>
    </row>
    <row r="1981">
      <c r="A1981" s="568" t="n">
        <v>44726</v>
      </c>
      <c r="B1981" s="392" t="n">
        <v>9200</v>
      </c>
      <c r="C1981" s="392" t="n">
        <v>99</v>
      </c>
      <c r="D1981" s="392" t="n"/>
      <c r="E1981" s="392" t="n"/>
      <c r="F1981" s="392" t="n"/>
      <c r="G1981" s="392" t="n">
        <v>35</v>
      </c>
      <c r="H1981" s="52">
        <f>H1980-G1981</f>
        <v/>
      </c>
      <c r="I1981" s="568" t="n"/>
      <c r="J1981" s="568" t="n"/>
      <c r="K1981" s="568" t="n"/>
      <c r="L1981" s="568" t="n"/>
    </row>
    <row r="1982">
      <c r="A1982" s="568" t="n">
        <v>44726</v>
      </c>
      <c r="B1982" s="392" t="n">
        <v>9201</v>
      </c>
      <c r="C1982" s="392" t="n">
        <v>99</v>
      </c>
      <c r="D1982" s="392" t="n"/>
      <c r="E1982" s="392" t="n"/>
      <c r="F1982" s="392" t="n"/>
      <c r="G1982" s="392" t="n">
        <v>15</v>
      </c>
      <c r="H1982" s="52">
        <f>H1981-G1982</f>
        <v/>
      </c>
      <c r="I1982" s="568" t="n"/>
      <c r="J1982" s="568" t="n"/>
      <c r="K1982" s="568" t="n"/>
      <c r="L1982" s="568" t="n"/>
    </row>
    <row r="1983">
      <c r="A1983" s="568" t="n">
        <v>44726</v>
      </c>
      <c r="B1983" s="392" t="n">
        <v>9202</v>
      </c>
      <c r="C1983" s="392" t="n">
        <v>101</v>
      </c>
      <c r="D1983" s="392" t="n"/>
      <c r="E1983" s="392" t="n"/>
      <c r="F1983" s="392" t="n"/>
      <c r="G1983" s="392" t="n">
        <v>20</v>
      </c>
      <c r="H1983" s="52">
        <f>H1982-G1983</f>
        <v/>
      </c>
      <c r="I1983" s="568" t="n"/>
      <c r="J1983" s="568" t="n"/>
      <c r="K1983" s="568" t="n"/>
      <c r="L1983" s="568" t="n"/>
    </row>
    <row r="1984">
      <c r="A1984" s="568" t="n">
        <v>44726</v>
      </c>
      <c r="B1984" s="392" t="n">
        <v>9203</v>
      </c>
      <c r="C1984" s="392" t="n">
        <v>98.90000000000001</v>
      </c>
      <c r="D1984" s="392" t="n"/>
      <c r="E1984" s="392" t="n"/>
      <c r="F1984" s="392" t="n"/>
      <c r="G1984" s="392" t="n">
        <v>50</v>
      </c>
      <c r="H1984" s="52">
        <f>H1983-G1984</f>
        <v/>
      </c>
      <c r="I1984" s="568" t="n"/>
      <c r="J1984" s="568" t="n"/>
      <c r="K1984" s="568" t="n"/>
      <c r="L1984" s="568" t="n"/>
    </row>
    <row r="1985">
      <c r="A1985" s="568" t="n">
        <v>44726</v>
      </c>
      <c r="B1985" s="392" t="n">
        <v>9204</v>
      </c>
      <c r="C1985" s="392" t="n">
        <v>99</v>
      </c>
      <c r="D1985" s="392" t="n"/>
      <c r="E1985" s="392" t="n"/>
      <c r="F1985" s="392" t="n"/>
      <c r="G1985" s="392" t="n">
        <v>10</v>
      </c>
      <c r="H1985" s="52">
        <f>H1984-G1985</f>
        <v/>
      </c>
      <c r="I1985" s="568" t="n"/>
      <c r="J1985" s="568" t="n"/>
      <c r="K1985" s="568" t="n"/>
      <c r="L1985" s="568" t="n"/>
    </row>
    <row r="1986">
      <c r="A1986" s="568" t="n">
        <v>44726</v>
      </c>
      <c r="B1986" s="392" t="n">
        <v>9205</v>
      </c>
      <c r="C1986" s="392" t="n">
        <v>99</v>
      </c>
      <c r="D1986" s="392" t="n"/>
      <c r="E1986" s="392" t="n"/>
      <c r="F1986" s="392" t="n"/>
      <c r="G1986" s="392" t="n">
        <v>10</v>
      </c>
      <c r="H1986" s="52">
        <f>H1985-G1986</f>
        <v/>
      </c>
      <c r="I1986" s="568" t="n"/>
      <c r="J1986" s="568" t="n"/>
      <c r="K1986" s="568" t="n"/>
      <c r="L1986" s="568" t="n"/>
    </row>
    <row r="1987">
      <c r="A1987" s="568" t="n">
        <v>44726</v>
      </c>
      <c r="B1987" s="392" t="n">
        <v>9206</v>
      </c>
      <c r="C1987" s="392" t="n">
        <v>101</v>
      </c>
      <c r="D1987" s="392" t="n"/>
      <c r="E1987" s="392" t="n"/>
      <c r="F1987" s="392" t="n"/>
      <c r="G1987" s="392" t="n">
        <v>20</v>
      </c>
      <c r="H1987" s="52">
        <f>H1986-G1987</f>
        <v/>
      </c>
      <c r="I1987" s="568" t="n"/>
      <c r="J1987" s="568" t="n"/>
      <c r="K1987" s="568" t="n"/>
      <c r="L1987" s="568" t="n"/>
    </row>
    <row r="1988">
      <c r="A1988" s="568" t="n">
        <v>44732</v>
      </c>
      <c r="B1988" s="392" t="n">
        <v>9213</v>
      </c>
      <c r="C1988" s="392" t="n">
        <v>99</v>
      </c>
      <c r="D1988" s="392" t="n"/>
      <c r="E1988" s="392" t="n"/>
      <c r="F1988" s="392" t="n"/>
      <c r="G1988" s="392" t="n">
        <v>30</v>
      </c>
      <c r="H1988" s="52">
        <f>H1987-G1988</f>
        <v/>
      </c>
      <c r="I1988" s="568" t="n"/>
      <c r="J1988" s="568" t="n"/>
      <c r="K1988" s="568" t="n"/>
      <c r="L1988" s="568" t="n"/>
    </row>
    <row r="1989">
      <c r="A1989" s="568" t="n">
        <v>44733</v>
      </c>
      <c r="B1989" s="392" t="n">
        <v>9223</v>
      </c>
      <c r="C1989" s="392" t="n">
        <v>100.25</v>
      </c>
      <c r="D1989" s="392" t="n"/>
      <c r="E1989" s="392" t="n"/>
      <c r="F1989" s="392" t="n"/>
      <c r="G1989" s="392" t="n">
        <v>40</v>
      </c>
      <c r="H1989" s="52">
        <f>H1988-G1989</f>
        <v/>
      </c>
      <c r="I1989" s="568" t="n"/>
      <c r="J1989" s="568" t="n"/>
      <c r="K1989" s="568" t="n"/>
      <c r="L1989" s="568" t="n"/>
    </row>
    <row r="1990">
      <c r="A1990" s="568" t="n">
        <v>44733</v>
      </c>
      <c r="B1990" s="392" t="n">
        <v>9225</v>
      </c>
      <c r="C1990" s="392" t="n">
        <v>99.33</v>
      </c>
      <c r="D1990" s="392" t="n"/>
      <c r="E1990" s="392" t="n"/>
      <c r="F1990" s="392" t="n"/>
      <c r="G1990" s="392" t="n">
        <v>37</v>
      </c>
      <c r="H1990" s="52">
        <f>H1989-G1990</f>
        <v/>
      </c>
      <c r="I1990" s="568" t="n"/>
      <c r="J1990" s="568" t="n"/>
      <c r="K1990" s="568" t="n"/>
      <c r="L1990" s="568" t="n"/>
    </row>
    <row r="1991">
      <c r="A1991" s="568" t="n">
        <v>44733</v>
      </c>
      <c r="B1991" s="392" t="n">
        <v>9226</v>
      </c>
      <c r="C1991" s="392" t="n">
        <v>101</v>
      </c>
      <c r="D1991" s="392" t="n"/>
      <c r="E1991" s="392" t="n"/>
      <c r="F1991" s="392" t="n"/>
      <c r="G1991" s="392" t="n">
        <v>20</v>
      </c>
      <c r="H1991" s="52">
        <f>H1990-G1991</f>
        <v/>
      </c>
      <c r="I1991" s="568" t="n"/>
      <c r="J1991" s="568" t="n"/>
      <c r="K1991" s="568" t="n"/>
      <c r="L1991" s="568" t="n"/>
    </row>
    <row r="1992">
      <c r="A1992" s="568" t="n">
        <v>44733</v>
      </c>
      <c r="B1992" s="392" t="n">
        <v>9227</v>
      </c>
      <c r="C1992" s="392" t="n">
        <v>99.61</v>
      </c>
      <c r="D1992" s="392" t="n"/>
      <c r="E1992" s="392" t="n"/>
      <c r="F1992" s="392" t="n"/>
      <c r="G1992" s="392" t="n">
        <v>23</v>
      </c>
      <c r="H1992" s="52">
        <f>H1991-G1992</f>
        <v/>
      </c>
      <c r="I1992" s="568" t="n"/>
      <c r="J1992" s="568" t="n"/>
      <c r="K1992" s="568" t="n"/>
      <c r="L1992" s="568" t="n"/>
    </row>
    <row r="1993">
      <c r="A1993" s="304" t="n">
        <v>44739</v>
      </c>
      <c r="B1993" s="401" t="n">
        <v>192922</v>
      </c>
      <c r="C1993" s="401" t="n">
        <v>87</v>
      </c>
      <c r="D1993" s="401" t="n"/>
      <c r="E1993" s="401" t="n"/>
      <c r="F1993" s="401" t="n">
        <v>880</v>
      </c>
      <c r="G1993" s="401" t="n"/>
      <c r="H1993" s="277" t="n">
        <v>803</v>
      </c>
      <c r="I1993" s="568" t="n"/>
      <c r="J1993" s="568" t="n"/>
      <c r="K1993" s="568" t="n"/>
      <c r="L1993" s="568" t="n"/>
    </row>
    <row r="1994">
      <c r="A1994" s="568" t="n">
        <v>44739</v>
      </c>
      <c r="B1994" s="392" t="n">
        <v>9233</v>
      </c>
      <c r="C1994" s="392" t="n">
        <v>95</v>
      </c>
      <c r="D1994" s="392" t="n"/>
      <c r="E1994" s="392" t="n"/>
      <c r="F1994" s="392" t="n"/>
      <c r="G1994" s="392" t="n">
        <v>10</v>
      </c>
      <c r="H1994" s="52">
        <f>H1993-G1994</f>
        <v/>
      </c>
      <c r="I1994" s="568" t="n"/>
      <c r="J1994" s="568" t="n"/>
      <c r="K1994" s="568" t="n"/>
      <c r="L1994" s="568" t="n"/>
    </row>
    <row r="1995">
      <c r="A1995" s="568" t="n">
        <v>44740</v>
      </c>
      <c r="B1995" s="568" t="n"/>
      <c r="C1995" s="392" t="n">
        <v>98.90000000000001</v>
      </c>
      <c r="D1995" s="392" t="n"/>
      <c r="E1995" s="392" t="n"/>
      <c r="F1995" s="392" t="n"/>
      <c r="G1995" s="392" t="n">
        <v>50</v>
      </c>
      <c r="H1995" s="52">
        <f>H1994-G1995</f>
        <v/>
      </c>
      <c r="I1995" s="568" t="n"/>
      <c r="J1995" s="568" t="n"/>
      <c r="K1995" s="568" t="n"/>
      <c r="L1995" s="568" t="n"/>
    </row>
    <row r="1996">
      <c r="A1996" s="568" t="n">
        <v>44740</v>
      </c>
      <c r="B1996" s="392" t="n">
        <v>9235</v>
      </c>
      <c r="C1996" s="392" t="n">
        <v>98.2</v>
      </c>
      <c r="D1996" s="392" t="n"/>
      <c r="E1996" s="392" t="n"/>
      <c r="F1996" s="392" t="n"/>
      <c r="G1996" s="392" t="n">
        <v>50</v>
      </c>
      <c r="H1996" s="52">
        <f>H1995-G1996</f>
        <v/>
      </c>
      <c r="I1996" s="568" t="n"/>
      <c r="J1996" s="568" t="n"/>
      <c r="K1996" s="568" t="n"/>
      <c r="L1996" s="568" t="n"/>
    </row>
    <row r="1997">
      <c r="A1997" s="568" t="n">
        <v>44740</v>
      </c>
      <c r="B1997" s="392" t="n">
        <v>9236</v>
      </c>
      <c r="C1997" s="392" t="n">
        <v>99</v>
      </c>
      <c r="D1997" s="392" t="n"/>
      <c r="E1997" s="392" t="n"/>
      <c r="F1997" s="392" t="n"/>
      <c r="G1997" s="392" t="n">
        <v>15</v>
      </c>
      <c r="H1997" s="52">
        <f>H1996-G1997</f>
        <v/>
      </c>
      <c r="I1997" s="568" t="n"/>
      <c r="J1997" s="568" t="n"/>
      <c r="K1997" s="568" t="n"/>
      <c r="L1997" s="568" t="n"/>
    </row>
    <row r="1998">
      <c r="A1998" s="568" t="n">
        <v>44740</v>
      </c>
      <c r="B1998" s="392" t="n">
        <v>9237</v>
      </c>
      <c r="C1998" s="392" t="n">
        <v>101</v>
      </c>
      <c r="D1998" s="392" t="n"/>
      <c r="E1998" s="392" t="n"/>
      <c r="F1998" s="392" t="n"/>
      <c r="G1998" s="392" t="n">
        <v>40</v>
      </c>
      <c r="H1998" s="52">
        <f>H1997-G1998</f>
        <v/>
      </c>
      <c r="I1998" s="568" t="n"/>
      <c r="J1998" s="568" t="n"/>
      <c r="K1998" s="568" t="n"/>
      <c r="L1998" s="568" t="n"/>
    </row>
    <row r="1999">
      <c r="A1999" s="568" t="n">
        <v>44740</v>
      </c>
      <c r="B1999" s="392" t="n">
        <v>9238</v>
      </c>
      <c r="C1999" s="392" t="n">
        <v>99</v>
      </c>
      <c r="D1999" s="392" t="n"/>
      <c r="E1999" s="392" t="n"/>
      <c r="F1999" s="392" t="n"/>
      <c r="G1999" s="392" t="n">
        <v>30</v>
      </c>
      <c r="H1999" s="52">
        <f>H1998-G1999</f>
        <v/>
      </c>
      <c r="I1999" s="568" t="n"/>
      <c r="J1999" s="568" t="n"/>
      <c r="K1999" s="568" t="n"/>
      <c r="L1999" s="568" t="n"/>
    </row>
    <row r="2000">
      <c r="A2000" s="568" t="n">
        <v>44740</v>
      </c>
      <c r="B2000" s="392" t="n">
        <v>9239</v>
      </c>
      <c r="C2000" s="392" t="n">
        <v>99</v>
      </c>
      <c r="D2000" s="392" t="n"/>
      <c r="E2000" s="392" t="n"/>
      <c r="F2000" s="392" t="n"/>
      <c r="G2000" s="392" t="n">
        <v>30</v>
      </c>
      <c r="H2000" s="52">
        <f>H1999-G2000</f>
        <v/>
      </c>
      <c r="I2000" s="568" t="n"/>
      <c r="J2000" s="568" t="n"/>
      <c r="K2000" s="568" t="n"/>
      <c r="L2000" s="568" t="n"/>
    </row>
    <row r="2001">
      <c r="A2001" s="568" t="n">
        <v>44740</v>
      </c>
      <c r="B2001" s="392" t="n">
        <v>9242</v>
      </c>
      <c r="C2001" s="392" t="n">
        <v>100.85</v>
      </c>
      <c r="D2001" s="392" t="n"/>
      <c r="E2001" s="392" t="n"/>
      <c r="F2001" s="392" t="n"/>
      <c r="G2001" s="392" t="n">
        <v>13</v>
      </c>
      <c r="H2001" s="52">
        <f>H2000-G2001</f>
        <v/>
      </c>
      <c r="I2001" s="568" t="n"/>
      <c r="J2001" s="568" t="n"/>
      <c r="K2001" s="568" t="n"/>
      <c r="L2001" s="568" t="n"/>
    </row>
    <row r="2002">
      <c r="A2002" s="568" t="n">
        <v>44741</v>
      </c>
      <c r="B2002" s="392" t="n">
        <v>9248</v>
      </c>
      <c r="C2002" s="392" t="n">
        <v>100.75</v>
      </c>
      <c r="D2002" s="392" t="n"/>
      <c r="E2002" s="392" t="n"/>
      <c r="F2002" s="392" t="n"/>
      <c r="G2002" s="392" t="n">
        <v>32</v>
      </c>
      <c r="H2002" s="52">
        <f>H2001-G2002</f>
        <v/>
      </c>
      <c r="I2002" s="568" t="n"/>
      <c r="J2002" s="568" t="n"/>
      <c r="K2002" s="568" t="n"/>
      <c r="L2002" s="568" t="n"/>
    </row>
    <row r="2003">
      <c r="A2003" s="568" t="n">
        <v>44741</v>
      </c>
      <c r="B2003" s="392" t="n">
        <v>9250</v>
      </c>
      <c r="C2003" s="392" t="n">
        <v>99.8</v>
      </c>
      <c r="D2003" s="392" t="n"/>
      <c r="E2003" s="392" t="n"/>
      <c r="F2003" s="392" t="n"/>
      <c r="G2003" s="392" t="n">
        <v>10</v>
      </c>
      <c r="H2003" s="52">
        <f>H2002-G2003</f>
        <v/>
      </c>
      <c r="I2003" s="568" t="n"/>
      <c r="J2003" s="568" t="n"/>
      <c r="K2003" s="568" t="n"/>
      <c r="L2003" s="568" t="n"/>
    </row>
    <row r="2004">
      <c r="A2004" s="568" t="n"/>
      <c r="B2004" s="392" t="n"/>
      <c r="C2004" s="392" t="n"/>
      <c r="D2004" s="392" t="n"/>
      <c r="E2004" s="392" t="n"/>
      <c r="F2004" s="392" t="n"/>
      <c r="G2004" s="392" t="n"/>
      <c r="H2004" s="52">
        <f>H2003-G2004</f>
        <v/>
      </c>
      <c r="I2004" s="568" t="n"/>
      <c r="J2004" s="568" t="n"/>
      <c r="K2004" s="568" t="n"/>
      <c r="L2004" s="568" t="n"/>
    </row>
    <row r="2005" ht="15.75" customHeight="1" s="436" thickBot="1"/>
    <row r="2006" ht="21.75" customHeight="1" s="436" thickBot="1">
      <c r="A2006" s="757" t="inlineStr">
        <is>
          <t>Junho</t>
        </is>
      </c>
      <c r="B2006" s="697" t="n"/>
      <c r="C2006" s="697" t="n"/>
      <c r="D2006" s="697" t="n"/>
      <c r="E2006" s="697" t="n"/>
      <c r="F2006" s="697" t="n"/>
      <c r="G2006" s="697" t="n"/>
      <c r="H2006" s="697" t="n"/>
      <c r="I2006" s="697" t="n"/>
      <c r="J2006" s="697" t="n"/>
      <c r="K2006" s="697" t="n"/>
      <c r="L2006" s="698" t="n"/>
    </row>
    <row r="2007" ht="21.75" customHeight="1" s="436" thickBot="1">
      <c r="A2007" s="699" t="inlineStr">
        <is>
          <t xml:space="preserve">021 - DENISE FURTADO DE SOUZA - ME </t>
        </is>
      </c>
      <c r="B2007" s="697" t="n"/>
      <c r="C2007" s="697" t="n"/>
      <c r="D2007" s="697" t="n"/>
      <c r="E2007" s="697" t="n"/>
      <c r="F2007" s="697" t="n"/>
      <c r="G2007" s="697" t="n"/>
      <c r="H2007" s="697" t="n"/>
      <c r="I2007" s="697" t="n"/>
      <c r="J2007" s="697" t="n"/>
      <c r="K2007" s="697" t="n"/>
      <c r="L2007" s="698" t="n"/>
    </row>
    <row r="2008" ht="24" customHeight="1" s="436" thickBot="1">
      <c r="A2008" s="745" t="inlineStr">
        <is>
          <t xml:space="preserve">  PRÉ MISTURA - 25 KG</t>
        </is>
      </c>
      <c r="B2008" s="737" t="n"/>
      <c r="C2008" s="737" t="n"/>
      <c r="D2008" s="737" t="n"/>
      <c r="E2008" s="737" t="n"/>
      <c r="F2008" s="737" t="n"/>
      <c r="G2008" s="737" t="n"/>
      <c r="H2008" s="737" t="n"/>
      <c r="I2008" s="737" t="n"/>
      <c r="J2008" s="737" t="n"/>
      <c r="K2008" s="737" t="n"/>
      <c r="L2008" s="736" t="n"/>
    </row>
    <row r="2009">
      <c r="A2009" s="746" t="inlineStr">
        <is>
          <t>DATA</t>
        </is>
      </c>
      <c r="B2009" s="3" t="inlineStr">
        <is>
          <t>N.F.</t>
        </is>
      </c>
      <c r="C2009" s="3" t="inlineStr">
        <is>
          <t>TIPO</t>
        </is>
      </c>
      <c r="D2009" s="3" t="inlineStr">
        <is>
          <t>PREÇO UNITÁRIO</t>
        </is>
      </c>
      <c r="E2009" s="736" t="n"/>
      <c r="F2009" s="3" t="inlineStr">
        <is>
          <t>QUANTIDADE / KG</t>
        </is>
      </c>
      <c r="G2009" s="737" t="n"/>
      <c r="H2009" s="736" t="n"/>
      <c r="I2009" s="631" t="inlineStr">
        <is>
          <t>PREÇO</t>
        </is>
      </c>
      <c r="J2009" s="631" t="inlineStr">
        <is>
          <t>VALORES</t>
        </is>
      </c>
      <c r="K2009" s="737" t="n"/>
      <c r="L2009" s="736" t="n"/>
    </row>
    <row r="2010" ht="15.75" customHeight="1" s="436" thickBot="1">
      <c r="A2010" s="703" t="n"/>
      <c r="B2010" s="704" t="n"/>
      <c r="C2010" s="704" t="n"/>
      <c r="D2010" s="703" t="n"/>
      <c r="E2010" s="701" t="n"/>
      <c r="F2010" s="705" t="n"/>
      <c r="G2010" s="706" t="n"/>
      <c r="H2010" s="707" t="n"/>
      <c r="I2010" s="704" t="n"/>
      <c r="J2010" s="703" t="n"/>
      <c r="L2010" s="701" t="n"/>
    </row>
    <row r="2011" ht="15.75" customHeight="1" s="436" thickBot="1">
      <c r="A2011" s="703" t="n"/>
      <c r="B2011" s="704" t="n"/>
      <c r="C2011" s="704" t="n"/>
      <c r="D2011" s="705" t="n"/>
      <c r="E2011" s="707" t="n"/>
      <c r="F2011" s="3" t="inlineStr">
        <is>
          <t>ENTRADA</t>
        </is>
      </c>
      <c r="G2011" s="3" t="inlineStr">
        <is>
          <t>SAÍDA</t>
        </is>
      </c>
      <c r="H2011" s="640" t="n"/>
      <c r="I2011" s="633" t="inlineStr">
        <is>
          <t>MÉDIO</t>
        </is>
      </c>
      <c r="J2011" s="652" t="inlineStr">
        <is>
          <t>SALDO EM 30/12/2017</t>
        </is>
      </c>
      <c r="K2011" s="706" t="n"/>
      <c r="L2011" s="17" t="n"/>
    </row>
    <row r="2012" ht="15.75" customHeight="1" s="436" thickBot="1">
      <c r="A2012" s="705" t="n"/>
      <c r="B2012" s="695" t="n"/>
      <c r="C2012" s="695" t="n"/>
      <c r="D2012" s="3" t="inlineStr">
        <is>
          <t>C/ICMS</t>
        </is>
      </c>
      <c r="E2012" s="3" t="inlineStr">
        <is>
          <t>S/ICMS</t>
        </is>
      </c>
      <c r="F2012" s="695" t="n"/>
      <c r="G2012" s="695" t="n"/>
      <c r="H2012" s="361" t="inlineStr">
        <is>
          <t>Saldo em 01/06/2022</t>
        </is>
      </c>
      <c r="I2012" s="695" t="n"/>
      <c r="J2012" s="645" t="inlineStr">
        <is>
          <t>ENTRADA</t>
        </is>
      </c>
      <c r="K2012" s="633" t="inlineStr">
        <is>
          <t>SAÍDA / CMV</t>
        </is>
      </c>
      <c r="L2012" s="633" t="inlineStr">
        <is>
          <t>SALDO</t>
        </is>
      </c>
    </row>
    <row r="2013">
      <c r="A2013" s="568" t="n"/>
      <c r="B2013" s="392" t="n"/>
      <c r="C2013" s="392" t="n"/>
      <c r="D2013" s="392" t="n"/>
      <c r="E2013" s="392" t="n"/>
      <c r="F2013" s="392" t="n"/>
      <c r="G2013" s="392" t="n"/>
      <c r="H2013" s="277" t="n">
        <v>523</v>
      </c>
      <c r="I2013" s="568" t="n"/>
      <c r="J2013" s="568" t="n"/>
      <c r="K2013" s="568" t="n"/>
      <c r="L2013" s="568" t="n"/>
    </row>
    <row r="2014">
      <c r="A2014" s="568" t="n">
        <v>44746</v>
      </c>
      <c r="B2014" s="392" t="n">
        <v>9255</v>
      </c>
      <c r="C2014" s="392" t="n">
        <v>99.8</v>
      </c>
      <c r="D2014" s="392" t="n"/>
      <c r="E2014" s="392" t="n"/>
      <c r="F2014" s="392" t="n"/>
      <c r="G2014" s="392" t="n">
        <v>50</v>
      </c>
      <c r="H2014" s="52">
        <f>H2013-G2014</f>
        <v/>
      </c>
      <c r="I2014" s="568" t="n"/>
      <c r="J2014" s="568" t="n"/>
      <c r="K2014" s="568" t="n"/>
      <c r="L2014" s="568" t="n"/>
    </row>
    <row r="2015">
      <c r="A2015" s="568" t="n">
        <v>44746</v>
      </c>
      <c r="B2015" s="392" t="n">
        <v>9256</v>
      </c>
      <c r="C2015" s="392" t="n">
        <v>98</v>
      </c>
      <c r="D2015" s="392" t="n"/>
      <c r="E2015" s="392" t="n"/>
      <c r="F2015" s="392" t="n"/>
      <c r="G2015" s="392" t="n">
        <v>15</v>
      </c>
      <c r="H2015" s="52">
        <f>H2014-G2015</f>
        <v/>
      </c>
      <c r="I2015" s="568" t="n"/>
      <c r="J2015" s="568" t="n"/>
      <c r="K2015" s="568" t="n"/>
      <c r="L2015" s="568" t="n"/>
    </row>
    <row r="2016">
      <c r="A2016" s="568" t="n">
        <v>44746</v>
      </c>
      <c r="B2016" s="392" t="n">
        <v>9257</v>
      </c>
      <c r="C2016" s="392" t="n">
        <v>97</v>
      </c>
      <c r="D2016" s="392" t="n"/>
      <c r="E2016" s="392" t="n"/>
      <c r="F2016" s="392" t="n"/>
      <c r="G2016" s="392" t="n">
        <v>50</v>
      </c>
      <c r="H2016" s="52">
        <f>H2015-G2016</f>
        <v/>
      </c>
      <c r="I2016" s="568" t="n"/>
      <c r="J2016" s="568" t="n"/>
      <c r="K2016" s="568" t="n"/>
      <c r="L2016" s="568" t="n"/>
    </row>
    <row r="2017">
      <c r="A2017" s="568" t="n">
        <v>44746</v>
      </c>
      <c r="B2017" s="392" t="n">
        <v>9258</v>
      </c>
      <c r="C2017" s="392" t="n">
        <v>98</v>
      </c>
      <c r="D2017" s="392" t="n"/>
      <c r="E2017" s="392" t="n"/>
      <c r="F2017" s="392" t="n"/>
      <c r="G2017" s="392" t="n">
        <v>30</v>
      </c>
      <c r="H2017" s="52">
        <f>H2016-G2017</f>
        <v/>
      </c>
      <c r="I2017" s="568" t="n"/>
      <c r="J2017" s="568" t="n"/>
      <c r="K2017" s="568" t="n"/>
      <c r="L2017" s="568" t="n"/>
    </row>
    <row r="2018">
      <c r="A2018" s="568" t="n">
        <v>44748</v>
      </c>
      <c r="B2018" s="392" t="n">
        <v>9267</v>
      </c>
      <c r="C2018" s="392" t="n">
        <v>99</v>
      </c>
      <c r="D2018" s="392" t="n"/>
      <c r="E2018" s="392" t="n"/>
      <c r="F2018" s="392" t="n"/>
      <c r="G2018" s="392" t="n">
        <v>30</v>
      </c>
      <c r="H2018" s="52">
        <f>H2017-G2018</f>
        <v/>
      </c>
      <c r="I2018" s="568" t="n"/>
      <c r="J2018" s="568" t="n"/>
      <c r="K2018" s="568" t="n"/>
      <c r="L2018" s="568" t="n"/>
    </row>
    <row r="2019">
      <c r="A2019" s="568" t="n">
        <v>44748</v>
      </c>
      <c r="B2019" s="392" t="n">
        <v>9268</v>
      </c>
      <c r="C2019" s="392" t="n">
        <v>99.75</v>
      </c>
      <c r="D2019" s="392" t="n"/>
      <c r="E2019" s="392" t="n"/>
      <c r="F2019" s="392" t="n"/>
      <c r="G2019" s="392" t="n">
        <v>40</v>
      </c>
      <c r="H2019" s="52">
        <f>H2018-G2019</f>
        <v/>
      </c>
      <c r="I2019" s="568" t="n"/>
      <c r="J2019" s="568" t="n"/>
      <c r="K2019" s="568" t="n"/>
      <c r="L2019" s="568" t="n"/>
    </row>
    <row r="2020">
      <c r="A2020" s="568" t="n">
        <v>44748</v>
      </c>
      <c r="B2020" s="392" t="n">
        <v>9269</v>
      </c>
      <c r="C2020" s="392" t="n">
        <v>100.33</v>
      </c>
      <c r="D2020" s="392" t="n"/>
      <c r="E2020" s="392" t="n"/>
      <c r="F2020" s="392" t="n"/>
      <c r="G2020" s="392" t="n">
        <v>60</v>
      </c>
      <c r="H2020" s="52">
        <f>H2019-G2020</f>
        <v/>
      </c>
      <c r="I2020" s="568" t="n"/>
      <c r="J2020" s="568" t="n"/>
      <c r="K2020" s="568" t="n"/>
      <c r="L2020" s="568" t="n"/>
    </row>
    <row r="2021">
      <c r="A2021" s="568" t="n">
        <v>44748</v>
      </c>
      <c r="B2021" s="392" t="n">
        <v>9270</v>
      </c>
      <c r="C2021" s="392" t="n">
        <v>99.73</v>
      </c>
      <c r="D2021" s="392" t="n"/>
      <c r="E2021" s="392" t="n"/>
      <c r="F2021" s="392" t="n"/>
      <c r="G2021" s="392" t="n">
        <v>22</v>
      </c>
      <c r="H2021" s="52">
        <f>H2020-G2021</f>
        <v/>
      </c>
      <c r="I2021" s="568" t="n"/>
      <c r="J2021" s="568" t="n"/>
      <c r="K2021" s="568" t="n"/>
      <c r="L2021" s="568" t="n"/>
    </row>
    <row r="2022">
      <c r="A2022" s="568" t="n">
        <v>44748</v>
      </c>
      <c r="B2022" s="392" t="n">
        <v>9272</v>
      </c>
      <c r="C2022" s="392" t="n">
        <v>100.24</v>
      </c>
      <c r="D2022" s="392" t="n"/>
      <c r="E2022" s="392" t="n"/>
      <c r="F2022" s="392" t="n"/>
      <c r="G2022" s="392" t="n">
        <v>25</v>
      </c>
      <c r="H2022" s="52">
        <f>H2021-G2022</f>
        <v/>
      </c>
      <c r="I2022" s="568" t="n"/>
      <c r="J2022" s="568" t="n"/>
      <c r="K2022" s="568" t="n"/>
      <c r="L2022" s="568" t="n"/>
    </row>
    <row r="2023">
      <c r="A2023" s="568" t="n">
        <v>44748</v>
      </c>
      <c r="B2023" s="392" t="n">
        <v>9274</v>
      </c>
      <c r="C2023" s="392" t="n">
        <v>100.75</v>
      </c>
      <c r="D2023" s="392" t="n"/>
      <c r="E2023" s="392" t="n"/>
      <c r="F2023" s="392" t="n"/>
      <c r="G2023" s="392" t="n">
        <v>32</v>
      </c>
      <c r="H2023" s="52">
        <f>H2022-G2023</f>
        <v/>
      </c>
      <c r="I2023" s="568" t="n"/>
      <c r="J2023" s="568" t="n"/>
      <c r="K2023" s="568" t="n"/>
      <c r="L2023" s="568" t="n"/>
    </row>
    <row r="2024">
      <c r="A2024" s="568" t="n">
        <v>44748</v>
      </c>
      <c r="B2024" s="392" t="n">
        <v>9275</v>
      </c>
      <c r="C2024" s="392" t="n">
        <v>99</v>
      </c>
      <c r="D2024" s="392" t="n"/>
      <c r="E2024" s="392" t="n"/>
      <c r="F2024" s="392" t="n"/>
      <c r="G2024" s="392" t="n">
        <v>10</v>
      </c>
      <c r="H2024" s="52">
        <f>H2023-G2024</f>
        <v/>
      </c>
      <c r="I2024" s="568" t="n"/>
      <c r="J2024" s="568" t="n"/>
      <c r="K2024" s="568" t="n"/>
      <c r="L2024" s="568" t="n"/>
    </row>
    <row r="2025">
      <c r="A2025" s="568" t="n">
        <v>44748</v>
      </c>
      <c r="B2025" s="392" t="n">
        <v>9276</v>
      </c>
      <c r="C2025" s="392" t="n">
        <v>98</v>
      </c>
      <c r="D2025" s="392" t="n"/>
      <c r="E2025" s="392" t="n"/>
      <c r="F2025" s="392" t="n"/>
      <c r="G2025" s="392" t="n">
        <v>10</v>
      </c>
      <c r="H2025" s="52">
        <f>H2024-G2025</f>
        <v/>
      </c>
      <c r="I2025" s="568" t="n"/>
      <c r="J2025" s="568" t="n"/>
      <c r="K2025" s="568" t="n"/>
      <c r="L2025" s="568" t="n"/>
    </row>
    <row r="2026">
      <c r="A2026" s="568" t="n">
        <v>44750</v>
      </c>
      <c r="B2026" s="392" t="n">
        <v>9278</v>
      </c>
      <c r="C2026" s="392" t="n">
        <v>101</v>
      </c>
      <c r="D2026" s="392" t="n"/>
      <c r="E2026" s="392" t="n"/>
      <c r="F2026" s="392" t="n"/>
      <c r="G2026" s="392" t="n">
        <v>20</v>
      </c>
      <c r="H2026" s="52">
        <f>H2025-G2026</f>
        <v/>
      </c>
      <c r="I2026" s="568" t="n"/>
      <c r="J2026" s="568" t="n"/>
      <c r="K2026" s="568" t="n"/>
      <c r="L2026" s="568" t="n"/>
    </row>
    <row r="2027">
      <c r="A2027" s="568" t="n">
        <v>44750</v>
      </c>
      <c r="B2027" s="392" t="n">
        <v>9279</v>
      </c>
      <c r="C2027" s="392" t="n">
        <v>99</v>
      </c>
      <c r="D2027" s="392" t="n"/>
      <c r="E2027" s="392" t="n"/>
      <c r="F2027" s="392" t="n"/>
      <c r="G2027" s="392" t="n">
        <v>11</v>
      </c>
      <c r="H2027" s="52">
        <f>H2026-G2027</f>
        <v/>
      </c>
      <c r="I2027" s="568" t="n"/>
      <c r="J2027" s="568" t="n"/>
      <c r="K2027" s="568" t="n"/>
      <c r="L2027" s="568" t="n"/>
    </row>
    <row r="2028">
      <c r="A2028" s="568" t="n">
        <v>44754</v>
      </c>
      <c r="B2028" s="392" t="n">
        <v>9286</v>
      </c>
      <c r="C2028" s="392" t="n">
        <v>99</v>
      </c>
      <c r="D2028" s="392" t="n"/>
      <c r="E2028" s="392" t="n"/>
      <c r="F2028" s="392" t="n"/>
      <c r="G2028" s="392" t="n">
        <v>10</v>
      </c>
      <c r="H2028" s="52">
        <f>H2027-G2028</f>
        <v/>
      </c>
      <c r="I2028" s="568" t="n"/>
      <c r="J2028" s="568" t="n"/>
      <c r="K2028" s="568" t="n"/>
      <c r="L2028" s="568" t="n"/>
    </row>
    <row r="2029">
      <c r="A2029" s="568" t="n">
        <v>44755</v>
      </c>
      <c r="B2029" s="392" t="n">
        <v>9290</v>
      </c>
      <c r="C2029" s="392" t="n">
        <v>103</v>
      </c>
      <c r="D2029" s="392" t="n"/>
      <c r="E2029" s="392" t="n"/>
      <c r="F2029" s="392" t="n"/>
      <c r="G2029" s="392" t="n">
        <v>30</v>
      </c>
      <c r="H2029" s="52">
        <f>H2028-G2029</f>
        <v/>
      </c>
      <c r="I2029" s="568" t="n"/>
      <c r="J2029" s="568" t="n"/>
      <c r="K2029" s="568" t="n"/>
      <c r="L2029" s="568" t="n"/>
    </row>
    <row r="2030">
      <c r="A2030" s="568" t="n">
        <v>44755</v>
      </c>
      <c r="B2030" s="392" t="n">
        <v>9295</v>
      </c>
      <c r="C2030" s="392" t="n">
        <v>100.52</v>
      </c>
      <c r="D2030" s="392" t="n"/>
      <c r="E2030" s="392" t="n"/>
      <c r="F2030" s="392" t="n"/>
      <c r="G2030" s="392" t="n">
        <v>37</v>
      </c>
      <c r="H2030" s="52">
        <f>H2029-G2030</f>
        <v/>
      </c>
      <c r="I2030" s="568" t="n"/>
      <c r="J2030" s="568" t="n"/>
      <c r="K2030" s="568" t="n"/>
      <c r="L2030" s="568" t="n"/>
    </row>
    <row r="2031">
      <c r="A2031" s="568" t="n">
        <v>44755</v>
      </c>
      <c r="B2031" s="392" t="n">
        <v>9296</v>
      </c>
      <c r="C2031" s="392" t="n">
        <v>103</v>
      </c>
      <c r="D2031" s="392" t="n"/>
      <c r="E2031" s="392" t="n"/>
      <c r="F2031" s="392" t="n"/>
      <c r="G2031" s="392" t="n">
        <v>10</v>
      </c>
      <c r="H2031" s="52">
        <f>H2030-G2031</f>
        <v/>
      </c>
      <c r="I2031" s="568" t="n"/>
      <c r="J2031" s="568" t="n"/>
      <c r="K2031" s="568" t="n"/>
      <c r="L2031" s="568" t="n"/>
    </row>
    <row r="2032">
      <c r="A2032" s="304" t="n">
        <v>44757</v>
      </c>
      <c r="B2032" s="401" t="n">
        <v>193845</v>
      </c>
      <c r="C2032" s="401" t="n">
        <v>91.5</v>
      </c>
      <c r="D2032" s="401" t="n"/>
      <c r="E2032" s="401" t="n"/>
      <c r="F2032" s="401" t="n">
        <v>900</v>
      </c>
      <c r="G2032" s="401" t="n"/>
      <c r="H2032" s="277" t="n">
        <v>931</v>
      </c>
      <c r="I2032" s="568" t="n"/>
      <c r="J2032" s="568" t="n"/>
      <c r="K2032" s="568" t="n"/>
      <c r="L2032" s="568" t="n"/>
    </row>
    <row r="2033">
      <c r="A2033" s="568" t="n">
        <v>44761</v>
      </c>
      <c r="B2033" s="392" t="n">
        <v>9300</v>
      </c>
      <c r="C2033" s="392" t="n">
        <v>103.7</v>
      </c>
      <c r="D2033" s="392" t="n"/>
      <c r="E2033" s="392" t="n"/>
      <c r="F2033" s="392" t="n"/>
      <c r="G2033" s="392" t="n">
        <v>50</v>
      </c>
      <c r="H2033" s="52">
        <f>H2032-G2033</f>
        <v/>
      </c>
      <c r="I2033" s="568" t="n"/>
      <c r="J2033" s="568" t="n"/>
      <c r="K2033" s="568" t="n"/>
      <c r="L2033" s="568" t="n"/>
    </row>
    <row r="2034">
      <c r="A2034" s="568" t="n">
        <v>44761</v>
      </c>
      <c r="B2034" s="392" t="n">
        <v>9301</v>
      </c>
      <c r="C2034" s="392" t="n">
        <v>106.5</v>
      </c>
      <c r="D2034" s="392" t="n"/>
      <c r="E2034" s="392" t="n"/>
      <c r="F2034" s="392" t="n"/>
      <c r="G2034" s="392" t="n">
        <v>40</v>
      </c>
      <c r="H2034" s="52">
        <f>H2033-G2034</f>
        <v/>
      </c>
      <c r="I2034" s="568" t="n"/>
      <c r="J2034" s="568" t="n"/>
      <c r="K2034" s="568" t="n"/>
      <c r="L2034" s="568" t="n"/>
    </row>
    <row r="2035">
      <c r="A2035" s="568" t="n">
        <v>44761</v>
      </c>
      <c r="B2035" s="392" t="n">
        <v>9304</v>
      </c>
      <c r="C2035" s="392" t="n">
        <v>103</v>
      </c>
      <c r="D2035" s="392" t="n"/>
      <c r="E2035" s="392" t="n"/>
      <c r="F2035" s="392" t="n"/>
      <c r="G2035" s="392" t="n">
        <v>15</v>
      </c>
      <c r="H2035" s="52">
        <f>H2034-G2035</f>
        <v/>
      </c>
      <c r="I2035" s="568" t="n"/>
      <c r="J2035" s="568" t="n"/>
      <c r="K2035" s="568" t="n"/>
      <c r="L2035" s="568" t="n"/>
    </row>
    <row r="2036">
      <c r="A2036" s="568" t="n">
        <v>44761</v>
      </c>
      <c r="B2036" s="392" t="n">
        <v>9305</v>
      </c>
      <c r="C2036" s="392" t="n">
        <v>103</v>
      </c>
      <c r="D2036" s="392" t="n"/>
      <c r="E2036" s="392" t="n"/>
      <c r="F2036" s="392" t="n"/>
      <c r="G2036" s="392" t="n">
        <v>10</v>
      </c>
      <c r="H2036" s="52">
        <f>H2035-G2036</f>
        <v/>
      </c>
      <c r="I2036" s="568" t="n"/>
      <c r="J2036" s="568" t="n"/>
      <c r="K2036" s="568" t="n"/>
      <c r="L2036" s="568" t="n"/>
    </row>
    <row r="2037">
      <c r="A2037" s="568" t="n">
        <v>44761</v>
      </c>
      <c r="B2037" s="392" t="n">
        <v>9307</v>
      </c>
      <c r="C2037" s="392" t="n">
        <v>103</v>
      </c>
      <c r="D2037" s="392" t="n"/>
      <c r="E2037" s="392" t="n"/>
      <c r="F2037" s="392" t="n"/>
      <c r="G2037" s="392" t="n">
        <v>30</v>
      </c>
      <c r="H2037" s="52">
        <f>H2036-G2037</f>
        <v/>
      </c>
      <c r="I2037" s="568" t="n"/>
      <c r="J2037" s="568" t="n"/>
      <c r="K2037" s="568" t="n"/>
      <c r="L2037" s="568" t="n"/>
    </row>
    <row r="2038">
      <c r="A2038" s="568" t="n">
        <v>44761</v>
      </c>
      <c r="B2038" s="392" t="n">
        <v>9308</v>
      </c>
      <c r="C2038" s="392" t="n">
        <v>102.9</v>
      </c>
      <c r="D2038" s="392" t="n"/>
      <c r="E2038" s="392" t="n"/>
      <c r="F2038" s="392" t="n"/>
      <c r="G2038" s="392" t="n">
        <v>20</v>
      </c>
      <c r="H2038" s="52">
        <f>H2037-G2038</f>
        <v/>
      </c>
      <c r="I2038" s="568" t="n"/>
      <c r="J2038" s="568" t="n"/>
      <c r="K2038" s="568" t="n"/>
      <c r="L2038" s="568" t="n"/>
    </row>
    <row r="2039">
      <c r="A2039" s="568" t="n">
        <v>44761</v>
      </c>
      <c r="B2039" s="392" t="n">
        <v>9309</v>
      </c>
      <c r="C2039" s="392" t="n">
        <v>103</v>
      </c>
      <c r="D2039" s="392" t="n"/>
      <c r="E2039" s="392" t="n"/>
      <c r="F2039" s="392" t="n"/>
      <c r="G2039" s="392" t="n">
        <v>30</v>
      </c>
      <c r="H2039" s="52">
        <f>H2038-G2039</f>
        <v/>
      </c>
      <c r="I2039" s="568" t="n"/>
      <c r="J2039" s="568" t="n"/>
      <c r="K2039" s="568" t="n"/>
      <c r="L2039" s="568" t="n"/>
    </row>
    <row r="2040">
      <c r="A2040" s="568" t="n">
        <v>44761</v>
      </c>
      <c r="B2040" s="392" t="n">
        <v>9312</v>
      </c>
      <c r="C2040" s="392" t="n">
        <v>103</v>
      </c>
      <c r="D2040" s="392" t="n"/>
      <c r="E2040" s="392" t="n"/>
      <c r="F2040" s="392" t="n"/>
      <c r="G2040" s="392" t="n">
        <v>15</v>
      </c>
      <c r="H2040" s="52">
        <f>H2039-G2040</f>
        <v/>
      </c>
      <c r="I2040" s="568" t="n"/>
      <c r="J2040" s="568" t="n"/>
      <c r="K2040" s="568" t="n"/>
      <c r="L2040" s="568" t="n"/>
    </row>
    <row r="2041">
      <c r="A2041" s="568" t="n">
        <v>44761</v>
      </c>
      <c r="B2041" s="392" t="n">
        <v>9314</v>
      </c>
      <c r="C2041" s="392" t="n">
        <v>104.4</v>
      </c>
      <c r="D2041" s="392" t="n"/>
      <c r="E2041" s="392" t="n"/>
      <c r="F2041" s="392" t="n"/>
      <c r="G2041" s="392" t="n">
        <v>25</v>
      </c>
      <c r="H2041" s="52">
        <f>H2040-G2041</f>
        <v/>
      </c>
      <c r="I2041" s="568" t="n"/>
      <c r="J2041" s="568" t="n"/>
      <c r="K2041" s="568" t="n"/>
      <c r="L2041" s="568" t="n"/>
    </row>
    <row r="2042">
      <c r="A2042" s="568" t="n">
        <v>44761</v>
      </c>
      <c r="B2042" s="392" t="n">
        <v>9315</v>
      </c>
      <c r="C2042" s="392" t="n">
        <v>103</v>
      </c>
      <c r="D2042" s="392" t="n"/>
      <c r="E2042" s="392" t="n"/>
      <c r="F2042" s="392" t="n"/>
      <c r="G2042" s="392" t="n">
        <v>20</v>
      </c>
      <c r="H2042" s="52">
        <f>H2041-G2042</f>
        <v/>
      </c>
      <c r="I2042" s="568" t="n"/>
      <c r="J2042" s="568" t="n"/>
      <c r="K2042" s="568" t="n"/>
      <c r="L2042" s="568" t="n"/>
    </row>
    <row r="2043">
      <c r="A2043" s="568" t="n"/>
      <c r="B2043" s="392" t="n"/>
      <c r="C2043" s="392" t="n"/>
      <c r="D2043" s="392" t="n"/>
      <c r="E2043" s="392" t="n"/>
      <c r="F2043" s="392" t="n"/>
      <c r="G2043" s="392" t="n"/>
      <c r="H2043" s="52">
        <f>H2042-G2043</f>
        <v/>
      </c>
      <c r="I2043" s="568" t="n"/>
      <c r="J2043" s="568" t="n"/>
      <c r="K2043" s="568" t="n"/>
      <c r="L2043" s="568" t="n"/>
    </row>
    <row r="2044" ht="15.75" customHeight="1" s="436" thickBot="1"/>
    <row r="2045" ht="21.75" customHeight="1" s="436" thickBot="1">
      <c r="A2045" s="757" t="inlineStr">
        <is>
          <t>Agosto</t>
        </is>
      </c>
      <c r="B2045" s="697" t="n"/>
      <c r="C2045" s="697" t="n"/>
      <c r="D2045" s="697" t="n"/>
      <c r="E2045" s="697" t="n"/>
      <c r="F2045" s="697" t="n"/>
      <c r="G2045" s="697" t="n"/>
      <c r="H2045" s="697" t="n"/>
      <c r="I2045" s="697" t="n"/>
      <c r="J2045" s="697" t="n"/>
      <c r="K2045" s="697" t="n"/>
      <c r="L2045" s="698" t="n"/>
    </row>
    <row r="2046" ht="21.75" customHeight="1" s="436" thickBot="1">
      <c r="A2046" s="699" t="inlineStr">
        <is>
          <t xml:space="preserve">021 - DENISE FURTADO DE SOUZA - ME </t>
        </is>
      </c>
      <c r="B2046" s="697" t="n"/>
      <c r="C2046" s="697" t="n"/>
      <c r="D2046" s="697" t="n"/>
      <c r="E2046" s="697" t="n"/>
      <c r="F2046" s="697" t="n"/>
      <c r="G2046" s="697" t="n"/>
      <c r="H2046" s="697" t="n"/>
      <c r="I2046" s="697" t="n"/>
      <c r="J2046" s="697" t="n"/>
      <c r="K2046" s="697" t="n"/>
      <c r="L2046" s="698" t="n"/>
    </row>
    <row r="2047" ht="24" customHeight="1" s="436" thickBot="1">
      <c r="A2047" s="745" t="inlineStr">
        <is>
          <t xml:space="preserve">  PRÉ MISTURA - 25 KG</t>
        </is>
      </c>
      <c r="B2047" s="737" t="n"/>
      <c r="C2047" s="737" t="n"/>
      <c r="D2047" s="737" t="n"/>
      <c r="E2047" s="737" t="n"/>
      <c r="F2047" s="737" t="n"/>
      <c r="G2047" s="737" t="n"/>
      <c r="H2047" s="737" t="n"/>
      <c r="I2047" s="737" t="n"/>
      <c r="J2047" s="737" t="n"/>
      <c r="K2047" s="737" t="n"/>
      <c r="L2047" s="736" t="n"/>
    </row>
    <row r="2048">
      <c r="A2048" s="746" t="inlineStr">
        <is>
          <t>DATA</t>
        </is>
      </c>
      <c r="B2048" s="3" t="inlineStr">
        <is>
          <t>N.F.</t>
        </is>
      </c>
      <c r="C2048" s="3" t="inlineStr">
        <is>
          <t>TIPO</t>
        </is>
      </c>
      <c r="D2048" s="3" t="inlineStr">
        <is>
          <t>PREÇO UNITÁRIO</t>
        </is>
      </c>
      <c r="E2048" s="736" t="n"/>
      <c r="F2048" s="3" t="inlineStr">
        <is>
          <t>QUANTIDADE / KG</t>
        </is>
      </c>
      <c r="G2048" s="737" t="n"/>
      <c r="H2048" s="736" t="n"/>
      <c r="I2048" s="631" t="inlineStr">
        <is>
          <t>PREÇO</t>
        </is>
      </c>
      <c r="J2048" s="631" t="inlineStr">
        <is>
          <t>VALORES</t>
        </is>
      </c>
      <c r="K2048" s="737" t="n"/>
      <c r="L2048" s="736" t="n"/>
    </row>
    <row r="2049" ht="15.75" customHeight="1" s="436" thickBot="1">
      <c r="A2049" s="703" t="n"/>
      <c r="B2049" s="704" t="n"/>
      <c r="C2049" s="704" t="n"/>
      <c r="D2049" s="703" t="n"/>
      <c r="E2049" s="701" t="n"/>
      <c r="F2049" s="705" t="n"/>
      <c r="G2049" s="706" t="n"/>
      <c r="H2049" s="707" t="n"/>
      <c r="I2049" s="704" t="n"/>
      <c r="J2049" s="703" t="n"/>
      <c r="L2049" s="701" t="n"/>
    </row>
    <row r="2050" ht="15.75" customHeight="1" s="436" thickBot="1">
      <c r="A2050" s="703" t="n"/>
      <c r="B2050" s="704" t="n"/>
      <c r="C2050" s="704" t="n"/>
      <c r="D2050" s="705" t="n"/>
      <c r="E2050" s="707" t="n"/>
      <c r="F2050" s="3" t="inlineStr">
        <is>
          <t>ENTRADA</t>
        </is>
      </c>
      <c r="G2050" s="3" t="inlineStr">
        <is>
          <t>SAÍDA</t>
        </is>
      </c>
      <c r="H2050" s="640" t="n"/>
      <c r="I2050" s="633" t="inlineStr">
        <is>
          <t>MÉDIO</t>
        </is>
      </c>
      <c r="J2050" s="652" t="inlineStr">
        <is>
          <t>SALDO EM 30/12/2017</t>
        </is>
      </c>
      <c r="K2050" s="706" t="n"/>
      <c r="L2050" s="17" t="n"/>
    </row>
    <row r="2051" ht="15.75" customHeight="1" s="436" thickBot="1">
      <c r="A2051" s="705" t="n"/>
      <c r="B2051" s="695" t="n"/>
      <c r="C2051" s="695" t="n"/>
      <c r="D2051" s="3" t="inlineStr">
        <is>
          <t>C/ICMS</t>
        </is>
      </c>
      <c r="E2051" s="3" t="inlineStr">
        <is>
          <t>S/ICMS</t>
        </is>
      </c>
      <c r="F2051" s="695" t="n"/>
      <c r="G2051" s="695" t="n"/>
      <c r="H2051" s="361" t="inlineStr">
        <is>
          <t>Saldo em 31/07/2022</t>
        </is>
      </c>
      <c r="I2051" s="695" t="n"/>
      <c r="J2051" s="645" t="inlineStr">
        <is>
          <t>ENTRADA</t>
        </is>
      </c>
      <c r="K2051" s="633" t="inlineStr">
        <is>
          <t>SAÍDA / CMV</t>
        </is>
      </c>
      <c r="L2051" s="633" t="inlineStr">
        <is>
          <t>SALDO</t>
        </is>
      </c>
    </row>
    <row r="2052">
      <c r="A2052" s="568" t="n"/>
      <c r="B2052" s="392" t="n"/>
      <c r="C2052" s="392" t="n"/>
      <c r="D2052" s="392" t="n"/>
      <c r="E2052" s="392" t="n"/>
      <c r="F2052" s="392" t="n"/>
      <c r="G2052" s="392" t="n"/>
      <c r="H2052" s="277" t="n">
        <v>676</v>
      </c>
      <c r="I2052" s="568" t="n"/>
      <c r="J2052" s="568" t="n"/>
      <c r="K2052" s="568" t="n"/>
      <c r="L2052" s="568" t="n"/>
    </row>
    <row r="2053">
      <c r="A2053" s="568" t="n">
        <v>44775</v>
      </c>
      <c r="B2053" s="392" t="n">
        <v>9349</v>
      </c>
      <c r="C2053" s="392" t="n">
        <v>103</v>
      </c>
      <c r="D2053" s="392" t="n"/>
      <c r="E2053" s="392" t="n"/>
      <c r="F2053" s="392" t="n"/>
      <c r="G2053" s="392" t="n">
        <v>100</v>
      </c>
      <c r="H2053" s="52">
        <f>H2052-G2053</f>
        <v/>
      </c>
      <c r="I2053" s="568" t="n"/>
      <c r="J2053" s="568" t="n"/>
      <c r="K2053" s="568" t="n"/>
      <c r="L2053" s="568" t="n"/>
    </row>
    <row r="2054">
      <c r="A2054" s="568" t="n">
        <v>44775</v>
      </c>
      <c r="B2054" s="392" t="n">
        <v>9350</v>
      </c>
      <c r="C2054" s="392" t="n">
        <v>102.8</v>
      </c>
      <c r="D2054" s="392" t="n"/>
      <c r="E2054" s="392" t="n"/>
      <c r="F2054" s="392" t="n"/>
      <c r="G2054" s="392" t="n">
        <v>25</v>
      </c>
      <c r="H2054" s="52">
        <f>H2053-G2054</f>
        <v/>
      </c>
      <c r="I2054" s="568" t="n"/>
      <c r="J2054" s="568" t="n"/>
      <c r="K2054" s="568" t="n"/>
      <c r="L2054" s="568" t="n"/>
    </row>
    <row r="2055">
      <c r="A2055" s="568" t="n">
        <v>44775</v>
      </c>
      <c r="B2055" s="392" t="n">
        <v>9353</v>
      </c>
      <c r="C2055" s="392" t="n">
        <v>103</v>
      </c>
      <c r="D2055" s="392" t="n"/>
      <c r="E2055" s="392" t="n"/>
      <c r="F2055" s="392" t="n"/>
      <c r="G2055" s="392" t="n">
        <v>15</v>
      </c>
      <c r="H2055" s="52">
        <f>H2054-G2055</f>
        <v/>
      </c>
      <c r="I2055" s="568" t="n"/>
      <c r="J2055" s="568" t="n"/>
      <c r="K2055" s="568" t="n"/>
      <c r="L2055" s="568" t="n"/>
    </row>
    <row r="2056">
      <c r="A2056" s="568" t="n">
        <v>44775</v>
      </c>
      <c r="B2056" s="392" t="n">
        <v>9354</v>
      </c>
      <c r="C2056" s="392" t="n">
        <v>103</v>
      </c>
      <c r="D2056" s="392" t="n"/>
      <c r="E2056" s="392" t="n"/>
      <c r="F2056" s="392" t="n"/>
      <c r="G2056" s="392" t="n">
        <v>30</v>
      </c>
      <c r="H2056" s="52">
        <f>H2055-G2056</f>
        <v/>
      </c>
      <c r="I2056" s="568" t="n"/>
      <c r="J2056" s="568" t="n"/>
      <c r="K2056" s="568" t="n"/>
      <c r="L2056" s="568" t="n"/>
    </row>
    <row r="2057">
      <c r="A2057" s="568" t="n">
        <v>44775</v>
      </c>
      <c r="B2057" s="392" t="n">
        <v>9355</v>
      </c>
      <c r="C2057" s="392" t="n">
        <v>103</v>
      </c>
      <c r="D2057" s="392" t="n"/>
      <c r="E2057" s="392" t="n"/>
      <c r="F2057" s="392" t="n"/>
      <c r="G2057" s="392" t="n">
        <v>10</v>
      </c>
      <c r="H2057" s="52">
        <f>H2056-G2057</f>
        <v/>
      </c>
      <c r="I2057" s="568" t="n"/>
      <c r="J2057" s="568" t="n"/>
      <c r="K2057" s="568" t="n"/>
      <c r="L2057" s="568" t="n"/>
    </row>
    <row r="2058">
      <c r="A2058" s="568" t="n">
        <v>44775</v>
      </c>
      <c r="B2058" s="392" t="n">
        <v>9356</v>
      </c>
      <c r="C2058" s="392" t="n">
        <v>103</v>
      </c>
      <c r="D2058" s="392" t="n"/>
      <c r="E2058" s="392" t="n"/>
      <c r="F2058" s="392" t="n"/>
      <c r="G2058" s="392" t="n">
        <v>10</v>
      </c>
      <c r="H2058" s="52">
        <f>H2057-G2058</f>
        <v/>
      </c>
      <c r="I2058" s="568" t="n"/>
      <c r="J2058" s="568" t="n"/>
      <c r="K2058" s="568" t="n"/>
      <c r="L2058" s="568" t="n"/>
    </row>
    <row r="2059">
      <c r="A2059" s="568" t="n">
        <v>44775</v>
      </c>
      <c r="B2059" s="392" t="n">
        <v>9357</v>
      </c>
      <c r="C2059" s="392" t="n">
        <v>104.4</v>
      </c>
      <c r="D2059" s="392" t="n"/>
      <c r="E2059" s="392" t="n"/>
      <c r="F2059" s="392" t="n"/>
      <c r="G2059" s="392" t="n">
        <v>25</v>
      </c>
      <c r="H2059" s="52">
        <f>H2058-G2059</f>
        <v/>
      </c>
      <c r="I2059" s="568" t="n"/>
      <c r="J2059" s="568" t="n"/>
      <c r="K2059" s="568" t="n"/>
      <c r="L2059" s="568" t="n"/>
    </row>
    <row r="2060">
      <c r="A2060" s="568" t="n">
        <v>44775</v>
      </c>
      <c r="B2060" s="392" t="n">
        <v>9359</v>
      </c>
      <c r="C2060" s="392" t="n">
        <v>103</v>
      </c>
      <c r="D2060" s="392" t="n"/>
      <c r="E2060" s="392" t="n"/>
      <c r="F2060" s="392" t="n"/>
      <c r="G2060" s="392" t="n">
        <v>20</v>
      </c>
      <c r="H2060" s="52">
        <f>H2059-G2060</f>
        <v/>
      </c>
      <c r="I2060" s="568" t="n"/>
      <c r="J2060" s="568" t="n"/>
      <c r="K2060" s="568" t="n"/>
      <c r="L2060" s="568" t="n"/>
    </row>
    <row r="2061">
      <c r="A2061" s="568" t="n">
        <v>44775</v>
      </c>
      <c r="B2061" s="392" t="n">
        <v>9360</v>
      </c>
      <c r="C2061" s="392" t="n">
        <v>103</v>
      </c>
      <c r="D2061" s="392" t="n"/>
      <c r="E2061" s="392" t="n"/>
      <c r="F2061" s="392" t="n"/>
      <c r="G2061" s="392" t="n">
        <v>20</v>
      </c>
      <c r="H2061" s="52">
        <f>H2060-G2061</f>
        <v/>
      </c>
      <c r="I2061" s="568" t="n"/>
      <c r="J2061" s="568" t="n"/>
      <c r="K2061" s="568" t="n"/>
      <c r="L2061" s="568" t="n"/>
    </row>
    <row r="2062">
      <c r="A2062" s="568" t="n">
        <v>44776</v>
      </c>
      <c r="B2062" s="392" t="n">
        <v>9362</v>
      </c>
      <c r="C2062" s="392" t="n">
        <v>103</v>
      </c>
      <c r="D2062" s="392" t="n"/>
      <c r="E2062" s="392" t="n"/>
      <c r="F2062" s="392" t="n"/>
      <c r="G2062" s="392" t="n">
        <v>15</v>
      </c>
      <c r="H2062" s="52">
        <f>H2061-G2062</f>
        <v/>
      </c>
      <c r="I2062" s="568" t="n"/>
      <c r="J2062" s="568" t="n"/>
      <c r="K2062" s="568" t="n"/>
      <c r="L2062" s="568" t="n"/>
    </row>
    <row r="2063">
      <c r="A2063" s="568" t="n">
        <v>44776</v>
      </c>
      <c r="B2063" s="392" t="n">
        <v>9363</v>
      </c>
      <c r="C2063" s="392" t="n">
        <v>104.3</v>
      </c>
      <c r="D2063" s="392" t="n"/>
      <c r="E2063" s="392" t="n"/>
      <c r="F2063" s="392" t="n"/>
      <c r="G2063" s="392" t="n">
        <v>37</v>
      </c>
      <c r="H2063" s="52">
        <f>H2062-G2063</f>
        <v/>
      </c>
      <c r="I2063" s="568" t="n"/>
      <c r="J2063" s="568" t="n"/>
      <c r="K2063" s="568" t="n"/>
      <c r="L2063" s="568" t="n"/>
    </row>
    <row r="2064">
      <c r="A2064" s="568" t="n">
        <v>44776</v>
      </c>
      <c r="B2064" s="392" t="n">
        <v>9364</v>
      </c>
      <c r="C2064" s="392" t="n">
        <v>105.3</v>
      </c>
      <c r="D2064" s="392" t="n"/>
      <c r="E2064" s="392" t="n"/>
      <c r="F2064" s="392" t="n"/>
      <c r="G2064" s="392" t="n">
        <v>12</v>
      </c>
      <c r="H2064" s="52">
        <f>H2063-G2064</f>
        <v/>
      </c>
      <c r="I2064" s="568" t="n"/>
      <c r="J2064" s="568" t="n"/>
      <c r="K2064" s="568" t="n"/>
      <c r="L2064" s="568" t="n"/>
    </row>
    <row r="2065">
      <c r="A2065" s="568" t="n">
        <v>44782</v>
      </c>
      <c r="B2065" s="392" t="n">
        <v>9368</v>
      </c>
      <c r="C2065" s="392" t="n">
        <v>103.7</v>
      </c>
      <c r="D2065" s="392" t="n"/>
      <c r="E2065" s="392" t="n"/>
      <c r="F2065" s="392" t="n"/>
      <c r="G2065" s="392" t="n">
        <v>50</v>
      </c>
      <c r="H2065" s="52">
        <f>H2064-G2065</f>
        <v/>
      </c>
      <c r="I2065" s="568" t="n"/>
      <c r="J2065" s="568" t="n"/>
      <c r="K2065" s="568" t="n"/>
      <c r="L2065" s="568" t="n"/>
    </row>
    <row r="2066">
      <c r="A2066" s="568" t="n">
        <v>44782</v>
      </c>
      <c r="B2066" s="392" t="n">
        <v>9369</v>
      </c>
      <c r="C2066" s="392" t="n">
        <v>105.34</v>
      </c>
      <c r="D2066" s="392" t="n"/>
      <c r="E2066" s="392" t="n"/>
      <c r="F2066" s="392" t="n"/>
      <c r="G2066" s="392" t="n">
        <v>30</v>
      </c>
      <c r="H2066" s="52">
        <f>H2065-G2066</f>
        <v/>
      </c>
      <c r="I2066" s="568" t="n"/>
      <c r="J2066" s="568" t="n"/>
      <c r="K2066" s="568" t="n"/>
      <c r="L2066" s="568" t="n"/>
    </row>
    <row r="2067">
      <c r="A2067" s="568" t="n">
        <v>44782</v>
      </c>
      <c r="B2067" s="392" t="n">
        <v>9370</v>
      </c>
      <c r="C2067" s="392" t="n">
        <v>103</v>
      </c>
      <c r="D2067" s="392" t="n"/>
      <c r="E2067" s="392" t="n"/>
      <c r="F2067" s="392" t="n"/>
      <c r="G2067" s="392" t="n">
        <v>40</v>
      </c>
      <c r="H2067" s="52">
        <f>H2066-G2067</f>
        <v/>
      </c>
      <c r="I2067" s="568" t="n"/>
      <c r="J2067" s="568" t="n"/>
      <c r="K2067" s="568" t="n"/>
      <c r="L2067" s="568" t="n"/>
    </row>
    <row r="2068">
      <c r="A2068" s="568" t="n">
        <v>44782</v>
      </c>
      <c r="B2068" s="392" t="n">
        <v>9371</v>
      </c>
      <c r="C2068" s="392" t="n">
        <v>100</v>
      </c>
      <c r="D2068" s="392" t="n"/>
      <c r="E2068" s="392" t="n"/>
      <c r="F2068" s="392" t="n"/>
      <c r="G2068" s="392" t="n">
        <v>20</v>
      </c>
      <c r="H2068" s="52">
        <f>H2067-G2068</f>
        <v/>
      </c>
      <c r="I2068" s="568" t="n"/>
      <c r="J2068" s="568" t="n"/>
      <c r="K2068" s="568" t="n"/>
      <c r="L2068" s="568" t="n"/>
    </row>
    <row r="2069">
      <c r="A2069" s="568" t="n">
        <v>44782</v>
      </c>
      <c r="B2069" s="392" t="n">
        <v>9373</v>
      </c>
      <c r="C2069" s="392" t="n">
        <v>103</v>
      </c>
      <c r="D2069" s="392" t="n"/>
      <c r="E2069" s="392" t="n"/>
      <c r="F2069" s="392" t="n"/>
      <c r="G2069" s="392" t="n">
        <v>11</v>
      </c>
      <c r="H2069" s="52">
        <f>H2068-G2069</f>
        <v/>
      </c>
      <c r="I2069" s="568" t="n"/>
      <c r="J2069" s="568" t="n"/>
      <c r="K2069" s="568" t="n"/>
      <c r="L2069" s="568" t="n"/>
    </row>
    <row r="2070">
      <c r="A2070" s="568" t="n">
        <v>44782</v>
      </c>
      <c r="B2070" s="392" t="n">
        <v>9376</v>
      </c>
      <c r="C2070" s="392" t="n">
        <v>103</v>
      </c>
      <c r="D2070" s="392" t="n"/>
      <c r="E2070" s="392" t="n"/>
      <c r="F2070" s="392" t="n"/>
      <c r="G2070" s="392" t="n">
        <v>30</v>
      </c>
      <c r="H2070" s="52">
        <f>H2069-G2070</f>
        <v/>
      </c>
      <c r="I2070" s="568" t="n"/>
      <c r="J2070" s="568" t="n"/>
      <c r="K2070" s="568" t="n"/>
      <c r="L2070" s="568" t="n"/>
    </row>
    <row r="2071">
      <c r="A2071" s="568" t="n">
        <v>44782</v>
      </c>
      <c r="B2071" s="392" t="n">
        <v>9378</v>
      </c>
      <c r="C2071" s="392" t="n">
        <v>103.8</v>
      </c>
      <c r="D2071" s="392" t="n"/>
      <c r="E2071" s="392" t="n"/>
      <c r="F2071" s="392" t="n"/>
      <c r="G2071" s="392" t="n">
        <v>25</v>
      </c>
      <c r="H2071" s="52">
        <f>H2070-G2071</f>
        <v/>
      </c>
      <c r="I2071" s="568" t="n"/>
      <c r="J2071" s="568" t="n"/>
      <c r="K2071" s="568" t="n"/>
      <c r="L2071" s="568" t="n"/>
    </row>
    <row r="2072">
      <c r="A2072" s="568" t="n">
        <v>44782</v>
      </c>
      <c r="B2072" s="392" t="n">
        <v>9379</v>
      </c>
      <c r="C2072" s="392" t="n">
        <v>105.34</v>
      </c>
      <c r="D2072" s="392" t="n"/>
      <c r="E2072" s="392" t="n"/>
      <c r="F2072" s="392" t="n"/>
      <c r="G2072" s="392" t="n">
        <v>30</v>
      </c>
      <c r="H2072" s="52">
        <f>H2071-G2072</f>
        <v/>
      </c>
      <c r="I2072" s="568" t="n"/>
      <c r="J2072" s="568" t="n"/>
      <c r="K2072" s="568" t="n"/>
      <c r="L2072" s="568" t="n"/>
    </row>
    <row r="2073">
      <c r="A2073" s="304" t="n">
        <v>44788</v>
      </c>
      <c r="B2073" s="401" t="n">
        <v>195251</v>
      </c>
      <c r="C2073" s="401" t="n">
        <v>89</v>
      </c>
      <c r="D2073" s="401" t="n"/>
      <c r="E2073" s="401" t="n"/>
      <c r="F2073" s="401" t="n">
        <v>680</v>
      </c>
      <c r="G2073" s="401" t="n"/>
      <c r="H2073" s="277" t="n">
        <v>801</v>
      </c>
      <c r="I2073" s="568" t="n"/>
      <c r="J2073" s="568" t="n"/>
      <c r="K2073" s="568" t="n"/>
      <c r="L2073" s="568" t="n"/>
    </row>
    <row r="2074">
      <c r="A2074" s="568" t="n">
        <v>44788</v>
      </c>
      <c r="B2074" s="392" t="n">
        <v>9384</v>
      </c>
      <c r="C2074" s="392" t="n">
        <v>103</v>
      </c>
      <c r="D2074" s="392" t="n"/>
      <c r="E2074" s="392" t="n"/>
      <c r="F2074" s="392" t="n"/>
      <c r="G2074" s="392" t="n">
        <v>40</v>
      </c>
      <c r="H2074" s="52">
        <f>H2073-G2074</f>
        <v/>
      </c>
      <c r="I2074" s="568" t="n"/>
      <c r="J2074" s="568" t="n"/>
      <c r="K2074" s="568" t="n"/>
      <c r="L2074" s="568" t="n"/>
    </row>
    <row r="2075">
      <c r="A2075" s="568" t="n">
        <v>44788</v>
      </c>
      <c r="B2075" s="392" t="n">
        <v>9385</v>
      </c>
      <c r="C2075" s="392" t="n">
        <v>103</v>
      </c>
      <c r="D2075" s="392" t="n"/>
      <c r="E2075" s="392" t="n"/>
      <c r="F2075" s="392" t="n"/>
      <c r="G2075" s="392" t="n">
        <v>15</v>
      </c>
      <c r="H2075" s="52">
        <f>H2074-G2075</f>
        <v/>
      </c>
      <c r="I2075" s="568" t="n"/>
      <c r="J2075" s="568" t="n"/>
      <c r="K2075" s="568" t="n"/>
      <c r="L2075" s="568" t="n"/>
    </row>
    <row r="2076">
      <c r="A2076" s="568" t="n">
        <v>44788</v>
      </c>
      <c r="B2076" s="392" t="n">
        <v>9386</v>
      </c>
      <c r="C2076" s="392" t="n">
        <v>103</v>
      </c>
      <c r="D2076" s="392" t="n"/>
      <c r="E2076" s="392" t="n"/>
      <c r="F2076" s="392" t="n"/>
      <c r="G2076" s="392" t="n">
        <v>20</v>
      </c>
      <c r="H2076" s="52">
        <f>H2075-G2076</f>
        <v/>
      </c>
      <c r="I2076" s="568" t="n"/>
      <c r="J2076" s="568" t="n"/>
      <c r="K2076" s="568" t="n"/>
      <c r="L2076" s="568" t="n"/>
    </row>
    <row r="2077">
      <c r="A2077" s="568" t="n">
        <v>44788</v>
      </c>
      <c r="B2077" s="392" t="n">
        <v>9387</v>
      </c>
      <c r="C2077" s="392" t="n">
        <v>102</v>
      </c>
      <c r="D2077" s="392" t="n"/>
      <c r="E2077" s="392" t="n"/>
      <c r="F2077" s="392" t="n"/>
      <c r="G2077" s="392" t="n">
        <v>30</v>
      </c>
      <c r="H2077" s="52">
        <f>H2076-G2077</f>
        <v/>
      </c>
      <c r="I2077" s="568" t="n"/>
      <c r="J2077" s="568" t="n"/>
      <c r="K2077" s="568" t="n"/>
      <c r="L2077" s="568" t="n"/>
    </row>
    <row r="2078">
      <c r="A2078" s="568" t="n">
        <v>44788</v>
      </c>
      <c r="B2078" s="392" t="n">
        <v>9388</v>
      </c>
      <c r="C2078" s="392" t="n">
        <v>97</v>
      </c>
      <c r="D2078" s="392" t="n"/>
      <c r="E2078" s="392" t="n"/>
      <c r="F2078" s="392" t="n"/>
      <c r="G2078" s="392" t="n">
        <v>50</v>
      </c>
      <c r="H2078" s="52">
        <f>H2077-G2078</f>
        <v/>
      </c>
      <c r="I2078" s="568" t="n"/>
      <c r="J2078" s="568" t="n"/>
      <c r="K2078" s="568" t="n"/>
      <c r="L2078" s="568" t="n"/>
    </row>
    <row r="2079">
      <c r="A2079" s="568" t="n">
        <v>44788</v>
      </c>
      <c r="B2079" s="392" t="n">
        <v>9389</v>
      </c>
      <c r="C2079" s="392" t="n">
        <v>104.4</v>
      </c>
      <c r="D2079" s="392" t="n"/>
      <c r="E2079" s="392" t="n"/>
      <c r="F2079" s="392" t="n"/>
      <c r="G2079" s="392" t="n">
        <v>25</v>
      </c>
      <c r="H2079" s="52">
        <f>H2078-G2079</f>
        <v/>
      </c>
      <c r="I2079" s="568" t="n"/>
      <c r="J2079" s="568" t="n"/>
      <c r="K2079" s="568" t="n"/>
      <c r="L2079" s="568" t="n"/>
    </row>
    <row r="2080">
      <c r="A2080" s="568" t="n">
        <v>44788</v>
      </c>
      <c r="B2080" s="392" t="n">
        <v>9392</v>
      </c>
      <c r="C2080" s="392" t="n">
        <v>104.1</v>
      </c>
      <c r="D2080" s="392" t="n"/>
      <c r="E2080" s="392" t="n"/>
      <c r="F2080" s="392" t="n"/>
      <c r="G2080" s="392" t="n">
        <v>25</v>
      </c>
      <c r="H2080" s="52">
        <f>H2079-G2080</f>
        <v/>
      </c>
      <c r="I2080" s="568" t="n"/>
      <c r="J2080" s="568" t="n"/>
      <c r="K2080" s="568" t="n"/>
      <c r="L2080" s="568" t="n"/>
    </row>
    <row r="2081">
      <c r="A2081" s="568" t="n">
        <v>44788</v>
      </c>
      <c r="B2081" s="392" t="n">
        <v>9393</v>
      </c>
      <c r="C2081" s="392" t="n">
        <v>104.25</v>
      </c>
      <c r="D2081" s="392" t="n"/>
      <c r="E2081" s="392" t="n"/>
      <c r="F2081" s="392" t="n"/>
      <c r="G2081" s="392" t="n">
        <v>26</v>
      </c>
      <c r="H2081" s="52">
        <f>H2080-G2081</f>
        <v/>
      </c>
      <c r="I2081" s="568" t="n"/>
      <c r="J2081" s="568" t="n"/>
      <c r="K2081" s="568" t="n"/>
      <c r="L2081" s="568" t="n"/>
    </row>
    <row r="2082">
      <c r="A2082" s="568" t="n">
        <v>44788</v>
      </c>
      <c r="B2082" s="392" t="n">
        <v>9394</v>
      </c>
      <c r="C2082" s="392" t="n">
        <v>103</v>
      </c>
      <c r="D2082" s="392" t="n"/>
      <c r="E2082" s="392" t="n"/>
      <c r="F2082" s="392" t="n"/>
      <c r="G2082" s="392" t="n">
        <v>25</v>
      </c>
      <c r="H2082" s="52">
        <f>H2081-G2082</f>
        <v/>
      </c>
      <c r="I2082" s="568" t="n"/>
      <c r="J2082" s="568" t="n"/>
      <c r="K2082" s="568" t="n"/>
      <c r="L2082" s="568" t="n"/>
    </row>
    <row r="2083">
      <c r="A2083" s="568" t="n">
        <v>44790</v>
      </c>
      <c r="B2083" s="392" t="n">
        <v>9397</v>
      </c>
      <c r="C2083" s="392" t="n">
        <v>104.4</v>
      </c>
      <c r="D2083" s="392" t="n"/>
      <c r="E2083" s="392" t="n"/>
      <c r="F2083" s="392" t="n"/>
      <c r="G2083" s="392" t="n">
        <v>50</v>
      </c>
      <c r="H2083" s="52">
        <f>H2082-G2083</f>
        <v/>
      </c>
      <c r="I2083" s="568" t="n"/>
      <c r="J2083" s="568" t="n"/>
      <c r="K2083" s="568" t="n"/>
      <c r="L2083" s="568" t="n"/>
    </row>
    <row r="2084">
      <c r="A2084" s="568" t="n">
        <v>44790</v>
      </c>
      <c r="B2084" s="392" t="n">
        <v>9402</v>
      </c>
      <c r="C2084" s="392" t="n">
        <v>103.75</v>
      </c>
      <c r="D2084" s="392" t="n"/>
      <c r="E2084" s="392" t="n"/>
      <c r="F2084" s="392" t="n"/>
      <c r="G2084" s="392" t="n">
        <v>40</v>
      </c>
      <c r="H2084" s="52">
        <f>H2083-G2084</f>
        <v/>
      </c>
      <c r="I2084" s="568" t="n"/>
      <c r="J2084" s="568" t="n"/>
      <c r="K2084" s="568" t="n"/>
      <c r="L2084" s="568" t="n"/>
    </row>
    <row r="2085">
      <c r="A2085" s="568" t="n">
        <v>44790</v>
      </c>
      <c r="B2085" s="392" t="n">
        <v>9403</v>
      </c>
      <c r="C2085" s="392" t="n">
        <v>103</v>
      </c>
      <c r="D2085" s="392" t="n"/>
      <c r="E2085" s="392" t="n"/>
      <c r="F2085" s="392" t="n"/>
      <c r="G2085" s="392" t="n">
        <v>14</v>
      </c>
      <c r="H2085" s="52">
        <f>H2084-G2085</f>
        <v/>
      </c>
      <c r="I2085" s="568" t="n"/>
      <c r="J2085" s="568" t="n"/>
      <c r="K2085" s="568" t="n"/>
      <c r="L2085" s="568" t="n"/>
    </row>
    <row r="2086">
      <c r="A2086" s="568" t="n">
        <v>44790</v>
      </c>
      <c r="B2086" s="392" t="n">
        <v>9406</v>
      </c>
      <c r="C2086" s="392" t="n">
        <v>103</v>
      </c>
      <c r="D2086" s="392" t="n"/>
      <c r="E2086" s="392" t="n"/>
      <c r="F2086" s="392" t="n"/>
      <c r="G2086" s="392" t="n">
        <v>10</v>
      </c>
      <c r="H2086" s="52">
        <f>H2085-G2086</f>
        <v/>
      </c>
      <c r="I2086" s="568" t="n"/>
      <c r="J2086" s="568" t="n"/>
      <c r="K2086" s="568" t="n"/>
      <c r="L2086" s="568" t="n"/>
    </row>
    <row r="2087">
      <c r="A2087" s="568" t="n">
        <v>44790</v>
      </c>
      <c r="B2087" s="392" t="n">
        <v>9407</v>
      </c>
      <c r="C2087" s="392" t="n">
        <v>104.35</v>
      </c>
      <c r="D2087" s="392" t="n"/>
      <c r="E2087" s="392" t="n"/>
      <c r="F2087" s="392" t="n"/>
      <c r="G2087" s="392" t="n">
        <v>37</v>
      </c>
      <c r="H2087" s="52">
        <f>H2086-G2087</f>
        <v/>
      </c>
      <c r="I2087" s="568" t="n"/>
      <c r="J2087" s="568" t="n"/>
      <c r="K2087" s="568" t="n"/>
      <c r="L2087" s="568" t="n"/>
    </row>
    <row r="2088">
      <c r="A2088" s="568" t="n">
        <v>44790</v>
      </c>
      <c r="B2088" s="392" t="n">
        <v>9408</v>
      </c>
      <c r="C2088" s="392" t="n">
        <v>103</v>
      </c>
      <c r="D2088" s="392" t="n"/>
      <c r="E2088" s="392" t="n"/>
      <c r="F2088" s="392" t="n"/>
      <c r="G2088" s="392" t="n">
        <v>10</v>
      </c>
      <c r="H2088" s="52">
        <f>H2087-G2088</f>
        <v/>
      </c>
      <c r="I2088" s="568" t="n"/>
      <c r="J2088" s="568" t="n"/>
      <c r="K2088" s="568" t="n"/>
      <c r="L2088" s="568" t="n"/>
    </row>
    <row r="2089">
      <c r="A2089" s="568" t="n">
        <v>44795</v>
      </c>
      <c r="B2089" s="392" t="n">
        <v>9416</v>
      </c>
      <c r="C2089" s="392" t="n">
        <v>103</v>
      </c>
      <c r="D2089" s="392" t="n"/>
      <c r="E2089" s="392" t="n"/>
      <c r="F2089" s="392" t="n"/>
      <c r="G2089" s="392" t="n">
        <v>45</v>
      </c>
      <c r="H2089" s="52">
        <f>H2088-G2089</f>
        <v/>
      </c>
      <c r="I2089" s="568" t="n"/>
      <c r="J2089" s="568" t="n"/>
      <c r="K2089" s="568" t="n"/>
      <c r="L2089" s="568" t="n"/>
    </row>
    <row r="2090">
      <c r="A2090" s="568" t="n">
        <v>44795</v>
      </c>
      <c r="B2090" s="392" t="n">
        <v>9417</v>
      </c>
      <c r="C2090" s="392" t="n">
        <v>102.4</v>
      </c>
      <c r="D2090" s="392" t="n"/>
      <c r="E2090" s="392" t="n"/>
      <c r="F2090" s="392" t="n"/>
      <c r="G2090" s="392" t="n">
        <v>102</v>
      </c>
      <c r="H2090" s="52">
        <f>H2089-G2090</f>
        <v/>
      </c>
      <c r="I2090" s="568" t="n"/>
      <c r="J2090" s="568" t="n"/>
      <c r="K2090" s="568" t="n"/>
      <c r="L2090" s="568" t="n"/>
    </row>
    <row r="2091">
      <c r="A2091" s="568" t="n">
        <v>44797</v>
      </c>
      <c r="B2091" s="392" t="n">
        <v>9426</v>
      </c>
      <c r="C2091" s="392" t="n">
        <v>103</v>
      </c>
      <c r="D2091" s="392" t="n"/>
      <c r="E2091" s="392" t="n"/>
      <c r="F2091" s="392" t="n"/>
      <c r="G2091" s="392" t="n">
        <v>10</v>
      </c>
      <c r="H2091" s="52">
        <f>H2090-G2091</f>
        <v/>
      </c>
      <c r="I2091" s="568" t="n"/>
      <c r="J2091" s="568" t="n"/>
      <c r="K2091" s="568" t="n"/>
      <c r="L2091" s="568" t="n"/>
    </row>
    <row r="2092">
      <c r="A2092" s="568" t="n">
        <v>44797</v>
      </c>
      <c r="B2092" s="392" t="n">
        <v>9431</v>
      </c>
      <c r="C2092" s="392" t="n">
        <v>103</v>
      </c>
      <c r="D2092" s="392" t="n"/>
      <c r="E2092" s="392" t="n"/>
      <c r="F2092" s="392" t="n"/>
      <c r="G2092" s="392" t="n">
        <v>15</v>
      </c>
      <c r="H2092" s="52">
        <f>H2091-G2092</f>
        <v/>
      </c>
      <c r="I2092" s="568" t="n"/>
      <c r="J2092" s="568" t="n"/>
      <c r="K2092" s="568" t="n"/>
      <c r="L2092" s="568" t="n"/>
    </row>
    <row r="2093">
      <c r="A2093" s="568" t="n">
        <v>44802</v>
      </c>
      <c r="B2093" s="392" t="n">
        <v>9433</v>
      </c>
      <c r="C2093" s="392" t="n">
        <v>103.6</v>
      </c>
      <c r="D2093" s="392" t="n"/>
      <c r="E2093" s="392" t="n"/>
      <c r="F2093" s="392" t="n"/>
      <c r="G2093" s="392" t="n">
        <v>55</v>
      </c>
      <c r="H2093" s="52">
        <f>H2092-G2093</f>
        <v/>
      </c>
      <c r="I2093" s="568" t="n"/>
      <c r="J2093" s="568" t="n"/>
      <c r="K2093" s="568" t="n"/>
      <c r="L2093" s="568" t="n"/>
    </row>
    <row r="2094">
      <c r="A2094" s="568" t="n">
        <v>44802</v>
      </c>
      <c r="B2094" s="392" t="n">
        <v>9434</v>
      </c>
      <c r="C2094" s="392" t="n">
        <v>103</v>
      </c>
      <c r="D2094" s="392" t="n"/>
      <c r="E2094" s="392" t="n"/>
      <c r="F2094" s="392" t="n"/>
      <c r="G2094" s="392" t="n">
        <v>11</v>
      </c>
      <c r="H2094" s="52">
        <f>H2093-G2094</f>
        <v/>
      </c>
      <c r="I2094" s="568" t="n"/>
      <c r="J2094" s="568" t="n"/>
      <c r="K2094" s="568" t="n"/>
      <c r="L2094" s="568" t="n"/>
    </row>
    <row r="2095">
      <c r="A2095" s="568" t="n">
        <v>44802</v>
      </c>
      <c r="B2095" s="392" t="n">
        <v>9435</v>
      </c>
      <c r="C2095" s="392" t="n">
        <v>103</v>
      </c>
      <c r="D2095" s="392" t="n"/>
      <c r="E2095" s="392" t="n"/>
      <c r="F2095" s="392" t="n"/>
      <c r="G2095" s="392" t="n">
        <v>30</v>
      </c>
      <c r="H2095" s="52">
        <f>H2094-G2095</f>
        <v/>
      </c>
      <c r="I2095" s="568" t="n"/>
      <c r="J2095" s="568" t="n"/>
      <c r="K2095" s="568" t="n"/>
      <c r="L2095" s="568" t="n"/>
    </row>
    <row r="2096">
      <c r="A2096" s="568" t="n">
        <v>44802</v>
      </c>
      <c r="B2096" s="392" t="n">
        <v>9438</v>
      </c>
      <c r="C2096" s="392" t="n">
        <v>103</v>
      </c>
      <c r="D2096" s="392" t="n"/>
      <c r="E2096" s="392" t="n"/>
      <c r="F2096" s="392" t="n"/>
      <c r="G2096" s="392" t="n">
        <v>20</v>
      </c>
      <c r="H2096" s="52">
        <f>H2095-G2096</f>
        <v/>
      </c>
      <c r="I2096" s="568" t="n"/>
      <c r="J2096" s="568" t="n"/>
      <c r="K2096" s="568" t="n"/>
      <c r="L2096" s="568" t="n"/>
    </row>
    <row r="2097">
      <c r="A2097" s="568" t="n">
        <v>44802</v>
      </c>
      <c r="B2097" s="392" t="n">
        <v>9440</v>
      </c>
      <c r="C2097" s="392" t="n">
        <v>103</v>
      </c>
      <c r="D2097" s="392" t="n"/>
      <c r="E2097" s="392" t="n"/>
      <c r="F2097" s="392" t="n"/>
      <c r="G2097" s="392" t="n">
        <v>10</v>
      </c>
      <c r="H2097" s="52">
        <f>H2096-G2097</f>
        <v/>
      </c>
      <c r="I2097" s="568" t="n"/>
      <c r="J2097" s="568" t="n"/>
      <c r="K2097" s="568" t="n"/>
      <c r="L2097" s="568" t="n"/>
    </row>
    <row r="2098">
      <c r="A2098" s="568" t="n">
        <v>44802</v>
      </c>
      <c r="B2098" s="392" t="n">
        <v>9442</v>
      </c>
      <c r="C2098" s="392" t="n">
        <v>103</v>
      </c>
      <c r="D2098" s="392" t="n"/>
      <c r="E2098" s="392" t="n"/>
      <c r="F2098" s="392" t="n"/>
      <c r="G2098" s="392" t="n">
        <v>10</v>
      </c>
      <c r="H2098" s="52">
        <f>H2097-G2098</f>
        <v/>
      </c>
      <c r="I2098" s="568" t="n"/>
      <c r="J2098" s="568" t="n"/>
      <c r="K2098" s="568" t="n"/>
      <c r="L2098" s="568" t="n"/>
    </row>
    <row r="2099">
      <c r="A2099" s="568" t="n">
        <v>44802</v>
      </c>
      <c r="B2099" s="392" t="n">
        <v>9443</v>
      </c>
      <c r="C2099" s="392" t="n">
        <v>103</v>
      </c>
      <c r="D2099" s="392" t="n"/>
      <c r="E2099" s="392" t="n"/>
      <c r="F2099" s="392" t="n"/>
      <c r="G2099" s="392" t="n">
        <v>20</v>
      </c>
      <c r="H2099" s="52">
        <f>H2098-G2099</f>
        <v/>
      </c>
      <c r="I2099" s="568" t="n"/>
      <c r="J2099" s="568" t="n"/>
      <c r="K2099" s="568" t="n"/>
      <c r="L2099" s="568" t="n"/>
    </row>
    <row r="2100">
      <c r="A2100" s="304" t="n">
        <v>44803</v>
      </c>
      <c r="B2100" s="401" t="n">
        <v>196107</v>
      </c>
      <c r="C2100" s="401" t="n">
        <v>89</v>
      </c>
      <c r="D2100" s="401" t="n"/>
      <c r="E2100" s="401" t="n"/>
      <c r="F2100" s="401" t="n">
        <v>980</v>
      </c>
      <c r="G2100" s="401" t="n"/>
      <c r="H2100" s="277" t="n">
        <v>1036</v>
      </c>
      <c r="I2100" s="568" t="n"/>
      <c r="J2100" s="568" t="n"/>
      <c r="K2100" s="568" t="n"/>
      <c r="L2100" s="568" t="n"/>
    </row>
    <row r="2101">
      <c r="A2101" s="568" t="n">
        <v>44803</v>
      </c>
      <c r="B2101" s="392" t="n">
        <v>9445</v>
      </c>
      <c r="C2101" s="392" t="n">
        <v>103</v>
      </c>
      <c r="D2101" s="392" t="n"/>
      <c r="E2101" s="392" t="n"/>
      <c r="F2101" s="392" t="n"/>
      <c r="G2101" s="392" t="n">
        <v>20</v>
      </c>
      <c r="H2101" s="52">
        <f>H2100-G2101</f>
        <v/>
      </c>
      <c r="I2101" s="568" t="n"/>
      <c r="J2101" s="568" t="n"/>
      <c r="K2101" s="568" t="n"/>
      <c r="L2101" s="568" t="n"/>
    </row>
    <row r="2102">
      <c r="A2102" s="568" t="n">
        <v>44804</v>
      </c>
      <c r="B2102" s="392" t="n">
        <v>9446</v>
      </c>
      <c r="C2102" s="392" t="n">
        <v>103</v>
      </c>
      <c r="D2102" s="392" t="n"/>
      <c r="E2102" s="392" t="n"/>
      <c r="F2102" s="392" t="n"/>
      <c r="G2102" s="392" t="n">
        <v>40</v>
      </c>
      <c r="H2102" s="52">
        <f>H2101-G2102</f>
        <v/>
      </c>
      <c r="I2102" s="568" t="n"/>
      <c r="J2102" s="568" t="n"/>
      <c r="K2102" s="568" t="n"/>
      <c r="L2102" s="568" t="n"/>
    </row>
    <row r="2103">
      <c r="A2103" s="568" t="n">
        <v>44804</v>
      </c>
      <c r="B2103" s="392" t="n">
        <v>9451</v>
      </c>
      <c r="C2103" s="392" t="n">
        <v>104.3</v>
      </c>
      <c r="D2103" s="392" t="n"/>
      <c r="E2103" s="392" t="n"/>
      <c r="F2103" s="392" t="n"/>
      <c r="G2103" s="392" t="n">
        <v>37</v>
      </c>
      <c r="H2103" s="52">
        <f>H2102-G2103</f>
        <v/>
      </c>
      <c r="I2103" s="568" t="n"/>
      <c r="J2103" s="568" t="n"/>
      <c r="K2103" s="568" t="n"/>
      <c r="L2103" s="568" t="n"/>
    </row>
    <row r="2104">
      <c r="A2104" s="568" t="n">
        <v>44804</v>
      </c>
      <c r="B2104" s="392" t="n">
        <v>9453</v>
      </c>
      <c r="C2104" s="392" t="n">
        <v>105.34</v>
      </c>
      <c r="D2104" s="392" t="n"/>
      <c r="E2104" s="392" t="n"/>
      <c r="F2104" s="392" t="n"/>
      <c r="G2104" s="392" t="n">
        <v>30</v>
      </c>
      <c r="H2104" s="52">
        <f>H2103-G2104</f>
        <v/>
      </c>
      <c r="I2104" s="568" t="n"/>
      <c r="J2104" s="568" t="n"/>
      <c r="K2104" s="568" t="n"/>
      <c r="L2104" s="568" t="n"/>
    </row>
    <row r="2105" ht="15.75" customHeight="1" s="436" thickBot="1"/>
    <row r="2106" ht="21.75" customHeight="1" s="436" thickBot="1">
      <c r="A2106" s="757" t="inlineStr">
        <is>
          <t>Setembro</t>
        </is>
      </c>
      <c r="B2106" s="697" t="n"/>
      <c r="C2106" s="697" t="n"/>
      <c r="D2106" s="697" t="n"/>
      <c r="E2106" s="697" t="n"/>
      <c r="F2106" s="697" t="n"/>
      <c r="G2106" s="697" t="n"/>
      <c r="H2106" s="697" t="n"/>
      <c r="I2106" s="697" t="n"/>
      <c r="J2106" s="697" t="n"/>
      <c r="K2106" s="697" t="n"/>
      <c r="L2106" s="698" t="n"/>
    </row>
    <row r="2107" ht="21.75" customHeight="1" s="436" thickBot="1">
      <c r="A2107" s="699" t="inlineStr">
        <is>
          <t xml:space="preserve">021 - DENISE FURTADO DE SOUZA - ME </t>
        </is>
      </c>
      <c r="B2107" s="697" t="n"/>
      <c r="C2107" s="697" t="n"/>
      <c r="D2107" s="697" t="n"/>
      <c r="E2107" s="697" t="n"/>
      <c r="F2107" s="697" t="n"/>
      <c r="G2107" s="697" t="n"/>
      <c r="H2107" s="697" t="n"/>
      <c r="I2107" s="697" t="n"/>
      <c r="J2107" s="697" t="n"/>
      <c r="K2107" s="697" t="n"/>
      <c r="L2107" s="698" t="n"/>
    </row>
    <row r="2108" ht="24" customHeight="1" s="436" thickBot="1">
      <c r="A2108" s="745" t="inlineStr">
        <is>
          <t xml:space="preserve">  PRÉ MISTURA - 25 KG</t>
        </is>
      </c>
      <c r="B2108" s="737" t="n"/>
      <c r="C2108" s="737" t="n"/>
      <c r="D2108" s="737" t="n"/>
      <c r="E2108" s="737" t="n"/>
      <c r="F2108" s="737" t="n"/>
      <c r="G2108" s="737" t="n"/>
      <c r="H2108" s="737" t="n"/>
      <c r="I2108" s="737" t="n"/>
      <c r="J2108" s="737" t="n"/>
      <c r="K2108" s="737" t="n"/>
      <c r="L2108" s="736" t="n"/>
    </row>
    <row r="2109">
      <c r="A2109" s="746" t="inlineStr">
        <is>
          <t>DATA</t>
        </is>
      </c>
      <c r="B2109" s="3" t="inlineStr">
        <is>
          <t>N.F.</t>
        </is>
      </c>
      <c r="C2109" s="3" t="inlineStr">
        <is>
          <t>TIPO</t>
        </is>
      </c>
      <c r="D2109" s="3" t="inlineStr">
        <is>
          <t>PREÇO UNITÁRIO</t>
        </is>
      </c>
      <c r="E2109" s="736" t="n"/>
      <c r="F2109" s="3" t="inlineStr">
        <is>
          <t>QUANTIDADE / KG</t>
        </is>
      </c>
      <c r="G2109" s="737" t="n"/>
      <c r="H2109" s="736" t="n"/>
      <c r="I2109" s="631" t="inlineStr">
        <is>
          <t>PREÇO</t>
        </is>
      </c>
      <c r="J2109" s="631" t="inlineStr">
        <is>
          <t>VALORES</t>
        </is>
      </c>
      <c r="K2109" s="737" t="n"/>
      <c r="L2109" s="736" t="n"/>
    </row>
    <row r="2110" ht="15.75" customHeight="1" s="436" thickBot="1">
      <c r="A2110" s="703" t="n"/>
      <c r="B2110" s="704" t="n"/>
      <c r="C2110" s="704" t="n"/>
      <c r="D2110" s="703" t="n"/>
      <c r="E2110" s="701" t="n"/>
      <c r="F2110" s="705" t="n"/>
      <c r="G2110" s="706" t="n"/>
      <c r="H2110" s="707" t="n"/>
      <c r="I2110" s="704" t="n"/>
      <c r="J2110" s="703" t="n"/>
      <c r="L2110" s="701" t="n"/>
    </row>
    <row r="2111" ht="15.75" customHeight="1" s="436" thickBot="1">
      <c r="A2111" s="703" t="n"/>
      <c r="B2111" s="704" t="n"/>
      <c r="C2111" s="704" t="n"/>
      <c r="D2111" s="705" t="n"/>
      <c r="E2111" s="707" t="n"/>
      <c r="F2111" s="3" t="inlineStr">
        <is>
          <t>ENTRADA</t>
        </is>
      </c>
      <c r="G2111" s="3" t="inlineStr">
        <is>
          <t>SAÍDA</t>
        </is>
      </c>
      <c r="H2111" s="640" t="n"/>
      <c r="I2111" s="633" t="inlineStr">
        <is>
          <t>MÉDIO</t>
        </is>
      </c>
      <c r="J2111" s="652" t="inlineStr">
        <is>
          <t>SALDO EM 30/12/2017</t>
        </is>
      </c>
      <c r="K2111" s="706" t="n"/>
      <c r="L2111" s="17" t="n"/>
    </row>
    <row r="2112" ht="15.75" customHeight="1" s="436" thickBot="1">
      <c r="A2112" s="705" t="n"/>
      <c r="B2112" s="695" t="n"/>
      <c r="C2112" s="695" t="n"/>
      <c r="D2112" s="3" t="inlineStr">
        <is>
          <t>C/ICMS</t>
        </is>
      </c>
      <c r="E2112" s="3" t="inlineStr">
        <is>
          <t>S/ICMS</t>
        </is>
      </c>
      <c r="F2112" s="695" t="n"/>
      <c r="G2112" s="695" t="n"/>
      <c r="H2112" s="361" t="inlineStr">
        <is>
          <t>Saldo em 31/08/2022</t>
        </is>
      </c>
      <c r="I2112" s="695" t="n"/>
      <c r="J2112" s="645" t="inlineStr">
        <is>
          <t>ENTRADA</t>
        </is>
      </c>
      <c r="K2112" s="633" t="inlineStr">
        <is>
          <t>SAÍDA / CMV</t>
        </is>
      </c>
      <c r="L2112" s="633" t="inlineStr">
        <is>
          <t>SALDO</t>
        </is>
      </c>
    </row>
    <row r="2113">
      <c r="A2113" s="568" t="n"/>
      <c r="B2113" s="392" t="n"/>
      <c r="C2113" s="392" t="n"/>
      <c r="D2113" s="392" t="n"/>
      <c r="E2113" s="392" t="n"/>
      <c r="F2113" s="392" t="n"/>
      <c r="G2113" s="392" t="n"/>
      <c r="H2113" s="277" t="n">
        <v>909</v>
      </c>
      <c r="I2113" s="568" t="n"/>
      <c r="J2113" s="568" t="n"/>
      <c r="K2113" s="568" t="n"/>
      <c r="L2113" s="568" t="n"/>
    </row>
    <row r="2114">
      <c r="A2114" s="568" t="n">
        <v>44809</v>
      </c>
      <c r="B2114" s="392" t="n">
        <v>9460</v>
      </c>
      <c r="C2114" s="392" t="n">
        <v>102.06</v>
      </c>
      <c r="D2114" s="392" t="n"/>
      <c r="E2114" s="392" t="n"/>
      <c r="F2114" s="392" t="n"/>
      <c r="G2114" s="392" t="n">
        <v>102</v>
      </c>
      <c r="H2114" s="52">
        <f>H2113-G2114</f>
        <v/>
      </c>
      <c r="I2114" s="568" t="n"/>
      <c r="J2114" s="568" t="n"/>
      <c r="K2114" s="568" t="n"/>
      <c r="L2114" s="568" t="n"/>
    </row>
    <row r="2115">
      <c r="A2115" s="568" t="n">
        <v>44809</v>
      </c>
      <c r="B2115" s="392" t="n">
        <v>9462</v>
      </c>
      <c r="C2115" s="392" t="n">
        <v>100</v>
      </c>
      <c r="D2115" s="392" t="n"/>
      <c r="E2115" s="392" t="n"/>
      <c r="F2115" s="392" t="n"/>
      <c r="G2115" s="392" t="n">
        <v>45</v>
      </c>
      <c r="H2115" s="52">
        <f>H2114-G2115</f>
        <v/>
      </c>
      <c r="I2115" s="568" t="n"/>
      <c r="J2115" s="568" t="n"/>
      <c r="K2115" s="568" t="n"/>
      <c r="L2115" s="568" t="n"/>
    </row>
    <row r="2116">
      <c r="A2116" s="568" t="n">
        <v>44811</v>
      </c>
      <c r="B2116" s="392" t="n">
        <v>9467</v>
      </c>
      <c r="C2116" s="392" t="n">
        <v>100</v>
      </c>
      <c r="D2116" s="392" t="n"/>
      <c r="E2116" s="392" t="n"/>
      <c r="F2116" s="392" t="n"/>
      <c r="G2116" s="392" t="n">
        <v>50</v>
      </c>
      <c r="H2116" s="52">
        <f>H2115-G2116</f>
        <v/>
      </c>
      <c r="I2116" s="568" t="n"/>
      <c r="J2116" s="568" t="n"/>
      <c r="K2116" s="568" t="n"/>
      <c r="L2116" s="568" t="n"/>
    </row>
    <row r="2117">
      <c r="A2117" s="568" t="n">
        <v>44811</v>
      </c>
      <c r="B2117" s="392" t="n">
        <v>9469</v>
      </c>
      <c r="C2117" s="392" t="n">
        <v>100</v>
      </c>
      <c r="D2117" s="392" t="n"/>
      <c r="E2117" s="392" t="n"/>
      <c r="F2117" s="392" t="n"/>
      <c r="G2117" s="392" t="n">
        <v>10</v>
      </c>
      <c r="H2117" s="52">
        <f>H2116-G2117</f>
        <v/>
      </c>
      <c r="I2117" s="568" t="n"/>
      <c r="J2117" s="568" t="n"/>
      <c r="K2117" s="568" t="n"/>
      <c r="L2117" s="568" t="n"/>
    </row>
    <row r="2118">
      <c r="A2118" s="568" t="n">
        <v>44811</v>
      </c>
      <c r="B2118" s="392" t="n">
        <v>9470</v>
      </c>
      <c r="C2118" s="392" t="n">
        <v>101.7</v>
      </c>
      <c r="D2118" s="392" t="n"/>
      <c r="E2118" s="392" t="n"/>
      <c r="F2118" s="392" t="n"/>
      <c r="G2118" s="392" t="n">
        <v>15</v>
      </c>
      <c r="H2118" s="52">
        <f>H2117-G2118</f>
        <v/>
      </c>
      <c r="I2118" s="568" t="n"/>
      <c r="J2118" s="568" t="n"/>
      <c r="K2118" s="568" t="n"/>
      <c r="L2118" s="568" t="n"/>
    </row>
    <row r="2119">
      <c r="A2119" s="568" t="n">
        <v>44811</v>
      </c>
      <c r="B2119" s="392" t="n">
        <v>9471</v>
      </c>
      <c r="C2119" s="392" t="n">
        <v>100</v>
      </c>
      <c r="D2119" s="392" t="n"/>
      <c r="E2119" s="392" t="n"/>
      <c r="F2119" s="392" t="n"/>
      <c r="G2119" s="392" t="n">
        <v>15</v>
      </c>
      <c r="H2119" s="52">
        <f>H2118-G2119</f>
        <v/>
      </c>
      <c r="I2119" s="568" t="n"/>
      <c r="J2119" s="568" t="n"/>
      <c r="K2119" s="568" t="n"/>
      <c r="L2119" s="568" t="n"/>
    </row>
    <row r="2120">
      <c r="A2120" s="568" t="n">
        <v>44811</v>
      </c>
      <c r="B2120" s="392" t="n">
        <v>9473</v>
      </c>
      <c r="C2120" s="392" t="n">
        <v>100</v>
      </c>
      <c r="D2120" s="392" t="n"/>
      <c r="E2120" s="392" t="n"/>
      <c r="F2120" s="392" t="n"/>
      <c r="G2120" s="392" t="n">
        <v>60</v>
      </c>
      <c r="H2120" s="52">
        <f>H2119-G2120</f>
        <v/>
      </c>
      <c r="I2120" s="568" t="n"/>
      <c r="J2120" s="568" t="n"/>
      <c r="K2120" s="568" t="n"/>
      <c r="L2120" s="568" t="n"/>
    </row>
    <row r="2121">
      <c r="A2121" s="568" t="n">
        <v>44811</v>
      </c>
      <c r="B2121" s="392" t="n">
        <v>9474</v>
      </c>
      <c r="C2121" s="392" t="n">
        <v>101.33</v>
      </c>
      <c r="D2121" s="392" t="n"/>
      <c r="E2121" s="392" t="n"/>
      <c r="F2121" s="392" t="n"/>
      <c r="G2121" s="392" t="n">
        <v>37</v>
      </c>
      <c r="H2121" s="52">
        <f>H2120-G2121</f>
        <v/>
      </c>
      <c r="I2121" s="568" t="n"/>
      <c r="J2121" s="568" t="n"/>
      <c r="K2121" s="568" t="n"/>
      <c r="L2121" s="568" t="n"/>
    </row>
    <row r="2122">
      <c r="A2122" s="568" t="n">
        <v>44811</v>
      </c>
      <c r="B2122" s="392" t="n">
        <v>9477</v>
      </c>
      <c r="C2122" s="392" t="n">
        <v>100</v>
      </c>
      <c r="D2122" s="392" t="n"/>
      <c r="E2122" s="392" t="n"/>
      <c r="F2122" s="392" t="n"/>
      <c r="G2122" s="392" t="n">
        <v>10</v>
      </c>
      <c r="H2122" s="52">
        <f>H2121-G2122</f>
        <v/>
      </c>
      <c r="I2122" s="568" t="n"/>
      <c r="J2122" s="568" t="n"/>
      <c r="K2122" s="568" t="n"/>
      <c r="L2122" s="568" t="n"/>
    </row>
    <row r="2123">
      <c r="A2123" s="568" t="n">
        <v>44812</v>
      </c>
      <c r="B2123" s="392" t="n">
        <v>9478</v>
      </c>
      <c r="C2123" s="392" t="n">
        <v>100</v>
      </c>
      <c r="D2123" s="392" t="n"/>
      <c r="E2123" s="392" t="n"/>
      <c r="F2123" s="392" t="n"/>
      <c r="G2123" s="392" t="n">
        <v>5</v>
      </c>
      <c r="H2123" s="52">
        <f>H2122-G2123</f>
        <v/>
      </c>
      <c r="I2123" s="568" t="n"/>
      <c r="J2123" s="568" t="n"/>
      <c r="K2123" s="568" t="n"/>
      <c r="L2123" s="568" t="n"/>
    </row>
    <row r="2124">
      <c r="A2124" s="568" t="n">
        <v>44816</v>
      </c>
      <c r="B2124" s="392" t="n">
        <v>9482</v>
      </c>
      <c r="C2124" s="392" t="n">
        <v>100.78</v>
      </c>
      <c r="D2124" s="392" t="n"/>
      <c r="E2124" s="392" t="n"/>
      <c r="F2124" s="392" t="n"/>
      <c r="G2124" s="392" t="n">
        <v>45</v>
      </c>
      <c r="H2124" s="52">
        <f>H2123-G2124</f>
        <v/>
      </c>
      <c r="I2124" s="568" t="n"/>
      <c r="J2124" s="568" t="n"/>
      <c r="K2124" s="568" t="n"/>
      <c r="L2124" s="568" t="n"/>
    </row>
    <row r="2125">
      <c r="A2125" s="568" t="n">
        <v>44816</v>
      </c>
      <c r="B2125" s="392" t="n">
        <v>9488</v>
      </c>
      <c r="C2125" s="392" t="n">
        <v>99.54000000000001</v>
      </c>
      <c r="D2125" s="392" t="n"/>
      <c r="E2125" s="392" t="n"/>
      <c r="F2125" s="392" t="n"/>
      <c r="G2125" s="392" t="n">
        <v>65</v>
      </c>
      <c r="H2125" s="52">
        <f>H2124-G2125</f>
        <v/>
      </c>
      <c r="I2125" s="568" t="n"/>
      <c r="J2125" s="568" t="n"/>
      <c r="K2125" s="568" t="n"/>
      <c r="L2125" s="568" t="n"/>
    </row>
    <row r="2126">
      <c r="A2126" s="568" t="n">
        <v>44816</v>
      </c>
      <c r="B2126" s="392" t="n">
        <v>9489</v>
      </c>
      <c r="C2126" s="392" t="n">
        <v>100.44</v>
      </c>
      <c r="D2126" s="392" t="n"/>
      <c r="E2126" s="392" t="n"/>
      <c r="F2126" s="392" t="n"/>
      <c r="G2126" s="392" t="n">
        <v>16</v>
      </c>
      <c r="H2126" s="52">
        <f>H2125-G2126</f>
        <v/>
      </c>
      <c r="I2126" s="568" t="n"/>
      <c r="J2126" s="568" t="n"/>
      <c r="K2126" s="568" t="n"/>
      <c r="L2126" s="568" t="n"/>
    </row>
    <row r="2127">
      <c r="A2127" s="568" t="n">
        <v>44816</v>
      </c>
      <c r="B2127" s="392" t="n">
        <v>9490</v>
      </c>
      <c r="C2127" s="392" t="n">
        <v>100</v>
      </c>
      <c r="D2127" s="392" t="n"/>
      <c r="E2127" s="392" t="n"/>
      <c r="F2127" s="392" t="n"/>
      <c r="G2127" s="392" t="n">
        <v>60</v>
      </c>
      <c r="H2127" s="52">
        <f>H2126-G2127</f>
        <v/>
      </c>
      <c r="I2127" s="568" t="n"/>
      <c r="J2127" s="568" t="n"/>
      <c r="K2127" s="568" t="n"/>
      <c r="L2127" s="568" t="n"/>
    </row>
    <row r="2128">
      <c r="A2128" s="568" t="n">
        <v>44818</v>
      </c>
      <c r="B2128" s="392" t="n">
        <v>9492</v>
      </c>
      <c r="C2128" s="392" t="n">
        <v>100</v>
      </c>
      <c r="D2128" s="392" t="n"/>
      <c r="E2128" s="392" t="n"/>
      <c r="F2128" s="392" t="n"/>
      <c r="G2128" s="392" t="n">
        <v>40</v>
      </c>
      <c r="H2128" s="52">
        <f>H2127-G2128</f>
        <v/>
      </c>
      <c r="I2128" s="568" t="n"/>
      <c r="J2128" s="568" t="n"/>
      <c r="K2128" s="568" t="n"/>
      <c r="L2128" s="568" t="n"/>
    </row>
    <row r="2129">
      <c r="A2129" s="568" t="n">
        <v>44818</v>
      </c>
      <c r="B2129" s="392" t="n">
        <v>9493</v>
      </c>
      <c r="C2129" s="392" t="n">
        <v>103.5</v>
      </c>
      <c r="D2129" s="392" t="n"/>
      <c r="E2129" s="392" t="n"/>
      <c r="F2129" s="392" t="n"/>
      <c r="G2129" s="392" t="n">
        <v>20</v>
      </c>
      <c r="H2129" s="52">
        <f>H2128-G2129</f>
        <v/>
      </c>
      <c r="I2129" s="568" t="n"/>
      <c r="J2129" s="568" t="n"/>
      <c r="K2129" s="568" t="n"/>
      <c r="L2129" s="568" t="n"/>
    </row>
    <row r="2130">
      <c r="A2130" s="568" t="n">
        <v>44818</v>
      </c>
      <c r="B2130" s="392" t="n">
        <v>9494</v>
      </c>
      <c r="C2130" s="392" t="n">
        <v>102.33</v>
      </c>
      <c r="D2130" s="392" t="n"/>
      <c r="E2130" s="392" t="n"/>
      <c r="F2130" s="392" t="n"/>
      <c r="G2130" s="392" t="n">
        <v>30</v>
      </c>
      <c r="H2130" s="52">
        <f>H2129-G2130</f>
        <v/>
      </c>
      <c r="I2130" s="568" t="n"/>
      <c r="J2130" s="568" t="n"/>
      <c r="K2130" s="568" t="n"/>
      <c r="L2130" s="568" t="n"/>
    </row>
    <row r="2131">
      <c r="A2131" s="568" t="n">
        <v>44818</v>
      </c>
      <c r="B2131" s="392" t="n">
        <v>9495</v>
      </c>
      <c r="C2131" s="392" t="n">
        <v>103</v>
      </c>
      <c r="D2131" s="392" t="n"/>
      <c r="E2131" s="392" t="n"/>
      <c r="F2131" s="392" t="n"/>
      <c r="G2131" s="392" t="n">
        <v>70</v>
      </c>
      <c r="H2131" s="52">
        <f>H2130-G2131</f>
        <v/>
      </c>
      <c r="I2131" s="568" t="n"/>
      <c r="J2131" s="568" t="n"/>
      <c r="K2131" s="568" t="n"/>
      <c r="L2131" s="568" t="n"/>
    </row>
    <row r="2132">
      <c r="A2132" s="568" t="n">
        <v>44818</v>
      </c>
      <c r="B2132" s="392" t="n">
        <v>9498</v>
      </c>
      <c r="C2132" s="392" t="n">
        <v>100</v>
      </c>
      <c r="D2132" s="392" t="n"/>
      <c r="E2132" s="392" t="n"/>
      <c r="F2132" s="392" t="n"/>
      <c r="G2132" s="392" t="n">
        <v>10</v>
      </c>
      <c r="H2132" s="52">
        <f>H2131-G2132</f>
        <v/>
      </c>
      <c r="I2132" s="568" t="n"/>
      <c r="J2132" s="568" t="n"/>
      <c r="K2132" s="568" t="n"/>
      <c r="L2132" s="568" t="n"/>
    </row>
    <row r="2133">
      <c r="A2133" s="568" t="n">
        <v>44818</v>
      </c>
      <c r="B2133" s="392" t="n">
        <v>9499</v>
      </c>
      <c r="C2133" s="392" t="n">
        <v>101.33</v>
      </c>
      <c r="D2133" s="392" t="n"/>
      <c r="E2133" s="392" t="n"/>
      <c r="F2133" s="392" t="n"/>
      <c r="G2133" s="392" t="n">
        <v>30</v>
      </c>
      <c r="H2133" s="52">
        <f>H2132-G2133</f>
        <v/>
      </c>
      <c r="I2133" s="568" t="n"/>
      <c r="J2133" s="568" t="n"/>
      <c r="K2133" s="568" t="n"/>
      <c r="L2133" s="568" t="n"/>
    </row>
    <row r="2134">
      <c r="A2134" s="568" t="n">
        <v>44818</v>
      </c>
      <c r="B2134" s="392" t="n">
        <v>9501</v>
      </c>
      <c r="C2134" s="392" t="n">
        <v>100.84</v>
      </c>
      <c r="D2134" s="392" t="n"/>
      <c r="E2134" s="392" t="n"/>
      <c r="F2134" s="392" t="n"/>
      <c r="G2134" s="392" t="n">
        <v>25</v>
      </c>
      <c r="H2134" s="52">
        <f>H2133-G2134</f>
        <v/>
      </c>
      <c r="I2134" s="568" t="n"/>
      <c r="J2134" s="568" t="n"/>
      <c r="K2134" s="568" t="n"/>
      <c r="L2134" s="568" t="n"/>
    </row>
    <row r="2135">
      <c r="A2135" s="568" t="n">
        <v>44818</v>
      </c>
      <c r="B2135" s="392" t="n">
        <v>9502</v>
      </c>
      <c r="C2135" s="392" t="n">
        <v>101.33</v>
      </c>
      <c r="D2135" s="392" t="n"/>
      <c r="E2135" s="392" t="n"/>
      <c r="F2135" s="392" t="n"/>
      <c r="G2135" s="392" t="n">
        <v>37</v>
      </c>
      <c r="H2135" s="52">
        <f>H2134-G2135</f>
        <v/>
      </c>
      <c r="I2135" s="568" t="n"/>
      <c r="J2135" s="568" t="n"/>
      <c r="K2135" s="568" t="n"/>
      <c r="L2135" s="568" t="n"/>
    </row>
    <row r="2136">
      <c r="A2136" s="304" t="n">
        <v>44824</v>
      </c>
      <c r="B2136" s="401" t="n">
        <v>197551</v>
      </c>
      <c r="C2136" s="401" t="n">
        <v>85</v>
      </c>
      <c r="D2136" s="401" t="n"/>
      <c r="E2136" s="401" t="n"/>
      <c r="F2136" s="401" t="n">
        <v>830</v>
      </c>
      <c r="G2136" s="401" t="n"/>
      <c r="H2136" s="277" t="n">
        <v>942</v>
      </c>
      <c r="I2136" s="568" t="n"/>
      <c r="J2136" s="568" t="n"/>
      <c r="K2136" s="568" t="n"/>
      <c r="L2136" s="568" t="n"/>
    </row>
    <row r="2137">
      <c r="A2137" s="568" t="n">
        <v>44831</v>
      </c>
      <c r="B2137" s="392" t="n">
        <v>9525</v>
      </c>
      <c r="C2137" s="392" t="n">
        <v>100</v>
      </c>
      <c r="D2137" s="392" t="n"/>
      <c r="E2137" s="392" t="n"/>
      <c r="F2137" s="392" t="n"/>
      <c r="G2137" s="392" t="n">
        <v>20</v>
      </c>
      <c r="H2137" s="52">
        <f>H2136-G2137</f>
        <v/>
      </c>
      <c r="I2137" s="568" t="n"/>
      <c r="J2137" s="568" t="n"/>
      <c r="K2137" s="568" t="n"/>
      <c r="L2137" s="568" t="n"/>
    </row>
    <row r="2138">
      <c r="A2138" s="568" t="n">
        <v>44831</v>
      </c>
      <c r="B2138" s="392" t="n">
        <v>9526</v>
      </c>
      <c r="C2138" s="392" t="n">
        <v>99.8</v>
      </c>
      <c r="D2138" s="392" t="n"/>
      <c r="E2138" s="392" t="n"/>
      <c r="F2138" s="392" t="n"/>
      <c r="G2138" s="392" t="n">
        <v>50</v>
      </c>
      <c r="H2138" s="52">
        <f>H2137-G2138</f>
        <v/>
      </c>
      <c r="I2138" s="568" t="n"/>
      <c r="J2138" s="568" t="n"/>
      <c r="K2138" s="568" t="n"/>
      <c r="L2138" s="568" t="n"/>
    </row>
    <row r="2139">
      <c r="A2139" s="568" t="n">
        <v>44831</v>
      </c>
      <c r="B2139" s="392" t="n">
        <v>9528</v>
      </c>
      <c r="C2139" s="392" t="n">
        <v>100</v>
      </c>
      <c r="D2139" s="392" t="n"/>
      <c r="E2139" s="392" t="n"/>
      <c r="F2139" s="392" t="n"/>
      <c r="G2139" s="392" t="n">
        <v>10</v>
      </c>
      <c r="H2139" s="52">
        <f>H2138-G2139</f>
        <v/>
      </c>
      <c r="I2139" s="568" t="n"/>
      <c r="J2139" s="568" t="n"/>
      <c r="K2139" s="568" t="n"/>
      <c r="L2139" s="568" t="n"/>
    </row>
    <row r="2140">
      <c r="A2140" s="568" t="n">
        <v>44831</v>
      </c>
      <c r="B2140" s="392" t="n">
        <v>9531</v>
      </c>
      <c r="C2140" s="392" t="n">
        <v>100</v>
      </c>
      <c r="D2140" s="392" t="n"/>
      <c r="E2140" s="392" t="n"/>
      <c r="F2140" s="392" t="n"/>
      <c r="G2140" s="392" t="n">
        <v>50</v>
      </c>
      <c r="H2140" s="52">
        <f>H2139-G2140</f>
        <v/>
      </c>
      <c r="I2140" s="568" t="n"/>
      <c r="J2140" s="568" t="n"/>
      <c r="K2140" s="568" t="n"/>
      <c r="L2140" s="568" t="n"/>
    </row>
    <row r="2141">
      <c r="A2141" s="568" t="n">
        <v>44831</v>
      </c>
      <c r="B2141" s="392" t="n">
        <v>9534</v>
      </c>
      <c r="C2141" s="392" t="n">
        <v>100</v>
      </c>
      <c r="D2141" s="392" t="n"/>
      <c r="E2141" s="392" t="n"/>
      <c r="F2141" s="392" t="n"/>
      <c r="G2141" s="392" t="n">
        <v>15</v>
      </c>
      <c r="H2141" s="52">
        <f>H2140-G2141</f>
        <v/>
      </c>
      <c r="I2141" s="568" t="n"/>
      <c r="J2141" s="568" t="n"/>
      <c r="K2141" s="568" t="n"/>
      <c r="L2141" s="568" t="n"/>
    </row>
    <row r="2142">
      <c r="A2142" s="568" t="n">
        <v>44831</v>
      </c>
      <c r="B2142" s="392" t="n">
        <v>9535</v>
      </c>
      <c r="C2142" s="392" t="n">
        <v>100</v>
      </c>
      <c r="D2142" s="392" t="n"/>
      <c r="E2142" s="392" t="n"/>
      <c r="F2142" s="392" t="n"/>
      <c r="G2142" s="392" t="n">
        <v>15</v>
      </c>
      <c r="H2142" s="52">
        <f>H2141-G2142</f>
        <v/>
      </c>
      <c r="I2142" s="568" t="n"/>
      <c r="J2142" s="568" t="n"/>
      <c r="K2142" s="568" t="n"/>
      <c r="L2142" s="568" t="n"/>
    </row>
    <row r="2143">
      <c r="A2143" s="568" t="n">
        <v>44832</v>
      </c>
      <c r="B2143" s="392" t="n">
        <v>9538</v>
      </c>
      <c r="C2143" s="392" t="n">
        <v>102.8</v>
      </c>
      <c r="D2143" s="392" t="n"/>
      <c r="E2143" s="392" t="n"/>
      <c r="F2143" s="392" t="n"/>
      <c r="G2143" s="392" t="n">
        <v>25</v>
      </c>
      <c r="H2143" s="52">
        <f>H2142-G2143</f>
        <v/>
      </c>
      <c r="I2143" s="568" t="n"/>
      <c r="J2143" s="568" t="n"/>
      <c r="K2143" s="568" t="n"/>
      <c r="L2143" s="568" t="n"/>
    </row>
    <row r="2144">
      <c r="A2144" s="568" t="n">
        <v>44832</v>
      </c>
      <c r="B2144" s="392" t="n">
        <v>9539</v>
      </c>
      <c r="C2144" s="392" t="n">
        <v>101.33</v>
      </c>
      <c r="D2144" s="392" t="n"/>
      <c r="E2144" s="392" t="n"/>
      <c r="F2144" s="392" t="n"/>
      <c r="G2144" s="392" t="n">
        <v>37</v>
      </c>
      <c r="H2144" s="52">
        <f>H2143-G2144</f>
        <v/>
      </c>
      <c r="I2144" s="568" t="n"/>
      <c r="J2144" s="568" t="n"/>
      <c r="K2144" s="568" t="n"/>
      <c r="L2144" s="568" t="n"/>
    </row>
    <row r="2145">
      <c r="A2145" s="568" t="n">
        <v>44832</v>
      </c>
      <c r="B2145" s="392" t="n">
        <v>9540</v>
      </c>
      <c r="C2145" s="392" t="n">
        <v>101.17</v>
      </c>
      <c r="D2145" s="392" t="n"/>
      <c r="E2145" s="392" t="n"/>
      <c r="F2145" s="392" t="n"/>
      <c r="G2145" s="392" t="n">
        <v>30</v>
      </c>
      <c r="H2145" s="52">
        <f>H2144-G2145</f>
        <v/>
      </c>
      <c r="I2145" s="568" t="n"/>
      <c r="J2145" s="568" t="n"/>
      <c r="K2145" s="568" t="n"/>
      <c r="L2145" s="568" t="n"/>
    </row>
    <row r="2146" ht="15.75" customHeight="1" s="436" thickBot="1"/>
    <row r="2147" ht="21.75" customHeight="1" s="436" thickBot="1">
      <c r="A2147" s="757" t="inlineStr">
        <is>
          <t>Outubro</t>
        </is>
      </c>
      <c r="B2147" s="697" t="n"/>
      <c r="C2147" s="697" t="n"/>
      <c r="D2147" s="697" t="n"/>
      <c r="E2147" s="697" t="n"/>
      <c r="F2147" s="697" t="n"/>
      <c r="G2147" s="697" t="n"/>
      <c r="H2147" s="697" t="n"/>
      <c r="I2147" s="697" t="n"/>
      <c r="J2147" s="697" t="n"/>
      <c r="K2147" s="697" t="n"/>
      <c r="L2147" s="698" t="n"/>
    </row>
    <row r="2148" ht="21.75" customHeight="1" s="436" thickBot="1">
      <c r="A2148" s="699" t="inlineStr">
        <is>
          <t xml:space="preserve">021 - DENISE FURTADO DE SOUZA - ME </t>
        </is>
      </c>
      <c r="B2148" s="697" t="n"/>
      <c r="C2148" s="697" t="n"/>
      <c r="D2148" s="697" t="n"/>
      <c r="E2148" s="697" t="n"/>
      <c r="F2148" s="697" t="n"/>
      <c r="G2148" s="697" t="n"/>
      <c r="H2148" s="697" t="n"/>
      <c r="I2148" s="697" t="n"/>
      <c r="J2148" s="697" t="n"/>
      <c r="K2148" s="697" t="n"/>
      <c r="L2148" s="698" t="n"/>
    </row>
    <row r="2149" ht="24" customHeight="1" s="436" thickBot="1">
      <c r="A2149" s="745" t="inlineStr">
        <is>
          <t xml:space="preserve">  PRÉ MISTURA - 25 KG</t>
        </is>
      </c>
      <c r="B2149" s="737" t="n"/>
      <c r="C2149" s="737" t="n"/>
      <c r="D2149" s="737" t="n"/>
      <c r="E2149" s="737" t="n"/>
      <c r="F2149" s="737" t="n"/>
      <c r="G2149" s="737" t="n"/>
      <c r="H2149" s="737" t="n"/>
      <c r="I2149" s="737" t="n"/>
      <c r="J2149" s="737" t="n"/>
      <c r="K2149" s="737" t="n"/>
      <c r="L2149" s="736" t="n"/>
    </row>
    <row r="2150">
      <c r="A2150" s="746" t="inlineStr">
        <is>
          <t>DATA</t>
        </is>
      </c>
      <c r="B2150" s="3" t="inlineStr">
        <is>
          <t>N.F.</t>
        </is>
      </c>
      <c r="C2150" s="3" t="inlineStr">
        <is>
          <t>TIPO</t>
        </is>
      </c>
      <c r="D2150" s="3" t="inlineStr">
        <is>
          <t>PREÇO UNITÁRIO</t>
        </is>
      </c>
      <c r="E2150" s="736" t="n"/>
      <c r="F2150" s="3" t="inlineStr">
        <is>
          <t>QUANTIDADE / KG</t>
        </is>
      </c>
      <c r="G2150" s="737" t="n"/>
      <c r="H2150" s="736" t="n"/>
      <c r="I2150" s="631" t="inlineStr">
        <is>
          <t>PREÇO</t>
        </is>
      </c>
      <c r="J2150" s="631" t="inlineStr">
        <is>
          <t>VALORES</t>
        </is>
      </c>
      <c r="K2150" s="737" t="n"/>
      <c r="L2150" s="736" t="n"/>
    </row>
    <row r="2151" ht="15.75" customHeight="1" s="436" thickBot="1">
      <c r="A2151" s="703" t="n"/>
      <c r="B2151" s="704" t="n"/>
      <c r="C2151" s="704" t="n"/>
      <c r="D2151" s="703" t="n"/>
      <c r="E2151" s="701" t="n"/>
      <c r="F2151" s="705" t="n"/>
      <c r="G2151" s="706" t="n"/>
      <c r="H2151" s="707" t="n"/>
      <c r="I2151" s="704" t="n"/>
      <c r="J2151" s="703" t="n"/>
      <c r="L2151" s="701" t="n"/>
    </row>
    <row r="2152" ht="15.75" customHeight="1" s="436" thickBot="1">
      <c r="A2152" s="703" t="n"/>
      <c r="B2152" s="704" t="n"/>
      <c r="C2152" s="704" t="n"/>
      <c r="D2152" s="705" t="n"/>
      <c r="E2152" s="707" t="n"/>
      <c r="F2152" s="3" t="inlineStr">
        <is>
          <t>ENTRADA</t>
        </is>
      </c>
      <c r="G2152" s="3" t="inlineStr">
        <is>
          <t>SAÍDA</t>
        </is>
      </c>
      <c r="H2152" s="640" t="n"/>
      <c r="I2152" s="633" t="inlineStr">
        <is>
          <t>MÉDIO</t>
        </is>
      </c>
      <c r="J2152" s="652" t="inlineStr">
        <is>
          <t>SALDO EM 30/12/2017</t>
        </is>
      </c>
      <c r="K2152" s="706" t="n"/>
      <c r="L2152" s="17" t="n"/>
    </row>
    <row r="2153" ht="15.75" customHeight="1" s="436" thickBot="1">
      <c r="A2153" s="705" t="n"/>
      <c r="B2153" s="695" t="n"/>
      <c r="C2153" s="695" t="n"/>
      <c r="D2153" s="3" t="inlineStr">
        <is>
          <t>C/ICMS</t>
        </is>
      </c>
      <c r="E2153" s="3" t="inlineStr">
        <is>
          <t>S/ICMS</t>
        </is>
      </c>
      <c r="F2153" s="695" t="n"/>
      <c r="G2153" s="695" t="n"/>
      <c r="H2153" s="361" t="inlineStr">
        <is>
          <t>Saldo em 30/09/2022</t>
        </is>
      </c>
      <c r="I2153" s="695" t="n"/>
      <c r="J2153" s="645" t="inlineStr">
        <is>
          <t>ENTRADA</t>
        </is>
      </c>
      <c r="K2153" s="633" t="inlineStr">
        <is>
          <t>SAÍDA / CMV</t>
        </is>
      </c>
      <c r="L2153" s="633" t="inlineStr">
        <is>
          <t>SALDO</t>
        </is>
      </c>
    </row>
    <row r="2154">
      <c r="A2154" s="568" t="n"/>
      <c r="B2154" s="392" t="n"/>
      <c r="C2154" s="392" t="n"/>
      <c r="D2154" s="392" t="n"/>
      <c r="E2154" s="392" t="n"/>
      <c r="F2154" s="392" t="n"/>
      <c r="G2154" s="392" t="n"/>
      <c r="H2154" s="277" t="n">
        <v>690</v>
      </c>
      <c r="I2154" s="568" t="n"/>
      <c r="J2154" s="568" t="n"/>
      <c r="K2154" s="568" t="n"/>
      <c r="L2154" s="568" t="n"/>
    </row>
    <row r="2155">
      <c r="A2155" s="568" t="n">
        <v>44837</v>
      </c>
      <c r="B2155" s="392" t="n">
        <v>9543</v>
      </c>
      <c r="C2155" s="392" t="n">
        <v>100.64</v>
      </c>
      <c r="D2155" s="392" t="n"/>
      <c r="E2155" s="392" t="n"/>
      <c r="F2155" s="392" t="n"/>
      <c r="G2155" s="392" t="n">
        <v>55</v>
      </c>
      <c r="H2155" s="52">
        <f>H2154-G2155</f>
        <v/>
      </c>
      <c r="I2155" s="568" t="n"/>
      <c r="J2155" s="568" t="n"/>
      <c r="K2155" s="568" t="n"/>
      <c r="L2155" s="568" t="n"/>
    </row>
    <row r="2156">
      <c r="A2156" s="568" t="n">
        <v>44837</v>
      </c>
      <c r="B2156" s="392" t="n">
        <v>9545</v>
      </c>
      <c r="C2156" s="392" t="n">
        <v>99</v>
      </c>
      <c r="D2156" s="392" t="n"/>
      <c r="E2156" s="392" t="n"/>
      <c r="F2156" s="392" t="n"/>
      <c r="G2156" s="392" t="n">
        <v>10</v>
      </c>
      <c r="H2156" s="52">
        <f>H2155-G2156</f>
        <v/>
      </c>
      <c r="I2156" s="568" t="n"/>
      <c r="J2156" s="568" t="n"/>
      <c r="K2156" s="568" t="n"/>
      <c r="L2156" s="568" t="n"/>
    </row>
    <row r="2157">
      <c r="A2157" s="568" t="n">
        <v>44837</v>
      </c>
      <c r="B2157" s="392" t="n">
        <v>9546</v>
      </c>
      <c r="C2157" s="392" t="n">
        <v>99.54000000000001</v>
      </c>
      <c r="D2157" s="392" t="n"/>
      <c r="E2157" s="392" t="n"/>
      <c r="F2157" s="392" t="n"/>
      <c r="G2157" s="392" t="n">
        <v>65</v>
      </c>
      <c r="H2157" s="52">
        <f>H2156-G2157</f>
        <v/>
      </c>
      <c r="I2157" s="568" t="n"/>
      <c r="J2157" s="568" t="n"/>
      <c r="K2157" s="568" t="n"/>
      <c r="L2157" s="568" t="n"/>
    </row>
    <row r="2158">
      <c r="A2158" s="568" t="n">
        <v>44839</v>
      </c>
      <c r="B2158" s="392" t="n">
        <v>9550</v>
      </c>
      <c r="C2158" s="392" t="n">
        <v>102.1</v>
      </c>
      <c r="D2158" s="392" t="n"/>
      <c r="E2158" s="392" t="n"/>
      <c r="F2158" s="392" t="n"/>
      <c r="G2158" s="392" t="n">
        <v>100</v>
      </c>
      <c r="H2158" s="52">
        <f>H2157-G2158</f>
        <v/>
      </c>
      <c r="I2158" s="568" t="n"/>
      <c r="J2158" s="568" t="n"/>
      <c r="K2158" s="568" t="n"/>
      <c r="L2158" s="568" t="n"/>
    </row>
    <row r="2159">
      <c r="A2159" s="568" t="n">
        <v>44839</v>
      </c>
      <c r="B2159" s="392" t="n">
        <v>9555</v>
      </c>
      <c r="C2159" s="392" t="n">
        <v>100</v>
      </c>
      <c r="D2159" s="392" t="n"/>
      <c r="E2159" s="392" t="n"/>
      <c r="F2159" s="392" t="n"/>
      <c r="G2159" s="392" t="n">
        <v>20</v>
      </c>
      <c r="H2159" s="52">
        <f>H2158-G2159</f>
        <v/>
      </c>
      <c r="I2159" s="568" t="n"/>
      <c r="J2159" s="568" t="n"/>
      <c r="K2159" s="568" t="n"/>
      <c r="L2159" s="568" t="n"/>
    </row>
    <row r="2160">
      <c r="A2160" s="568" t="n">
        <v>44839</v>
      </c>
      <c r="B2160" s="392" t="n">
        <v>9556</v>
      </c>
      <c r="C2160" s="392" t="n">
        <v>98</v>
      </c>
      <c r="D2160" s="392" t="n"/>
      <c r="E2160" s="392" t="n"/>
      <c r="F2160" s="392" t="n"/>
      <c r="G2160" s="392" t="n">
        <v>30</v>
      </c>
      <c r="H2160" s="52">
        <f>H2159-G2160</f>
        <v/>
      </c>
      <c r="I2160" s="568" t="n"/>
      <c r="J2160" s="568" t="n"/>
      <c r="K2160" s="568" t="n"/>
      <c r="L2160" s="568" t="n"/>
    </row>
    <row r="2161">
      <c r="A2161" s="568" t="n">
        <v>44839</v>
      </c>
      <c r="B2161" s="392" t="n">
        <v>9557</v>
      </c>
      <c r="C2161" s="392" t="n">
        <v>102.8</v>
      </c>
      <c r="D2161" s="392" t="n"/>
      <c r="E2161" s="392" t="n"/>
      <c r="F2161" s="392" t="n"/>
      <c r="G2161" s="392" t="n">
        <v>25</v>
      </c>
      <c r="H2161" s="52">
        <f>H2160-G2161</f>
        <v/>
      </c>
      <c r="I2161" s="568" t="n"/>
      <c r="J2161" s="568" t="n"/>
      <c r="K2161" s="568" t="n"/>
      <c r="L2161" s="568" t="n"/>
    </row>
    <row r="2162">
      <c r="A2162" s="568" t="n">
        <v>44839</v>
      </c>
      <c r="B2162" s="392" t="n">
        <v>9561</v>
      </c>
      <c r="C2162" s="392" t="n">
        <v>101.33</v>
      </c>
      <c r="D2162" s="392" t="n"/>
      <c r="E2162" s="392" t="n"/>
      <c r="F2162" s="392" t="n"/>
      <c r="G2162" s="392" t="n">
        <v>37</v>
      </c>
      <c r="H2162" s="52">
        <f>H2161-G2162</f>
        <v/>
      </c>
      <c r="I2162" s="568" t="n"/>
      <c r="J2162" s="568" t="n"/>
      <c r="K2162" s="568" t="n"/>
      <c r="L2162" s="568" t="n"/>
    </row>
    <row r="2163">
      <c r="A2163" s="304" t="n">
        <v>44845</v>
      </c>
      <c r="B2163" s="401" t="n">
        <v>198993</v>
      </c>
      <c r="C2163" s="401" t="n">
        <v>85</v>
      </c>
      <c r="D2163" s="401" t="n"/>
      <c r="E2163" s="401" t="n"/>
      <c r="F2163" s="401" t="n">
        <v>980</v>
      </c>
      <c r="G2163" s="401" t="n"/>
      <c r="H2163" s="277" t="n">
        <v>1328</v>
      </c>
      <c r="I2163" s="568" t="n"/>
      <c r="J2163" s="568" t="n"/>
      <c r="K2163" s="568" t="n"/>
      <c r="L2163" s="568" t="n"/>
    </row>
    <row r="2164">
      <c r="A2164" s="568" t="n">
        <v>44846</v>
      </c>
      <c r="B2164" s="392" t="n">
        <v>9568</v>
      </c>
      <c r="C2164" s="392" t="n">
        <v>100</v>
      </c>
      <c r="D2164" s="392" t="n"/>
      <c r="E2164" s="392" t="n"/>
      <c r="F2164" s="392" t="n"/>
      <c r="G2164" s="392" t="n">
        <v>80</v>
      </c>
      <c r="H2164" s="52">
        <f>H2163-G2164</f>
        <v/>
      </c>
      <c r="I2164" s="568" t="n"/>
      <c r="J2164" s="568" t="n"/>
      <c r="K2164" s="568" t="n"/>
      <c r="L2164" s="568" t="n"/>
    </row>
    <row r="2165">
      <c r="A2165" s="568" t="n">
        <v>44846</v>
      </c>
      <c r="B2165" s="392" t="n">
        <v>9569</v>
      </c>
      <c r="C2165" s="392" t="n">
        <v>100</v>
      </c>
      <c r="D2165" s="392" t="n"/>
      <c r="E2165" s="392" t="n"/>
      <c r="F2165" s="392" t="n"/>
      <c r="G2165" s="392" t="n">
        <v>30</v>
      </c>
      <c r="H2165" s="52">
        <f>H2164-G2165</f>
        <v/>
      </c>
      <c r="I2165" s="568" t="n"/>
      <c r="J2165" s="568" t="n"/>
      <c r="K2165" s="568" t="n"/>
      <c r="L2165" s="568" t="n"/>
    </row>
    <row r="2166">
      <c r="A2166" s="568" t="n">
        <v>44846</v>
      </c>
      <c r="B2166" s="392" t="n">
        <v>9570</v>
      </c>
      <c r="C2166" s="392" t="n">
        <v>100</v>
      </c>
      <c r="D2166" s="392" t="n"/>
      <c r="E2166" s="392" t="n"/>
      <c r="F2166" s="392" t="n"/>
      <c r="G2166" s="392" t="n">
        <v>25</v>
      </c>
      <c r="H2166" s="52">
        <f>H2165-G2166</f>
        <v/>
      </c>
      <c r="I2166" s="568" t="n"/>
      <c r="J2166" s="568" t="n"/>
      <c r="K2166" s="568" t="n"/>
      <c r="L2166" s="568" t="n"/>
    </row>
    <row r="2167">
      <c r="A2167" s="568" t="n">
        <v>44846</v>
      </c>
      <c r="B2167" s="392" t="n">
        <v>9573</v>
      </c>
      <c r="C2167" s="392" t="n">
        <v>100</v>
      </c>
      <c r="D2167" s="392" t="n"/>
      <c r="E2167" s="392" t="n"/>
      <c r="F2167" s="392" t="n"/>
      <c r="G2167" s="392" t="n">
        <v>15</v>
      </c>
      <c r="H2167" s="52">
        <f>H2166-G2167</f>
        <v/>
      </c>
      <c r="I2167" s="568" t="n"/>
      <c r="J2167" s="568" t="n"/>
      <c r="K2167" s="568" t="n"/>
      <c r="L2167" s="568" t="n"/>
    </row>
    <row r="2168">
      <c r="A2168" s="568" t="n">
        <v>44846</v>
      </c>
      <c r="B2168" s="392" t="n">
        <v>9576</v>
      </c>
      <c r="C2168" s="392" t="n">
        <v>99</v>
      </c>
      <c r="D2168" s="392" t="n"/>
      <c r="E2168" s="392" t="n"/>
      <c r="F2168" s="392" t="n"/>
      <c r="G2168" s="392" t="n">
        <v>100</v>
      </c>
      <c r="H2168" s="52">
        <f>H2167-G2168</f>
        <v/>
      </c>
      <c r="I2168" s="568" t="n"/>
      <c r="J2168" s="568" t="n"/>
      <c r="K2168" s="568" t="n"/>
      <c r="L2168" s="568" t="n"/>
    </row>
    <row r="2169">
      <c r="A2169" s="568" t="n">
        <v>44846</v>
      </c>
      <c r="B2169" s="392" t="n">
        <v>9577</v>
      </c>
      <c r="C2169" s="392" t="n">
        <v>101.1</v>
      </c>
      <c r="D2169" s="392" t="n"/>
      <c r="E2169" s="392" t="n"/>
      <c r="F2169" s="392" t="n"/>
      <c r="G2169" s="392" t="n">
        <v>25</v>
      </c>
      <c r="H2169" s="52">
        <f>H2168-G2169</f>
        <v/>
      </c>
      <c r="I2169" s="568" t="n"/>
      <c r="J2169" s="568" t="n"/>
      <c r="K2169" s="568" t="n"/>
      <c r="L2169" s="568" t="n"/>
    </row>
    <row r="2170">
      <c r="A2170" s="568" t="n">
        <v>44846</v>
      </c>
      <c r="B2170" s="392" t="n">
        <v>9578</v>
      </c>
      <c r="C2170" s="392" t="n">
        <v>101.65</v>
      </c>
      <c r="D2170" s="392" t="n"/>
      <c r="E2170" s="392" t="n"/>
      <c r="F2170" s="392" t="n"/>
      <c r="G2170" s="392" t="n">
        <v>28</v>
      </c>
      <c r="H2170" s="52">
        <f>H2169-G2170</f>
        <v/>
      </c>
      <c r="I2170" s="568" t="n"/>
      <c r="J2170" s="568" t="n"/>
      <c r="K2170" s="568" t="n"/>
      <c r="L2170" s="568" t="n"/>
    </row>
    <row r="2171">
      <c r="A2171" s="568" t="n">
        <v>44846</v>
      </c>
      <c r="B2171" s="392" t="n">
        <v>9579</v>
      </c>
      <c r="C2171" s="392" t="n">
        <v>98</v>
      </c>
      <c r="D2171" s="392" t="n"/>
      <c r="E2171" s="392" t="n"/>
      <c r="F2171" s="392" t="n"/>
      <c r="G2171" s="392" t="n">
        <v>20</v>
      </c>
      <c r="H2171" s="52">
        <f>H2170-G2171</f>
        <v/>
      </c>
      <c r="I2171" s="568" t="n"/>
      <c r="J2171" s="568" t="n"/>
      <c r="K2171" s="568" t="n"/>
      <c r="L2171" s="568" t="n"/>
    </row>
    <row r="2172">
      <c r="A2172" s="568" t="n">
        <v>44846</v>
      </c>
      <c r="B2172" s="392" t="n">
        <v>9583</v>
      </c>
      <c r="C2172" s="392" t="n">
        <v>102.8</v>
      </c>
      <c r="D2172" s="392" t="n"/>
      <c r="E2172" s="392" t="n"/>
      <c r="F2172" s="392" t="n"/>
      <c r="G2172" s="392" t="n">
        <v>25</v>
      </c>
      <c r="H2172" s="52">
        <f>H2171-G2172</f>
        <v/>
      </c>
      <c r="I2172" s="568" t="n"/>
      <c r="J2172" s="568" t="n"/>
      <c r="K2172" s="568" t="n"/>
      <c r="L2172" s="568" t="n"/>
    </row>
    <row r="2173">
      <c r="A2173" s="568" t="n">
        <v>44846</v>
      </c>
      <c r="B2173" s="392" t="n">
        <v>9585</v>
      </c>
      <c r="C2173" s="392" t="n">
        <v>100</v>
      </c>
      <c r="D2173" s="392" t="n"/>
      <c r="E2173" s="392" t="n"/>
      <c r="F2173" s="392" t="n"/>
      <c r="G2173" s="392" t="n">
        <v>15</v>
      </c>
      <c r="H2173" s="52">
        <f>H2172-G2173</f>
        <v/>
      </c>
      <c r="I2173" s="568" t="n"/>
      <c r="J2173" s="568" t="n"/>
      <c r="K2173" s="568" t="n"/>
      <c r="L2173" s="568" t="n"/>
    </row>
    <row r="2174">
      <c r="A2174" s="568" t="n">
        <v>44846</v>
      </c>
      <c r="B2174" s="392" t="n">
        <v>9586</v>
      </c>
      <c r="C2174" s="392" t="n">
        <v>100</v>
      </c>
      <c r="D2174" s="392" t="n"/>
      <c r="E2174" s="392" t="n"/>
      <c r="F2174" s="392" t="n"/>
      <c r="G2174" s="392" t="n">
        <v>15</v>
      </c>
      <c r="H2174" s="52">
        <f>H2173-G2174</f>
        <v/>
      </c>
      <c r="I2174" s="568" t="n"/>
      <c r="J2174" s="568" t="n"/>
      <c r="K2174" s="568" t="n"/>
      <c r="L2174" s="568" t="n"/>
    </row>
    <row r="2175">
      <c r="A2175" s="568" t="n">
        <v>44846</v>
      </c>
      <c r="B2175" s="392" t="n">
        <v>9587</v>
      </c>
      <c r="C2175" s="392" t="n">
        <v>102.34</v>
      </c>
      <c r="D2175" s="392" t="n"/>
      <c r="E2175" s="392" t="n"/>
      <c r="F2175" s="392" t="n"/>
      <c r="G2175" s="392" t="n">
        <v>20</v>
      </c>
      <c r="H2175" s="52">
        <f>H2174-G2175</f>
        <v/>
      </c>
      <c r="I2175" s="568" t="n"/>
      <c r="J2175" s="568" t="n"/>
      <c r="K2175" s="568" t="n"/>
      <c r="L2175" s="568" t="n"/>
    </row>
    <row r="2176">
      <c r="A2176" s="568" t="n">
        <v>44846</v>
      </c>
      <c r="B2176" s="392" t="n">
        <v>9589</v>
      </c>
      <c r="C2176" s="392" t="n">
        <v>101.3</v>
      </c>
      <c r="D2176" s="392" t="n"/>
      <c r="E2176" s="392" t="n"/>
      <c r="F2176" s="392" t="n"/>
      <c r="G2176" s="392" t="n">
        <v>43</v>
      </c>
      <c r="H2176" s="52">
        <f>H2175-G2176</f>
        <v/>
      </c>
      <c r="I2176" s="568" t="n"/>
      <c r="J2176" s="568" t="n"/>
      <c r="K2176" s="568" t="n"/>
      <c r="L2176" s="568" t="n"/>
    </row>
    <row r="2177">
      <c r="A2177" s="568" t="n">
        <v>44850</v>
      </c>
      <c r="B2177" s="392" t="n">
        <v>9590</v>
      </c>
      <c r="C2177" s="392" t="n">
        <v>98</v>
      </c>
      <c r="D2177" s="392" t="n"/>
      <c r="E2177" s="392" t="n"/>
      <c r="F2177" s="392" t="n"/>
      <c r="G2177" s="392" t="n">
        <v>20</v>
      </c>
      <c r="H2177" s="52">
        <f>H2176-G2177</f>
        <v/>
      </c>
      <c r="I2177" s="568" t="n"/>
      <c r="J2177" s="568" t="n"/>
      <c r="K2177" s="568" t="n"/>
      <c r="L2177" s="568" t="n"/>
    </row>
    <row r="2178">
      <c r="A2178" s="568" t="n">
        <v>44850</v>
      </c>
      <c r="B2178" s="392" t="n">
        <v>9592</v>
      </c>
      <c r="C2178" s="392" t="n">
        <v>100</v>
      </c>
      <c r="D2178" s="392" t="n"/>
      <c r="E2178" s="392" t="n"/>
      <c r="F2178" s="392" t="n"/>
      <c r="G2178" s="392" t="n">
        <v>10</v>
      </c>
      <c r="H2178" s="52">
        <f>H2177-G2178</f>
        <v/>
      </c>
      <c r="I2178" s="568" t="n"/>
      <c r="J2178" s="568" t="n"/>
      <c r="K2178" s="568" t="n"/>
      <c r="L2178" s="568" t="n"/>
    </row>
    <row r="2179">
      <c r="A2179" s="568" t="n">
        <v>44853</v>
      </c>
      <c r="B2179" s="392" t="n">
        <v>9600</v>
      </c>
      <c r="C2179" s="392" t="n">
        <v>101.75</v>
      </c>
      <c r="D2179" s="392" t="n"/>
      <c r="E2179" s="392" t="n"/>
      <c r="F2179" s="392" t="n"/>
      <c r="G2179" s="392" t="n">
        <v>40</v>
      </c>
      <c r="H2179" s="52">
        <f>H2178-G2179</f>
        <v/>
      </c>
      <c r="I2179" s="568" t="n"/>
      <c r="J2179" s="568" t="n"/>
      <c r="K2179" s="568" t="n"/>
      <c r="L2179" s="568" t="n"/>
    </row>
    <row r="2180">
      <c r="A2180" s="568" t="n">
        <v>44853</v>
      </c>
      <c r="B2180" s="392" t="n">
        <v>9601</v>
      </c>
      <c r="C2180" s="392" t="n">
        <v>100</v>
      </c>
      <c r="D2180" s="392" t="n"/>
      <c r="E2180" s="392" t="n"/>
      <c r="F2180" s="392" t="n"/>
      <c r="G2180" s="392" t="n">
        <v>20</v>
      </c>
      <c r="H2180" s="52">
        <f>H2179-G2180</f>
        <v/>
      </c>
      <c r="I2180" s="568" t="n"/>
      <c r="J2180" s="568" t="n"/>
      <c r="K2180" s="568" t="n"/>
      <c r="L2180" s="568" t="n"/>
    </row>
    <row r="2181">
      <c r="A2181" s="568" t="n">
        <v>44853</v>
      </c>
      <c r="B2181" s="392" t="n">
        <v>9602</v>
      </c>
      <c r="C2181" s="392" t="n">
        <v>100.82</v>
      </c>
      <c r="D2181" s="392" t="n"/>
      <c r="E2181" s="392" t="n"/>
      <c r="F2181" s="392" t="n"/>
      <c r="G2181" s="392" t="n">
        <v>50</v>
      </c>
      <c r="H2181" s="52">
        <f>H2180-G2181</f>
        <v/>
      </c>
      <c r="I2181" s="568" t="n"/>
      <c r="J2181" s="568" t="n"/>
      <c r="K2181" s="568" t="n"/>
      <c r="L2181" s="568" t="n"/>
    </row>
    <row r="2182">
      <c r="A2182" s="568" t="n">
        <v>44853</v>
      </c>
      <c r="B2182" s="392" t="n">
        <v>9603</v>
      </c>
      <c r="C2182" s="392" t="n">
        <v>100</v>
      </c>
      <c r="D2182" s="392" t="n"/>
      <c r="E2182" s="392" t="n"/>
      <c r="F2182" s="392" t="n"/>
      <c r="G2182" s="392" t="n">
        <v>10</v>
      </c>
      <c r="H2182" s="52">
        <f>H2181-G2182</f>
        <v/>
      </c>
      <c r="I2182" s="568" t="n"/>
      <c r="J2182" s="568" t="n"/>
      <c r="K2182" s="568" t="n"/>
      <c r="L2182" s="568" t="n"/>
    </row>
    <row r="2183">
      <c r="A2183" s="568" t="n">
        <v>44853</v>
      </c>
      <c r="B2183" s="392" t="n">
        <v>9604</v>
      </c>
      <c r="C2183" s="392" t="n">
        <v>100</v>
      </c>
      <c r="D2183" s="392" t="n"/>
      <c r="E2183" s="392" t="n"/>
      <c r="F2183" s="392" t="n"/>
      <c r="G2183" s="392" t="n">
        <v>15</v>
      </c>
      <c r="H2183" s="52">
        <f>H2182-G2183</f>
        <v/>
      </c>
      <c r="I2183" s="568" t="n"/>
      <c r="J2183" s="568" t="n"/>
      <c r="K2183" s="568" t="n"/>
      <c r="L2183" s="568" t="n"/>
    </row>
    <row r="2184">
      <c r="A2184" s="568" t="n">
        <v>44853</v>
      </c>
      <c r="B2184" s="392" t="n">
        <v>9605</v>
      </c>
      <c r="C2184" s="392" t="n">
        <v>100</v>
      </c>
      <c r="D2184" s="392" t="n"/>
      <c r="E2184" s="392" t="n"/>
      <c r="F2184" s="392" t="n"/>
      <c r="G2184" s="392" t="n">
        <v>30</v>
      </c>
      <c r="H2184" s="52">
        <f>H2183-G2184</f>
        <v/>
      </c>
      <c r="I2184" s="568" t="n"/>
      <c r="J2184" s="568" t="n"/>
      <c r="K2184" s="568" t="n"/>
      <c r="L2184" s="568" t="n"/>
    </row>
    <row r="2185">
      <c r="A2185" s="568" t="n">
        <v>44853</v>
      </c>
      <c r="B2185" s="392" t="n">
        <v>9606</v>
      </c>
      <c r="C2185" s="392" t="n">
        <v>101.3</v>
      </c>
      <c r="D2185" s="392" t="n"/>
      <c r="E2185" s="392" t="n"/>
      <c r="F2185" s="392" t="n"/>
      <c r="G2185" s="392" t="n">
        <v>43</v>
      </c>
      <c r="H2185" s="52">
        <f>H2184-G2185</f>
        <v/>
      </c>
      <c r="I2185" s="568" t="n"/>
      <c r="J2185" s="568" t="n"/>
      <c r="K2185" s="568" t="n"/>
      <c r="L2185" s="568" t="n"/>
    </row>
    <row r="2186">
      <c r="A2186" s="568" t="n">
        <v>44853</v>
      </c>
      <c r="B2186" s="392" t="n">
        <v>9607</v>
      </c>
      <c r="C2186" s="392" t="n">
        <v>98</v>
      </c>
      <c r="D2186" s="392" t="n"/>
      <c r="E2186" s="392" t="n"/>
      <c r="F2186" s="392" t="n"/>
      <c r="G2186" s="392" t="n">
        <v>10</v>
      </c>
      <c r="H2186" s="52">
        <f>H2185-G2186</f>
        <v/>
      </c>
      <c r="I2186" s="568" t="n"/>
      <c r="J2186" s="568" t="n"/>
      <c r="K2186" s="568" t="n"/>
      <c r="L2186" s="568" t="n"/>
    </row>
    <row r="2187">
      <c r="A2187" s="568" t="n">
        <v>44853</v>
      </c>
      <c r="B2187" s="392" t="n">
        <v>9608</v>
      </c>
      <c r="C2187" s="392" t="n">
        <v>100</v>
      </c>
      <c r="D2187" s="392" t="n"/>
      <c r="E2187" s="392" t="n"/>
      <c r="F2187" s="392" t="n"/>
      <c r="G2187" s="392" t="n">
        <v>5</v>
      </c>
      <c r="H2187" s="52">
        <f>H2186-G2187</f>
        <v/>
      </c>
      <c r="I2187" s="568" t="n"/>
      <c r="J2187" s="568" t="n"/>
      <c r="K2187" s="568" t="n"/>
      <c r="L2187" s="568" t="n"/>
    </row>
    <row r="2188">
      <c r="A2188" s="568" t="n">
        <v>44853</v>
      </c>
      <c r="B2188" s="392" t="n">
        <v>9609</v>
      </c>
      <c r="C2188" s="392" t="n">
        <v>100</v>
      </c>
      <c r="D2188" s="392" t="n"/>
      <c r="E2188" s="392" t="n"/>
      <c r="F2188" s="392" t="n"/>
      <c r="G2188" s="392" t="n">
        <v>12</v>
      </c>
      <c r="H2188" s="52">
        <f>H2187-G2188</f>
        <v/>
      </c>
      <c r="I2188" s="568" t="n"/>
      <c r="J2188" s="568" t="n"/>
      <c r="K2188" s="568" t="n"/>
      <c r="L2188" s="568" t="n"/>
    </row>
    <row r="2189">
      <c r="A2189" s="304" t="n">
        <v>44858</v>
      </c>
      <c r="B2189" s="401" t="n">
        <v>199991</v>
      </c>
      <c r="C2189" s="401" t="n">
        <v>86</v>
      </c>
      <c r="D2189" s="401" t="n"/>
      <c r="E2189" s="401" t="n"/>
      <c r="F2189" s="401" t="n">
        <v>900</v>
      </c>
      <c r="G2189" s="401" t="n"/>
      <c r="H2189" s="277" t="n">
        <v>1522</v>
      </c>
      <c r="I2189" s="568" t="n"/>
      <c r="J2189" s="568" t="n"/>
      <c r="K2189" s="568" t="n"/>
      <c r="L2189" s="568" t="n"/>
    </row>
    <row r="2190">
      <c r="A2190" s="568" t="n">
        <v>44858</v>
      </c>
      <c r="B2190" s="392" t="n">
        <v>9610</v>
      </c>
      <c r="C2190" s="392" t="n">
        <v>98</v>
      </c>
      <c r="D2190" s="392" t="n"/>
      <c r="E2190" s="392" t="n"/>
      <c r="F2190" s="392" t="n"/>
      <c r="G2190" s="392" t="n">
        <v>30</v>
      </c>
      <c r="H2190" s="52">
        <f>H2189-G2190</f>
        <v/>
      </c>
      <c r="I2190" s="568" t="n"/>
      <c r="J2190" s="568" t="n"/>
      <c r="K2190" s="568" t="n"/>
      <c r="L2190" s="568" t="n"/>
    </row>
    <row r="2191">
      <c r="A2191" s="568" t="n">
        <v>44858</v>
      </c>
      <c r="B2191" s="392" t="n">
        <v>9611</v>
      </c>
      <c r="C2191" s="392" t="n">
        <v>100</v>
      </c>
      <c r="D2191" s="392" t="n"/>
      <c r="E2191" s="392" t="n"/>
      <c r="F2191" s="392" t="n"/>
      <c r="G2191" s="392" t="n">
        <v>30</v>
      </c>
      <c r="H2191" s="52">
        <f>H2190-G2191</f>
        <v/>
      </c>
      <c r="I2191" s="568" t="n"/>
      <c r="J2191" s="568" t="n"/>
      <c r="K2191" s="568" t="n"/>
      <c r="L2191" s="568" t="n"/>
    </row>
    <row r="2192">
      <c r="A2192" s="568" t="n">
        <v>44858</v>
      </c>
      <c r="B2192" s="392" t="n">
        <v>9615</v>
      </c>
      <c r="C2192" s="392" t="n">
        <v>100</v>
      </c>
      <c r="D2192" s="392" t="n"/>
      <c r="E2192" s="392" t="n"/>
      <c r="F2192" s="392" t="n"/>
      <c r="G2192" s="392" t="n">
        <v>15</v>
      </c>
      <c r="H2192" s="52">
        <f>H2191-G2192</f>
        <v/>
      </c>
      <c r="I2192" s="568" t="n"/>
      <c r="J2192" s="568" t="n"/>
      <c r="K2192" s="568" t="n"/>
      <c r="L2192" s="568" t="n"/>
    </row>
    <row r="2193">
      <c r="A2193" s="568" t="n">
        <v>44858</v>
      </c>
      <c r="B2193" s="392" t="n">
        <v>9616</v>
      </c>
      <c r="C2193" s="392" t="n">
        <v>100</v>
      </c>
      <c r="D2193" s="392" t="n"/>
      <c r="E2193" s="392" t="n"/>
      <c r="F2193" s="392" t="n"/>
      <c r="G2193" s="392" t="n">
        <v>10</v>
      </c>
      <c r="H2193" s="52">
        <f>H2192-G2193</f>
        <v/>
      </c>
      <c r="I2193" s="568" t="n"/>
      <c r="J2193" s="568" t="n"/>
      <c r="K2193" s="568" t="n"/>
      <c r="L2193" s="568" t="n"/>
    </row>
    <row r="2194">
      <c r="A2194" s="568" t="n">
        <v>44858</v>
      </c>
      <c r="B2194" s="392" t="n">
        <v>9619</v>
      </c>
      <c r="C2194" s="392" t="n">
        <v>103</v>
      </c>
      <c r="D2194" s="392" t="n"/>
      <c r="E2194" s="392" t="n"/>
      <c r="F2194" s="392" t="n"/>
      <c r="G2194" s="392" t="n">
        <v>70</v>
      </c>
      <c r="H2194" s="52">
        <f>H2193-G2194</f>
        <v/>
      </c>
      <c r="I2194" s="568" t="n"/>
      <c r="J2194" s="568" t="n"/>
      <c r="K2194" s="568" t="n"/>
      <c r="L2194" s="568" t="n"/>
    </row>
    <row r="2195">
      <c r="A2195" s="568" t="n">
        <v>44860</v>
      </c>
      <c r="B2195" s="392" t="n">
        <v>9625</v>
      </c>
      <c r="C2195" s="392" t="n">
        <v>99.5</v>
      </c>
      <c r="D2195" s="392" t="n"/>
      <c r="E2195" s="392" t="n"/>
      <c r="F2195" s="392" t="n"/>
      <c r="G2195" s="392" t="n">
        <v>10</v>
      </c>
      <c r="H2195" s="52">
        <f>H2194-G2195</f>
        <v/>
      </c>
      <c r="I2195" s="568" t="n"/>
      <c r="J2195" s="568" t="n"/>
      <c r="K2195" s="568" t="n"/>
      <c r="L2195" s="568" t="n"/>
    </row>
    <row r="2196">
      <c r="A2196" s="568" t="n">
        <v>44860</v>
      </c>
      <c r="B2196" s="392" t="n">
        <v>9626</v>
      </c>
      <c r="C2196" s="392" t="n">
        <v>98</v>
      </c>
      <c r="D2196" s="392" t="n"/>
      <c r="E2196" s="392" t="n"/>
      <c r="F2196" s="392" t="n"/>
      <c r="G2196" s="392" t="n">
        <v>50</v>
      </c>
      <c r="H2196" s="52">
        <f>H2195-G2196</f>
        <v/>
      </c>
      <c r="I2196" s="568" t="n"/>
      <c r="J2196" s="568" t="n"/>
      <c r="K2196" s="568" t="n"/>
      <c r="L2196" s="568" t="n"/>
    </row>
    <row r="2197">
      <c r="A2197" s="568" t="n">
        <v>44860</v>
      </c>
      <c r="B2197" s="392" t="n">
        <v>9629</v>
      </c>
      <c r="C2197" s="392" t="n">
        <v>101.4</v>
      </c>
      <c r="D2197" s="392" t="n"/>
      <c r="E2197" s="392" t="n"/>
      <c r="F2197" s="392" t="n"/>
      <c r="G2197" s="392" t="n">
        <v>20</v>
      </c>
      <c r="H2197" s="52">
        <f>H2196-G2197</f>
        <v/>
      </c>
      <c r="I2197" s="568" t="n"/>
      <c r="J2197" s="568" t="n"/>
      <c r="K2197" s="568" t="n"/>
      <c r="L2197" s="568" t="n"/>
    </row>
    <row r="2198">
      <c r="A2198" s="568" t="n">
        <v>44860</v>
      </c>
      <c r="B2198" s="392" t="n">
        <v>9632</v>
      </c>
      <c r="C2198" s="392" t="n">
        <v>100</v>
      </c>
      <c r="D2198" s="392" t="n"/>
      <c r="E2198" s="392" t="n"/>
      <c r="F2198" s="392" t="n"/>
      <c r="G2198" s="392" t="n">
        <v>15</v>
      </c>
      <c r="H2198" s="52">
        <f>H2197-G2198</f>
        <v/>
      </c>
      <c r="I2198" s="568" t="n"/>
      <c r="J2198" s="568" t="n"/>
      <c r="K2198" s="568" t="n"/>
      <c r="L2198" s="568" t="n"/>
    </row>
    <row r="2199">
      <c r="A2199" s="568" t="n">
        <v>44860</v>
      </c>
      <c r="B2199" s="392" t="n">
        <v>9634</v>
      </c>
      <c r="C2199" s="392" t="n">
        <v>101.3</v>
      </c>
      <c r="D2199" s="392" t="n"/>
      <c r="E2199" s="392" t="n"/>
      <c r="F2199" s="392" t="n"/>
      <c r="G2199" s="392" t="n">
        <v>43</v>
      </c>
      <c r="H2199" s="52">
        <f>H2198-G2199</f>
        <v/>
      </c>
      <c r="I2199" s="568" t="n"/>
      <c r="J2199" s="568" t="n"/>
      <c r="K2199" s="568" t="n"/>
      <c r="L2199" s="568" t="n"/>
    </row>
    <row r="2200">
      <c r="A2200" s="568" t="n">
        <v>44860</v>
      </c>
      <c r="B2200" s="392" t="n">
        <v>9636</v>
      </c>
      <c r="C2200" s="392" t="n">
        <v>101.75</v>
      </c>
      <c r="D2200" s="392" t="n"/>
      <c r="E2200" s="392" t="n"/>
      <c r="F2200" s="392" t="n"/>
      <c r="G2200" s="392" t="n">
        <v>20</v>
      </c>
      <c r="H2200" s="52">
        <f>H2199-G2200</f>
        <v/>
      </c>
      <c r="I2200" s="568" t="n"/>
      <c r="J2200" s="568" t="n"/>
      <c r="K2200" s="568" t="n"/>
      <c r="L2200" s="568" t="n"/>
    </row>
    <row r="2201">
      <c r="A2201" s="568" t="n">
        <v>44860</v>
      </c>
      <c r="B2201" s="392" t="n">
        <v>9637</v>
      </c>
      <c r="C2201" s="392" t="n">
        <v>101.4</v>
      </c>
      <c r="D2201" s="392" t="n"/>
      <c r="E2201" s="392" t="n"/>
      <c r="F2201" s="392" t="n"/>
      <c r="G2201" s="392" t="n">
        <v>25</v>
      </c>
      <c r="H2201" s="52">
        <f>H2200-G2201</f>
        <v/>
      </c>
      <c r="I2201" s="568" t="n"/>
      <c r="J2201" s="568" t="n"/>
      <c r="K2201" s="568" t="n"/>
      <c r="L2201" s="568" t="n"/>
    </row>
    <row r="2202" ht="15.75" customHeight="1" s="436" thickBot="1"/>
    <row r="2203" ht="21.75" customHeight="1" s="436" thickBot="1">
      <c r="A2203" s="757" t="inlineStr">
        <is>
          <t>Novembro</t>
        </is>
      </c>
      <c r="B2203" s="697" t="n"/>
      <c r="C2203" s="697" t="n"/>
      <c r="D2203" s="697" t="n"/>
      <c r="E2203" s="697" t="n"/>
      <c r="F2203" s="697" t="n"/>
      <c r="G2203" s="697" t="n"/>
      <c r="H2203" s="697" t="n"/>
      <c r="I2203" s="697" t="n"/>
      <c r="J2203" s="697" t="n"/>
      <c r="K2203" s="697" t="n"/>
      <c r="L2203" s="698" t="n"/>
    </row>
    <row r="2204" ht="21.75" customHeight="1" s="436" thickBot="1">
      <c r="A2204" s="699" t="inlineStr">
        <is>
          <t xml:space="preserve">021 - DENISE FURTADO DE SOUZA - ME </t>
        </is>
      </c>
      <c r="B2204" s="697" t="n"/>
      <c r="C2204" s="697" t="n"/>
      <c r="D2204" s="697" t="n"/>
      <c r="E2204" s="697" t="n"/>
      <c r="F2204" s="697" t="n"/>
      <c r="G2204" s="697" t="n"/>
      <c r="H2204" s="697" t="n"/>
      <c r="I2204" s="697" t="n"/>
      <c r="J2204" s="697" t="n"/>
      <c r="K2204" s="697" t="n"/>
      <c r="L2204" s="698" t="n"/>
    </row>
    <row r="2205" ht="24" customHeight="1" s="436" thickBot="1">
      <c r="A2205" s="745" t="inlineStr">
        <is>
          <t xml:space="preserve">  PRÉ MISTURA - 25 KG</t>
        </is>
      </c>
      <c r="B2205" s="737" t="n"/>
      <c r="C2205" s="737" t="n"/>
      <c r="D2205" s="737" t="n"/>
      <c r="E2205" s="737" t="n"/>
      <c r="F2205" s="737" t="n"/>
      <c r="G2205" s="737" t="n"/>
      <c r="H2205" s="737" t="n"/>
      <c r="I2205" s="737" t="n"/>
      <c r="J2205" s="737" t="n"/>
      <c r="K2205" s="737" t="n"/>
      <c r="L2205" s="736" t="n"/>
    </row>
    <row r="2206">
      <c r="A2206" s="746" t="inlineStr">
        <is>
          <t>DATA</t>
        </is>
      </c>
      <c r="B2206" s="3" t="inlineStr">
        <is>
          <t>N.F.</t>
        </is>
      </c>
      <c r="C2206" s="3" t="inlineStr">
        <is>
          <t>TIPO</t>
        </is>
      </c>
      <c r="D2206" s="3" t="inlineStr">
        <is>
          <t>PREÇO UNITÁRIO</t>
        </is>
      </c>
      <c r="E2206" s="736" t="n"/>
      <c r="F2206" s="3" t="inlineStr">
        <is>
          <t>QUANTIDADE / KG</t>
        </is>
      </c>
      <c r="G2206" s="737" t="n"/>
      <c r="H2206" s="736" t="n"/>
      <c r="I2206" s="631" t="inlineStr">
        <is>
          <t>PREÇO</t>
        </is>
      </c>
      <c r="J2206" s="631" t="inlineStr">
        <is>
          <t>VALORES</t>
        </is>
      </c>
      <c r="K2206" s="737" t="n"/>
      <c r="L2206" s="736" t="n"/>
    </row>
    <row r="2207" ht="15.75" customHeight="1" s="436" thickBot="1">
      <c r="A2207" s="703" t="n"/>
      <c r="B2207" s="704" t="n"/>
      <c r="C2207" s="704" t="n"/>
      <c r="D2207" s="703" t="n"/>
      <c r="E2207" s="701" t="n"/>
      <c r="F2207" s="705" t="n"/>
      <c r="G2207" s="706" t="n"/>
      <c r="H2207" s="707" t="n"/>
      <c r="I2207" s="704" t="n"/>
      <c r="J2207" s="703" t="n"/>
      <c r="L2207" s="701" t="n"/>
    </row>
    <row r="2208" ht="15.75" customHeight="1" s="436" thickBot="1">
      <c r="A2208" s="703" t="n"/>
      <c r="B2208" s="704" t="n"/>
      <c r="C2208" s="704" t="n"/>
      <c r="D2208" s="705" t="n"/>
      <c r="E2208" s="707" t="n"/>
      <c r="F2208" s="3" t="inlineStr">
        <is>
          <t>ENTRADA</t>
        </is>
      </c>
      <c r="G2208" s="3" t="inlineStr">
        <is>
          <t>SAÍDA</t>
        </is>
      </c>
      <c r="H2208" s="640" t="n"/>
      <c r="I2208" s="633" t="inlineStr">
        <is>
          <t>MÉDIO</t>
        </is>
      </c>
      <c r="J2208" s="652" t="inlineStr">
        <is>
          <t>SALDO EM 30/12/2017</t>
        </is>
      </c>
      <c r="K2208" s="706" t="n"/>
      <c r="L2208" s="17" t="n"/>
    </row>
    <row r="2209" ht="15.75" customHeight="1" s="436" thickBot="1">
      <c r="A2209" s="705" t="n"/>
      <c r="B2209" s="695" t="n"/>
      <c r="C2209" s="695" t="n"/>
      <c r="D2209" s="3" t="inlineStr">
        <is>
          <t>C/ICMS</t>
        </is>
      </c>
      <c r="E2209" s="3" t="inlineStr">
        <is>
          <t>S/ICMS</t>
        </is>
      </c>
      <c r="F2209" s="695" t="n"/>
      <c r="G2209" s="695" t="n"/>
      <c r="H2209" s="361" t="inlineStr">
        <is>
          <t>Saldo em 31/10/2022</t>
        </is>
      </c>
      <c r="I2209" s="695" t="n"/>
      <c r="J2209" s="645" t="inlineStr">
        <is>
          <t>ENTRADA</t>
        </is>
      </c>
      <c r="K2209" s="633" t="inlineStr">
        <is>
          <t>SAÍDA / CMV</t>
        </is>
      </c>
      <c r="L2209" s="633" t="inlineStr">
        <is>
          <t>SALDO</t>
        </is>
      </c>
    </row>
    <row r="2210">
      <c r="A2210" s="568" t="n"/>
      <c r="B2210" s="392" t="n"/>
      <c r="C2210" s="392" t="n"/>
      <c r="D2210" s="392" t="n"/>
      <c r="E2210" s="392" t="n"/>
      <c r="F2210" s="392" t="n"/>
      <c r="G2210" s="392" t="n"/>
      <c r="H2210" s="277" t="n">
        <v>1184</v>
      </c>
      <c r="I2210" s="568" t="n"/>
      <c r="J2210" s="568" t="n"/>
      <c r="K2210" s="568" t="n"/>
      <c r="L2210" s="568" t="n"/>
    </row>
    <row r="2211">
      <c r="A2211" s="568" t="n">
        <v>44867</v>
      </c>
      <c r="B2211" s="392" t="n">
        <v>9642</v>
      </c>
      <c r="C2211" s="392" t="n">
        <v>104.29</v>
      </c>
      <c r="D2211" s="392" t="n"/>
      <c r="E2211" s="392" t="n"/>
      <c r="F2211" s="392" t="n"/>
      <c r="G2211" s="392" t="n">
        <v>35</v>
      </c>
      <c r="H2211" s="52">
        <f>H2210-G2211</f>
        <v/>
      </c>
      <c r="I2211" s="568" t="n"/>
      <c r="J2211" s="568" t="n"/>
      <c r="K2211" s="568" t="n"/>
      <c r="L2211" s="568" t="n"/>
    </row>
    <row r="2212">
      <c r="A2212" s="568" t="n">
        <v>44867</v>
      </c>
      <c r="B2212" s="392" t="n">
        <v>9644</v>
      </c>
      <c r="C2212" s="392" t="n">
        <v>102</v>
      </c>
      <c r="D2212" s="392" t="n"/>
      <c r="E2212" s="392" t="n"/>
      <c r="F2212" s="392" t="n"/>
      <c r="G2212" s="392" t="n">
        <v>20</v>
      </c>
      <c r="H2212" s="52">
        <f>H2211-G2212</f>
        <v/>
      </c>
      <c r="I2212" s="568" t="n"/>
      <c r="J2212" s="568" t="n"/>
      <c r="K2212" s="568" t="n"/>
      <c r="L2212" s="568" t="n"/>
    </row>
    <row r="2213">
      <c r="A2213" s="568" t="n">
        <v>44867</v>
      </c>
      <c r="B2213" s="392" t="n">
        <v>9645</v>
      </c>
      <c r="C2213" s="392" t="n">
        <v>102</v>
      </c>
      <c r="D2213" s="392" t="n"/>
      <c r="E2213" s="392" t="n"/>
      <c r="F2213" s="392" t="n"/>
      <c r="G2213" s="392" t="n">
        <v>10</v>
      </c>
      <c r="H2213" s="52">
        <f>H2212-G2213</f>
        <v/>
      </c>
      <c r="I2213" s="568" t="n"/>
      <c r="J2213" s="568" t="n"/>
      <c r="K2213" s="568" t="n"/>
      <c r="L2213" s="568" t="n"/>
    </row>
    <row r="2214">
      <c r="A2214" s="568" t="n">
        <v>44867</v>
      </c>
      <c r="B2214" s="392" t="n">
        <v>9647</v>
      </c>
      <c r="C2214" s="392" t="n">
        <v>101.33</v>
      </c>
      <c r="D2214" s="392" t="n"/>
      <c r="E2214" s="392" t="n"/>
      <c r="F2214" s="392" t="n"/>
      <c r="G2214" s="392" t="n">
        <v>37</v>
      </c>
      <c r="H2214" s="52">
        <f>H2213-G2214</f>
        <v/>
      </c>
      <c r="I2214" s="568" t="n"/>
      <c r="J2214" s="568" t="n"/>
      <c r="K2214" s="568" t="n"/>
      <c r="L2214" s="568" t="n"/>
    </row>
    <row r="2215">
      <c r="A2215" s="568" t="n">
        <v>44867</v>
      </c>
      <c r="B2215" s="392" t="n">
        <v>9648</v>
      </c>
      <c r="C2215" s="392" t="n">
        <v>102</v>
      </c>
      <c r="D2215" s="392" t="n"/>
      <c r="E2215" s="392" t="n"/>
      <c r="F2215" s="392" t="n"/>
      <c r="G2215" s="392" t="n">
        <v>20</v>
      </c>
      <c r="H2215" s="52">
        <f>H2214-G2215</f>
        <v/>
      </c>
      <c r="I2215" s="568" t="n"/>
      <c r="J2215" s="568" t="n"/>
      <c r="K2215" s="568" t="n"/>
      <c r="L2215" s="568" t="n"/>
    </row>
    <row r="2216">
      <c r="A2216" s="568" t="n">
        <v>44869</v>
      </c>
      <c r="B2216" s="392" t="n">
        <v>9650</v>
      </c>
      <c r="C2216" s="392" t="n">
        <v>102</v>
      </c>
      <c r="D2216" s="392" t="n"/>
      <c r="E2216" s="392" t="n"/>
      <c r="F2216" s="392" t="n"/>
      <c r="G2216" s="392" t="n">
        <v>15</v>
      </c>
      <c r="H2216" s="52">
        <f>H2215-G2216</f>
        <v/>
      </c>
      <c r="I2216" s="568" t="n"/>
      <c r="J2216" s="568" t="n"/>
      <c r="K2216" s="568" t="n"/>
      <c r="L2216" s="568" t="n"/>
    </row>
    <row r="2217">
      <c r="A2217" s="568" t="n">
        <v>44869</v>
      </c>
      <c r="B2217" s="392" t="n">
        <v>9651</v>
      </c>
      <c r="C2217" s="392" t="n">
        <v>100</v>
      </c>
      <c r="D2217" s="392" t="n"/>
      <c r="E2217" s="392" t="n"/>
      <c r="F2217" s="392" t="n"/>
      <c r="G2217" s="392" t="n">
        <v>10</v>
      </c>
      <c r="H2217" s="52">
        <f>H2216-G2217</f>
        <v/>
      </c>
      <c r="I2217" s="568" t="n"/>
      <c r="J2217" s="568" t="n"/>
      <c r="K2217" s="568" t="n"/>
      <c r="L2217" s="568" t="n"/>
    </row>
    <row r="2218">
      <c r="A2218" s="568" t="n">
        <v>44869</v>
      </c>
      <c r="B2218" s="392" t="n">
        <v>9652</v>
      </c>
      <c r="C2218" s="392" t="n">
        <v>103.75</v>
      </c>
      <c r="D2218" s="392" t="n"/>
      <c r="E2218" s="392" t="n"/>
      <c r="F2218" s="392" t="n"/>
      <c r="G2218" s="392" t="n">
        <v>20</v>
      </c>
      <c r="H2218" s="52">
        <f>H2217-G2218</f>
        <v/>
      </c>
      <c r="I2218" s="568" t="n"/>
      <c r="J2218" s="568" t="n"/>
      <c r="K2218" s="568" t="n"/>
      <c r="L2218" s="568" t="n"/>
    </row>
    <row r="2219">
      <c r="A2219" s="568" t="n">
        <v>44872</v>
      </c>
      <c r="B2219" s="392" t="n">
        <v>9655</v>
      </c>
      <c r="C2219" s="392" t="n">
        <v>102</v>
      </c>
      <c r="D2219" s="392" t="n"/>
      <c r="E2219" s="392" t="n"/>
      <c r="F2219" s="392" t="n"/>
      <c r="G2219" s="392" t="n">
        <v>100</v>
      </c>
      <c r="H2219" s="52">
        <f>H2218-G2219</f>
        <v/>
      </c>
      <c r="I2219" s="568" t="n"/>
      <c r="J2219" s="568" t="n"/>
      <c r="K2219" s="568" t="n"/>
      <c r="L2219" s="568" t="n"/>
    </row>
    <row r="2220">
      <c r="A2220" s="568" t="n">
        <v>44872</v>
      </c>
      <c r="B2220" s="392" t="n">
        <v>9664</v>
      </c>
      <c r="C2220" s="392" t="n">
        <v>102</v>
      </c>
      <c r="D2220" s="392" t="n"/>
      <c r="E2220" s="392" t="n"/>
      <c r="F2220" s="392" t="n"/>
      <c r="G2220" s="392" t="n">
        <v>15</v>
      </c>
      <c r="H2220" s="52">
        <f>H2219-G2220</f>
        <v/>
      </c>
      <c r="I2220" s="568" t="n"/>
      <c r="J2220" s="568" t="n"/>
      <c r="K2220" s="568" t="n"/>
      <c r="L2220" s="568" t="n"/>
    </row>
    <row r="2221">
      <c r="A2221" s="568" t="n">
        <v>44874</v>
      </c>
      <c r="B2221" s="392" t="n">
        <v>9666</v>
      </c>
      <c r="C2221" s="392" t="n">
        <v>102</v>
      </c>
      <c r="D2221" s="392" t="n"/>
      <c r="E2221" s="392" t="n"/>
      <c r="F2221" s="392" t="n"/>
      <c r="G2221" s="392" t="n">
        <v>15</v>
      </c>
      <c r="H2221" s="52">
        <f>H2220-G2221</f>
        <v/>
      </c>
      <c r="I2221" s="568" t="n"/>
      <c r="J2221" s="568" t="n"/>
      <c r="K2221" s="568" t="n"/>
      <c r="L2221" s="568" t="n"/>
    </row>
    <row r="2222">
      <c r="A2222" s="568" t="n">
        <v>44874</v>
      </c>
      <c r="B2222" s="392" t="n">
        <v>9668</v>
      </c>
      <c r="C2222" s="392" t="n">
        <v>103.24</v>
      </c>
      <c r="D2222" s="392" t="n"/>
      <c r="E2222" s="392" t="n"/>
      <c r="F2222" s="392" t="n"/>
      <c r="G2222" s="392" t="n">
        <v>25</v>
      </c>
      <c r="H2222" s="52">
        <f>H2221-G2222</f>
        <v/>
      </c>
      <c r="I2222" s="568" t="n"/>
      <c r="J2222" s="568" t="n"/>
      <c r="K2222" s="568" t="n"/>
      <c r="L2222" s="568" t="n"/>
    </row>
    <row r="2223">
      <c r="A2223" s="568" t="n">
        <v>44874</v>
      </c>
      <c r="B2223" s="392" t="n">
        <v>9671</v>
      </c>
      <c r="C2223" s="392" t="n">
        <v>103.75</v>
      </c>
      <c r="D2223" s="392" t="n"/>
      <c r="E2223" s="392" t="n"/>
      <c r="F2223" s="392" t="n"/>
      <c r="G2223" s="392" t="n">
        <v>20</v>
      </c>
      <c r="H2223" s="52">
        <f>H2222-G2223</f>
        <v/>
      </c>
      <c r="I2223" s="568" t="n"/>
      <c r="J2223" s="568" t="n"/>
      <c r="K2223" s="568" t="n"/>
      <c r="L2223" s="568" t="n"/>
    </row>
    <row r="2224">
      <c r="A2224" s="568" t="n">
        <v>44874</v>
      </c>
      <c r="B2224" s="392" t="n">
        <v>9673</v>
      </c>
      <c r="C2224" s="392" t="n">
        <v>102.7</v>
      </c>
      <c r="D2224" s="392" t="n"/>
      <c r="E2224" s="392" t="n"/>
      <c r="F2224" s="392" t="n"/>
      <c r="G2224" s="392" t="n">
        <v>50</v>
      </c>
      <c r="H2224" s="52">
        <f>H2223-G2224</f>
        <v/>
      </c>
      <c r="I2224" s="568" t="n"/>
      <c r="J2224" s="568" t="n"/>
      <c r="K2224" s="568" t="n"/>
      <c r="L2224" s="568" t="n"/>
    </row>
    <row r="2225">
      <c r="A2225" s="568" t="n">
        <v>44874</v>
      </c>
      <c r="B2225" s="392" t="n">
        <v>9676</v>
      </c>
      <c r="C2225" s="392" t="n">
        <v>102</v>
      </c>
      <c r="D2225" s="392" t="n"/>
      <c r="E2225" s="392" t="n"/>
      <c r="F2225" s="392" t="n"/>
      <c r="G2225" s="392" t="n">
        <v>20</v>
      </c>
      <c r="H2225" s="52">
        <f>H2224-G2225</f>
        <v/>
      </c>
      <c r="I2225" s="568" t="n"/>
      <c r="J2225" s="568" t="n"/>
      <c r="K2225" s="568" t="n"/>
      <c r="L2225" s="568" t="n"/>
    </row>
    <row r="2226">
      <c r="A2226" s="568" t="n">
        <v>44874</v>
      </c>
      <c r="B2226" s="392" t="n">
        <v>9679</v>
      </c>
      <c r="C2226" s="392" t="n">
        <v>103.33</v>
      </c>
      <c r="D2226" s="392" t="n"/>
      <c r="E2226" s="392" t="n"/>
      <c r="F2226" s="392" t="n"/>
      <c r="G2226" s="392" t="n">
        <v>42</v>
      </c>
      <c r="H2226" s="52">
        <f>H2225-G2226</f>
        <v/>
      </c>
      <c r="I2226" s="568" t="n"/>
      <c r="J2226" s="568" t="n"/>
      <c r="K2226" s="568" t="n"/>
      <c r="L2226" s="568" t="n"/>
    </row>
    <row r="2227">
      <c r="A2227" s="304" t="n">
        <v>44879</v>
      </c>
      <c r="B2227" s="401" t="n">
        <v>201428</v>
      </c>
      <c r="C2227" s="401" t="n">
        <v>88</v>
      </c>
      <c r="D2227" s="401" t="n"/>
      <c r="E2227" s="401" t="n">
        <v>810</v>
      </c>
      <c r="F2227" s="401" t="n"/>
      <c r="G2227" s="401" t="n"/>
      <c r="H2227" s="277" t="n">
        <v>1540</v>
      </c>
      <c r="I2227" s="568" t="n"/>
      <c r="J2227" s="568" t="n"/>
      <c r="K2227" s="568" t="n"/>
      <c r="L2227" s="568" t="n"/>
    </row>
    <row r="2228">
      <c r="A2228" s="568" t="n">
        <v>44880</v>
      </c>
      <c r="B2228" s="392" t="n">
        <v>9684</v>
      </c>
      <c r="C2228" s="392" t="n">
        <v>104</v>
      </c>
      <c r="D2228" s="392" t="n"/>
      <c r="E2228" s="392" t="n"/>
      <c r="F2228" s="392" t="n"/>
      <c r="G2228" s="392" t="n">
        <v>20</v>
      </c>
      <c r="H2228" s="52">
        <f>H2227-G2228</f>
        <v/>
      </c>
      <c r="I2228" s="568" t="n"/>
      <c r="J2228" s="568" t="n"/>
      <c r="K2228" s="568" t="n"/>
      <c r="L2228" s="568" t="n"/>
    </row>
    <row r="2229">
      <c r="A2229" s="568" t="n">
        <v>44880</v>
      </c>
      <c r="B2229" s="392" t="n">
        <v>9685</v>
      </c>
      <c r="C2229" s="392" t="n">
        <v>105</v>
      </c>
      <c r="D2229" s="392" t="n"/>
      <c r="E2229" s="392" t="n"/>
      <c r="F2229" s="392" t="n"/>
      <c r="G2229" s="392" t="n">
        <v>80</v>
      </c>
      <c r="H2229" s="52">
        <f>H2228-G2229</f>
        <v/>
      </c>
      <c r="I2229" s="568" t="n"/>
      <c r="J2229" s="568" t="n"/>
      <c r="K2229" s="568" t="n"/>
      <c r="L2229" s="568" t="n"/>
    </row>
    <row r="2230">
      <c r="A2230" s="568" t="n">
        <v>44880</v>
      </c>
      <c r="B2230" s="392" t="n">
        <v>9687</v>
      </c>
      <c r="C2230" s="392" t="n">
        <v>101.15</v>
      </c>
      <c r="D2230" s="392" t="n"/>
      <c r="E2230" s="392" t="n"/>
      <c r="F2230" s="392" t="n"/>
      <c r="G2230" s="392" t="n">
        <v>10</v>
      </c>
      <c r="H2230" s="52">
        <f>H2229-G2230</f>
        <v/>
      </c>
      <c r="I2230" s="568" t="n"/>
      <c r="J2230" s="568" t="n"/>
      <c r="K2230" s="568" t="n"/>
      <c r="L2230" s="568" t="n"/>
    </row>
    <row r="2231">
      <c r="A2231" s="568" t="n">
        <v>44880</v>
      </c>
      <c r="B2231" s="392" t="n">
        <v>9688</v>
      </c>
      <c r="C2231" s="392" t="n">
        <v>100</v>
      </c>
      <c r="D2231" s="392" t="n"/>
      <c r="E2231" s="392" t="n"/>
      <c r="F2231" s="392" t="n"/>
      <c r="G2231" s="392" t="n">
        <v>50</v>
      </c>
      <c r="H2231" s="52">
        <f>H2230-G2231</f>
        <v/>
      </c>
      <c r="I2231" s="568" t="n"/>
      <c r="J2231" s="568" t="n"/>
      <c r="K2231" s="568" t="n"/>
      <c r="L2231" s="568" t="n"/>
    </row>
    <row r="2232">
      <c r="A2232" s="568" t="n">
        <v>44880</v>
      </c>
      <c r="B2232" s="392" t="n">
        <v>9692</v>
      </c>
      <c r="C2232" s="392" t="n">
        <v>101.67</v>
      </c>
      <c r="D2232" s="392" t="n"/>
      <c r="E2232" s="392" t="n"/>
      <c r="F2232" s="392" t="n"/>
      <c r="G2232" s="392" t="n">
        <v>15</v>
      </c>
      <c r="H2232" s="52">
        <f>H2231-G2232</f>
        <v/>
      </c>
      <c r="I2232" s="568" t="n"/>
      <c r="J2232" s="568" t="n"/>
      <c r="K2232" s="568" t="n"/>
      <c r="L2232" s="568" t="n"/>
    </row>
    <row r="2233">
      <c r="A2233" s="568" t="n">
        <v>44881</v>
      </c>
      <c r="B2233" s="392" t="n">
        <v>9693</v>
      </c>
      <c r="C2233" s="392" t="n">
        <v>102</v>
      </c>
      <c r="D2233" s="392" t="n"/>
      <c r="E2233" s="392" t="n"/>
      <c r="F2233" s="392" t="n"/>
      <c r="G2233" s="392" t="n">
        <v>30</v>
      </c>
      <c r="H2233" s="52">
        <f>H2232-G2233</f>
        <v/>
      </c>
      <c r="I2233" s="568" t="n"/>
      <c r="J2233" s="568" t="n"/>
      <c r="K2233" s="568" t="n"/>
      <c r="L2233" s="568" t="n"/>
    </row>
    <row r="2234">
      <c r="A2234" s="568" t="n">
        <v>44881</v>
      </c>
      <c r="B2234" s="392" t="n">
        <v>9694</v>
      </c>
      <c r="C2234" s="392" t="n">
        <v>102</v>
      </c>
      <c r="D2234" s="392" t="n"/>
      <c r="E2234" s="392" t="n"/>
      <c r="F2234" s="392" t="n"/>
      <c r="G2234" s="392" t="n">
        <v>15</v>
      </c>
      <c r="H2234" s="52">
        <f>H2233-G2234</f>
        <v/>
      </c>
      <c r="I2234" s="568" t="n"/>
      <c r="J2234" s="568" t="n"/>
      <c r="K2234" s="568" t="n"/>
      <c r="L2234" s="568" t="n"/>
    </row>
    <row r="2235">
      <c r="A2235" s="568" t="n">
        <v>44881</v>
      </c>
      <c r="B2235" s="392" t="n">
        <v>9695</v>
      </c>
      <c r="C2235" s="392" t="n">
        <v>106</v>
      </c>
      <c r="D2235" s="392" t="n"/>
      <c r="E2235" s="392" t="n"/>
      <c r="F2235" s="392" t="n"/>
      <c r="G2235" s="392" t="n">
        <v>20</v>
      </c>
      <c r="H2235" s="52">
        <f>H2234-G2235</f>
        <v/>
      </c>
      <c r="I2235" s="568" t="n"/>
      <c r="J2235" s="568" t="n"/>
      <c r="K2235" s="568" t="n"/>
      <c r="L2235" s="568" t="n"/>
    </row>
    <row r="2236">
      <c r="A2236" s="568" t="n">
        <v>44881</v>
      </c>
      <c r="B2236" s="392" t="n">
        <v>9696</v>
      </c>
      <c r="C2236" s="392" t="n">
        <v>101.66</v>
      </c>
      <c r="D2236" s="392" t="n"/>
      <c r="E2236" s="392" t="n"/>
      <c r="F2236" s="392" t="n"/>
      <c r="G2236" s="392" t="n">
        <v>15</v>
      </c>
      <c r="H2236" s="52">
        <f>H2235-G2236</f>
        <v/>
      </c>
      <c r="I2236" s="568" t="n"/>
      <c r="J2236" s="568" t="n"/>
      <c r="K2236" s="568" t="n"/>
      <c r="L2236" s="568" t="n"/>
    </row>
    <row r="2237">
      <c r="A2237" s="568" t="n">
        <v>44887</v>
      </c>
      <c r="B2237" s="392" t="n">
        <v>9705</v>
      </c>
      <c r="C2237" s="392" t="n">
        <v>102</v>
      </c>
      <c r="D2237" s="392" t="n"/>
      <c r="E2237" s="392" t="n"/>
      <c r="F2237" s="392" t="n"/>
      <c r="G2237" s="392" t="n">
        <v>15</v>
      </c>
      <c r="H2237" s="52">
        <f>H2236-G2237</f>
        <v/>
      </c>
      <c r="I2237" s="568" t="n"/>
      <c r="J2237" s="568" t="n"/>
      <c r="K2237" s="568" t="n"/>
      <c r="L2237" s="568" t="n"/>
    </row>
    <row r="2238">
      <c r="A2238" s="568" t="n">
        <v>44887</v>
      </c>
      <c r="B2238" s="392" t="n">
        <v>9707</v>
      </c>
      <c r="C2238" s="392" t="n">
        <v>102</v>
      </c>
      <c r="D2238" s="392" t="n"/>
      <c r="E2238" s="392" t="n"/>
      <c r="F2238" s="392" t="n"/>
      <c r="G2238" s="392" t="n">
        <v>15</v>
      </c>
      <c r="H2238" s="52">
        <f>H2237-G2238</f>
        <v/>
      </c>
      <c r="I2238" s="568" t="n"/>
      <c r="J2238" s="568" t="n"/>
      <c r="K2238" s="568" t="n"/>
      <c r="L2238" s="568" t="n"/>
    </row>
    <row r="2239">
      <c r="A2239" s="568" t="n">
        <v>44887</v>
      </c>
      <c r="B2239" s="392" t="n">
        <v>9711</v>
      </c>
      <c r="C2239" s="392" t="n">
        <v>104.67</v>
      </c>
      <c r="D2239" s="392" t="n"/>
      <c r="E2239" s="392" t="n"/>
      <c r="F2239" s="392" t="n"/>
      <c r="G2239" s="392" t="n">
        <v>30</v>
      </c>
      <c r="H2239" s="52">
        <f>H2238-G2239</f>
        <v/>
      </c>
      <c r="I2239" s="568" t="n"/>
      <c r="J2239" s="568" t="n"/>
      <c r="K2239" s="568" t="n"/>
      <c r="L2239" s="568" t="n"/>
    </row>
    <row r="2240">
      <c r="A2240" s="568" t="n">
        <v>44888</v>
      </c>
      <c r="B2240" s="392" t="n">
        <v>9715</v>
      </c>
      <c r="C2240" s="392" t="n">
        <v>102.5</v>
      </c>
      <c r="D2240" s="392" t="n"/>
      <c r="E2240" s="392" t="n"/>
      <c r="F2240" s="392" t="n"/>
      <c r="G2240" s="392" t="n">
        <v>60</v>
      </c>
      <c r="H2240" s="52">
        <f>H2239-G2240</f>
        <v/>
      </c>
      <c r="I2240" s="568" t="n"/>
      <c r="J2240" s="568" t="n"/>
      <c r="K2240" s="568" t="n"/>
      <c r="L2240" s="568" t="n"/>
    </row>
    <row r="2241">
      <c r="A2241" s="568" t="n">
        <v>44888</v>
      </c>
      <c r="B2241" s="392" t="n">
        <v>9717</v>
      </c>
      <c r="C2241" s="392" t="n">
        <v>88</v>
      </c>
      <c r="D2241" s="392" t="n"/>
      <c r="E2241" s="392" t="n"/>
      <c r="F2241" s="392" t="n"/>
      <c r="G2241" s="392" t="n">
        <v>40</v>
      </c>
      <c r="H2241" s="52">
        <f>H2240-G2241</f>
        <v/>
      </c>
      <c r="I2241" s="568" t="n"/>
      <c r="J2241" s="568" t="n"/>
      <c r="K2241" s="568" t="n"/>
      <c r="L2241" s="568" t="n"/>
    </row>
    <row r="2242">
      <c r="A2242" s="568" t="n">
        <v>44888</v>
      </c>
      <c r="B2242" s="392" t="n">
        <v>9719</v>
      </c>
      <c r="C2242" s="392" t="n">
        <v>103.34</v>
      </c>
      <c r="D2242" s="392" t="n"/>
      <c r="E2242" s="392" t="n"/>
      <c r="F2242" s="392" t="n"/>
      <c r="G2242" s="392" t="n">
        <v>42</v>
      </c>
      <c r="H2242" s="52">
        <f>H2241-G2242</f>
        <v/>
      </c>
      <c r="I2242" s="568" t="n"/>
      <c r="J2242" s="568" t="n"/>
      <c r="K2242" s="568" t="n"/>
      <c r="L2242" s="568" t="n"/>
    </row>
    <row r="2243">
      <c r="A2243" s="304" t="n">
        <v>44893</v>
      </c>
      <c r="B2243" s="401" t="n">
        <v>202640</v>
      </c>
      <c r="C2243" s="401" t="n">
        <v>88</v>
      </c>
      <c r="D2243" s="401" t="n"/>
      <c r="E2243" s="401" t="n">
        <v>400</v>
      </c>
      <c r="F2243" s="401" t="n"/>
      <c r="G2243" s="401" t="n"/>
      <c r="H2243" s="277" t="n">
        <v>1483</v>
      </c>
      <c r="I2243" s="568" t="n"/>
      <c r="J2243" s="568" t="n"/>
      <c r="K2243" s="568" t="n"/>
      <c r="L2243" s="568" t="n"/>
    </row>
    <row r="2244">
      <c r="A2244" s="568" t="n">
        <v>44894</v>
      </c>
      <c r="B2244" s="392" t="n">
        <v>9724</v>
      </c>
      <c r="C2244" s="392" t="n">
        <v>104.07</v>
      </c>
      <c r="D2244" s="392" t="n"/>
      <c r="E2244" s="392" t="n"/>
      <c r="F2244" s="392" t="n"/>
      <c r="G2244" s="392" t="n">
        <v>30</v>
      </c>
      <c r="H2244" s="52">
        <f>H2243-G2244</f>
        <v/>
      </c>
      <c r="I2244" s="568" t="n"/>
      <c r="J2244" s="568" t="n"/>
      <c r="K2244" s="568" t="n"/>
      <c r="L2244" s="568" t="n"/>
    </row>
    <row r="2245">
      <c r="A2245" s="568" t="n">
        <v>44894</v>
      </c>
      <c r="B2245" s="392" t="n">
        <v>9727</v>
      </c>
      <c r="C2245" s="392" t="n">
        <v>108</v>
      </c>
      <c r="D2245" s="392" t="n"/>
      <c r="E2245" s="392" t="n"/>
      <c r="F2245" s="392" t="n"/>
      <c r="G2245" s="392" t="n">
        <v>15</v>
      </c>
      <c r="H2245" s="52">
        <f>H2244-G2245</f>
        <v/>
      </c>
      <c r="I2245" s="568" t="n"/>
      <c r="J2245" s="568" t="n"/>
      <c r="K2245" s="568" t="n"/>
      <c r="L2245" s="568" t="n"/>
    </row>
    <row r="2246">
      <c r="A2246" s="568" t="n">
        <v>44894</v>
      </c>
      <c r="B2246" s="392" t="n">
        <v>9728</v>
      </c>
      <c r="C2246" s="392" t="n">
        <v>102</v>
      </c>
      <c r="D2246" s="392" t="n"/>
      <c r="E2246" s="392" t="n"/>
      <c r="F2246" s="392" t="n"/>
      <c r="G2246" s="392" t="n">
        <v>5</v>
      </c>
      <c r="H2246" s="52">
        <f>H2245-G2246</f>
        <v/>
      </c>
      <c r="I2246" s="568" t="n"/>
      <c r="J2246" s="568" t="n"/>
      <c r="K2246" s="568" t="n"/>
      <c r="L2246" s="568" t="n"/>
    </row>
    <row r="2247">
      <c r="A2247" s="568" t="n">
        <v>44895</v>
      </c>
      <c r="B2247" s="392" t="n">
        <v>9731</v>
      </c>
      <c r="C2247" s="392" t="n">
        <v>103.34</v>
      </c>
      <c r="D2247" s="392" t="n"/>
      <c r="E2247" s="392" t="n"/>
      <c r="F2247" s="392" t="n"/>
      <c r="G2247" s="392" t="n">
        <v>18</v>
      </c>
      <c r="H2247" s="52">
        <f>H2246-G2247</f>
        <v/>
      </c>
      <c r="I2247" s="568" t="n"/>
      <c r="J2247" s="568" t="n"/>
      <c r="K2247" s="568" t="n"/>
      <c r="L2247" s="568" t="n"/>
    </row>
    <row r="2248">
      <c r="A2248" s="568" t="n">
        <v>44895</v>
      </c>
      <c r="B2248" s="392" t="n">
        <v>9731</v>
      </c>
      <c r="C2248" s="392" t="n">
        <v>103.34</v>
      </c>
      <c r="D2248" s="392" t="n"/>
      <c r="E2248" s="392" t="n"/>
      <c r="F2248" s="392" t="n"/>
      <c r="G2248" s="392" t="n">
        <v>30</v>
      </c>
      <c r="H2248" s="52">
        <f>H2247-G2248</f>
        <v/>
      </c>
      <c r="I2248" s="568" t="n"/>
      <c r="J2248" s="568" t="n"/>
      <c r="K2248" s="568" t="n"/>
      <c r="L2248" s="568" t="n"/>
    </row>
    <row r="2249">
      <c r="A2249" s="568" t="n">
        <v>44895</v>
      </c>
      <c r="B2249" s="392" t="n">
        <v>9733</v>
      </c>
      <c r="C2249" s="392" t="n">
        <v>102</v>
      </c>
      <c r="D2249" s="392" t="n"/>
      <c r="E2249" s="392" t="n"/>
      <c r="F2249" s="392" t="n"/>
      <c r="G2249" s="392" t="n">
        <v>15</v>
      </c>
      <c r="H2249" s="52">
        <f>H2248-G2249</f>
        <v/>
      </c>
      <c r="I2249" s="568" t="n"/>
      <c r="J2249" s="568" t="n"/>
      <c r="K2249" s="568" t="n"/>
      <c r="L2249" s="568" t="n"/>
    </row>
    <row r="2250">
      <c r="A2250" s="568" t="n">
        <v>44895</v>
      </c>
      <c r="B2250" s="392" t="n">
        <v>9734</v>
      </c>
      <c r="C2250" s="392" t="n">
        <v>102</v>
      </c>
      <c r="D2250" s="392" t="n"/>
      <c r="E2250" s="392" t="n"/>
      <c r="F2250" s="392" t="n"/>
      <c r="G2250" s="392" t="n">
        <v>15</v>
      </c>
      <c r="H2250" s="52">
        <f>H2249-G2250</f>
        <v/>
      </c>
      <c r="I2250" s="568" t="n"/>
      <c r="J2250" s="568" t="n"/>
      <c r="K2250" s="568" t="n"/>
      <c r="L2250" s="568" t="n"/>
    </row>
    <row r="2251">
      <c r="A2251" s="568" t="n">
        <v>44895</v>
      </c>
      <c r="B2251" s="392" t="n">
        <v>9735</v>
      </c>
      <c r="C2251" s="392" t="n">
        <v>102</v>
      </c>
      <c r="D2251" s="392" t="n"/>
      <c r="E2251" s="392" t="n"/>
      <c r="F2251" s="392" t="n"/>
      <c r="G2251" s="392" t="n">
        <v>20</v>
      </c>
      <c r="H2251" s="52">
        <f>H2250-G2251</f>
        <v/>
      </c>
      <c r="I2251" s="568" t="n"/>
      <c r="J2251" s="568" t="n"/>
      <c r="K2251" s="568" t="n"/>
      <c r="L2251" s="568" t="n"/>
    </row>
    <row r="2252">
      <c r="A2252" s="568" t="n">
        <v>44895</v>
      </c>
      <c r="B2252" s="392" t="n">
        <v>9736</v>
      </c>
      <c r="C2252" s="392" t="n">
        <v>102</v>
      </c>
      <c r="D2252" s="392" t="n"/>
      <c r="E2252" s="392" t="n"/>
      <c r="F2252" s="392" t="n"/>
      <c r="G2252" s="392" t="n">
        <v>10</v>
      </c>
      <c r="H2252" s="52">
        <f>H2251-G2252</f>
        <v/>
      </c>
      <c r="I2252" s="568" t="n"/>
      <c r="J2252" s="568" t="n"/>
      <c r="K2252" s="568" t="n"/>
      <c r="L2252" s="568" t="n"/>
    </row>
    <row r="2253" ht="15.75" customHeight="1" s="436" thickBot="1"/>
    <row r="2254" ht="21.75" customHeight="1" s="436" thickBot="1">
      <c r="A2254" s="757" t="inlineStr">
        <is>
          <t>Dezembro</t>
        </is>
      </c>
      <c r="B2254" s="697" t="n"/>
      <c r="C2254" s="697" t="n"/>
      <c r="D2254" s="697" t="n"/>
      <c r="E2254" s="697" t="n"/>
      <c r="F2254" s="697" t="n"/>
      <c r="G2254" s="697" t="n"/>
      <c r="H2254" s="697" t="n"/>
      <c r="I2254" s="697" t="n"/>
      <c r="J2254" s="697" t="n"/>
      <c r="K2254" s="697" t="n"/>
      <c r="L2254" s="698" t="n"/>
    </row>
    <row r="2255" ht="21.75" customHeight="1" s="436" thickBot="1">
      <c r="A2255" s="699" t="inlineStr">
        <is>
          <t xml:space="preserve">021 - DENISE FURTADO DE SOUZA - ME </t>
        </is>
      </c>
      <c r="B2255" s="697" t="n"/>
      <c r="C2255" s="697" t="n"/>
      <c r="D2255" s="697" t="n"/>
      <c r="E2255" s="697" t="n"/>
      <c r="F2255" s="697" t="n"/>
      <c r="G2255" s="697" t="n"/>
      <c r="H2255" s="697" t="n"/>
      <c r="I2255" s="697" t="n"/>
      <c r="J2255" s="697" t="n"/>
      <c r="K2255" s="697" t="n"/>
      <c r="L2255" s="698" t="n"/>
    </row>
    <row r="2256" ht="24" customHeight="1" s="436" thickBot="1">
      <c r="A2256" s="759" t="inlineStr">
        <is>
          <t xml:space="preserve">  PRÉ MISTURA - 25 KG</t>
        </is>
      </c>
      <c r="B2256" s="697" t="n"/>
      <c r="C2256" s="697" t="n"/>
      <c r="D2256" s="697" t="n"/>
      <c r="E2256" s="697" t="n"/>
      <c r="F2256" s="697" t="n"/>
      <c r="G2256" s="697" t="n"/>
      <c r="H2256" s="697" t="n"/>
      <c r="I2256" s="697" t="n"/>
      <c r="J2256" s="697" t="n"/>
      <c r="K2256" s="697" t="n"/>
      <c r="L2256" s="698" t="n"/>
    </row>
    <row r="2257">
      <c r="A2257" s="3" t="inlineStr">
        <is>
          <t>DATA</t>
        </is>
      </c>
      <c r="B2257" s="3" t="inlineStr">
        <is>
          <t>N.F.</t>
        </is>
      </c>
      <c r="C2257" s="3" t="inlineStr">
        <is>
          <t>TIPO</t>
        </is>
      </c>
      <c r="D2257" s="3" t="inlineStr">
        <is>
          <t>PREÇO UNITÁRIO</t>
        </is>
      </c>
      <c r="E2257" s="736" t="n"/>
      <c r="F2257" s="3" t="inlineStr">
        <is>
          <t>QUANTIDADE / KG</t>
        </is>
      </c>
      <c r="G2257" s="737" t="n"/>
      <c r="H2257" s="736" t="n"/>
      <c r="I2257" s="631" t="inlineStr">
        <is>
          <t>PREÇO</t>
        </is>
      </c>
      <c r="J2257" s="631" t="inlineStr">
        <is>
          <t>VALORES</t>
        </is>
      </c>
      <c r="K2257" s="737" t="n"/>
      <c r="L2257" s="736" t="n"/>
    </row>
    <row r="2258" ht="15.75" customHeight="1" s="436" thickBot="1">
      <c r="A2258" s="704" t="n"/>
      <c r="B2258" s="704" t="n"/>
      <c r="C2258" s="704" t="n"/>
      <c r="D2258" s="703" t="n"/>
      <c r="E2258" s="701" t="n"/>
      <c r="F2258" s="705" t="n"/>
      <c r="G2258" s="706" t="n"/>
      <c r="H2258" s="707" t="n"/>
      <c r="I2258" s="704" t="n"/>
      <c r="J2258" s="703" t="n"/>
      <c r="L2258" s="701" t="n"/>
    </row>
    <row r="2259" ht="15.75" customHeight="1" s="436" thickBot="1">
      <c r="A2259" s="704" t="n"/>
      <c r="B2259" s="704" t="n"/>
      <c r="C2259" s="704" t="n"/>
      <c r="D2259" s="705" t="n"/>
      <c r="E2259" s="707" t="n"/>
      <c r="F2259" s="3" t="inlineStr">
        <is>
          <t>ENTRADA</t>
        </is>
      </c>
      <c r="G2259" s="3" t="inlineStr">
        <is>
          <t>SAÍDA</t>
        </is>
      </c>
      <c r="H2259" s="640" t="n"/>
      <c r="I2259" s="633" t="inlineStr">
        <is>
          <t>MÉDIO</t>
        </is>
      </c>
      <c r="J2259" s="739" t="inlineStr">
        <is>
          <t>SALDO EM 30/12/2017</t>
        </is>
      </c>
      <c r="K2259" s="707" t="n"/>
      <c r="L2259" s="17" t="n"/>
    </row>
    <row r="2260" ht="15.75" customHeight="1" s="436" thickBot="1">
      <c r="A2260" s="695" t="n"/>
      <c r="B2260" s="695" t="n"/>
      <c r="C2260" s="695" t="n"/>
      <c r="D2260" s="3" t="inlineStr">
        <is>
          <t>C/ICMS</t>
        </is>
      </c>
      <c r="E2260" s="3" t="inlineStr">
        <is>
          <t>S/ICMS</t>
        </is>
      </c>
      <c r="F2260" s="695" t="n"/>
      <c r="G2260" s="695" t="n"/>
      <c r="H2260" s="361" t="inlineStr">
        <is>
          <t>Saldo em 31/11/2022</t>
        </is>
      </c>
      <c r="I2260" s="695" t="n"/>
      <c r="J2260" s="645" t="inlineStr">
        <is>
          <t>ENTRADA</t>
        </is>
      </c>
      <c r="K2260" s="633" t="inlineStr">
        <is>
          <t>SAÍDA / CMV</t>
        </is>
      </c>
      <c r="L2260" s="633" t="inlineStr">
        <is>
          <t>SALDO</t>
        </is>
      </c>
    </row>
    <row r="2261">
      <c r="A2261" s="568" t="n"/>
      <c r="B2261" s="392" t="n"/>
      <c r="C2261" s="392" t="n"/>
      <c r="D2261" s="392" t="n"/>
      <c r="E2261" s="392" t="n"/>
      <c r="F2261" s="392" t="n"/>
      <c r="G2261" s="392" t="n"/>
      <c r="H2261" s="52" t="n">
        <v>1325</v>
      </c>
      <c r="I2261" s="568" t="n"/>
      <c r="J2261" s="568" t="n"/>
      <c r="K2261" s="568" t="n"/>
      <c r="L2261" s="568" t="n"/>
    </row>
    <row r="2262">
      <c r="A2262" s="568" t="n">
        <v>44896</v>
      </c>
      <c r="B2262" s="392" t="n">
        <v>9740</v>
      </c>
      <c r="C2262" s="392" t="n">
        <v>106</v>
      </c>
      <c r="D2262" s="392" t="n"/>
      <c r="E2262" s="392" t="n"/>
      <c r="F2262" s="392" t="n"/>
      <c r="G2262" s="392" t="n">
        <v>30</v>
      </c>
      <c r="H2262" s="52">
        <f>H2261-G2262</f>
        <v/>
      </c>
      <c r="I2262" s="568" t="n"/>
      <c r="J2262" s="568" t="n"/>
      <c r="K2262" s="568" t="n"/>
      <c r="L2262" s="568" t="n"/>
    </row>
    <row r="2263">
      <c r="A2263" s="568" t="n">
        <v>44896</v>
      </c>
      <c r="B2263" s="392" t="n">
        <v>9741</v>
      </c>
      <c r="C2263" s="392" t="n">
        <v>102</v>
      </c>
      <c r="D2263" s="392" t="n"/>
      <c r="E2263" s="392" t="n"/>
      <c r="F2263" s="392" t="n"/>
      <c r="G2263" s="392" t="n">
        <v>30</v>
      </c>
      <c r="H2263" s="52">
        <f>H2262-G2263</f>
        <v/>
      </c>
      <c r="I2263" s="568" t="n"/>
      <c r="J2263" s="568" t="n"/>
      <c r="K2263" s="568" t="n"/>
      <c r="L2263" s="568" t="n"/>
    </row>
    <row r="2264">
      <c r="A2264" s="568" t="n">
        <v>44896</v>
      </c>
      <c r="B2264" s="392" t="n">
        <v>9742</v>
      </c>
      <c r="C2264" s="392" t="n">
        <v>103.34</v>
      </c>
      <c r="D2264" s="392" t="n"/>
      <c r="E2264" s="392" t="n"/>
      <c r="F2264" s="392" t="n"/>
      <c r="G2264" s="392" t="n">
        <v>42</v>
      </c>
      <c r="H2264" s="52">
        <f>H2263-G2264</f>
        <v/>
      </c>
      <c r="I2264" s="568" t="n"/>
      <c r="J2264" s="568" t="n"/>
      <c r="K2264" s="568" t="n"/>
      <c r="L2264" s="568" t="n"/>
    </row>
    <row r="2265">
      <c r="A2265" s="568" t="n">
        <v>44900</v>
      </c>
      <c r="B2265" s="392" t="n">
        <v>9746</v>
      </c>
      <c r="C2265" s="392" t="n">
        <v>103</v>
      </c>
      <c r="D2265" s="392" t="n"/>
      <c r="E2265" s="392" t="n"/>
      <c r="F2265" s="392" t="n"/>
      <c r="G2265" s="392" t="n">
        <v>20</v>
      </c>
      <c r="H2265" s="52">
        <f>H2264-G2265</f>
        <v/>
      </c>
      <c r="I2265" s="568" t="n"/>
      <c r="J2265" s="568" t="n"/>
      <c r="K2265" s="568" t="n"/>
      <c r="L2265" s="568" t="n"/>
    </row>
    <row r="2266">
      <c r="A2266" s="568" t="n">
        <v>44900</v>
      </c>
      <c r="B2266" s="392" t="n">
        <v>9748</v>
      </c>
      <c r="C2266" s="392" t="n">
        <v>104.38</v>
      </c>
      <c r="D2266" s="392" t="n"/>
      <c r="E2266" s="392" t="n"/>
      <c r="F2266" s="392" t="n"/>
      <c r="G2266" s="392" t="n">
        <v>80</v>
      </c>
      <c r="H2266" s="52">
        <f>H2265-G2266</f>
        <v/>
      </c>
      <c r="I2266" s="568" t="n"/>
      <c r="J2266" s="568" t="n"/>
      <c r="K2266" s="568" t="n"/>
      <c r="L2266" s="568" t="n"/>
    </row>
    <row r="2267">
      <c r="A2267" s="568" t="n">
        <v>44900</v>
      </c>
      <c r="B2267" s="392" t="n">
        <v>9750</v>
      </c>
      <c r="C2267" s="392" t="n">
        <v>102</v>
      </c>
      <c r="D2267" s="392" t="n"/>
      <c r="E2267" s="392" t="n"/>
      <c r="F2267" s="392" t="n"/>
      <c r="G2267" s="392" t="n">
        <v>12</v>
      </c>
      <c r="H2267" s="52">
        <f>H2266-G2267</f>
        <v/>
      </c>
      <c r="I2267" s="568" t="n"/>
      <c r="J2267" s="568" t="n"/>
      <c r="K2267" s="568" t="n"/>
      <c r="L2267" s="568" t="n"/>
    </row>
    <row r="2268">
      <c r="A2268" s="568" t="n">
        <v>44900</v>
      </c>
      <c r="B2268" s="392" t="n">
        <v>9752</v>
      </c>
      <c r="C2268" s="392" t="n">
        <v>102</v>
      </c>
      <c r="D2268" s="392" t="n"/>
      <c r="E2268" s="392" t="n"/>
      <c r="F2268" s="392" t="n"/>
      <c r="G2268" s="392" t="n">
        <v>30</v>
      </c>
      <c r="H2268" s="52">
        <f>H2267-G2268</f>
        <v/>
      </c>
      <c r="I2268" s="568" t="n"/>
      <c r="J2268" s="568" t="n"/>
      <c r="K2268" s="568" t="n"/>
      <c r="L2268" s="568" t="n"/>
    </row>
    <row r="2269">
      <c r="A2269" s="568" t="n">
        <v>44902</v>
      </c>
      <c r="B2269" s="392" t="n">
        <v>9757</v>
      </c>
      <c r="C2269" s="392" t="n">
        <v>103</v>
      </c>
      <c r="D2269" s="392" t="n"/>
      <c r="E2269" s="392" t="n"/>
      <c r="F2269" s="392" t="n"/>
      <c r="G2269" s="392" t="n">
        <v>15</v>
      </c>
      <c r="H2269" s="52">
        <f>H2268-G2269</f>
        <v/>
      </c>
      <c r="I2269" s="568" t="n"/>
      <c r="J2269" s="568" t="n"/>
      <c r="K2269" s="568" t="n"/>
      <c r="L2269" s="568" t="n"/>
    </row>
    <row r="2270">
      <c r="A2270" s="568" t="n">
        <v>44902</v>
      </c>
      <c r="B2270" s="392" t="n">
        <v>9758</v>
      </c>
      <c r="C2270" s="392" t="n">
        <v>105.8</v>
      </c>
      <c r="D2270" s="392" t="n"/>
      <c r="E2270" s="392" t="n"/>
      <c r="F2270" s="392" t="n"/>
      <c r="G2270" s="392" t="n">
        <v>25</v>
      </c>
      <c r="H2270" s="52">
        <f>H2269-G2270</f>
        <v/>
      </c>
      <c r="I2270" s="568" t="n"/>
      <c r="J2270" s="568" t="n"/>
      <c r="K2270" s="568" t="n"/>
      <c r="L2270" s="568" t="n"/>
    </row>
    <row r="2271">
      <c r="A2271" s="568" t="n">
        <v>44902</v>
      </c>
      <c r="B2271" s="392" t="n">
        <v>9759</v>
      </c>
      <c r="C2271" s="392" t="n">
        <v>103</v>
      </c>
      <c r="D2271" s="392" t="n"/>
      <c r="E2271" s="392" t="n"/>
      <c r="F2271" s="392" t="n"/>
      <c r="G2271" s="392" t="n">
        <v>15</v>
      </c>
      <c r="H2271" s="52">
        <f>H2270-G2271</f>
        <v/>
      </c>
      <c r="I2271" s="568" t="n"/>
      <c r="J2271" s="568" t="n"/>
      <c r="K2271" s="568" t="n"/>
      <c r="L2271" s="568" t="n"/>
    </row>
    <row r="2272">
      <c r="A2272" s="568" t="n">
        <v>44902</v>
      </c>
      <c r="B2272" s="392" t="n">
        <v>9760</v>
      </c>
      <c r="C2272" s="392" t="n">
        <v>103</v>
      </c>
      <c r="D2272" s="392" t="n"/>
      <c r="E2272" s="392" t="n"/>
      <c r="F2272" s="392" t="n"/>
      <c r="G2272" s="392" t="n">
        <v>20</v>
      </c>
      <c r="H2272" s="52">
        <f>H2271-G2272</f>
        <v/>
      </c>
      <c r="I2272" s="568" t="n"/>
      <c r="J2272" s="568" t="n"/>
      <c r="K2272" s="568" t="n"/>
      <c r="L2272" s="568" t="n"/>
    </row>
    <row r="2273">
      <c r="A2273" s="568" t="n">
        <v>44902</v>
      </c>
      <c r="B2273" s="392" t="n">
        <v>9761</v>
      </c>
      <c r="C2273" s="392" t="n">
        <v>103</v>
      </c>
      <c r="D2273" s="392" t="n"/>
      <c r="E2273" s="392" t="n"/>
      <c r="F2273" s="392" t="n"/>
      <c r="G2273" s="392" t="n">
        <v>15</v>
      </c>
      <c r="H2273" s="52">
        <f>H2272-G2273</f>
        <v/>
      </c>
      <c r="I2273" s="568" t="n"/>
      <c r="J2273" s="568" t="n"/>
      <c r="K2273" s="568" t="n"/>
      <c r="L2273" s="568" t="n"/>
    </row>
    <row r="2274">
      <c r="A2274" s="568" t="n">
        <v>44902</v>
      </c>
      <c r="B2274" s="392" t="n">
        <v>9762</v>
      </c>
      <c r="C2274" s="392" t="n">
        <v>104</v>
      </c>
      <c r="D2274" s="392" t="n"/>
      <c r="E2274" s="392" t="n"/>
      <c r="F2274" s="392" t="n"/>
      <c r="G2274" s="392" t="n">
        <v>25</v>
      </c>
      <c r="H2274" s="52">
        <f>H2273-G2274</f>
        <v/>
      </c>
      <c r="I2274" s="568" t="n"/>
      <c r="J2274" s="568" t="n"/>
      <c r="K2274" s="568" t="n"/>
      <c r="L2274" s="568" t="n"/>
    </row>
    <row r="2275">
      <c r="A2275" s="568" t="n">
        <v>44902</v>
      </c>
      <c r="B2275" s="392" t="n">
        <v>9763</v>
      </c>
      <c r="C2275" s="392" t="n">
        <v>103</v>
      </c>
      <c r="D2275" s="392" t="n"/>
      <c r="E2275" s="392" t="n"/>
      <c r="F2275" s="392" t="n"/>
      <c r="G2275" s="392" t="n">
        <v>30</v>
      </c>
      <c r="H2275" s="52">
        <f>H2274-G2275</f>
        <v/>
      </c>
      <c r="I2275" s="568" t="n"/>
      <c r="J2275" s="568" t="n"/>
      <c r="K2275" s="568" t="n"/>
      <c r="L2275" s="568" t="n"/>
    </row>
    <row r="2276">
      <c r="A2276" s="568" t="n">
        <v>44902</v>
      </c>
      <c r="B2276" s="392" t="n">
        <v>9764</v>
      </c>
      <c r="C2276" s="392" t="n">
        <v>104.08</v>
      </c>
      <c r="D2276" s="392" t="n"/>
      <c r="E2276" s="392" t="n"/>
      <c r="F2276" s="392" t="n"/>
      <c r="G2276" s="392" t="n">
        <v>27</v>
      </c>
      <c r="H2276" s="52">
        <f>H2275-G2276</f>
        <v/>
      </c>
      <c r="I2276" s="568" t="n"/>
      <c r="J2276" s="568" t="n"/>
      <c r="K2276" s="568" t="n"/>
      <c r="L2276" s="568" t="n"/>
    </row>
    <row r="2277">
      <c r="A2277" s="568" t="n">
        <v>44907</v>
      </c>
      <c r="B2277" s="392" t="n">
        <v>9767</v>
      </c>
      <c r="C2277" s="392" t="n">
        <v>105</v>
      </c>
      <c r="D2277" s="392" t="n"/>
      <c r="E2277" s="392" t="n"/>
      <c r="F2277" s="392" t="n"/>
      <c r="G2277" s="392" t="n">
        <v>140</v>
      </c>
      <c r="H2277" s="52">
        <f>H2276-G2277</f>
        <v/>
      </c>
      <c r="I2277" s="568" t="n"/>
      <c r="J2277" s="568" t="n"/>
      <c r="K2277" s="568" t="n"/>
      <c r="L2277" s="568" t="n"/>
    </row>
    <row r="2278">
      <c r="A2278" s="568" t="n">
        <v>44907</v>
      </c>
      <c r="B2278" s="392" t="n">
        <v>9772</v>
      </c>
      <c r="C2278" s="392" t="n">
        <v>104.4</v>
      </c>
      <c r="D2278" s="392" t="n"/>
      <c r="E2278" s="392" t="n"/>
      <c r="F2278" s="392" t="n"/>
      <c r="G2278" s="392" t="n">
        <v>25</v>
      </c>
      <c r="H2278" s="52">
        <f>H2277-G2278</f>
        <v/>
      </c>
      <c r="I2278" s="568" t="n"/>
      <c r="J2278" s="568" t="n"/>
      <c r="K2278" s="568" t="n"/>
      <c r="L2278" s="568" t="n"/>
    </row>
    <row r="2279">
      <c r="A2279" s="568" t="n">
        <v>44908</v>
      </c>
      <c r="B2279" s="392" t="n">
        <v>9777</v>
      </c>
      <c r="C2279" s="392" t="n">
        <v>104.17</v>
      </c>
      <c r="D2279" s="392" t="n"/>
      <c r="E2279" s="392" t="n"/>
      <c r="F2279" s="392" t="n"/>
      <c r="G2279" s="392" t="n">
        <v>60</v>
      </c>
      <c r="H2279" s="52">
        <f>H2278-G2279</f>
        <v/>
      </c>
      <c r="I2279" s="568" t="n"/>
      <c r="J2279" s="568" t="n"/>
      <c r="K2279" s="568" t="n"/>
      <c r="L2279" s="568" t="n"/>
    </row>
    <row r="2280">
      <c r="A2280" s="568" t="n">
        <v>44909</v>
      </c>
      <c r="B2280" s="392" t="n">
        <v>9778</v>
      </c>
      <c r="C2280" s="392" t="n">
        <v>102.72</v>
      </c>
      <c r="D2280" s="392" t="n"/>
      <c r="E2280" s="392" t="n"/>
      <c r="F2280" s="392" t="n"/>
      <c r="G2280" s="392" t="n">
        <v>70</v>
      </c>
      <c r="H2280" s="52">
        <f>H2279-G2280</f>
        <v/>
      </c>
      <c r="I2280" s="568" t="n"/>
      <c r="J2280" s="568" t="n"/>
      <c r="K2280" s="568" t="n"/>
      <c r="L2280" s="568" t="n"/>
    </row>
    <row r="2281">
      <c r="A2281" s="568" t="n">
        <v>44909</v>
      </c>
      <c r="B2281" s="392" t="n">
        <v>9780</v>
      </c>
      <c r="C2281" s="392" t="n">
        <v>103</v>
      </c>
      <c r="D2281" s="392" t="n"/>
      <c r="E2281" s="392" t="n"/>
      <c r="F2281" s="392" t="n"/>
      <c r="G2281" s="392" t="n">
        <v>20</v>
      </c>
      <c r="H2281" s="52">
        <f>H2280-G2281</f>
        <v/>
      </c>
      <c r="I2281" s="568" t="n"/>
      <c r="J2281" s="568" t="n"/>
      <c r="K2281" s="568" t="n"/>
      <c r="L2281" s="568" t="n"/>
    </row>
    <row r="2282">
      <c r="A2282" s="568" t="n">
        <v>44909</v>
      </c>
      <c r="B2282" s="392" t="n">
        <v>9781</v>
      </c>
      <c r="C2282" s="392" t="n">
        <v>103</v>
      </c>
      <c r="D2282" s="392" t="n"/>
      <c r="E2282" s="392" t="n"/>
      <c r="F2282" s="392" t="n"/>
      <c r="G2282" s="392" t="n">
        <v>30</v>
      </c>
      <c r="H2282" s="52">
        <f>H2281-G2282</f>
        <v/>
      </c>
      <c r="I2282" s="568" t="n"/>
      <c r="J2282" s="568" t="n"/>
      <c r="K2282" s="568" t="n"/>
      <c r="L2282" s="568" t="n"/>
    </row>
    <row r="2283">
      <c r="A2283" s="568" t="n">
        <v>44909</v>
      </c>
      <c r="B2283" s="392" t="n">
        <v>9782</v>
      </c>
      <c r="C2283" s="392" t="n">
        <v>106.5</v>
      </c>
      <c r="D2283" s="392" t="n"/>
      <c r="E2283" s="392" t="n"/>
      <c r="F2283" s="392" t="n"/>
      <c r="G2283" s="392" t="n">
        <v>20</v>
      </c>
      <c r="H2283" s="52">
        <f>H2282-G2283</f>
        <v/>
      </c>
      <c r="I2283" s="568" t="n"/>
      <c r="J2283" s="568" t="n"/>
      <c r="K2283" s="568" t="n"/>
      <c r="L2283" s="568" t="n"/>
    </row>
    <row r="2284">
      <c r="A2284" s="568" t="n">
        <v>44909</v>
      </c>
      <c r="B2284" s="392" t="n">
        <v>9785</v>
      </c>
      <c r="C2284" s="392" t="n">
        <v>105.2</v>
      </c>
      <c r="D2284" s="392" t="n"/>
      <c r="E2284" s="392" t="n"/>
      <c r="F2284" s="392" t="n"/>
      <c r="G2284" s="392" t="n">
        <v>100</v>
      </c>
      <c r="H2284" s="52">
        <f>H2283-G2284</f>
        <v/>
      </c>
      <c r="I2284" s="568" t="n"/>
      <c r="J2284" s="568" t="n"/>
      <c r="K2284" s="568" t="n"/>
      <c r="L2284" s="568" t="n"/>
    </row>
    <row r="2285">
      <c r="A2285" s="568" t="n">
        <v>44909</v>
      </c>
      <c r="B2285" s="392" t="n">
        <v>9787</v>
      </c>
      <c r="C2285" s="392" t="n">
        <v>103</v>
      </c>
      <c r="D2285" s="392" t="n"/>
      <c r="E2285" s="392" t="n"/>
      <c r="F2285" s="392" t="n"/>
      <c r="G2285" s="392" t="n">
        <v>10</v>
      </c>
      <c r="H2285" s="52">
        <f>H2284-G2285</f>
        <v/>
      </c>
      <c r="I2285" s="568" t="n"/>
      <c r="J2285" s="568" t="n"/>
      <c r="K2285" s="568" t="n"/>
      <c r="L2285" s="568" t="n"/>
    </row>
    <row r="2286">
      <c r="A2286" s="568" t="n">
        <v>44909</v>
      </c>
      <c r="B2286" s="392" t="n">
        <v>9788</v>
      </c>
      <c r="C2286" s="392" t="n">
        <v>104.4</v>
      </c>
      <c r="D2286" s="392" t="n"/>
      <c r="E2286" s="392" t="n"/>
      <c r="F2286" s="392" t="n"/>
      <c r="G2286" s="392" t="n">
        <v>50</v>
      </c>
      <c r="H2286" s="52">
        <f>H2285-G2286</f>
        <v/>
      </c>
      <c r="I2286" s="568" t="n"/>
      <c r="J2286" s="568" t="n"/>
      <c r="K2286" s="568" t="n"/>
      <c r="L2286" s="568" t="n"/>
    </row>
    <row r="2287">
      <c r="A2287" s="568" t="n">
        <v>44909</v>
      </c>
      <c r="B2287" s="392" t="n">
        <v>9789</v>
      </c>
      <c r="C2287" s="392" t="n">
        <v>103</v>
      </c>
      <c r="D2287" s="392" t="n"/>
      <c r="E2287" s="392" t="n"/>
      <c r="F2287" s="392" t="n"/>
      <c r="G2287" s="392" t="n">
        <v>15</v>
      </c>
      <c r="H2287" s="52">
        <f>H2286-G2287</f>
        <v/>
      </c>
      <c r="I2287" s="568" t="n"/>
      <c r="J2287" s="568" t="n"/>
      <c r="K2287" s="568" t="n"/>
      <c r="L2287" s="568" t="n"/>
    </row>
    <row r="2288">
      <c r="A2288" s="568" t="n">
        <v>44909</v>
      </c>
      <c r="B2288" s="392" t="n">
        <v>9791</v>
      </c>
      <c r="C2288" s="392" t="n">
        <v>103</v>
      </c>
      <c r="D2288" s="392" t="n"/>
      <c r="E2288" s="392" t="n"/>
      <c r="F2288" s="392" t="n"/>
      <c r="G2288" s="392" t="n">
        <v>10</v>
      </c>
      <c r="H2288" s="52">
        <f>H2287-G2288</f>
        <v/>
      </c>
      <c r="I2288" s="568" t="n"/>
      <c r="J2288" s="568" t="n"/>
      <c r="K2288" s="568" t="n"/>
      <c r="L2288" s="568" t="n"/>
    </row>
    <row r="2289">
      <c r="A2289" s="568" t="n">
        <v>44909</v>
      </c>
      <c r="B2289" s="392" t="n">
        <v>9793</v>
      </c>
      <c r="C2289" s="392" t="n">
        <v>103</v>
      </c>
      <c r="D2289" s="392" t="n"/>
      <c r="E2289" s="392" t="n"/>
      <c r="F2289" s="392" t="n"/>
      <c r="G2289" s="392" t="n">
        <v>30</v>
      </c>
      <c r="H2289" s="52">
        <f>H2288-G2289</f>
        <v/>
      </c>
      <c r="I2289" s="568" t="n"/>
      <c r="J2289" s="568" t="n"/>
      <c r="K2289" s="568" t="n"/>
      <c r="L2289" s="568" t="n"/>
    </row>
    <row r="2290">
      <c r="A2290" s="568" t="n">
        <v>44909</v>
      </c>
      <c r="B2290" s="392" t="n">
        <v>9795</v>
      </c>
      <c r="C2290" s="392" t="n">
        <v>103</v>
      </c>
      <c r="D2290" s="392" t="n"/>
      <c r="E2290" s="392" t="n"/>
      <c r="F2290" s="392" t="n"/>
      <c r="G2290" s="392" t="n">
        <v>20</v>
      </c>
      <c r="H2290" s="52">
        <f>H2289-G2290</f>
        <v/>
      </c>
      <c r="I2290" s="568" t="n"/>
      <c r="J2290" s="568" t="n"/>
      <c r="K2290" s="568" t="n"/>
      <c r="L2290" s="568" t="n"/>
    </row>
    <row r="2291">
      <c r="A2291" s="568" t="n">
        <v>44909</v>
      </c>
      <c r="B2291" s="392" t="n">
        <v>9796</v>
      </c>
      <c r="C2291" s="392" t="n">
        <v>105.3</v>
      </c>
      <c r="D2291" s="392" t="n"/>
      <c r="E2291" s="392" t="n"/>
      <c r="F2291" s="392" t="n"/>
      <c r="G2291" s="392" t="n">
        <v>30</v>
      </c>
      <c r="H2291" s="52">
        <f>H2290-G2291</f>
        <v/>
      </c>
      <c r="I2291" s="568" t="n"/>
      <c r="J2291" s="568" t="n"/>
      <c r="K2291" s="568" t="n"/>
      <c r="L2291" s="568" t="n"/>
    </row>
    <row r="2292">
      <c r="A2292" s="568" t="n">
        <v>44909</v>
      </c>
      <c r="B2292" s="392" t="n">
        <v>9797</v>
      </c>
      <c r="C2292" s="392" t="n">
        <v>103</v>
      </c>
      <c r="D2292" s="392" t="n"/>
      <c r="E2292" s="392" t="n"/>
      <c r="F2292" s="392" t="n"/>
      <c r="G2292" s="392" t="n">
        <v>20</v>
      </c>
      <c r="H2292" s="52">
        <f>H2291-G2292</f>
        <v/>
      </c>
      <c r="I2292" s="568" t="n"/>
      <c r="J2292" s="568" t="n"/>
      <c r="K2292" s="568" t="n"/>
      <c r="L2292" s="568" t="n"/>
    </row>
    <row r="2293">
      <c r="A2293" s="568" t="n">
        <v>44909</v>
      </c>
      <c r="B2293" s="392" t="n">
        <v>9798</v>
      </c>
      <c r="C2293" s="392" t="n">
        <v>104.1</v>
      </c>
      <c r="D2293" s="392" t="n"/>
      <c r="E2293" s="392" t="n"/>
      <c r="F2293" s="392" t="n"/>
      <c r="G2293" s="392" t="n">
        <v>84</v>
      </c>
      <c r="H2293" s="52">
        <f>H2292-G2293</f>
        <v/>
      </c>
      <c r="I2293" s="568" t="n"/>
      <c r="J2293" s="568" t="n"/>
      <c r="K2293" s="568" t="n"/>
      <c r="L2293" s="568" t="n"/>
    </row>
    <row r="2294">
      <c r="A2294" s="304" t="n">
        <v>44914</v>
      </c>
      <c r="B2294" s="401" t="n">
        <v>205310</v>
      </c>
      <c r="C2294" s="401" t="n">
        <v>88</v>
      </c>
      <c r="D2294" s="401" t="n"/>
      <c r="E2294" s="401" t="n"/>
      <c r="F2294" s="401" t="n">
        <v>600</v>
      </c>
      <c r="G2294" s="401" t="n"/>
      <c r="H2294" s="277" t="n">
        <v>775</v>
      </c>
      <c r="I2294" s="568" t="n"/>
      <c r="J2294" s="568" t="n"/>
      <c r="K2294" s="568" t="n"/>
      <c r="L2294" s="568" t="n"/>
    </row>
    <row r="2295" ht="15.75" customHeight="1" s="436" thickBot="1"/>
    <row r="2296" ht="21.75" customHeight="1" s="436" thickBot="1">
      <c r="A2296" s="757" t="inlineStr">
        <is>
          <t>Janeiro</t>
        </is>
      </c>
      <c r="B2296" s="697" t="n"/>
      <c r="C2296" s="697" t="n"/>
      <c r="D2296" s="697" t="n"/>
      <c r="E2296" s="697" t="n"/>
      <c r="F2296" s="697" t="n"/>
      <c r="G2296" s="697" t="n"/>
      <c r="H2296" s="697" t="n"/>
      <c r="I2296" s="697" t="n"/>
      <c r="J2296" s="697" t="n"/>
      <c r="K2296" s="697" t="n"/>
      <c r="L2296" s="698" t="n"/>
    </row>
    <row r="2297" ht="21.75" customHeight="1" s="436" thickBot="1">
      <c r="A2297" s="699" t="inlineStr">
        <is>
          <t xml:space="preserve">021 - DENISE FURTADO DE SOUZA - ME </t>
        </is>
      </c>
      <c r="B2297" s="697" t="n"/>
      <c r="C2297" s="697" t="n"/>
      <c r="D2297" s="697" t="n"/>
      <c r="E2297" s="697" t="n"/>
      <c r="F2297" s="697" t="n"/>
      <c r="G2297" s="697" t="n"/>
      <c r="H2297" s="697" t="n"/>
      <c r="I2297" s="697" t="n"/>
      <c r="J2297" s="697" t="n"/>
      <c r="K2297" s="697" t="n"/>
      <c r="L2297" s="698" t="n"/>
    </row>
    <row r="2298" ht="24" customHeight="1" s="436" thickBot="1">
      <c r="A2298" s="759" t="inlineStr">
        <is>
          <t xml:space="preserve">  PRÉ MISTURA - 25 KG</t>
        </is>
      </c>
      <c r="B2298" s="697" t="n"/>
      <c r="C2298" s="697" t="n"/>
      <c r="D2298" s="697" t="n"/>
      <c r="E2298" s="697" t="n"/>
      <c r="F2298" s="697" t="n"/>
      <c r="G2298" s="697" t="n"/>
      <c r="H2298" s="697" t="n"/>
      <c r="I2298" s="697" t="n"/>
      <c r="J2298" s="697" t="n"/>
      <c r="K2298" s="697" t="n"/>
      <c r="L2298" s="698" t="n"/>
    </row>
    <row r="2299">
      <c r="A2299" s="3" t="inlineStr">
        <is>
          <t>DATA</t>
        </is>
      </c>
      <c r="B2299" s="3" t="inlineStr">
        <is>
          <t>N.F.</t>
        </is>
      </c>
      <c r="C2299" s="3" t="inlineStr">
        <is>
          <t>TIPO</t>
        </is>
      </c>
      <c r="D2299" s="3" t="inlineStr">
        <is>
          <t>PREÇO UNITÁRIO</t>
        </is>
      </c>
      <c r="E2299" s="736" t="n"/>
      <c r="F2299" s="3" t="inlineStr">
        <is>
          <t>QUANTIDADE / KG</t>
        </is>
      </c>
      <c r="G2299" s="737" t="n"/>
      <c r="H2299" s="736" t="n"/>
      <c r="I2299" s="631" t="inlineStr">
        <is>
          <t>PREÇO</t>
        </is>
      </c>
      <c r="J2299" s="631" t="inlineStr">
        <is>
          <t>VALORES</t>
        </is>
      </c>
      <c r="K2299" s="737" t="n"/>
      <c r="L2299" s="736" t="n"/>
    </row>
    <row r="2300" ht="15.75" customHeight="1" s="436" thickBot="1">
      <c r="A2300" s="704" t="n"/>
      <c r="B2300" s="704" t="n"/>
      <c r="C2300" s="704" t="n"/>
      <c r="D2300" s="703" t="n"/>
      <c r="E2300" s="701" t="n"/>
      <c r="F2300" s="705" t="n"/>
      <c r="G2300" s="706" t="n"/>
      <c r="H2300" s="707" t="n"/>
      <c r="I2300" s="704" t="n"/>
      <c r="J2300" s="703" t="n"/>
      <c r="L2300" s="701" t="n"/>
    </row>
    <row r="2301" ht="15.75" customHeight="1" s="436" thickBot="1">
      <c r="A2301" s="704" t="n"/>
      <c r="B2301" s="704" t="n"/>
      <c r="C2301" s="704" t="n"/>
      <c r="D2301" s="705" t="n"/>
      <c r="E2301" s="707" t="n"/>
      <c r="F2301" s="3" t="inlineStr">
        <is>
          <t>ENTRADA</t>
        </is>
      </c>
      <c r="G2301" s="3" t="inlineStr">
        <is>
          <t>SAÍDA</t>
        </is>
      </c>
      <c r="H2301" s="640" t="n"/>
      <c r="I2301" s="633" t="inlineStr">
        <is>
          <t>MÉDIO</t>
        </is>
      </c>
      <c r="J2301" s="739" t="inlineStr">
        <is>
          <t>SALDO EM 30/12/2017</t>
        </is>
      </c>
      <c r="K2301" s="707" t="n"/>
      <c r="L2301" s="17" t="n"/>
    </row>
    <row r="2302" ht="15.75" customHeight="1" s="436" thickBot="1">
      <c r="A2302" s="695" t="n"/>
      <c r="B2302" s="695" t="n"/>
      <c r="C2302" s="695" t="n"/>
      <c r="D2302" s="3" t="inlineStr">
        <is>
          <t>C/ICMS</t>
        </is>
      </c>
      <c r="E2302" s="3" t="inlineStr">
        <is>
          <t>S/ICMS</t>
        </is>
      </c>
      <c r="F2302" s="695" t="n"/>
      <c r="G2302" s="695" t="n"/>
      <c r="H2302" s="361" t="inlineStr">
        <is>
          <t>Saldo em 31/12/2022</t>
        </is>
      </c>
      <c r="I2302" s="695" t="n"/>
      <c r="J2302" s="645" t="inlineStr">
        <is>
          <t>ENTRADA</t>
        </is>
      </c>
      <c r="K2302" s="633" t="inlineStr">
        <is>
          <t>SAÍDA / CMV</t>
        </is>
      </c>
      <c r="L2302" s="633" t="inlineStr">
        <is>
          <t>SALDO</t>
        </is>
      </c>
    </row>
    <row r="2303">
      <c r="A2303" s="568" t="n"/>
      <c r="B2303" s="392" t="n"/>
      <c r="C2303" s="392" t="n"/>
      <c r="D2303" s="392" t="n"/>
      <c r="E2303" s="392" t="n"/>
      <c r="F2303" s="392" t="n"/>
      <c r="G2303" s="392" t="n"/>
      <c r="H2303" s="52" t="n">
        <v>775</v>
      </c>
      <c r="I2303" s="568" t="n"/>
      <c r="J2303" s="568" t="n"/>
      <c r="K2303" s="568" t="n"/>
      <c r="L2303" s="568" t="n"/>
    </row>
    <row r="2304">
      <c r="A2304" s="568" t="n">
        <v>44935</v>
      </c>
      <c r="B2304" s="392" t="n">
        <v>9820</v>
      </c>
      <c r="C2304" s="392" t="n">
        <v>106</v>
      </c>
      <c r="D2304" s="392" t="n"/>
      <c r="E2304" s="392" t="n"/>
      <c r="F2304" s="392" t="n"/>
      <c r="G2304" s="392" t="n">
        <v>45</v>
      </c>
      <c r="H2304" s="52">
        <f>H2303-G2304</f>
        <v/>
      </c>
      <c r="I2304" s="568" t="n"/>
      <c r="J2304" s="568" t="n"/>
      <c r="K2304" s="568" t="n"/>
      <c r="L2304" s="568" t="n"/>
    </row>
    <row r="2305">
      <c r="A2305" s="568" t="n">
        <v>44935</v>
      </c>
      <c r="B2305" s="392" t="n">
        <v>9821</v>
      </c>
      <c r="C2305" s="392" t="n">
        <v>105.5</v>
      </c>
      <c r="D2305" s="392" t="n"/>
      <c r="E2305" s="392" t="n"/>
      <c r="F2305" s="392" t="n"/>
      <c r="G2305" s="392" t="n">
        <v>80</v>
      </c>
      <c r="H2305" s="52">
        <f>H2304-G2305</f>
        <v/>
      </c>
      <c r="I2305" s="568" t="n"/>
      <c r="J2305" s="568" t="n"/>
      <c r="K2305" s="568" t="n"/>
      <c r="L2305" s="568" t="n"/>
    </row>
    <row r="2306">
      <c r="A2306" s="568" t="n">
        <v>44935</v>
      </c>
      <c r="B2306" s="392" t="n">
        <v>9823</v>
      </c>
      <c r="C2306" s="392" t="n">
        <v>104</v>
      </c>
      <c r="D2306" s="392" t="n"/>
      <c r="E2306" s="392" t="n"/>
      <c r="F2306" s="392" t="n"/>
      <c r="G2306" s="392" t="n">
        <v>30</v>
      </c>
      <c r="H2306" s="52">
        <f>H2305-G2306</f>
        <v/>
      </c>
      <c r="I2306" s="568" t="n"/>
      <c r="J2306" s="568" t="n"/>
      <c r="K2306" s="568" t="n"/>
      <c r="L2306" s="568" t="n"/>
    </row>
    <row r="2307">
      <c r="A2307" s="568" t="n">
        <v>44935</v>
      </c>
      <c r="B2307" s="392" t="n">
        <v>9828</v>
      </c>
      <c r="C2307" s="392" t="n">
        <v>104.9</v>
      </c>
      <c r="D2307" s="392" t="n"/>
      <c r="E2307" s="392" t="n"/>
      <c r="F2307" s="392" t="n"/>
      <c r="G2307" s="392" t="n">
        <v>53</v>
      </c>
      <c r="H2307" s="52">
        <f>H2306-G2307</f>
        <v/>
      </c>
      <c r="I2307" s="568" t="n"/>
      <c r="J2307" s="568" t="n"/>
      <c r="K2307" s="568" t="n"/>
      <c r="L2307" s="568" t="n"/>
    </row>
    <row r="2308">
      <c r="A2308" s="568" t="n">
        <v>44936</v>
      </c>
      <c r="B2308" s="392" t="n">
        <v>9831</v>
      </c>
      <c r="C2308" s="392" t="n">
        <v>105</v>
      </c>
      <c r="D2308" s="392" t="n"/>
      <c r="E2308" s="392" t="n"/>
      <c r="F2308" s="392" t="n"/>
      <c r="G2308" s="392" t="n">
        <v>60</v>
      </c>
      <c r="H2308" s="52">
        <f>H2307-G2308</f>
        <v/>
      </c>
      <c r="I2308" s="568" t="n"/>
      <c r="J2308" s="568" t="n"/>
      <c r="K2308" s="568" t="n"/>
      <c r="L2308" s="568" t="n"/>
    </row>
    <row r="2309">
      <c r="A2309" s="568" t="n">
        <v>44936</v>
      </c>
      <c r="B2309" s="392" t="n">
        <v>9832</v>
      </c>
      <c r="C2309" s="392" t="n">
        <v>105.2</v>
      </c>
      <c r="D2309" s="392" t="n"/>
      <c r="E2309" s="392" t="n"/>
      <c r="F2309" s="392" t="n"/>
      <c r="G2309" s="392" t="n">
        <v>100</v>
      </c>
      <c r="H2309" s="52">
        <f>H2308-G2309</f>
        <v/>
      </c>
      <c r="I2309" s="568" t="n"/>
      <c r="J2309" s="568" t="n"/>
      <c r="K2309" s="568" t="n"/>
      <c r="L2309" s="568" t="n"/>
    </row>
    <row r="2310">
      <c r="A2310" s="568" t="n">
        <v>44936</v>
      </c>
      <c r="B2310" s="392" t="n">
        <v>9836</v>
      </c>
      <c r="C2310" s="392" t="n">
        <v>106</v>
      </c>
      <c r="D2310" s="392" t="n"/>
      <c r="E2310" s="392" t="n"/>
      <c r="F2310" s="392" t="n"/>
      <c r="G2310" s="392" t="n">
        <v>30</v>
      </c>
      <c r="H2310" s="52">
        <f>H2309-G2310</f>
        <v/>
      </c>
      <c r="I2310" s="568" t="n"/>
      <c r="J2310" s="568" t="n"/>
      <c r="K2310" s="568" t="n"/>
      <c r="L2310" s="568" t="n"/>
    </row>
    <row r="2311">
      <c r="A2311" s="568" t="n">
        <v>44943</v>
      </c>
      <c r="B2311" s="392" t="n">
        <v>9842</v>
      </c>
      <c r="C2311" s="392" t="n">
        <v>102</v>
      </c>
      <c r="D2311" s="392" t="n"/>
      <c r="E2311" s="392" t="n"/>
      <c r="F2311" s="392" t="n"/>
      <c r="G2311" s="392" t="n">
        <v>15</v>
      </c>
      <c r="H2311" s="52">
        <f>H2310-G2311</f>
        <v/>
      </c>
      <c r="I2311" s="568" t="n"/>
      <c r="J2311" s="568" t="n"/>
      <c r="K2311" s="568" t="n"/>
      <c r="L2311" s="568" t="n"/>
    </row>
    <row r="2312">
      <c r="A2312" s="568" t="n">
        <v>44943</v>
      </c>
      <c r="B2312" s="392" t="n">
        <v>9845</v>
      </c>
      <c r="C2312" s="392" t="n">
        <v>105</v>
      </c>
      <c r="D2312" s="392" t="n"/>
      <c r="E2312" s="392" t="n"/>
      <c r="F2312" s="392" t="n"/>
      <c r="G2312" s="392" t="n">
        <v>30</v>
      </c>
      <c r="H2312" s="52">
        <f>H2311-G2312</f>
        <v/>
      </c>
      <c r="I2312" s="568" t="n"/>
      <c r="J2312" s="568" t="n"/>
      <c r="K2312" s="568" t="n"/>
      <c r="L2312" s="568" t="n"/>
    </row>
    <row r="2313">
      <c r="A2313" s="568" t="n">
        <v>44943</v>
      </c>
      <c r="B2313" s="392" t="n">
        <v>9847</v>
      </c>
      <c r="C2313" s="392" t="n">
        <v>104</v>
      </c>
      <c r="D2313" s="392" t="n"/>
      <c r="E2313" s="392" t="n"/>
      <c r="F2313" s="392" t="n"/>
      <c r="G2313" s="392" t="n">
        <v>30</v>
      </c>
      <c r="H2313" s="52">
        <f>H2312-G2313</f>
        <v/>
      </c>
      <c r="I2313" s="568" t="n"/>
      <c r="J2313" s="568" t="n"/>
      <c r="K2313" s="568" t="n"/>
      <c r="L2313" s="568" t="n"/>
    </row>
    <row r="2314">
      <c r="A2314" s="568" t="n">
        <v>44943</v>
      </c>
      <c r="B2314" s="392" t="n">
        <v>9849</v>
      </c>
      <c r="C2314" s="392" t="n">
        <v>104</v>
      </c>
      <c r="D2314" s="392" t="n"/>
      <c r="E2314" s="392" t="n"/>
      <c r="F2314" s="392" t="n"/>
      <c r="G2314" s="392" t="n">
        <v>15</v>
      </c>
      <c r="H2314" s="52">
        <f>H2313-G2314</f>
        <v/>
      </c>
      <c r="I2314" s="568" t="n"/>
      <c r="J2314" s="568" t="n"/>
      <c r="K2314" s="568" t="n"/>
      <c r="L2314" s="568" t="n"/>
    </row>
    <row r="2315">
      <c r="A2315" s="568" t="n">
        <v>44943</v>
      </c>
      <c r="B2315" s="392" t="n">
        <v>9851</v>
      </c>
      <c r="C2315" s="392" t="n">
        <v>103.67</v>
      </c>
      <c r="D2315" s="392" t="n"/>
      <c r="E2315" s="392" t="n"/>
      <c r="F2315" s="392" t="n"/>
      <c r="G2315" s="392" t="n">
        <v>30</v>
      </c>
      <c r="H2315" s="52">
        <f>H2314-G2315</f>
        <v/>
      </c>
      <c r="I2315" s="568" t="n"/>
      <c r="J2315" s="568" t="n"/>
      <c r="K2315" s="568" t="n"/>
      <c r="L2315" s="568" t="n"/>
    </row>
    <row r="2316">
      <c r="A2316" s="304" t="n">
        <v>44944</v>
      </c>
      <c r="B2316" s="401" t="n">
        <v>207905</v>
      </c>
      <c r="C2316" s="401" t="n">
        <v>87</v>
      </c>
      <c r="D2316" s="401" t="n"/>
      <c r="E2316" s="401" t="n"/>
      <c r="F2316" s="401" t="n">
        <v>630</v>
      </c>
      <c r="G2316" s="401" t="n"/>
      <c r="H2316" s="277" t="n">
        <v>887</v>
      </c>
      <c r="I2316" s="568" t="n"/>
      <c r="J2316" s="568" t="n"/>
      <c r="K2316" s="568" t="n"/>
      <c r="L2316" s="568" t="n"/>
    </row>
    <row r="2317">
      <c r="A2317" s="568" t="n">
        <v>44945</v>
      </c>
      <c r="B2317" s="392" t="n">
        <v>9853</v>
      </c>
      <c r="C2317" s="392" t="n">
        <v>104.9</v>
      </c>
      <c r="D2317" s="392" t="n"/>
      <c r="E2317" s="392" t="n"/>
      <c r="F2317" s="392" t="n"/>
      <c r="G2317" s="392" t="n">
        <v>53</v>
      </c>
      <c r="H2317" s="52">
        <f>H2316-G2317</f>
        <v/>
      </c>
      <c r="I2317" s="568" t="n"/>
      <c r="J2317" s="568" t="n"/>
      <c r="K2317" s="568" t="n"/>
      <c r="L2317" s="568" t="n"/>
    </row>
    <row r="2318">
      <c r="A2318" s="568" t="n">
        <v>44950</v>
      </c>
      <c r="B2318" s="392" t="n">
        <v>9854</v>
      </c>
      <c r="C2318" s="392" t="n">
        <v>104.91</v>
      </c>
      <c r="D2318" s="392" t="n"/>
      <c r="E2318" s="392" t="n"/>
      <c r="F2318" s="392" t="n"/>
      <c r="G2318" s="392" t="n">
        <v>53</v>
      </c>
      <c r="H2318" s="52">
        <f>H2317-G2318</f>
        <v/>
      </c>
      <c r="I2318" s="568" t="n"/>
      <c r="J2318" s="568" t="n"/>
      <c r="K2318" s="568" t="n"/>
      <c r="L2318" s="568" t="n"/>
    </row>
    <row r="2319">
      <c r="A2319" s="568" t="n">
        <v>44950</v>
      </c>
      <c r="B2319" s="392" t="n">
        <v>9859</v>
      </c>
      <c r="C2319" s="392" t="n">
        <v>103</v>
      </c>
      <c r="D2319" s="392" t="n"/>
      <c r="E2319" s="392" t="n"/>
      <c r="F2319" s="392" t="n"/>
      <c r="G2319" s="392" t="n">
        <v>10</v>
      </c>
      <c r="H2319" s="52">
        <f>H2318-G2319</f>
        <v/>
      </c>
      <c r="I2319" s="568" t="n"/>
      <c r="J2319" s="568" t="n"/>
      <c r="K2319" s="568" t="n"/>
      <c r="L2319" s="568" t="n"/>
    </row>
    <row r="2320">
      <c r="A2320" s="568" t="n">
        <v>44950</v>
      </c>
      <c r="B2320" s="392" t="n">
        <v>9861</v>
      </c>
      <c r="C2320" s="392" t="n">
        <v>104</v>
      </c>
      <c r="D2320" s="392" t="n"/>
      <c r="E2320" s="392" t="n"/>
      <c r="F2320" s="392" t="n"/>
      <c r="G2320" s="392" t="n">
        <v>20</v>
      </c>
      <c r="H2320" s="52">
        <f>H2319-G2320</f>
        <v/>
      </c>
      <c r="I2320" s="568" t="n"/>
      <c r="J2320" s="568" t="n"/>
      <c r="K2320" s="568" t="n"/>
      <c r="L2320" s="568" t="n"/>
    </row>
    <row r="2321">
      <c r="A2321" s="568" t="n">
        <v>44950</v>
      </c>
      <c r="B2321" s="392" t="n">
        <v>9862</v>
      </c>
      <c r="C2321" s="392" t="n">
        <v>106</v>
      </c>
      <c r="D2321" s="392" t="n"/>
      <c r="E2321" s="392" t="n"/>
      <c r="F2321" s="392" t="n"/>
      <c r="G2321" s="392" t="n">
        <v>30</v>
      </c>
      <c r="H2321" s="52">
        <f>H2320-G2321</f>
        <v/>
      </c>
      <c r="I2321" s="568" t="n"/>
      <c r="J2321" s="568" t="n"/>
      <c r="K2321" s="568" t="n"/>
      <c r="L2321" s="568" t="n"/>
    </row>
    <row r="2322">
      <c r="A2322" s="568" t="n">
        <v>44951</v>
      </c>
      <c r="B2322" s="392" t="n">
        <v>9866</v>
      </c>
      <c r="C2322" s="392" t="n">
        <v>104</v>
      </c>
      <c r="D2322" s="392" t="n"/>
      <c r="E2322" s="392" t="n"/>
      <c r="F2322" s="392" t="n"/>
      <c r="G2322" s="392" t="n">
        <v>80</v>
      </c>
      <c r="H2322" s="52">
        <f>H2321-G2322</f>
        <v/>
      </c>
      <c r="I2322" s="568" t="n"/>
      <c r="J2322" s="568" t="n"/>
      <c r="K2322" s="568" t="n"/>
      <c r="L2322" s="568" t="n"/>
    </row>
    <row r="2323">
      <c r="A2323" s="568" t="n">
        <v>44951</v>
      </c>
      <c r="B2323" s="392" t="n">
        <v>9867</v>
      </c>
      <c r="C2323" s="392" t="n">
        <v>104</v>
      </c>
      <c r="D2323" s="392" t="n"/>
      <c r="E2323" s="392" t="n"/>
      <c r="F2323" s="392" t="n"/>
      <c r="G2323" s="392" t="n">
        <v>15</v>
      </c>
      <c r="H2323" s="52">
        <f>H2322-G2323</f>
        <v/>
      </c>
      <c r="I2323" s="568" t="n"/>
      <c r="J2323" s="568" t="n"/>
      <c r="K2323" s="568" t="n"/>
      <c r="L2323" s="568" t="n"/>
    </row>
    <row r="2324">
      <c r="A2324" s="568" t="n">
        <v>44951</v>
      </c>
      <c r="B2324" s="392" t="n">
        <v>9868</v>
      </c>
      <c r="C2324" s="392" t="n">
        <v>103.67</v>
      </c>
      <c r="D2324" s="392" t="n"/>
      <c r="E2324" s="392" t="n"/>
      <c r="F2324" s="392" t="n"/>
      <c r="G2324" s="392" t="n">
        <v>12</v>
      </c>
      <c r="H2324" s="52">
        <f>H2323-G2324</f>
        <v/>
      </c>
      <c r="I2324" s="568" t="n"/>
      <c r="J2324" s="568" t="n"/>
      <c r="K2324" s="568" t="n"/>
      <c r="L2324" s="568" t="n"/>
    </row>
    <row r="2325">
      <c r="A2325" s="568" t="n">
        <v>44957</v>
      </c>
      <c r="B2325" s="392" t="n">
        <v>9870</v>
      </c>
      <c r="C2325" s="392" t="n">
        <v>104</v>
      </c>
      <c r="D2325" s="392" t="n"/>
      <c r="E2325" s="392" t="n"/>
      <c r="F2325" s="392" t="n"/>
      <c r="G2325" s="392" t="n">
        <v>15</v>
      </c>
      <c r="H2325" s="52">
        <f>H2324-G2325</f>
        <v/>
      </c>
      <c r="I2325" s="568" t="n"/>
      <c r="J2325" s="568" t="n"/>
      <c r="K2325" s="568" t="n"/>
      <c r="L2325" s="568" t="n"/>
    </row>
    <row r="2326">
      <c r="A2326" s="568" t="n">
        <v>44957</v>
      </c>
      <c r="B2326" s="392" t="n">
        <v>9875</v>
      </c>
      <c r="C2326" s="392" t="n">
        <v>104</v>
      </c>
      <c r="D2326" s="392" t="n"/>
      <c r="E2326" s="392" t="n"/>
      <c r="F2326" s="392" t="n"/>
      <c r="G2326" s="392" t="n">
        <v>15</v>
      </c>
      <c r="H2326" s="52">
        <f>H2325-G2326</f>
        <v/>
      </c>
      <c r="I2326" s="568" t="n"/>
      <c r="J2326" s="568" t="n"/>
      <c r="K2326" s="568" t="n"/>
      <c r="L2326" s="568" t="n"/>
    </row>
    <row r="2327">
      <c r="A2327" s="568" t="n">
        <v>44957</v>
      </c>
      <c r="B2327" s="392" t="n">
        <v>9876</v>
      </c>
      <c r="C2327" s="392" t="n">
        <v>104</v>
      </c>
      <c r="D2327" s="392" t="n"/>
      <c r="E2327" s="392" t="n"/>
      <c r="F2327" s="392" t="n"/>
      <c r="G2327" s="392" t="n">
        <v>40</v>
      </c>
      <c r="H2327" s="52">
        <f>H2326-G2327</f>
        <v/>
      </c>
      <c r="I2327" s="568" t="n"/>
      <c r="J2327" s="568" t="n"/>
      <c r="K2327" s="568" t="n"/>
      <c r="L2327" s="568" t="n"/>
    </row>
    <row r="2328">
      <c r="A2328" s="568" t="n">
        <v>44957</v>
      </c>
      <c r="B2328" s="392" t="n">
        <v>9878</v>
      </c>
      <c r="C2328" s="392" t="n">
        <v>103</v>
      </c>
      <c r="D2328" s="392" t="n"/>
      <c r="E2328" s="392" t="n"/>
      <c r="F2328" s="392" t="n"/>
      <c r="G2328" s="392" t="n">
        <v>70</v>
      </c>
      <c r="H2328" s="52">
        <f>H2327-G2328</f>
        <v/>
      </c>
      <c r="I2328" s="568" t="n"/>
      <c r="J2328" s="568" t="n"/>
      <c r="K2328" s="568" t="n"/>
      <c r="L2328" s="568" t="n"/>
    </row>
    <row r="2329">
      <c r="A2329" s="568" t="n">
        <v>44957</v>
      </c>
      <c r="B2329" s="392" t="n">
        <v>9880</v>
      </c>
      <c r="C2329" s="392" t="n">
        <v>104</v>
      </c>
      <c r="D2329" s="392" t="n"/>
      <c r="E2329" s="392" t="n"/>
      <c r="F2329" s="392" t="n"/>
      <c r="G2329" s="392" t="n">
        <v>30</v>
      </c>
      <c r="H2329" s="52">
        <f>H2328-G2329</f>
        <v/>
      </c>
      <c r="I2329" s="568" t="n"/>
      <c r="J2329" s="568" t="n"/>
      <c r="K2329" s="568" t="n"/>
      <c r="L2329" s="568" t="n"/>
    </row>
    <row r="2330">
      <c r="A2330" s="568" t="n">
        <v>44957</v>
      </c>
      <c r="B2330" s="392" t="n">
        <v>9881</v>
      </c>
      <c r="C2330" s="392" t="n">
        <v>106</v>
      </c>
      <c r="D2330" s="392" t="n"/>
      <c r="E2330" s="392" t="n"/>
      <c r="F2330" s="392" t="n"/>
      <c r="G2330" s="392" t="n">
        <v>30</v>
      </c>
      <c r="H2330" s="52">
        <f>H2329-G2330</f>
        <v/>
      </c>
      <c r="I2330" s="568" t="n"/>
      <c r="J2330" s="568" t="n"/>
      <c r="K2330" s="568" t="n"/>
      <c r="L2330" s="568" t="n"/>
    </row>
    <row r="2331">
      <c r="A2331" s="304" t="n">
        <v>44957</v>
      </c>
      <c r="B2331" s="401" t="n">
        <v>208929</v>
      </c>
      <c r="C2331" s="401" t="n">
        <v>87</v>
      </c>
      <c r="D2331" s="401" t="n"/>
      <c r="E2331" s="401" t="n"/>
      <c r="F2331" s="401" t="n">
        <v>980</v>
      </c>
      <c r="G2331" s="401" t="n"/>
      <c r="H2331" s="277" t="n">
        <v>1394</v>
      </c>
      <c r="I2331" s="568" t="n"/>
      <c r="J2331" s="568" t="n"/>
      <c r="K2331" s="568" t="n"/>
      <c r="L2331" s="568" t="n"/>
    </row>
    <row r="2332">
      <c r="A2332" s="568" t="n"/>
      <c r="B2332" s="392" t="n"/>
      <c r="C2332" s="392" t="n"/>
      <c r="D2332" s="392" t="n"/>
      <c r="E2332" s="392" t="n"/>
      <c r="F2332" s="392" t="n"/>
      <c r="G2332" s="392" t="n"/>
      <c r="H2332" s="52" t="n"/>
      <c r="I2332" s="568" t="n"/>
      <c r="J2332" s="568" t="n"/>
      <c r="K2332" s="568" t="n"/>
      <c r="L2332" s="568" t="n"/>
    </row>
    <row r="2333">
      <c r="A2333" s="414" t="n"/>
      <c r="H2333" s="171" t="n"/>
      <c r="I2333" s="414" t="n"/>
      <c r="J2333" s="414" t="n"/>
      <c r="K2333" s="414" t="n"/>
      <c r="L2333" s="414" t="n"/>
    </row>
    <row r="2334" ht="15.75" customHeight="1" s="436" thickBot="1">
      <c r="A2334" s="414" t="n"/>
      <c r="H2334" s="171" t="n"/>
      <c r="I2334" s="414" t="n"/>
      <c r="J2334" s="414" t="n"/>
      <c r="K2334" s="414" t="n"/>
      <c r="L2334" s="414" t="n"/>
    </row>
    <row r="2335" ht="21.75" customHeight="1" s="436" thickBot="1">
      <c r="A2335" s="757" t="inlineStr">
        <is>
          <t>Fevereiro</t>
        </is>
      </c>
      <c r="B2335" s="697" t="n"/>
      <c r="C2335" s="697" t="n"/>
      <c r="D2335" s="697" t="n"/>
      <c r="E2335" s="697" t="n"/>
      <c r="F2335" s="697" t="n"/>
      <c r="G2335" s="697" t="n"/>
      <c r="H2335" s="697" t="n"/>
      <c r="I2335" s="697" t="n"/>
      <c r="J2335" s="697" t="n"/>
      <c r="K2335" s="697" t="n"/>
      <c r="L2335" s="698" t="n"/>
    </row>
    <row r="2336" ht="21.75" customHeight="1" s="436" thickBot="1">
      <c r="A2336" s="699" t="inlineStr">
        <is>
          <t xml:space="preserve">021 - DENISE FURTADO DE SOUZA - ME </t>
        </is>
      </c>
      <c r="B2336" s="697" t="n"/>
      <c r="C2336" s="697" t="n"/>
      <c r="D2336" s="697" t="n"/>
      <c r="E2336" s="697" t="n"/>
      <c r="F2336" s="697" t="n"/>
      <c r="G2336" s="697" t="n"/>
      <c r="H2336" s="697" t="n"/>
      <c r="I2336" s="697" t="n"/>
      <c r="J2336" s="697" t="n"/>
      <c r="K2336" s="697" t="n"/>
      <c r="L2336" s="698" t="n"/>
    </row>
    <row r="2337" ht="24" customHeight="1" s="436" thickBot="1">
      <c r="A2337" s="759" t="inlineStr">
        <is>
          <t xml:space="preserve">  PRÉ MISTURA - 25 KG</t>
        </is>
      </c>
      <c r="B2337" s="697" t="n"/>
      <c r="C2337" s="697" t="n"/>
      <c r="D2337" s="697" t="n"/>
      <c r="E2337" s="697" t="n"/>
      <c r="F2337" s="697" t="n"/>
      <c r="G2337" s="697" t="n"/>
      <c r="H2337" s="697" t="n"/>
      <c r="I2337" s="697" t="n"/>
      <c r="J2337" s="697" t="n"/>
      <c r="K2337" s="697" t="n"/>
      <c r="L2337" s="698" t="n"/>
    </row>
    <row r="2338">
      <c r="A2338" s="3" t="inlineStr">
        <is>
          <t>DATA</t>
        </is>
      </c>
      <c r="B2338" s="3" t="inlineStr">
        <is>
          <t>N.F.</t>
        </is>
      </c>
      <c r="C2338" s="3" t="inlineStr">
        <is>
          <t>TIPO</t>
        </is>
      </c>
      <c r="D2338" s="3" t="inlineStr">
        <is>
          <t>PREÇO UNITÁRIO</t>
        </is>
      </c>
      <c r="E2338" s="736" t="n"/>
      <c r="F2338" s="3" t="inlineStr">
        <is>
          <t>QUANTIDADE / KG</t>
        </is>
      </c>
      <c r="G2338" s="737" t="n"/>
      <c r="H2338" s="736" t="n"/>
      <c r="I2338" s="631" t="inlineStr">
        <is>
          <t>PREÇO</t>
        </is>
      </c>
      <c r="J2338" s="631" t="inlineStr">
        <is>
          <t>VALORES</t>
        </is>
      </c>
      <c r="K2338" s="737" t="n"/>
      <c r="L2338" s="736" t="n"/>
    </row>
    <row r="2339" ht="15.75" customHeight="1" s="436" thickBot="1">
      <c r="A2339" s="704" t="n"/>
      <c r="B2339" s="704" t="n"/>
      <c r="C2339" s="704" t="n"/>
      <c r="D2339" s="703" t="n"/>
      <c r="E2339" s="701" t="n"/>
      <c r="F2339" s="705" t="n"/>
      <c r="G2339" s="706" t="n"/>
      <c r="H2339" s="707" t="n"/>
      <c r="I2339" s="704" t="n"/>
      <c r="J2339" s="703" t="n"/>
      <c r="L2339" s="701" t="n"/>
    </row>
    <row r="2340" ht="15.75" customHeight="1" s="436" thickBot="1">
      <c r="A2340" s="704" t="n"/>
      <c r="B2340" s="704" t="n"/>
      <c r="C2340" s="704" t="n"/>
      <c r="D2340" s="705" t="n"/>
      <c r="E2340" s="707" t="n"/>
      <c r="F2340" s="3" t="inlineStr">
        <is>
          <t>ENTRADA</t>
        </is>
      </c>
      <c r="G2340" s="3" t="inlineStr">
        <is>
          <t>SAÍDA</t>
        </is>
      </c>
      <c r="H2340" s="640" t="n"/>
      <c r="I2340" s="633" t="inlineStr">
        <is>
          <t>MÉDIO</t>
        </is>
      </c>
      <c r="J2340" s="739" t="inlineStr">
        <is>
          <t>SALDO EM 30/12/2017</t>
        </is>
      </c>
      <c r="K2340" s="707" t="n"/>
      <c r="L2340" s="17" t="n"/>
    </row>
    <row r="2341" ht="15.75" customHeight="1" s="436" thickBot="1">
      <c r="A2341" s="695" t="n"/>
      <c r="B2341" s="695" t="n"/>
      <c r="C2341" s="695" t="n"/>
      <c r="D2341" s="3" t="inlineStr">
        <is>
          <t>C/ICMS</t>
        </is>
      </c>
      <c r="E2341" s="3" t="inlineStr">
        <is>
          <t>S/ICMS</t>
        </is>
      </c>
      <c r="F2341" s="695" t="n"/>
      <c r="G2341" s="695" t="n"/>
      <c r="H2341" s="361" t="inlineStr">
        <is>
          <t>Saldo em 30/01/2022</t>
        </is>
      </c>
      <c r="I2341" s="695" t="n"/>
      <c r="J2341" s="645" t="inlineStr">
        <is>
          <t>ENTRADA</t>
        </is>
      </c>
      <c r="K2341" s="633" t="inlineStr">
        <is>
          <t>SAÍDA / CMV</t>
        </is>
      </c>
      <c r="L2341" s="633" t="inlineStr">
        <is>
          <t>SALDO</t>
        </is>
      </c>
    </row>
    <row r="2342">
      <c r="A2342" s="568" t="n"/>
      <c r="B2342" s="468" t="n"/>
      <c r="C2342" s="392" t="n"/>
      <c r="D2342" s="392" t="n"/>
      <c r="E2342" s="392" t="n"/>
      <c r="F2342" s="392" t="n"/>
      <c r="G2342" s="392" t="n"/>
      <c r="H2342" s="52" t="n">
        <v>1394</v>
      </c>
      <c r="I2342" s="568" t="n"/>
      <c r="J2342" s="568" t="n"/>
      <c r="K2342" s="568" t="n"/>
      <c r="L2342" s="568" t="n"/>
    </row>
    <row r="2343">
      <c r="A2343" s="568" t="n">
        <v>44958</v>
      </c>
      <c r="B2343" s="392" t="n">
        <v>9883</v>
      </c>
      <c r="C2343" s="392" t="n">
        <v>105</v>
      </c>
      <c r="D2343" s="392" t="n"/>
      <c r="E2343" s="392" t="n"/>
      <c r="F2343" s="392" t="n"/>
      <c r="G2343" s="392" t="n">
        <v>42</v>
      </c>
      <c r="H2343" s="52">
        <f>H2342-G2343</f>
        <v/>
      </c>
      <c r="I2343" s="568" t="n"/>
      <c r="J2343" s="568" t="n"/>
      <c r="K2343" s="568" t="n"/>
      <c r="L2343" s="568" t="n"/>
    </row>
    <row r="2344">
      <c r="A2344" s="568" t="n">
        <v>44958</v>
      </c>
      <c r="B2344" s="392" t="n">
        <v>9885</v>
      </c>
      <c r="C2344" s="392" t="n">
        <v>105.5</v>
      </c>
      <c r="D2344" s="392" t="n"/>
      <c r="E2344" s="392" t="n"/>
      <c r="F2344" s="392" t="n"/>
      <c r="G2344" s="392" t="n">
        <v>30</v>
      </c>
      <c r="H2344" s="52">
        <f>H2343-G2344</f>
        <v/>
      </c>
      <c r="I2344" s="568" t="n"/>
      <c r="J2344" s="568" t="n"/>
      <c r="K2344" s="568" t="n"/>
      <c r="L2344" s="568" t="n"/>
    </row>
    <row r="2345">
      <c r="A2345" s="568" t="n">
        <v>44958</v>
      </c>
      <c r="B2345" s="392" t="n">
        <v>9887</v>
      </c>
      <c r="C2345" s="392" t="n">
        <v>105</v>
      </c>
      <c r="D2345" s="392" t="n"/>
      <c r="E2345" s="392" t="n"/>
      <c r="F2345" s="392" t="n"/>
      <c r="G2345" s="392" t="n">
        <v>30</v>
      </c>
      <c r="H2345" s="52">
        <f>H2344-G2345</f>
        <v/>
      </c>
      <c r="I2345" s="568" t="n"/>
      <c r="J2345" s="568" t="n"/>
      <c r="K2345" s="568" t="n"/>
      <c r="L2345" s="568" t="n"/>
    </row>
    <row r="2346">
      <c r="A2346" s="568" t="n">
        <v>44963</v>
      </c>
      <c r="B2346" s="392" t="n">
        <v>9898</v>
      </c>
      <c r="C2346" s="392" t="n">
        <v>106</v>
      </c>
      <c r="D2346" s="392" t="n"/>
      <c r="E2346" s="392" t="n"/>
      <c r="F2346" s="392" t="n"/>
      <c r="G2346" s="392" t="n">
        <v>30</v>
      </c>
      <c r="H2346" s="52">
        <f>H2345-G2346</f>
        <v/>
      </c>
      <c r="I2346" s="568" t="n"/>
      <c r="J2346" s="568" t="n"/>
      <c r="K2346" s="568" t="n"/>
      <c r="L2346" s="568" t="n"/>
    </row>
    <row r="2347">
      <c r="A2347" s="568" t="n">
        <v>44963</v>
      </c>
      <c r="B2347" s="392" t="n">
        <v>9900</v>
      </c>
      <c r="C2347" s="392" t="n">
        <v>105.2</v>
      </c>
      <c r="D2347" s="392" t="n"/>
      <c r="E2347" s="392" t="n"/>
      <c r="F2347" s="392" t="n"/>
      <c r="G2347" s="392" t="n">
        <v>50</v>
      </c>
      <c r="H2347" s="52">
        <f>H2346-G2347</f>
        <v/>
      </c>
      <c r="I2347" s="568" t="n"/>
      <c r="J2347" s="568" t="n"/>
      <c r="K2347" s="568" t="n"/>
      <c r="L2347" s="568" t="n"/>
    </row>
    <row r="2348">
      <c r="A2348" s="568" t="n">
        <v>44963</v>
      </c>
      <c r="B2348" s="392" t="n">
        <v>9901</v>
      </c>
      <c r="C2348" s="392" t="n">
        <v>107</v>
      </c>
      <c r="D2348" s="392" t="n"/>
      <c r="E2348" s="392" t="n"/>
      <c r="F2348" s="392" t="n"/>
      <c r="G2348" s="392" t="n">
        <v>36</v>
      </c>
      <c r="H2348" s="52">
        <f>H2347-G2348</f>
        <v/>
      </c>
      <c r="I2348" s="568" t="n"/>
      <c r="J2348" s="568" t="n"/>
      <c r="K2348" s="568" t="n"/>
      <c r="L2348" s="568" t="n"/>
    </row>
    <row r="2349">
      <c r="A2349" s="568" t="n">
        <v>44963</v>
      </c>
      <c r="B2349" s="392" t="n">
        <v>9903</v>
      </c>
      <c r="C2349" s="392" t="n">
        <v>104</v>
      </c>
      <c r="D2349" s="392" t="n"/>
      <c r="E2349" s="392" t="n"/>
      <c r="F2349" s="392" t="n"/>
      <c r="G2349" s="392" t="n">
        <v>10</v>
      </c>
      <c r="H2349" s="52">
        <f>H2348-G2349</f>
        <v/>
      </c>
      <c r="I2349" s="568" t="n"/>
      <c r="J2349" s="568" t="n"/>
      <c r="K2349" s="568" t="n"/>
      <c r="L2349" s="568" t="n"/>
    </row>
    <row r="2350">
      <c r="A2350" s="568" t="n">
        <v>44963</v>
      </c>
      <c r="B2350" s="392" t="n">
        <v>9905</v>
      </c>
      <c r="C2350" s="392" t="n">
        <v>103</v>
      </c>
      <c r="D2350" s="392" t="n"/>
      <c r="E2350" s="392" t="n"/>
      <c r="F2350" s="392" t="n"/>
      <c r="G2350" s="392" t="n">
        <v>30</v>
      </c>
      <c r="H2350" s="52">
        <f>H2349-G2350</f>
        <v/>
      </c>
      <c r="I2350" s="568" t="n"/>
      <c r="J2350" s="568" t="n"/>
      <c r="K2350" s="568" t="n"/>
      <c r="L2350" s="568" t="n"/>
    </row>
    <row r="2351">
      <c r="A2351" s="568" t="n">
        <v>44963</v>
      </c>
      <c r="B2351" s="392" t="n">
        <v>9906</v>
      </c>
      <c r="C2351" s="392" t="n">
        <v>103</v>
      </c>
      <c r="D2351" s="392" t="n"/>
      <c r="E2351" s="392" t="n"/>
      <c r="F2351" s="392" t="n"/>
      <c r="G2351" s="392" t="n">
        <v>70</v>
      </c>
      <c r="H2351" s="52">
        <f>H2350-G2351</f>
        <v/>
      </c>
      <c r="I2351" s="568" t="n"/>
      <c r="J2351" s="568" t="n"/>
      <c r="K2351" s="568" t="n"/>
      <c r="L2351" s="568" t="n"/>
    </row>
    <row r="2352">
      <c r="A2352" s="568" t="n">
        <v>44963</v>
      </c>
      <c r="B2352" s="392" t="n">
        <v>9906</v>
      </c>
      <c r="C2352" s="392" t="n">
        <v>105</v>
      </c>
      <c r="D2352" s="392" t="n"/>
      <c r="E2352" s="392" t="n"/>
      <c r="F2352" s="392" t="n"/>
      <c r="G2352" s="392" t="n">
        <v>42</v>
      </c>
      <c r="H2352" s="52">
        <f>H2351-G2352</f>
        <v/>
      </c>
      <c r="I2352" s="568" t="n"/>
      <c r="J2352" s="568" t="n"/>
      <c r="K2352" s="568" t="n"/>
      <c r="L2352" s="568" t="n"/>
    </row>
    <row r="2353">
      <c r="A2353" s="568" t="n">
        <v>44970</v>
      </c>
      <c r="B2353" s="392" t="n">
        <v>9914</v>
      </c>
      <c r="C2353" s="392" t="n">
        <v>103</v>
      </c>
      <c r="D2353" s="392" t="n"/>
      <c r="E2353" s="392" t="n"/>
      <c r="F2353" s="392" t="n"/>
      <c r="G2353" s="392" t="n">
        <v>10</v>
      </c>
      <c r="H2353" s="52">
        <f>H2352-G2353</f>
        <v/>
      </c>
      <c r="I2353" s="568" t="n"/>
      <c r="J2353" s="568" t="n"/>
      <c r="K2353" s="568" t="n"/>
      <c r="L2353" s="568" t="n"/>
    </row>
    <row r="2354">
      <c r="A2354" s="568" t="n">
        <v>44970</v>
      </c>
      <c r="B2354" s="392" t="n">
        <v>9919</v>
      </c>
      <c r="C2354" s="392" t="n">
        <v>104</v>
      </c>
      <c r="D2354" s="392" t="n"/>
      <c r="E2354" s="392" t="n"/>
      <c r="F2354" s="392" t="n"/>
      <c r="G2354" s="392" t="n">
        <v>20</v>
      </c>
      <c r="H2354" s="52">
        <f>H2353-G2354</f>
        <v/>
      </c>
      <c r="I2354" s="568" t="n"/>
      <c r="J2354" s="568" t="n"/>
      <c r="K2354" s="568" t="n"/>
      <c r="L2354" s="568" t="n"/>
    </row>
    <row r="2355">
      <c r="A2355" s="568" t="n">
        <v>44970</v>
      </c>
      <c r="B2355" s="392" t="n">
        <v>9920</v>
      </c>
      <c r="C2355" s="392" t="n">
        <v>104</v>
      </c>
      <c r="D2355" s="392" t="n"/>
      <c r="E2355" s="392" t="n"/>
      <c r="F2355" s="392" t="n"/>
      <c r="G2355" s="392" t="n">
        <v>20</v>
      </c>
      <c r="H2355" s="52">
        <f>H2354-G2355</f>
        <v/>
      </c>
      <c r="I2355" s="568" t="n"/>
      <c r="J2355" s="568" t="n"/>
      <c r="K2355" s="568" t="n"/>
      <c r="L2355" s="568" t="n"/>
    </row>
    <row r="2356">
      <c r="A2356" s="568" t="n">
        <v>44970</v>
      </c>
      <c r="B2356" s="392" t="n">
        <v>9921</v>
      </c>
      <c r="C2356" s="392" t="n">
        <v>105.5</v>
      </c>
      <c r="D2356" s="392" t="n"/>
      <c r="E2356" s="392" t="n"/>
      <c r="F2356" s="392" t="n"/>
      <c r="G2356" s="392" t="n">
        <v>20</v>
      </c>
      <c r="H2356" s="52">
        <f>H2355-G2356</f>
        <v/>
      </c>
      <c r="I2356" s="568" t="n"/>
      <c r="J2356" s="568" t="n"/>
      <c r="K2356" s="568" t="n"/>
      <c r="L2356" s="568" t="n"/>
    </row>
    <row r="2357">
      <c r="A2357" s="568" t="n">
        <v>44972</v>
      </c>
      <c r="B2357" s="392" t="n">
        <v>9926</v>
      </c>
      <c r="C2357" s="392" t="n">
        <v>104</v>
      </c>
      <c r="D2357" s="392" t="n"/>
      <c r="E2357" s="392" t="n"/>
      <c r="F2357" s="392" t="n"/>
      <c r="G2357" s="392" t="n">
        <v>30</v>
      </c>
      <c r="H2357" s="52">
        <f>H2356-G2357</f>
        <v/>
      </c>
      <c r="I2357" s="568" t="n"/>
      <c r="J2357" s="568" t="n"/>
      <c r="K2357" s="568" t="n"/>
      <c r="L2357" s="568" t="n"/>
    </row>
    <row r="2358">
      <c r="A2358" s="568" t="n">
        <v>44972</v>
      </c>
      <c r="B2358" s="392" t="n">
        <v>9927</v>
      </c>
      <c r="C2358" s="392" t="n">
        <v>104</v>
      </c>
      <c r="D2358" s="392" t="n"/>
      <c r="E2358" s="392" t="n"/>
      <c r="F2358" s="392" t="n"/>
      <c r="G2358" s="392" t="n">
        <v>15</v>
      </c>
      <c r="H2358" s="52">
        <f>H2357-G2358</f>
        <v/>
      </c>
      <c r="I2358" s="568" t="n"/>
      <c r="J2358" s="568" t="n"/>
      <c r="K2358" s="568" t="n"/>
      <c r="L2358" s="568" t="n"/>
    </row>
    <row r="2359">
      <c r="A2359" s="568" t="n">
        <v>44972</v>
      </c>
      <c r="B2359" s="392" t="n">
        <v>9928</v>
      </c>
      <c r="C2359" s="392" t="n">
        <v>105</v>
      </c>
      <c r="D2359" s="392" t="n"/>
      <c r="E2359" s="392" t="n"/>
      <c r="F2359" s="392" t="n"/>
      <c r="G2359" s="392" t="n">
        <v>30</v>
      </c>
      <c r="H2359" s="52">
        <f>H2358-G2359</f>
        <v/>
      </c>
      <c r="I2359" s="568" t="n"/>
      <c r="J2359" s="568" t="n"/>
      <c r="K2359" s="568" t="n"/>
      <c r="L2359" s="568" t="n"/>
    </row>
    <row r="2360">
      <c r="A2360" s="568" t="n">
        <v>44972</v>
      </c>
      <c r="B2360" s="392" t="n">
        <v>9932</v>
      </c>
      <c r="C2360" s="392" t="n">
        <v>105</v>
      </c>
      <c r="D2360" s="392" t="n"/>
      <c r="E2360" s="392" t="n"/>
      <c r="F2360" s="392" t="n"/>
      <c r="G2360" s="392" t="n">
        <v>42</v>
      </c>
      <c r="H2360" s="52">
        <f>H2359-G2360</f>
        <v/>
      </c>
      <c r="I2360" s="568" t="n"/>
      <c r="J2360" s="568" t="n"/>
      <c r="K2360" s="568" t="n"/>
      <c r="L2360" s="568" t="n"/>
    </row>
    <row r="2361" ht="15.75" customHeight="1" s="436" thickBot="1">
      <c r="A2361" s="414" t="n"/>
      <c r="H2361" s="171" t="n"/>
      <c r="I2361" s="414" t="n"/>
      <c r="J2361" s="414" t="n"/>
      <c r="K2361" s="414" t="n"/>
      <c r="L2361" s="414" t="n"/>
    </row>
    <row r="2362" ht="21.75" customHeight="1" s="436" thickBot="1">
      <c r="A2362" s="757" t="inlineStr">
        <is>
          <t>Março</t>
        </is>
      </c>
      <c r="B2362" s="697" t="n"/>
      <c r="C2362" s="697" t="n"/>
      <c r="D2362" s="697" t="n"/>
      <c r="E2362" s="697" t="n"/>
      <c r="F2362" s="697" t="n"/>
      <c r="G2362" s="697" t="n"/>
      <c r="H2362" s="697" t="n"/>
      <c r="I2362" s="697" t="n"/>
      <c r="J2362" s="697" t="n"/>
      <c r="K2362" s="697" t="n"/>
      <c r="L2362" s="698" t="n"/>
    </row>
    <row r="2363" ht="21.75" customHeight="1" s="436" thickBot="1">
      <c r="A2363" s="699" t="inlineStr">
        <is>
          <t xml:space="preserve">021 - DENISE FURTADO DE SOUZA - ME </t>
        </is>
      </c>
      <c r="B2363" s="697" t="n"/>
      <c r="C2363" s="697" t="n"/>
      <c r="D2363" s="697" t="n"/>
      <c r="E2363" s="697" t="n"/>
      <c r="F2363" s="697" t="n"/>
      <c r="G2363" s="697" t="n"/>
      <c r="H2363" s="697" t="n"/>
      <c r="I2363" s="697" t="n"/>
      <c r="J2363" s="697" t="n"/>
      <c r="K2363" s="697" t="n"/>
      <c r="L2363" s="698" t="n"/>
    </row>
    <row r="2364" ht="24" customHeight="1" s="436" thickBot="1">
      <c r="A2364" s="759" t="inlineStr">
        <is>
          <t xml:space="preserve">  PRÉ MISTURA - 25 KG</t>
        </is>
      </c>
      <c r="B2364" s="697" t="n"/>
      <c r="C2364" s="697" t="n"/>
      <c r="D2364" s="697" t="n"/>
      <c r="E2364" s="697" t="n"/>
      <c r="F2364" s="697" t="n"/>
      <c r="G2364" s="697" t="n"/>
      <c r="H2364" s="697" t="n"/>
      <c r="I2364" s="697" t="n"/>
      <c r="J2364" s="697" t="n"/>
      <c r="K2364" s="697" t="n"/>
      <c r="L2364" s="698" t="n"/>
    </row>
    <row r="2365">
      <c r="A2365" s="3" t="inlineStr">
        <is>
          <t>DATA</t>
        </is>
      </c>
      <c r="B2365" s="3" t="inlineStr">
        <is>
          <t>N.F.</t>
        </is>
      </c>
      <c r="C2365" s="3" t="inlineStr">
        <is>
          <t>TIPO</t>
        </is>
      </c>
      <c r="D2365" s="3" t="inlineStr">
        <is>
          <t>PREÇO UNITÁRIO</t>
        </is>
      </c>
      <c r="E2365" s="736" t="n"/>
      <c r="F2365" s="3" t="inlineStr">
        <is>
          <t>QUANTIDADE / KG</t>
        </is>
      </c>
      <c r="G2365" s="737" t="n"/>
      <c r="H2365" s="736" t="n"/>
      <c r="I2365" s="631" t="inlineStr">
        <is>
          <t>PREÇO</t>
        </is>
      </c>
      <c r="J2365" s="631" t="inlineStr">
        <is>
          <t>VALORES</t>
        </is>
      </c>
      <c r="K2365" s="737" t="n"/>
      <c r="L2365" s="736" t="n"/>
    </row>
    <row r="2366" ht="15.75" customHeight="1" s="436" thickBot="1">
      <c r="A2366" s="704" t="n"/>
      <c r="B2366" s="704" t="n"/>
      <c r="C2366" s="704" t="n"/>
      <c r="D2366" s="703" t="n"/>
      <c r="E2366" s="701" t="n"/>
      <c r="F2366" s="705" t="n"/>
      <c r="G2366" s="706" t="n"/>
      <c r="H2366" s="707" t="n"/>
      <c r="I2366" s="704" t="n"/>
      <c r="J2366" s="703" t="n"/>
      <c r="L2366" s="701" t="n"/>
    </row>
    <row r="2367" ht="15.75" customHeight="1" s="436" thickBot="1">
      <c r="A2367" s="704" t="n"/>
      <c r="B2367" s="704" t="n"/>
      <c r="C2367" s="704" t="n"/>
      <c r="D2367" s="705" t="n"/>
      <c r="E2367" s="707" t="n"/>
      <c r="F2367" s="3" t="inlineStr">
        <is>
          <t>ENTRADA</t>
        </is>
      </c>
      <c r="G2367" s="3" t="inlineStr">
        <is>
          <t>SAÍDA</t>
        </is>
      </c>
      <c r="H2367" s="640" t="n"/>
      <c r="I2367" s="633" t="inlineStr">
        <is>
          <t>MÉDIO</t>
        </is>
      </c>
      <c r="J2367" s="739" t="inlineStr">
        <is>
          <t>SALDO EM 30/12/2017</t>
        </is>
      </c>
      <c r="K2367" s="707" t="n"/>
      <c r="L2367" s="17" t="n"/>
    </row>
    <row r="2368" ht="15.75" customHeight="1" s="436" thickBot="1">
      <c r="A2368" s="695" t="n"/>
      <c r="B2368" s="695" t="n"/>
      <c r="C2368" s="695" t="n"/>
      <c r="D2368" s="3" t="inlineStr">
        <is>
          <t>C/ICMS</t>
        </is>
      </c>
      <c r="E2368" s="3" t="inlineStr">
        <is>
          <t>S/ICMS</t>
        </is>
      </c>
      <c r="F2368" s="695" t="n"/>
      <c r="G2368" s="695" t="n"/>
      <c r="H2368" s="361" t="inlineStr">
        <is>
          <t>Saldo em 28/02/2022</t>
        </is>
      </c>
      <c r="I2368" s="695" t="n"/>
      <c r="J2368" s="645" t="inlineStr">
        <is>
          <t>ENTRADA</t>
        </is>
      </c>
      <c r="K2368" s="633" t="inlineStr">
        <is>
          <t>SAÍDA / CMV</t>
        </is>
      </c>
      <c r="L2368" s="633" t="inlineStr">
        <is>
          <t>SALDO</t>
        </is>
      </c>
    </row>
    <row r="2369">
      <c r="A2369" s="568" t="n"/>
      <c r="B2369" s="392" t="n"/>
      <c r="C2369" s="392" t="n"/>
      <c r="D2369" s="392" t="n"/>
      <c r="E2369" s="392" t="n"/>
      <c r="F2369" s="392" t="n"/>
      <c r="G2369" s="392" t="n"/>
      <c r="H2369" s="52" t="n">
        <v>837</v>
      </c>
      <c r="I2369" s="568" t="n"/>
      <c r="J2369" s="568" t="n"/>
      <c r="K2369" s="568" t="n"/>
      <c r="L2369" s="568" t="n"/>
    </row>
    <row r="2370">
      <c r="A2370" s="568" t="n">
        <v>44986</v>
      </c>
      <c r="B2370" s="392" t="n">
        <v>9961</v>
      </c>
      <c r="C2370" s="392" t="n">
        <v>106</v>
      </c>
      <c r="D2370" s="392" t="n"/>
      <c r="E2370" s="392" t="n"/>
      <c r="F2370" s="392" t="n"/>
      <c r="G2370" s="392" t="n">
        <v>30</v>
      </c>
      <c r="H2370" s="52">
        <f>H2369-G2370</f>
        <v/>
      </c>
      <c r="I2370" s="568" t="n"/>
      <c r="J2370" s="568" t="n"/>
      <c r="K2370" s="568" t="n"/>
      <c r="L2370" s="568" t="n"/>
    </row>
    <row r="2371">
      <c r="A2371" s="568" t="n">
        <v>44986</v>
      </c>
      <c r="B2371" s="392" t="n">
        <v>9963</v>
      </c>
      <c r="C2371" s="392" t="n">
        <v>104</v>
      </c>
      <c r="D2371" s="392" t="n"/>
      <c r="E2371" s="392" t="n"/>
      <c r="F2371" s="392" t="n"/>
      <c r="G2371" s="392" t="n">
        <v>15</v>
      </c>
      <c r="H2371" s="52">
        <f>H2370-G2371</f>
        <v/>
      </c>
      <c r="I2371" s="568" t="n"/>
      <c r="J2371" s="568" t="n"/>
      <c r="K2371" s="568" t="n"/>
      <c r="L2371" s="568" t="n"/>
    </row>
    <row r="2372">
      <c r="A2372" s="568" t="n">
        <v>44986</v>
      </c>
      <c r="B2372" s="392" t="n">
        <v>9964</v>
      </c>
      <c r="C2372" s="392" t="n">
        <v>105.75</v>
      </c>
      <c r="D2372" s="392" t="n"/>
      <c r="E2372" s="392" t="n"/>
      <c r="F2372" s="392" t="n"/>
      <c r="G2372" s="392" t="n">
        <v>32</v>
      </c>
      <c r="H2372" s="52">
        <f>H2371-G2372</f>
        <v/>
      </c>
      <c r="I2372" s="568" t="n"/>
      <c r="J2372" s="568" t="n"/>
      <c r="K2372" s="568" t="n"/>
      <c r="L2372" s="568" t="n"/>
    </row>
    <row r="2373">
      <c r="A2373" s="304" t="n">
        <v>44992</v>
      </c>
      <c r="B2373" s="401" t="n">
        <v>211350</v>
      </c>
      <c r="C2373" s="401" t="n"/>
      <c r="D2373" s="401" t="n"/>
      <c r="E2373" s="401" t="n">
        <v>87</v>
      </c>
      <c r="F2373" s="401" t="n">
        <v>760</v>
      </c>
      <c r="G2373" s="401" t="n"/>
      <c r="H2373" s="277" t="n">
        <v>1520</v>
      </c>
      <c r="I2373" s="568" t="n"/>
      <c r="J2373" s="568" t="n"/>
      <c r="K2373" s="568" t="n"/>
      <c r="L2373" s="568" t="n"/>
    </row>
    <row r="2374">
      <c r="A2374" s="568" t="n">
        <v>44993</v>
      </c>
      <c r="B2374" s="392" t="n">
        <v>9968</v>
      </c>
      <c r="C2374" s="392" t="n">
        <v>104</v>
      </c>
      <c r="D2374" s="392" t="n"/>
      <c r="E2374" s="392" t="n"/>
      <c r="F2374" s="392" t="n"/>
      <c r="G2374" s="392" t="n">
        <v>30</v>
      </c>
      <c r="H2374" s="52">
        <f>H2373-G2374</f>
        <v/>
      </c>
      <c r="I2374" s="568" t="n"/>
      <c r="J2374" s="568" t="n"/>
      <c r="K2374" s="568" t="n"/>
      <c r="L2374" s="568" t="n"/>
    </row>
    <row r="2375">
      <c r="A2375" s="568" t="n">
        <v>44993</v>
      </c>
      <c r="B2375" s="392" t="n">
        <v>9969</v>
      </c>
      <c r="C2375" s="392" t="n">
        <v>104</v>
      </c>
      <c r="D2375" s="392" t="n"/>
      <c r="E2375" s="392" t="n"/>
      <c r="F2375" s="392" t="n"/>
      <c r="G2375" s="392" t="n">
        <v>30</v>
      </c>
      <c r="H2375" s="52">
        <f>H2374-G2375</f>
        <v/>
      </c>
      <c r="I2375" s="568" t="n"/>
      <c r="J2375" s="568" t="n"/>
      <c r="K2375" s="568" t="n"/>
      <c r="L2375" s="568" t="n"/>
    </row>
    <row r="2376">
      <c r="A2376" s="568" t="n">
        <v>44993</v>
      </c>
      <c r="B2376" s="392" t="n">
        <v>9971</v>
      </c>
      <c r="C2376" s="392" t="n">
        <v>104</v>
      </c>
      <c r="D2376" s="392" t="n"/>
      <c r="E2376" s="392" t="n"/>
      <c r="F2376" s="392" t="n"/>
      <c r="G2376" s="392" t="n">
        <v>36</v>
      </c>
      <c r="H2376" s="52">
        <f>H2375-G2376</f>
        <v/>
      </c>
      <c r="I2376" s="568" t="n"/>
      <c r="J2376" s="568" t="n"/>
      <c r="K2376" s="568" t="n"/>
      <c r="L2376" s="568" t="n"/>
    </row>
    <row r="2377">
      <c r="A2377" s="568" t="n">
        <v>44993</v>
      </c>
      <c r="B2377" s="392" t="n">
        <v>9972</v>
      </c>
      <c r="C2377" s="392" t="n">
        <v>101</v>
      </c>
      <c r="D2377" s="392" t="n"/>
      <c r="E2377" s="392" t="n"/>
      <c r="F2377" s="392" t="n"/>
      <c r="G2377" s="392" t="n">
        <v>30</v>
      </c>
      <c r="H2377" s="52">
        <f>H2376-G2377</f>
        <v/>
      </c>
      <c r="I2377" s="568" t="n"/>
      <c r="J2377" s="568" t="n"/>
      <c r="K2377" s="568" t="n"/>
      <c r="L2377" s="568" t="n"/>
    </row>
    <row r="2378">
      <c r="A2378" s="568" t="n">
        <v>44993</v>
      </c>
      <c r="B2378" s="392" t="n">
        <v>9977</v>
      </c>
      <c r="C2378" s="392" t="n">
        <v>107</v>
      </c>
      <c r="D2378" s="392" t="n"/>
      <c r="E2378" s="392" t="n"/>
      <c r="F2378" s="392" t="n"/>
      <c r="G2378" s="392" t="n">
        <v>20</v>
      </c>
      <c r="H2378" s="52">
        <f>H2377-G2378</f>
        <v/>
      </c>
      <c r="I2378" s="568" t="n"/>
      <c r="J2378" s="568" t="n"/>
      <c r="K2378" s="568" t="n"/>
      <c r="L2378" s="568" t="n"/>
    </row>
    <row r="2379">
      <c r="A2379" s="568" t="n">
        <v>44993</v>
      </c>
      <c r="B2379" s="392" t="n">
        <v>9978</v>
      </c>
      <c r="C2379" s="392" t="n">
        <v>106</v>
      </c>
      <c r="D2379" s="392" t="n"/>
      <c r="E2379" s="392" t="n"/>
      <c r="F2379" s="392" t="n"/>
      <c r="G2379" s="392" t="n">
        <v>30</v>
      </c>
      <c r="H2379" s="52">
        <f>H2378-G2379</f>
        <v/>
      </c>
      <c r="I2379" s="568" t="n"/>
      <c r="J2379" s="568" t="n"/>
      <c r="K2379" s="568" t="n"/>
      <c r="L2379" s="568" t="n"/>
    </row>
    <row r="2380">
      <c r="A2380" s="568" t="n">
        <v>44998</v>
      </c>
      <c r="B2380" s="392" t="n">
        <v>9985</v>
      </c>
      <c r="C2380" s="392" t="n">
        <v>105</v>
      </c>
      <c r="D2380" s="392" t="n"/>
      <c r="E2380" s="392" t="n"/>
      <c r="F2380" s="392" t="n"/>
      <c r="G2380" s="392" t="n">
        <v>120</v>
      </c>
      <c r="H2380" s="52">
        <f>H2379-G2380</f>
        <v/>
      </c>
      <c r="I2380" s="568" t="n"/>
      <c r="J2380" s="568" t="n"/>
      <c r="K2380" s="568" t="n"/>
      <c r="L2380" s="568" t="n"/>
    </row>
    <row r="2381">
      <c r="A2381" s="568" t="n">
        <v>44998</v>
      </c>
      <c r="B2381" s="392" t="n">
        <v>9987</v>
      </c>
      <c r="C2381" s="392" t="n">
        <v>105.2</v>
      </c>
      <c r="D2381" s="392" t="n"/>
      <c r="E2381" s="392" t="n"/>
      <c r="F2381" s="392" t="n"/>
      <c r="G2381" s="392" t="n">
        <v>50</v>
      </c>
      <c r="H2381" s="52">
        <f>H2380-G2381</f>
        <v/>
      </c>
      <c r="I2381" s="568" t="n"/>
      <c r="J2381" s="568" t="n"/>
      <c r="K2381" s="568" t="n"/>
      <c r="L2381" s="568" t="n"/>
    </row>
    <row r="2382">
      <c r="A2382" s="568" t="n">
        <v>44999</v>
      </c>
      <c r="B2382" s="392" t="n">
        <v>9990</v>
      </c>
      <c r="C2382" s="392" t="n">
        <v>104</v>
      </c>
      <c r="D2382" s="392" t="n"/>
      <c r="E2382" s="392" t="n"/>
      <c r="F2382" s="392" t="n"/>
      <c r="G2382" s="392" t="n">
        <v>15</v>
      </c>
      <c r="H2382" s="52">
        <f>H2381-G2382</f>
        <v/>
      </c>
      <c r="I2382" s="568" t="n"/>
      <c r="J2382" s="568" t="n"/>
      <c r="K2382" s="568" t="n"/>
      <c r="L2382" s="568" t="n"/>
    </row>
    <row r="2383">
      <c r="A2383" s="568" t="n">
        <v>44999</v>
      </c>
      <c r="B2383" s="392" t="n">
        <v>9992</v>
      </c>
      <c r="C2383" s="392" t="n">
        <v>105.72</v>
      </c>
      <c r="D2383" s="392" t="n"/>
      <c r="E2383" s="392" t="n"/>
      <c r="F2383" s="392" t="n"/>
      <c r="G2383" s="392" t="n">
        <v>35</v>
      </c>
      <c r="H2383" s="52">
        <f>H2382-G2383</f>
        <v/>
      </c>
      <c r="I2383" s="568" t="n"/>
      <c r="J2383" s="568" t="n"/>
      <c r="K2383" s="568" t="n"/>
      <c r="L2383" s="568" t="n"/>
    </row>
    <row r="2384">
      <c r="A2384" s="568" t="n">
        <v>44999</v>
      </c>
      <c r="B2384" s="392" t="n">
        <v>9997</v>
      </c>
      <c r="C2384" s="392" t="n">
        <v>104</v>
      </c>
      <c r="D2384" s="392" t="n"/>
      <c r="E2384" s="392" t="n"/>
      <c r="F2384" s="392" t="n"/>
      <c r="G2384" s="392" t="n">
        <v>15</v>
      </c>
      <c r="H2384" s="52">
        <f>H2383-G2384</f>
        <v/>
      </c>
      <c r="I2384" s="568" t="n"/>
      <c r="J2384" s="568" t="n"/>
      <c r="K2384" s="568" t="n"/>
      <c r="L2384" s="568" t="n"/>
    </row>
    <row r="2385">
      <c r="A2385" s="568" t="n">
        <v>44999</v>
      </c>
      <c r="B2385" s="392" t="n">
        <v>10000</v>
      </c>
      <c r="C2385" s="392" t="n">
        <v>105</v>
      </c>
      <c r="D2385" s="392" t="n"/>
      <c r="E2385" s="392" t="n"/>
      <c r="F2385" s="392" t="n"/>
      <c r="G2385" s="392" t="n">
        <v>48</v>
      </c>
      <c r="H2385" s="52">
        <f>H2384-G2385</f>
        <v/>
      </c>
      <c r="I2385" s="568" t="n"/>
      <c r="J2385" s="568" t="n"/>
      <c r="K2385" s="568" t="n"/>
      <c r="L2385" s="568" t="n"/>
    </row>
    <row r="2386">
      <c r="A2386" s="568" t="n">
        <v>45000</v>
      </c>
      <c r="B2386" s="392" t="n">
        <v>10002</v>
      </c>
      <c r="C2386" s="392" t="n">
        <v>105</v>
      </c>
      <c r="D2386" s="392" t="n"/>
      <c r="E2386" s="392" t="n"/>
      <c r="F2386" s="392" t="n"/>
      <c r="G2386" s="392" t="n">
        <v>20</v>
      </c>
      <c r="H2386" s="52">
        <f>H2385-G2386</f>
        <v/>
      </c>
      <c r="I2386" s="568" t="n"/>
      <c r="J2386" s="568" t="n"/>
      <c r="K2386" s="568" t="n"/>
      <c r="L2386" s="568" t="n"/>
    </row>
    <row r="2387">
      <c r="A2387" s="568" t="n">
        <v>45005</v>
      </c>
      <c r="B2387" s="392" t="n">
        <v>10005</v>
      </c>
      <c r="C2387" s="392" t="n">
        <v>103</v>
      </c>
      <c r="D2387" s="392" t="n"/>
      <c r="E2387" s="392" t="n"/>
      <c r="F2387" s="392" t="n"/>
      <c r="G2387" s="392" t="n">
        <v>20</v>
      </c>
      <c r="H2387" s="52">
        <f>H2386-G2387</f>
        <v/>
      </c>
      <c r="I2387" s="568" t="n"/>
      <c r="J2387" s="568" t="n"/>
      <c r="K2387" s="568" t="n"/>
      <c r="L2387" s="568" t="n"/>
    </row>
    <row r="2388">
      <c r="A2388" s="568" t="n">
        <v>45007</v>
      </c>
      <c r="B2388" s="392" t="n">
        <v>10012</v>
      </c>
      <c r="C2388" s="392" t="n">
        <v>104</v>
      </c>
      <c r="D2388" s="392" t="n"/>
      <c r="E2388" s="392" t="n"/>
      <c r="F2388" s="392" t="n"/>
      <c r="G2388" s="392" t="n">
        <v>20</v>
      </c>
      <c r="H2388" s="52">
        <f>H2387-G2388</f>
        <v/>
      </c>
      <c r="I2388" s="568" t="n"/>
      <c r="J2388" s="568" t="n"/>
      <c r="K2388" s="568" t="n"/>
      <c r="L2388" s="568" t="n"/>
    </row>
    <row r="2389">
      <c r="A2389" s="568" t="n">
        <v>45007</v>
      </c>
      <c r="B2389" s="392" t="n">
        <v>10016</v>
      </c>
      <c r="C2389" s="392" t="n">
        <v>104</v>
      </c>
      <c r="D2389" s="392" t="n"/>
      <c r="E2389" s="392" t="n"/>
      <c r="F2389" s="392" t="n"/>
      <c r="G2389" s="392" t="n">
        <v>15</v>
      </c>
      <c r="H2389" s="52">
        <f>H2388-G2389</f>
        <v/>
      </c>
      <c r="I2389" s="568" t="n"/>
      <c r="J2389" s="568" t="n"/>
      <c r="K2389" s="568" t="n"/>
      <c r="L2389" s="568" t="n"/>
    </row>
    <row r="2390">
      <c r="A2390" s="568" t="n">
        <v>45007</v>
      </c>
      <c r="B2390" s="392" t="n">
        <v>10019</v>
      </c>
      <c r="C2390" s="392" t="n">
        <v>105.87</v>
      </c>
      <c r="D2390" s="392" t="n"/>
      <c r="E2390" s="392" t="n"/>
      <c r="F2390" s="392" t="n"/>
      <c r="G2390" s="392" t="n">
        <v>30</v>
      </c>
      <c r="H2390" s="52">
        <f>H2389-G2390</f>
        <v/>
      </c>
      <c r="I2390" s="568" t="n"/>
      <c r="J2390" s="568" t="n"/>
      <c r="K2390" s="568" t="n"/>
      <c r="L2390" s="568" t="n"/>
    </row>
    <row r="2391">
      <c r="A2391" s="568" t="n">
        <v>45007</v>
      </c>
      <c r="B2391" s="392" t="n">
        <v>10020</v>
      </c>
      <c r="C2391" s="392" t="n">
        <v>105</v>
      </c>
      <c r="D2391" s="392" t="n"/>
      <c r="E2391" s="392" t="n"/>
      <c r="F2391" s="392" t="n"/>
      <c r="G2391" s="392" t="n">
        <v>48</v>
      </c>
      <c r="H2391" s="52">
        <f>H2390-G2391</f>
        <v/>
      </c>
      <c r="I2391" s="568" t="n"/>
      <c r="J2391" s="568" t="n"/>
      <c r="K2391" s="568" t="n"/>
      <c r="L2391" s="568" t="n"/>
    </row>
    <row r="2392">
      <c r="A2392" s="568" t="n">
        <v>45013</v>
      </c>
      <c r="B2392" s="392" t="n">
        <v>10028</v>
      </c>
      <c r="C2392" s="392" t="n">
        <v>104</v>
      </c>
      <c r="D2392" s="392" t="n"/>
      <c r="E2392" s="392" t="n"/>
      <c r="F2392" s="392" t="n"/>
      <c r="G2392" s="392" t="n">
        <v>10</v>
      </c>
      <c r="H2392" s="52">
        <f>H2391-G2392</f>
        <v/>
      </c>
      <c r="I2392" s="568" t="n"/>
      <c r="J2392" s="568" t="n"/>
      <c r="K2392" s="568" t="n"/>
      <c r="L2392" s="568" t="n"/>
    </row>
    <row r="2393">
      <c r="A2393" s="304" t="n">
        <v>45014</v>
      </c>
      <c r="B2393" s="401" t="n">
        <v>213247</v>
      </c>
      <c r="C2393" s="401" t="n"/>
      <c r="D2393" s="401" t="n">
        <v>86.5</v>
      </c>
      <c r="E2393" s="401" t="n"/>
      <c r="F2393" s="401" t="n">
        <v>580</v>
      </c>
      <c r="G2393" s="401" t="n"/>
      <c r="H2393" s="277" t="n">
        <v>1478</v>
      </c>
      <c r="I2393" s="568" t="n"/>
      <c r="J2393" s="568" t="n"/>
      <c r="K2393" s="568" t="n"/>
      <c r="L2393" s="568" t="n"/>
    </row>
    <row r="2394" ht="15.75" customHeight="1" s="436" thickBot="1">
      <c r="A2394" s="414" t="n"/>
      <c r="H2394" s="171" t="n"/>
      <c r="I2394" s="414" t="n"/>
      <c r="J2394" s="414" t="n"/>
      <c r="K2394" s="414" t="n"/>
      <c r="L2394" s="414" t="n"/>
    </row>
    <row r="2395" ht="21.75" customHeight="1" s="436" thickBot="1">
      <c r="A2395" s="757" t="inlineStr">
        <is>
          <t>Abril</t>
        </is>
      </c>
      <c r="B2395" s="697" t="n"/>
      <c r="C2395" s="697" t="n"/>
      <c r="D2395" s="697" t="n"/>
      <c r="E2395" s="697" t="n"/>
      <c r="F2395" s="697" t="n"/>
      <c r="G2395" s="697" t="n"/>
      <c r="H2395" s="697" t="n"/>
      <c r="I2395" s="697" t="n"/>
      <c r="J2395" s="697" t="n"/>
      <c r="K2395" s="697" t="n"/>
      <c r="L2395" s="698" t="n"/>
    </row>
    <row r="2396" ht="21.75" customHeight="1" s="436" thickBot="1">
      <c r="A2396" s="699" t="inlineStr">
        <is>
          <t xml:space="preserve">021 - DENISE FURTADO DE SOUZA - ME </t>
        </is>
      </c>
      <c r="B2396" s="697" t="n"/>
      <c r="C2396" s="697" t="n"/>
      <c r="D2396" s="697" t="n"/>
      <c r="E2396" s="697" t="n"/>
      <c r="F2396" s="697" t="n"/>
      <c r="G2396" s="697" t="n"/>
      <c r="H2396" s="697" t="n"/>
      <c r="I2396" s="697" t="n"/>
      <c r="J2396" s="697" t="n"/>
      <c r="K2396" s="697" t="n"/>
      <c r="L2396" s="698" t="n"/>
    </row>
    <row r="2397" ht="24" customHeight="1" s="436" thickBot="1">
      <c r="A2397" s="759" t="inlineStr">
        <is>
          <t xml:space="preserve">  PRÉ MISTURA - 25 KG</t>
        </is>
      </c>
      <c r="B2397" s="697" t="n"/>
      <c r="C2397" s="697" t="n"/>
      <c r="D2397" s="697" t="n"/>
      <c r="E2397" s="697" t="n"/>
      <c r="F2397" s="697" t="n"/>
      <c r="G2397" s="697" t="n"/>
      <c r="H2397" s="697" t="n"/>
      <c r="I2397" s="697" t="n"/>
      <c r="J2397" s="697" t="n"/>
      <c r="K2397" s="697" t="n"/>
      <c r="L2397" s="698" t="n"/>
    </row>
    <row r="2398">
      <c r="A2398" s="3" t="inlineStr">
        <is>
          <t>DATA</t>
        </is>
      </c>
      <c r="B2398" s="3" t="inlineStr">
        <is>
          <t>N.F.</t>
        </is>
      </c>
      <c r="C2398" s="3" t="inlineStr">
        <is>
          <t>TIPO</t>
        </is>
      </c>
      <c r="D2398" s="3" t="inlineStr">
        <is>
          <t>PREÇO UNITÁRIO</t>
        </is>
      </c>
      <c r="E2398" s="736" t="n"/>
      <c r="F2398" s="3" t="inlineStr">
        <is>
          <t>QUANTIDADE / KG</t>
        </is>
      </c>
      <c r="G2398" s="737" t="n"/>
      <c r="H2398" s="736" t="n"/>
      <c r="I2398" s="631" t="inlineStr">
        <is>
          <t>PREÇO</t>
        </is>
      </c>
      <c r="J2398" s="631" t="inlineStr">
        <is>
          <t>VALORES</t>
        </is>
      </c>
      <c r="K2398" s="737" t="n"/>
      <c r="L2398" s="736" t="n"/>
    </row>
    <row r="2399" ht="15.75" customHeight="1" s="436" thickBot="1">
      <c r="A2399" s="704" t="n"/>
      <c r="B2399" s="704" t="n"/>
      <c r="C2399" s="704" t="n"/>
      <c r="D2399" s="703" t="n"/>
      <c r="E2399" s="701" t="n"/>
      <c r="F2399" s="705" t="n"/>
      <c r="G2399" s="706" t="n"/>
      <c r="H2399" s="707" t="n"/>
      <c r="I2399" s="704" t="n"/>
      <c r="J2399" s="703" t="n"/>
      <c r="L2399" s="701" t="n"/>
    </row>
    <row r="2400" ht="15.75" customHeight="1" s="436" thickBot="1">
      <c r="A2400" s="704" t="n"/>
      <c r="B2400" s="704" t="n"/>
      <c r="C2400" s="704" t="n"/>
      <c r="D2400" s="705" t="n"/>
      <c r="E2400" s="707" t="n"/>
      <c r="F2400" s="3" t="inlineStr">
        <is>
          <t>ENTRADA</t>
        </is>
      </c>
      <c r="G2400" s="3" t="inlineStr">
        <is>
          <t>SAÍDA</t>
        </is>
      </c>
      <c r="H2400" s="640" t="n"/>
      <c r="I2400" s="633" t="inlineStr">
        <is>
          <t>MÉDIO</t>
        </is>
      </c>
      <c r="J2400" s="739" t="inlineStr">
        <is>
          <t>SALDO EM 30/12/2017</t>
        </is>
      </c>
      <c r="K2400" s="707" t="n"/>
      <c r="L2400" s="17" t="n"/>
    </row>
    <row r="2401" ht="15.75" customHeight="1" s="436" thickBot="1">
      <c r="A2401" s="695" t="n"/>
      <c r="B2401" s="695" t="n"/>
      <c r="C2401" s="695" t="n"/>
      <c r="D2401" s="3" t="inlineStr">
        <is>
          <t>C/ICMS</t>
        </is>
      </c>
      <c r="E2401" s="3" t="inlineStr">
        <is>
          <t>S/ICMS</t>
        </is>
      </c>
      <c r="F2401" s="695" t="n"/>
      <c r="G2401" s="695" t="n"/>
      <c r="H2401" s="361" t="inlineStr">
        <is>
          <t>Saldo em 31/03/2022</t>
        </is>
      </c>
      <c r="I2401" s="695" t="n"/>
      <c r="J2401" s="645" t="inlineStr">
        <is>
          <t>ENTRADA</t>
        </is>
      </c>
      <c r="K2401" s="633" t="inlineStr">
        <is>
          <t>SAÍDA / CMV</t>
        </is>
      </c>
      <c r="L2401" s="633" t="inlineStr">
        <is>
          <t>SALDO</t>
        </is>
      </c>
    </row>
    <row r="2402">
      <c r="A2402" s="568" t="n"/>
      <c r="B2402" s="392" t="n"/>
      <c r="C2402" s="392" t="n"/>
      <c r="D2402" s="392" t="n"/>
      <c r="E2402" s="392" t="n"/>
      <c r="F2402" s="392" t="n"/>
      <c r="G2402" s="392" t="n"/>
      <c r="H2402" s="52" t="n">
        <v>1478</v>
      </c>
      <c r="I2402" s="568" t="n"/>
      <c r="J2402" s="568" t="n"/>
      <c r="K2402" s="568" t="n"/>
      <c r="L2402" s="568" t="n"/>
    </row>
    <row r="2403">
      <c r="A2403" s="568" t="n">
        <v>45021</v>
      </c>
      <c r="B2403" s="392" t="n">
        <v>10045</v>
      </c>
      <c r="C2403" s="392" t="n">
        <v>102.72</v>
      </c>
      <c r="D2403" s="392" t="n"/>
      <c r="E2403" s="392" t="n"/>
      <c r="F2403" s="392" t="n"/>
      <c r="G2403" s="392" t="n">
        <v>35</v>
      </c>
      <c r="H2403" s="52">
        <f>H2402-G2403</f>
        <v/>
      </c>
      <c r="I2403" s="568" t="n"/>
      <c r="J2403" s="568" t="n"/>
      <c r="K2403" s="568" t="n"/>
      <c r="L2403" s="568" t="n"/>
    </row>
    <row r="2404">
      <c r="A2404" s="568" t="n">
        <v>45021</v>
      </c>
      <c r="B2404" s="392" t="n">
        <v>10046</v>
      </c>
      <c r="C2404" s="392" t="n">
        <v>106.4</v>
      </c>
      <c r="D2404" s="392" t="n"/>
      <c r="E2404" s="392" t="n"/>
      <c r="F2404" s="392" t="n"/>
      <c r="G2404" s="392" t="n">
        <v>25</v>
      </c>
      <c r="H2404" s="52">
        <f>H2403-G2404</f>
        <v/>
      </c>
      <c r="I2404" s="568" t="n"/>
      <c r="J2404" s="568" t="n"/>
      <c r="K2404" s="568" t="n"/>
      <c r="L2404" s="568" t="n"/>
    </row>
    <row r="2405">
      <c r="A2405" s="568" t="n">
        <v>45021</v>
      </c>
      <c r="B2405" s="392" t="n">
        <v>10049</v>
      </c>
      <c r="C2405" s="392" t="n">
        <v>105</v>
      </c>
      <c r="D2405" s="392" t="n"/>
      <c r="E2405" s="392" t="n"/>
      <c r="F2405" s="392" t="n"/>
      <c r="G2405" s="392" t="n">
        <v>48</v>
      </c>
      <c r="H2405" s="52">
        <f>H2404-G2405</f>
        <v/>
      </c>
      <c r="I2405" s="568" t="n"/>
      <c r="J2405" s="568" t="n"/>
      <c r="K2405" s="568" t="n"/>
      <c r="L2405" s="568" t="n"/>
    </row>
    <row r="2406">
      <c r="A2406" s="568" t="n">
        <v>45021</v>
      </c>
      <c r="B2406" s="392" t="n">
        <v>10050</v>
      </c>
      <c r="C2406" s="392" t="n">
        <v>100</v>
      </c>
      <c r="D2406" s="392" t="n"/>
      <c r="E2406" s="392" t="n"/>
      <c r="F2406" s="392" t="n"/>
      <c r="G2406" s="392" t="n">
        <v>10</v>
      </c>
      <c r="H2406" s="52">
        <f>H2405-G2406</f>
        <v/>
      </c>
      <c r="I2406" s="568" t="n"/>
      <c r="J2406" s="568" t="n"/>
      <c r="K2406" s="568" t="n"/>
      <c r="L2406" s="568" t="n"/>
    </row>
    <row r="2407">
      <c r="A2407" s="568" t="n">
        <v>45026</v>
      </c>
      <c r="B2407" s="392" t="n">
        <v>10053</v>
      </c>
      <c r="C2407" s="392" t="n">
        <v>101</v>
      </c>
      <c r="D2407" s="392" t="n"/>
      <c r="E2407" s="392" t="n"/>
      <c r="F2407" s="392" t="n"/>
      <c r="G2407" s="392" t="n">
        <v>30</v>
      </c>
      <c r="H2407" s="52">
        <f>H2406-G2407</f>
        <v/>
      </c>
      <c r="I2407" s="568" t="n"/>
      <c r="J2407" s="568" t="n"/>
      <c r="K2407" s="568" t="n"/>
      <c r="L2407" s="568" t="n"/>
    </row>
    <row r="2408">
      <c r="A2408" s="568" t="n">
        <v>45026</v>
      </c>
      <c r="B2408" s="392" t="n">
        <v>10054</v>
      </c>
      <c r="C2408" s="392" t="n">
        <v>105.2</v>
      </c>
      <c r="D2408" s="392" t="n"/>
      <c r="E2408" s="392" t="n"/>
      <c r="F2408" s="392" t="n"/>
      <c r="G2408" s="392" t="n">
        <v>50</v>
      </c>
      <c r="H2408" s="52">
        <f>H2407-G2408</f>
        <v/>
      </c>
      <c r="I2408" s="568" t="n"/>
      <c r="J2408" s="568" t="n"/>
      <c r="K2408" s="568" t="n"/>
      <c r="L2408" s="568" t="n"/>
    </row>
    <row r="2409">
      <c r="A2409" s="568" t="n">
        <v>45026</v>
      </c>
      <c r="B2409" s="392" t="n">
        <v>10056</v>
      </c>
      <c r="C2409" s="392" t="n">
        <v>104</v>
      </c>
      <c r="D2409" s="392" t="n"/>
      <c r="E2409" s="392" t="n"/>
      <c r="F2409" s="392" t="n"/>
      <c r="G2409" s="392" t="n">
        <v>20</v>
      </c>
      <c r="H2409" s="52">
        <f>H2408-G2409</f>
        <v/>
      </c>
      <c r="I2409" s="568" t="n"/>
      <c r="J2409" s="568" t="n"/>
      <c r="K2409" s="568" t="n"/>
      <c r="L2409" s="568" t="n"/>
    </row>
    <row r="2410">
      <c r="A2410" s="568" t="n">
        <v>45026</v>
      </c>
      <c r="B2410" s="392" t="n">
        <v>10057</v>
      </c>
      <c r="C2410" s="392" t="n">
        <v>104</v>
      </c>
      <c r="D2410" s="392" t="n"/>
      <c r="E2410" s="392" t="n"/>
      <c r="F2410" s="392" t="n"/>
      <c r="G2410" s="392" t="n">
        <v>20</v>
      </c>
      <c r="H2410" s="52">
        <f>H2409-G2410</f>
        <v/>
      </c>
      <c r="I2410" s="568" t="n"/>
      <c r="J2410" s="568" t="n"/>
      <c r="K2410" s="568" t="n"/>
      <c r="L2410" s="568" t="n"/>
    </row>
    <row r="2411">
      <c r="A2411" s="568" t="n">
        <v>45026</v>
      </c>
      <c r="B2411" s="392" t="n">
        <v>10059</v>
      </c>
      <c r="C2411" s="392" t="n">
        <v>104</v>
      </c>
      <c r="D2411" s="392" t="n"/>
      <c r="E2411" s="392" t="n"/>
      <c r="F2411" s="392" t="n"/>
      <c r="G2411" s="392" t="n">
        <v>20</v>
      </c>
      <c r="H2411" s="52">
        <f>H2410-G2411</f>
        <v/>
      </c>
      <c r="I2411" s="568" t="n"/>
      <c r="J2411" s="568" t="n"/>
      <c r="K2411" s="568" t="n"/>
      <c r="L2411" s="568" t="n"/>
    </row>
    <row r="2412">
      <c r="A2412" s="568" t="n">
        <v>45026</v>
      </c>
      <c r="B2412" s="392" t="n">
        <v>10061</v>
      </c>
      <c r="C2412" s="392" t="n">
        <v>105.5</v>
      </c>
      <c r="D2412" s="392" t="n"/>
      <c r="E2412" s="392" t="n"/>
      <c r="F2412" s="392" t="n"/>
      <c r="G2412" s="392" t="n">
        <v>20</v>
      </c>
      <c r="H2412" s="52">
        <f>H2411-G2412</f>
        <v/>
      </c>
      <c r="I2412" s="568" t="n"/>
      <c r="J2412" s="568" t="n"/>
      <c r="K2412" s="568" t="n"/>
      <c r="L2412" s="568" t="n"/>
    </row>
    <row r="2413">
      <c r="A2413" s="568" t="n">
        <v>45028</v>
      </c>
      <c r="B2413" s="392" t="n">
        <v>10067</v>
      </c>
      <c r="C2413" s="392" t="n">
        <v>104</v>
      </c>
      <c r="D2413" s="392" t="n"/>
      <c r="E2413" s="392" t="n"/>
      <c r="F2413" s="392" t="n"/>
      <c r="G2413" s="392" t="n">
        <v>10</v>
      </c>
      <c r="H2413" s="52">
        <f>H2412-G2413</f>
        <v/>
      </c>
      <c r="I2413" s="568" t="n"/>
      <c r="J2413" s="568" t="n"/>
      <c r="K2413" s="568" t="n"/>
      <c r="L2413" s="568" t="n"/>
    </row>
    <row r="2414">
      <c r="A2414" s="568" t="n">
        <v>45028</v>
      </c>
      <c r="B2414" s="392" t="n">
        <v>10070</v>
      </c>
      <c r="C2414" s="392" t="n">
        <v>105.8</v>
      </c>
      <c r="D2414" s="392" t="n"/>
      <c r="E2414" s="392" t="n"/>
      <c r="F2414" s="392" t="n"/>
      <c r="G2414" s="392" t="n">
        <v>50</v>
      </c>
      <c r="H2414" s="52">
        <f>H2413-G2414</f>
        <v/>
      </c>
      <c r="I2414" s="568" t="n"/>
      <c r="J2414" s="568" t="n"/>
      <c r="K2414" s="568" t="n"/>
      <c r="L2414" s="568" t="n"/>
    </row>
    <row r="2415">
      <c r="A2415" s="568" t="n">
        <v>45028</v>
      </c>
      <c r="B2415" s="392" t="n">
        <v>10073</v>
      </c>
      <c r="C2415" s="392" t="n">
        <v>105</v>
      </c>
      <c r="D2415" s="392" t="n"/>
      <c r="E2415" s="392" t="n"/>
      <c r="F2415" s="392" t="n"/>
      <c r="G2415" s="392" t="n">
        <v>30</v>
      </c>
      <c r="H2415" s="52">
        <f>H2414-G2415</f>
        <v/>
      </c>
      <c r="I2415" s="568" t="n"/>
      <c r="J2415" s="568" t="n"/>
      <c r="K2415" s="568" t="n"/>
      <c r="L2415" s="568" t="n"/>
    </row>
    <row r="2416">
      <c r="A2416" s="568" t="n">
        <v>45028</v>
      </c>
      <c r="B2416" s="392" t="n">
        <v>10075</v>
      </c>
      <c r="C2416" s="392" t="n">
        <v>105.15</v>
      </c>
      <c r="D2416" s="392" t="n"/>
      <c r="E2416" s="392" t="n"/>
      <c r="F2416" s="392" t="n"/>
      <c r="G2416" s="392" t="n">
        <v>37</v>
      </c>
      <c r="H2416" s="52">
        <f>H2415-G2416</f>
        <v/>
      </c>
      <c r="I2416" s="568" t="n"/>
      <c r="J2416" s="568" t="n"/>
      <c r="K2416" s="568" t="n"/>
      <c r="L2416" s="568" t="n"/>
    </row>
    <row r="2417">
      <c r="A2417" s="568" t="n">
        <v>45028</v>
      </c>
      <c r="B2417" s="392" t="n">
        <v>10076</v>
      </c>
      <c r="C2417" s="392" t="n">
        <v>104</v>
      </c>
      <c r="D2417" s="392" t="n"/>
      <c r="E2417" s="392" t="n"/>
      <c r="F2417" s="392" t="n"/>
      <c r="G2417" s="392" t="n">
        <v>15</v>
      </c>
      <c r="H2417" s="52">
        <f>H2416-G2417</f>
        <v/>
      </c>
      <c r="I2417" s="568" t="n"/>
      <c r="J2417" s="568" t="n"/>
      <c r="K2417" s="568" t="n"/>
      <c r="L2417" s="568" t="n"/>
    </row>
    <row r="2418">
      <c r="A2418" s="568" t="n">
        <v>45029</v>
      </c>
      <c r="B2418" s="392" t="n">
        <v>10077</v>
      </c>
      <c r="C2418" s="392" t="n">
        <v>104</v>
      </c>
      <c r="D2418" s="392" t="n"/>
      <c r="E2418" s="392" t="n"/>
      <c r="F2418" s="392" t="n"/>
      <c r="G2418" s="392" t="n">
        <v>10</v>
      </c>
      <c r="H2418" s="52">
        <f>H2417-G2418</f>
        <v/>
      </c>
      <c r="I2418" s="568" t="n"/>
      <c r="J2418" s="568" t="n"/>
      <c r="K2418" s="568" t="n"/>
      <c r="L2418" s="568" t="n"/>
    </row>
    <row r="2419">
      <c r="A2419" s="304" t="n">
        <v>45033</v>
      </c>
      <c r="B2419" s="401" t="n">
        <v>214771</v>
      </c>
      <c r="C2419" s="401" t="n">
        <v>85.5</v>
      </c>
      <c r="D2419" s="401" t="n"/>
      <c r="E2419" s="401" t="n"/>
      <c r="F2419" s="401" t="n">
        <v>1030</v>
      </c>
      <c r="G2419" s="401" t="n"/>
      <c r="H2419" s="277" t="n">
        <v>2078</v>
      </c>
      <c r="I2419" s="568" t="n"/>
      <c r="J2419" s="568" t="n"/>
      <c r="K2419" s="568" t="n"/>
      <c r="L2419" s="568" t="n"/>
    </row>
    <row r="2420">
      <c r="A2420" s="568" t="n">
        <v>45035</v>
      </c>
      <c r="B2420" s="392" t="n">
        <v>10078</v>
      </c>
      <c r="C2420" s="392" t="n">
        <v>105</v>
      </c>
      <c r="D2420" s="392" t="n"/>
      <c r="E2420" s="392" t="n"/>
      <c r="F2420" s="392" t="n"/>
      <c r="G2420" s="392" t="n">
        <v>30</v>
      </c>
      <c r="H2420" s="52">
        <f>H2419-G2420</f>
        <v/>
      </c>
      <c r="I2420" s="568" t="n"/>
      <c r="J2420" s="568" t="n"/>
      <c r="K2420" s="568" t="n"/>
      <c r="L2420" s="568" t="n"/>
    </row>
    <row r="2421">
      <c r="A2421" s="568" t="n">
        <v>45035</v>
      </c>
      <c r="B2421" s="392" t="n">
        <v>10079</v>
      </c>
      <c r="C2421" s="392" t="n">
        <v>103</v>
      </c>
      <c r="D2421" s="392" t="n"/>
      <c r="E2421" s="392" t="n"/>
      <c r="F2421" s="392" t="n"/>
      <c r="G2421" s="392" t="n">
        <v>20</v>
      </c>
      <c r="H2421" s="52">
        <f>H2420-G2421</f>
        <v/>
      </c>
      <c r="I2421" s="568" t="n"/>
      <c r="J2421" s="568" t="n"/>
      <c r="K2421" s="568" t="n"/>
      <c r="L2421" s="568" t="n"/>
    </row>
    <row r="2422">
      <c r="A2422" s="568" t="n">
        <v>45035</v>
      </c>
      <c r="B2422" s="392" t="n">
        <v>10083</v>
      </c>
      <c r="C2422" s="392" t="n">
        <v>106.25</v>
      </c>
      <c r="D2422" s="392" t="n"/>
      <c r="E2422" s="392" t="n"/>
      <c r="F2422" s="392" t="n"/>
      <c r="G2422" s="392" t="n">
        <v>80</v>
      </c>
      <c r="H2422" s="52">
        <f>H2421-G2422</f>
        <v/>
      </c>
      <c r="I2422" s="568" t="n"/>
      <c r="J2422" s="568" t="n"/>
      <c r="K2422" s="568" t="n"/>
      <c r="L2422" s="568" t="n"/>
    </row>
    <row r="2423">
      <c r="A2423" s="568" t="n">
        <v>45035</v>
      </c>
      <c r="B2423" s="392" t="n">
        <v>10086</v>
      </c>
      <c r="C2423" s="392" t="n">
        <v>105.05</v>
      </c>
      <c r="D2423" s="392" t="n"/>
      <c r="E2423" s="392" t="n"/>
      <c r="F2423" s="392" t="n"/>
      <c r="G2423" s="392" t="n">
        <v>40</v>
      </c>
      <c r="H2423" s="52">
        <f>H2422-G2423</f>
        <v/>
      </c>
      <c r="I2423" s="568" t="n"/>
      <c r="J2423" s="568" t="n"/>
      <c r="K2423" s="568" t="n"/>
      <c r="L2423" s="568" t="n"/>
    </row>
    <row r="2424">
      <c r="A2424" s="568" t="n">
        <v>45036</v>
      </c>
      <c r="B2424" s="392" t="n">
        <v>10089</v>
      </c>
      <c r="C2424" s="392" t="n">
        <v>104</v>
      </c>
      <c r="D2424" s="392" t="n"/>
      <c r="E2424" s="392" t="n"/>
      <c r="F2424" s="392" t="n"/>
      <c r="G2424" s="392" t="n">
        <v>10</v>
      </c>
      <c r="H2424" s="52">
        <f>H2423-G2424</f>
        <v/>
      </c>
      <c r="I2424" s="568" t="n"/>
      <c r="J2424" s="568" t="n"/>
      <c r="K2424" s="568" t="n"/>
      <c r="L2424" s="568" t="n"/>
    </row>
    <row r="2425">
      <c r="A2425" s="568" t="n">
        <v>45041</v>
      </c>
      <c r="B2425" s="392" t="n">
        <v>10090</v>
      </c>
      <c r="C2425" s="392" t="n">
        <v>106</v>
      </c>
      <c r="D2425" s="392" t="n"/>
      <c r="E2425" s="392" t="n"/>
      <c r="F2425" s="392" t="n"/>
      <c r="G2425" s="392" t="n">
        <v>22</v>
      </c>
      <c r="H2425" s="52">
        <f>H2424-G2425</f>
        <v/>
      </c>
      <c r="I2425" s="568" t="n"/>
      <c r="J2425" s="568" t="n"/>
      <c r="K2425" s="568" t="n"/>
      <c r="L2425" s="568" t="n"/>
    </row>
    <row r="2426">
      <c r="A2426" s="568" t="n">
        <v>45041</v>
      </c>
      <c r="B2426" s="392" t="n">
        <v>10094</v>
      </c>
      <c r="C2426" s="392" t="n">
        <v>104</v>
      </c>
      <c r="D2426" s="392" t="n"/>
      <c r="E2426" s="392" t="n"/>
      <c r="F2426" s="392" t="n"/>
      <c r="G2426" s="392" t="n">
        <v>20</v>
      </c>
      <c r="H2426" s="52">
        <f>H2425-G2426</f>
        <v/>
      </c>
      <c r="I2426" s="568" t="n"/>
      <c r="J2426" s="568" t="n"/>
      <c r="K2426" s="568" t="n"/>
      <c r="L2426" s="568" t="n"/>
    </row>
    <row r="2427">
      <c r="A2427" s="568" t="n">
        <v>45041</v>
      </c>
      <c r="B2427" s="392" t="n">
        <v>10096</v>
      </c>
      <c r="C2427" s="392" t="n">
        <v>104</v>
      </c>
      <c r="D2427" s="392" t="n"/>
      <c r="E2427" s="392" t="n"/>
      <c r="F2427" s="392" t="n"/>
      <c r="G2427" s="392" t="n">
        <v>30</v>
      </c>
      <c r="H2427" s="52">
        <f>H2426-G2427</f>
        <v/>
      </c>
      <c r="I2427" s="568" t="n"/>
      <c r="J2427" s="568" t="n"/>
      <c r="K2427" s="568" t="n"/>
      <c r="L2427" s="568" t="n"/>
    </row>
    <row r="2428">
      <c r="A2428" s="568" t="n">
        <v>45041</v>
      </c>
      <c r="B2428" s="392" t="n">
        <v>10104</v>
      </c>
      <c r="C2428" s="392" t="n">
        <v>105.14</v>
      </c>
      <c r="D2428" s="392" t="n"/>
      <c r="E2428" s="392" t="n"/>
      <c r="F2428" s="392" t="n"/>
      <c r="G2428" s="392" t="n">
        <v>37</v>
      </c>
      <c r="H2428" s="52">
        <f>H2427-G2428</f>
        <v/>
      </c>
      <c r="I2428" s="568" t="n"/>
      <c r="J2428" s="568" t="n"/>
      <c r="K2428" s="568" t="n"/>
      <c r="L2428" s="568" t="n"/>
    </row>
    <row r="2429" ht="15.75" customHeight="1" s="436" thickBot="1">
      <c r="A2429" s="414" t="n"/>
      <c r="H2429" s="171" t="n"/>
      <c r="I2429" s="414" t="n"/>
      <c r="J2429" s="414" t="n"/>
      <c r="K2429" s="414" t="n"/>
      <c r="L2429" s="414" t="n"/>
    </row>
    <row r="2430" ht="21.75" customHeight="1" s="436" thickBot="1">
      <c r="A2430" s="757" t="inlineStr">
        <is>
          <t>Maio</t>
        </is>
      </c>
      <c r="B2430" s="697" t="n"/>
      <c r="C2430" s="697" t="n"/>
      <c r="D2430" s="697" t="n"/>
      <c r="E2430" s="697" t="n"/>
      <c r="F2430" s="697" t="n"/>
      <c r="G2430" s="697" t="n"/>
      <c r="H2430" s="697" t="n"/>
      <c r="I2430" s="697" t="n"/>
      <c r="J2430" s="697" t="n"/>
      <c r="K2430" s="697" t="n"/>
      <c r="L2430" s="698" t="n"/>
    </row>
    <row r="2431" ht="21.75" customHeight="1" s="436" thickBot="1">
      <c r="A2431" s="699" t="inlineStr">
        <is>
          <t xml:space="preserve">021 - DENISE FURTADO DE SOUZA - ME </t>
        </is>
      </c>
      <c r="B2431" s="697" t="n"/>
      <c r="C2431" s="697" t="n"/>
      <c r="D2431" s="697" t="n"/>
      <c r="E2431" s="697" t="n"/>
      <c r="F2431" s="697" t="n"/>
      <c r="G2431" s="697" t="n"/>
      <c r="H2431" s="697" t="n"/>
      <c r="I2431" s="697" t="n"/>
      <c r="J2431" s="697" t="n"/>
      <c r="K2431" s="697" t="n"/>
      <c r="L2431" s="698" t="n"/>
    </row>
    <row r="2432" ht="24" customHeight="1" s="436" thickBot="1">
      <c r="A2432" s="759" t="inlineStr">
        <is>
          <t xml:space="preserve">  PRÉ MISTURA - 25 KG</t>
        </is>
      </c>
      <c r="B2432" s="697" t="n"/>
      <c r="C2432" s="697" t="n"/>
      <c r="D2432" s="697" t="n"/>
      <c r="E2432" s="697" t="n"/>
      <c r="F2432" s="697" t="n"/>
      <c r="G2432" s="697" t="n"/>
      <c r="H2432" s="697" t="n"/>
      <c r="I2432" s="697" t="n"/>
      <c r="J2432" s="697" t="n"/>
      <c r="K2432" s="697" t="n"/>
      <c r="L2432" s="698" t="n"/>
    </row>
    <row r="2433">
      <c r="A2433" s="3" t="inlineStr">
        <is>
          <t>DATA</t>
        </is>
      </c>
      <c r="B2433" s="3" t="inlineStr">
        <is>
          <t>N.F.</t>
        </is>
      </c>
      <c r="C2433" s="3" t="inlineStr">
        <is>
          <t>TIPO</t>
        </is>
      </c>
      <c r="D2433" s="3" t="inlineStr">
        <is>
          <t>PREÇO UNITÁRIO</t>
        </is>
      </c>
      <c r="E2433" s="736" t="n"/>
      <c r="F2433" s="3" t="inlineStr">
        <is>
          <t>QUANTIDADE / KG</t>
        </is>
      </c>
      <c r="G2433" s="737" t="n"/>
      <c r="H2433" s="736" t="n"/>
      <c r="I2433" s="631" t="inlineStr">
        <is>
          <t>PREÇO</t>
        </is>
      </c>
      <c r="J2433" s="631" t="inlineStr">
        <is>
          <t>VALORES</t>
        </is>
      </c>
      <c r="K2433" s="737" t="n"/>
      <c r="L2433" s="736" t="n"/>
    </row>
    <row r="2434" ht="15.75" customHeight="1" s="436" thickBot="1">
      <c r="A2434" s="704" t="n"/>
      <c r="B2434" s="704" t="n"/>
      <c r="C2434" s="704" t="n"/>
      <c r="D2434" s="703" t="n"/>
      <c r="E2434" s="701" t="n"/>
      <c r="F2434" s="705" t="n"/>
      <c r="G2434" s="706" t="n"/>
      <c r="H2434" s="707" t="n"/>
      <c r="I2434" s="704" t="n"/>
      <c r="J2434" s="703" t="n"/>
      <c r="L2434" s="701" t="n"/>
    </row>
    <row r="2435" ht="15.75" customHeight="1" s="436" thickBot="1">
      <c r="A2435" s="704" t="n"/>
      <c r="B2435" s="704" t="n"/>
      <c r="C2435" s="704" t="n"/>
      <c r="D2435" s="705" t="n"/>
      <c r="E2435" s="707" t="n"/>
      <c r="F2435" s="3" t="inlineStr">
        <is>
          <t>ENTRADA</t>
        </is>
      </c>
      <c r="G2435" s="3" t="inlineStr">
        <is>
          <t>SAÍDA</t>
        </is>
      </c>
      <c r="H2435" s="640" t="n"/>
      <c r="I2435" s="633" t="inlineStr">
        <is>
          <t>MÉDIO</t>
        </is>
      </c>
      <c r="J2435" s="739" t="inlineStr">
        <is>
          <t>SALDO EM 30/12/2017</t>
        </is>
      </c>
      <c r="K2435" s="707" t="n"/>
      <c r="L2435" s="17" t="n"/>
    </row>
    <row r="2436" ht="15.75" customHeight="1" s="436" thickBot="1">
      <c r="A2436" s="695" t="n"/>
      <c r="B2436" s="695" t="n"/>
      <c r="C2436" s="695" t="n"/>
      <c r="D2436" s="3" t="inlineStr">
        <is>
          <t>C/ICMS</t>
        </is>
      </c>
      <c r="E2436" s="3" t="inlineStr">
        <is>
          <t>S/ICMS</t>
        </is>
      </c>
      <c r="F2436" s="695" t="n"/>
      <c r="G2436" s="695" t="n"/>
      <c r="H2436" s="361" t="inlineStr">
        <is>
          <t>Saldo em 31/04/2022</t>
        </is>
      </c>
      <c r="I2436" s="695" t="n"/>
      <c r="J2436" s="645" t="inlineStr">
        <is>
          <t>ENTRADA</t>
        </is>
      </c>
      <c r="K2436" s="633" t="inlineStr">
        <is>
          <t>SAÍDA / CMV</t>
        </is>
      </c>
      <c r="L2436" s="633" t="inlineStr">
        <is>
          <t>SALDO</t>
        </is>
      </c>
    </row>
    <row r="2437">
      <c r="A2437" s="568" t="n"/>
      <c r="B2437" s="392" t="n"/>
      <c r="C2437" s="392" t="n"/>
      <c r="D2437" s="392" t="n"/>
      <c r="E2437" s="392" t="n"/>
      <c r="F2437" s="392" t="n"/>
      <c r="G2437" s="392" t="n"/>
      <c r="H2437" s="52" t="n">
        <v>1478</v>
      </c>
      <c r="I2437" s="568" t="n"/>
      <c r="J2437" s="568" t="n"/>
      <c r="K2437" s="568" t="n"/>
      <c r="L2437" s="568" t="n"/>
    </row>
    <row r="2438">
      <c r="A2438" s="568" t="n">
        <v>45049</v>
      </c>
      <c r="B2438" s="392" t="n">
        <v>10109</v>
      </c>
      <c r="C2438" s="392" t="n">
        <v>104</v>
      </c>
      <c r="D2438" s="392" t="n"/>
      <c r="E2438" s="392" t="n"/>
      <c r="F2438" s="392" t="n"/>
      <c r="G2438" s="392" t="n">
        <v>100</v>
      </c>
      <c r="H2438" s="52">
        <f>H2437-G2438</f>
        <v/>
      </c>
      <c r="I2438" s="568" t="n"/>
      <c r="J2438" s="568" t="n"/>
      <c r="K2438" s="568" t="n"/>
      <c r="L2438" s="568" t="n"/>
    </row>
    <row r="2439">
      <c r="A2439" s="568" t="n">
        <v>45049</v>
      </c>
      <c r="B2439" s="392" t="n">
        <v>10110</v>
      </c>
      <c r="C2439" s="392" t="n">
        <v>104</v>
      </c>
      <c r="D2439" s="392" t="n"/>
      <c r="E2439" s="392" t="n"/>
      <c r="F2439" s="392" t="n"/>
      <c r="G2439" s="392" t="n">
        <v>15</v>
      </c>
      <c r="H2439" s="52">
        <f>H2438-G2439</f>
        <v/>
      </c>
      <c r="I2439" s="568" t="n"/>
      <c r="J2439" s="568" t="n"/>
      <c r="K2439" s="568" t="n"/>
      <c r="L2439" s="568" t="n"/>
    </row>
    <row r="2440">
      <c r="A2440" s="568" t="n">
        <v>45049</v>
      </c>
      <c r="B2440" s="392" t="n">
        <v>10111</v>
      </c>
      <c r="C2440" s="392" t="n">
        <v>102.58</v>
      </c>
      <c r="D2440" s="392" t="n"/>
      <c r="E2440" s="392" t="n"/>
      <c r="F2440" s="392" t="n"/>
      <c r="G2440" s="392" t="n">
        <v>35</v>
      </c>
      <c r="H2440" s="52">
        <f>H2439-G2440</f>
        <v/>
      </c>
      <c r="I2440" s="568" t="n"/>
      <c r="J2440" s="568" t="n"/>
      <c r="K2440" s="568" t="n"/>
      <c r="L2440" s="568" t="n"/>
    </row>
    <row r="2441">
      <c r="A2441" s="568" t="n">
        <v>45049</v>
      </c>
      <c r="B2441" s="392" t="n">
        <v>10117</v>
      </c>
      <c r="C2441" s="392" t="n">
        <v>101</v>
      </c>
      <c r="D2441" s="392" t="n"/>
      <c r="E2441" s="392" t="n"/>
      <c r="F2441" s="392" t="n"/>
      <c r="G2441" s="392" t="n">
        <v>30</v>
      </c>
      <c r="H2441" s="52">
        <f>H2440-G2441</f>
        <v/>
      </c>
      <c r="I2441" s="568" t="n"/>
      <c r="J2441" s="568" t="n"/>
      <c r="K2441" s="568" t="n"/>
      <c r="L2441" s="568" t="n"/>
    </row>
    <row r="2442">
      <c r="A2442" s="568" t="n">
        <v>45049</v>
      </c>
      <c r="B2442" s="392" t="n">
        <v>10119</v>
      </c>
      <c r="C2442" s="392" t="n">
        <v>105</v>
      </c>
      <c r="D2442" s="392" t="n"/>
      <c r="E2442" s="392" t="n"/>
      <c r="F2442" s="392" t="n"/>
      <c r="G2442" s="392" t="n">
        <v>42</v>
      </c>
      <c r="H2442" s="52">
        <f>H2441-G2442</f>
        <v/>
      </c>
      <c r="I2442" s="568" t="n"/>
      <c r="J2442" s="568" t="n"/>
      <c r="K2442" s="568" t="n"/>
      <c r="L2442" s="568" t="n"/>
    </row>
    <row r="2443">
      <c r="A2443" s="568" t="n">
        <v>45055</v>
      </c>
      <c r="B2443" s="392" t="n">
        <v>10125</v>
      </c>
      <c r="C2443" s="392" t="n">
        <v>102</v>
      </c>
      <c r="D2443" s="392" t="n"/>
      <c r="E2443" s="392" t="n"/>
      <c r="F2443" s="392" t="n"/>
      <c r="G2443" s="392" t="n">
        <v>15</v>
      </c>
      <c r="H2443" s="52">
        <f>H2442-G2443</f>
        <v/>
      </c>
      <c r="I2443" s="568" t="n"/>
      <c r="J2443" s="568" t="n"/>
      <c r="K2443" s="568" t="n"/>
      <c r="L2443" s="568" t="n"/>
    </row>
    <row r="2444">
      <c r="A2444" s="568" t="n">
        <v>45056</v>
      </c>
      <c r="B2444" s="392" t="n">
        <v>10130</v>
      </c>
      <c r="C2444" s="392" t="n">
        <v>104</v>
      </c>
      <c r="D2444" s="392" t="n"/>
      <c r="E2444" s="392" t="n"/>
      <c r="F2444" s="392" t="n"/>
      <c r="G2444" s="392" t="n">
        <v>15</v>
      </c>
      <c r="H2444" s="52">
        <f>H2443-G2444</f>
        <v/>
      </c>
      <c r="I2444" s="568" t="n"/>
      <c r="J2444" s="568" t="n"/>
      <c r="K2444" s="568" t="n"/>
      <c r="L2444" s="568" t="n"/>
    </row>
    <row r="2445">
      <c r="A2445" s="568" t="n">
        <v>45056</v>
      </c>
      <c r="B2445" s="392" t="n">
        <v>10132</v>
      </c>
      <c r="C2445" s="392" t="n">
        <v>105</v>
      </c>
      <c r="D2445" s="392" t="n"/>
      <c r="E2445" s="392" t="n"/>
      <c r="F2445" s="392" t="n"/>
      <c r="G2445" s="392" t="n">
        <v>31</v>
      </c>
      <c r="H2445" s="52">
        <f>H2444-G2445</f>
        <v/>
      </c>
      <c r="I2445" s="568" t="n"/>
      <c r="J2445" s="568" t="n"/>
      <c r="K2445" s="568" t="n"/>
      <c r="L2445" s="568" t="n"/>
    </row>
    <row r="2446">
      <c r="A2446" s="568" t="n">
        <v>45056</v>
      </c>
      <c r="B2446" s="392" t="n">
        <v>10133</v>
      </c>
      <c r="C2446" s="392" t="n">
        <v>105.1</v>
      </c>
      <c r="D2446" s="392" t="n"/>
      <c r="E2446" s="392" t="n"/>
      <c r="F2446" s="392" t="n"/>
      <c r="G2446" s="392" t="n">
        <v>20</v>
      </c>
      <c r="H2446" s="52">
        <f>H2445-G2446</f>
        <v/>
      </c>
      <c r="I2446" s="568" t="n"/>
      <c r="J2446" s="568" t="n"/>
      <c r="K2446" s="568" t="n"/>
      <c r="L2446" s="568" t="n"/>
    </row>
    <row r="2447">
      <c r="A2447" s="568" t="n">
        <v>45056</v>
      </c>
      <c r="B2447" s="392" t="n">
        <v>10135</v>
      </c>
      <c r="C2447" s="392" t="n">
        <v>104</v>
      </c>
      <c r="D2447" s="392" t="n"/>
      <c r="E2447" s="392" t="n"/>
      <c r="F2447" s="392" t="n"/>
      <c r="G2447" s="392" t="n">
        <v>30</v>
      </c>
      <c r="H2447" s="52">
        <f>H2446-G2447</f>
        <v/>
      </c>
      <c r="I2447" s="568" t="n"/>
      <c r="J2447" s="568" t="n"/>
      <c r="K2447" s="568" t="n"/>
      <c r="L2447" s="568" t="n"/>
    </row>
    <row r="2448">
      <c r="A2448" s="568" t="n">
        <v>45063</v>
      </c>
      <c r="B2448" s="392" t="n">
        <v>10139</v>
      </c>
      <c r="C2448" s="392" t="n">
        <v>104</v>
      </c>
      <c r="D2448" s="392" t="n"/>
      <c r="E2448" s="392" t="n"/>
      <c r="F2448" s="392" t="n"/>
      <c r="G2448" s="392" t="n">
        <v>30</v>
      </c>
      <c r="H2448" s="52">
        <f>H2447-G2448</f>
        <v/>
      </c>
      <c r="I2448" s="568" t="n"/>
      <c r="J2448" s="568" t="n"/>
      <c r="K2448" s="568" t="n"/>
      <c r="L2448" s="568" t="n"/>
    </row>
    <row r="2449">
      <c r="A2449" s="568" t="n">
        <v>45063</v>
      </c>
      <c r="B2449" s="392" t="n">
        <v>10141</v>
      </c>
      <c r="C2449" s="392" t="n">
        <v>105</v>
      </c>
      <c r="D2449" s="392" t="n"/>
      <c r="E2449" s="392" t="n"/>
      <c r="F2449" s="392" t="n"/>
      <c r="G2449" s="392" t="n">
        <v>60</v>
      </c>
      <c r="H2449" s="52">
        <f>H2448-G2449</f>
        <v/>
      </c>
      <c r="I2449" s="568" t="n"/>
      <c r="J2449" s="568" t="n"/>
      <c r="K2449" s="568" t="n"/>
      <c r="L2449" s="568" t="n"/>
    </row>
    <row r="2450">
      <c r="A2450" s="568" t="n">
        <v>45063</v>
      </c>
      <c r="B2450" s="392" t="n">
        <v>10142</v>
      </c>
      <c r="C2450" s="392" t="n">
        <v>103</v>
      </c>
      <c r="D2450" s="392" t="n"/>
      <c r="E2450" s="392" t="n"/>
      <c r="F2450" s="392" t="n"/>
      <c r="G2450" s="392" t="n">
        <v>20</v>
      </c>
      <c r="H2450" s="52">
        <f>H2449-G2450</f>
        <v/>
      </c>
      <c r="I2450" s="568" t="n"/>
      <c r="J2450" s="568" t="n"/>
      <c r="K2450" s="568" t="n"/>
      <c r="L2450" s="568" t="n"/>
    </row>
    <row r="2451">
      <c r="A2451" s="568" t="n">
        <v>45063</v>
      </c>
      <c r="B2451" s="392" t="n">
        <v>10143</v>
      </c>
      <c r="C2451" s="392" t="n">
        <v>104</v>
      </c>
      <c r="D2451" s="392" t="n"/>
      <c r="E2451" s="392" t="n"/>
      <c r="F2451" s="392" t="n"/>
      <c r="G2451" s="392" t="n">
        <v>20</v>
      </c>
      <c r="H2451" s="52">
        <f>H2450-G2451</f>
        <v/>
      </c>
      <c r="I2451" s="568" t="n"/>
      <c r="J2451" s="568" t="n"/>
      <c r="K2451" s="568" t="n"/>
      <c r="L2451" s="568" t="n"/>
    </row>
    <row r="2452">
      <c r="A2452" s="568" t="n">
        <v>45063</v>
      </c>
      <c r="B2452" s="392" t="n">
        <v>10145</v>
      </c>
      <c r="C2452" s="392" t="n">
        <v>104</v>
      </c>
      <c r="D2452" s="392" t="n"/>
      <c r="E2452" s="392" t="n"/>
      <c r="F2452" s="392" t="n"/>
      <c r="G2452" s="392" t="n">
        <v>20</v>
      </c>
      <c r="H2452" s="52">
        <f>H2451-G2452</f>
        <v/>
      </c>
      <c r="I2452" s="568" t="n"/>
      <c r="J2452" s="568" t="n"/>
      <c r="K2452" s="568" t="n"/>
      <c r="L2452" s="568" t="n"/>
    </row>
    <row r="2453">
      <c r="A2453" s="568" t="n">
        <v>45063</v>
      </c>
      <c r="B2453" s="392" t="n">
        <v>10146</v>
      </c>
      <c r="C2453" s="392" t="n">
        <v>104</v>
      </c>
      <c r="D2453" s="392" t="n"/>
      <c r="E2453" s="392" t="n"/>
      <c r="F2453" s="392" t="n"/>
      <c r="G2453" s="392" t="n">
        <v>10</v>
      </c>
      <c r="H2453" s="52">
        <f>H2452-G2453</f>
        <v/>
      </c>
      <c r="I2453" s="568" t="n"/>
      <c r="J2453" s="568" t="n"/>
      <c r="K2453" s="568" t="n"/>
      <c r="L2453" s="568" t="n"/>
    </row>
    <row r="2454">
      <c r="A2454" s="568" t="n">
        <v>45063</v>
      </c>
      <c r="B2454" s="392" t="n">
        <v>10147</v>
      </c>
      <c r="C2454" s="392" t="n">
        <v>104.74</v>
      </c>
      <c r="D2454" s="392" t="n"/>
      <c r="E2454" s="392" t="n"/>
      <c r="F2454" s="392" t="n"/>
      <c r="G2454" s="392" t="n">
        <v>30</v>
      </c>
      <c r="H2454" s="52">
        <f>H2453-G2454</f>
        <v/>
      </c>
      <c r="I2454" s="568" t="n"/>
      <c r="J2454" s="568" t="n"/>
      <c r="K2454" s="568" t="n"/>
      <c r="L2454" s="568" t="n"/>
    </row>
    <row r="2455">
      <c r="A2455" s="568" t="n">
        <v>45063</v>
      </c>
      <c r="B2455" s="392" t="n">
        <v>10154</v>
      </c>
      <c r="C2455" s="392" t="n">
        <v>104</v>
      </c>
      <c r="D2455" s="392" t="n"/>
      <c r="E2455" s="392" t="n"/>
      <c r="F2455" s="392" t="n"/>
      <c r="G2455" s="392" t="n">
        <v>15</v>
      </c>
      <c r="H2455" s="52">
        <f>H2454-G2455</f>
        <v/>
      </c>
      <c r="I2455" s="568" t="n"/>
      <c r="J2455" s="568" t="n"/>
      <c r="K2455" s="568" t="n"/>
      <c r="L2455" s="568" t="n"/>
    </row>
    <row r="2456">
      <c r="A2456" s="568" t="n">
        <v>45063</v>
      </c>
      <c r="B2456" s="392" t="n">
        <v>10155</v>
      </c>
      <c r="C2456" s="392" t="n">
        <v>105.14</v>
      </c>
      <c r="D2456" s="392" t="n"/>
      <c r="E2456" s="392" t="n"/>
      <c r="F2456" s="392" t="n"/>
      <c r="G2456" s="392" t="n">
        <v>37</v>
      </c>
      <c r="H2456" s="52">
        <f>H2455-G2456</f>
        <v/>
      </c>
      <c r="I2456" s="568" t="n"/>
      <c r="J2456" s="568" t="n"/>
      <c r="K2456" s="568" t="n"/>
      <c r="L2456" s="568" t="n"/>
    </row>
    <row r="2457">
      <c r="A2457" s="568" t="n">
        <v>45069</v>
      </c>
      <c r="B2457" s="392" t="n">
        <v>10160</v>
      </c>
      <c r="C2457" s="392" t="n">
        <v>105.5</v>
      </c>
      <c r="D2457" s="392" t="n"/>
      <c r="E2457" s="392" t="n"/>
      <c r="F2457" s="392" t="n"/>
      <c r="G2457" s="392" t="n">
        <v>40</v>
      </c>
      <c r="H2457" s="52">
        <f>H2456-G2457</f>
        <v/>
      </c>
      <c r="I2457" s="568" t="n"/>
      <c r="J2457" s="568" t="n"/>
      <c r="K2457" s="568" t="n"/>
      <c r="L2457" s="568" t="n"/>
    </row>
    <row r="2458">
      <c r="A2458" s="568" t="n">
        <v>45069</v>
      </c>
      <c r="B2458" s="392" t="n">
        <v>10162</v>
      </c>
      <c r="C2458" s="392" t="n">
        <v>100.64</v>
      </c>
      <c r="D2458" s="392" t="n"/>
      <c r="E2458" s="392" t="n"/>
      <c r="F2458" s="392" t="n"/>
      <c r="G2458" s="392" t="n">
        <v>30</v>
      </c>
      <c r="H2458" s="52">
        <f>H2457-G2458</f>
        <v/>
      </c>
      <c r="I2458" s="568" t="n"/>
      <c r="J2458" s="568" t="n"/>
      <c r="K2458" s="568" t="n"/>
      <c r="L2458" s="568" t="n"/>
    </row>
    <row r="2459">
      <c r="A2459" s="568" t="n">
        <v>45070</v>
      </c>
      <c r="B2459" s="392" t="n">
        <v>10165</v>
      </c>
      <c r="C2459" s="392" t="n">
        <v>100.78</v>
      </c>
      <c r="D2459" s="392" t="n"/>
      <c r="E2459" s="392" t="n"/>
      <c r="F2459" s="392" t="n"/>
      <c r="G2459" s="392" t="n">
        <v>45</v>
      </c>
      <c r="H2459" s="52">
        <f>H2458-G2459</f>
        <v/>
      </c>
      <c r="I2459" s="568" t="n"/>
      <c r="J2459" s="568" t="n"/>
      <c r="K2459" s="568" t="n"/>
      <c r="L2459" s="568" t="n"/>
    </row>
    <row r="2460">
      <c r="A2460" s="568" t="n">
        <v>45070</v>
      </c>
      <c r="B2460" s="392" t="n">
        <v>10166</v>
      </c>
      <c r="C2460" s="392" t="n">
        <v>100</v>
      </c>
      <c r="D2460" s="392" t="n"/>
      <c r="E2460" s="392" t="n"/>
      <c r="F2460" s="392" t="n"/>
      <c r="G2460" s="392" t="n">
        <v>10</v>
      </c>
      <c r="H2460" s="52">
        <f>H2459-G2460</f>
        <v/>
      </c>
      <c r="I2460" s="568" t="n"/>
      <c r="J2460" s="568" t="n"/>
      <c r="K2460" s="568" t="n"/>
      <c r="L2460" s="568" t="n"/>
    </row>
    <row r="2461">
      <c r="A2461" s="304" t="n">
        <v>45071</v>
      </c>
      <c r="B2461" s="401" t="n">
        <v>217842</v>
      </c>
      <c r="C2461" s="401" t="n">
        <v>81</v>
      </c>
      <c r="D2461" s="401" t="n"/>
      <c r="E2461" s="401" t="n"/>
      <c r="F2461" s="401" t="n">
        <v>720</v>
      </c>
      <c r="G2461" s="401" t="n"/>
      <c r="H2461" s="277" t="n">
        <v>1498</v>
      </c>
      <c r="I2461" s="568" t="n"/>
      <c r="J2461" s="568" t="n"/>
      <c r="K2461" s="568" t="n"/>
      <c r="L2461" s="568" t="n"/>
    </row>
    <row r="2462">
      <c r="A2462" s="568" t="n">
        <v>45075</v>
      </c>
      <c r="B2462" s="392" t="n">
        <v>10170</v>
      </c>
      <c r="C2462" s="392" t="n">
        <v>99</v>
      </c>
      <c r="D2462" s="392" t="n"/>
      <c r="E2462" s="392" t="n"/>
      <c r="F2462" s="392" t="n"/>
      <c r="G2462" s="392" t="n">
        <v>30</v>
      </c>
      <c r="H2462" s="52">
        <f>H2461-G2462</f>
        <v/>
      </c>
      <c r="I2462" s="568" t="n"/>
      <c r="J2462" s="568" t="n"/>
      <c r="K2462" s="568" t="n"/>
      <c r="L2462" s="568" t="n"/>
    </row>
    <row r="2463">
      <c r="A2463" s="568" t="n">
        <v>45075</v>
      </c>
      <c r="B2463" s="392" t="n">
        <v>10171</v>
      </c>
      <c r="C2463" s="392" t="n">
        <v>99</v>
      </c>
      <c r="D2463" s="392" t="n"/>
      <c r="E2463" s="392" t="n"/>
      <c r="F2463" s="392" t="n"/>
      <c r="G2463" s="392" t="n">
        <v>30</v>
      </c>
      <c r="H2463" s="52">
        <f>H2462-G2463</f>
        <v/>
      </c>
      <c r="I2463" s="568" t="n"/>
      <c r="J2463" s="568" t="n"/>
      <c r="K2463" s="568" t="n"/>
      <c r="L2463" s="568" t="n"/>
    </row>
    <row r="2464">
      <c r="A2464" s="568" t="n">
        <v>45075</v>
      </c>
      <c r="B2464" s="392" t="n">
        <v>10173</v>
      </c>
      <c r="C2464" s="392" t="n">
        <v>100</v>
      </c>
      <c r="D2464" s="392" t="n"/>
      <c r="E2464" s="392" t="n"/>
      <c r="F2464" s="392" t="n"/>
      <c r="G2464" s="392" t="n">
        <v>70</v>
      </c>
      <c r="H2464" s="52">
        <f>H2463-G2464</f>
        <v/>
      </c>
      <c r="I2464" s="568" t="n"/>
      <c r="J2464" s="568" t="n"/>
      <c r="K2464" s="568" t="n"/>
      <c r="L2464" s="568" t="n"/>
    </row>
    <row r="2465">
      <c r="A2465" s="568" t="n">
        <v>45075</v>
      </c>
      <c r="B2465" s="392" t="n">
        <v>10174</v>
      </c>
      <c r="C2465" s="392" t="n">
        <v>101.4</v>
      </c>
      <c r="D2465" s="392" t="n"/>
      <c r="E2465" s="392" t="n"/>
      <c r="F2465" s="392" t="n"/>
      <c r="G2465" s="392" t="n">
        <v>50</v>
      </c>
      <c r="H2465" s="52">
        <f>H2464-G2465</f>
        <v/>
      </c>
      <c r="I2465" s="568" t="n"/>
      <c r="J2465" s="568" t="n"/>
      <c r="K2465" s="568" t="n"/>
      <c r="L2465" s="568" t="n"/>
    </row>
    <row r="2466">
      <c r="A2466" s="568" t="n">
        <v>45077</v>
      </c>
      <c r="B2466" s="392" t="n">
        <v>10179</v>
      </c>
      <c r="C2466" s="392" t="n">
        <v>99</v>
      </c>
      <c r="D2466" s="392" t="n"/>
      <c r="E2466" s="392" t="n"/>
      <c r="F2466" s="392" t="n"/>
      <c r="G2466" s="392" t="n">
        <v>30</v>
      </c>
      <c r="H2466" s="52">
        <f>H2465-G2466</f>
        <v/>
      </c>
      <c r="I2466" s="568" t="n"/>
      <c r="J2466" s="568" t="n"/>
      <c r="K2466" s="568" t="n"/>
      <c r="L2466" s="568" t="n"/>
    </row>
    <row r="2467">
      <c r="A2467" s="568" t="n">
        <v>45077</v>
      </c>
      <c r="B2467" s="392" t="n">
        <v>10180</v>
      </c>
      <c r="C2467" s="392" t="n">
        <v>101.67</v>
      </c>
      <c r="D2467" s="392" t="n"/>
      <c r="E2467" s="392" t="n"/>
      <c r="F2467" s="392" t="n"/>
      <c r="G2467" s="392" t="n">
        <v>30</v>
      </c>
      <c r="H2467" s="52">
        <f>H2466-G2467</f>
        <v/>
      </c>
      <c r="I2467" s="568" t="n"/>
      <c r="J2467" s="568" t="n"/>
      <c r="K2467" s="568" t="n"/>
      <c r="L2467" s="568" t="n"/>
    </row>
    <row r="2468">
      <c r="A2468" s="568" t="n">
        <v>45077</v>
      </c>
      <c r="B2468" s="392" t="n">
        <v>10184</v>
      </c>
      <c r="C2468" s="392" t="n">
        <v>99</v>
      </c>
      <c r="D2468" s="392" t="n"/>
      <c r="E2468" s="392" t="n"/>
      <c r="F2468" s="392" t="n"/>
      <c r="G2468" s="392" t="n">
        <v>30</v>
      </c>
      <c r="H2468" s="52">
        <f>H2467-G2468</f>
        <v/>
      </c>
      <c r="I2468" s="568" t="n"/>
      <c r="J2468" s="568" t="n"/>
      <c r="K2468" s="568" t="n"/>
      <c r="L2468" s="568" t="n"/>
    </row>
    <row r="2469">
      <c r="A2469" s="568" t="n">
        <v>45077</v>
      </c>
      <c r="B2469" s="392" t="n">
        <v>10186</v>
      </c>
      <c r="C2469" s="392" t="n">
        <v>101</v>
      </c>
      <c r="D2469" s="392" t="n"/>
      <c r="E2469" s="392" t="n"/>
      <c r="F2469" s="392" t="n"/>
      <c r="G2469" s="392" t="n">
        <v>30</v>
      </c>
      <c r="H2469" s="52">
        <f>H2468-G2469</f>
        <v/>
      </c>
      <c r="I2469" s="568" t="n"/>
      <c r="J2469" s="568" t="n"/>
      <c r="K2469" s="568" t="n"/>
      <c r="L2469" s="568" t="n"/>
    </row>
    <row r="2470" ht="15.75" customHeight="1" s="436" thickBot="1">
      <c r="A2470" s="414" t="n"/>
      <c r="H2470" s="171" t="n"/>
      <c r="I2470" s="414" t="n"/>
      <c r="J2470" s="414" t="n"/>
      <c r="K2470" s="414" t="n"/>
      <c r="L2470" s="414" t="n"/>
    </row>
    <row r="2471" ht="21.75" customHeight="1" s="436" thickBot="1">
      <c r="A2471" s="757" t="inlineStr">
        <is>
          <t>Junho</t>
        </is>
      </c>
      <c r="B2471" s="697" t="n"/>
      <c r="C2471" s="697" t="n"/>
      <c r="D2471" s="697" t="n"/>
      <c r="E2471" s="697" t="n"/>
      <c r="F2471" s="697" t="n"/>
      <c r="G2471" s="697" t="n"/>
      <c r="H2471" s="697" t="n"/>
      <c r="I2471" s="697" t="n"/>
      <c r="J2471" s="697" t="n"/>
      <c r="K2471" s="697" t="n"/>
      <c r="L2471" s="698" t="n"/>
    </row>
    <row r="2472" ht="21.75" customHeight="1" s="436" thickBot="1">
      <c r="A2472" s="699" t="inlineStr">
        <is>
          <t xml:space="preserve">021 - DENISE FURTADO DE SOUZA - ME </t>
        </is>
      </c>
      <c r="B2472" s="697" t="n"/>
      <c r="C2472" s="697" t="n"/>
      <c r="D2472" s="697" t="n"/>
      <c r="E2472" s="697" t="n"/>
      <c r="F2472" s="697" t="n"/>
      <c r="G2472" s="697" t="n"/>
      <c r="H2472" s="697" t="n"/>
      <c r="I2472" s="697" t="n"/>
      <c r="J2472" s="697" t="n"/>
      <c r="K2472" s="697" t="n"/>
      <c r="L2472" s="698" t="n"/>
    </row>
    <row r="2473" ht="24" customHeight="1" s="436" thickBot="1">
      <c r="A2473" s="759" t="inlineStr">
        <is>
          <t xml:space="preserve">  PRÉ MISTURA - 25 KG</t>
        </is>
      </c>
      <c r="B2473" s="697" t="n"/>
      <c r="C2473" s="697" t="n"/>
      <c r="D2473" s="697" t="n"/>
      <c r="E2473" s="697" t="n"/>
      <c r="F2473" s="697" t="n"/>
      <c r="G2473" s="697" t="n"/>
      <c r="H2473" s="697" t="n"/>
      <c r="I2473" s="697" t="n"/>
      <c r="J2473" s="697" t="n"/>
      <c r="K2473" s="697" t="n"/>
      <c r="L2473" s="698" t="n"/>
    </row>
    <row r="2474">
      <c r="A2474" s="3" t="inlineStr">
        <is>
          <t>DATA</t>
        </is>
      </c>
      <c r="B2474" s="3" t="inlineStr">
        <is>
          <t>N.F.</t>
        </is>
      </c>
      <c r="C2474" s="3" t="inlineStr">
        <is>
          <t>TIPO</t>
        </is>
      </c>
      <c r="D2474" s="3" t="inlineStr">
        <is>
          <t>PREÇO UNITÁRIO</t>
        </is>
      </c>
      <c r="E2474" s="736" t="n"/>
      <c r="F2474" s="3" t="inlineStr">
        <is>
          <t>QUANTIDADE / KG</t>
        </is>
      </c>
      <c r="G2474" s="737" t="n"/>
      <c r="H2474" s="736" t="n"/>
      <c r="I2474" s="631" t="inlineStr">
        <is>
          <t>PREÇO</t>
        </is>
      </c>
      <c r="J2474" s="631" t="inlineStr">
        <is>
          <t>VALORES</t>
        </is>
      </c>
      <c r="K2474" s="737" t="n"/>
      <c r="L2474" s="736" t="n"/>
    </row>
    <row r="2475" ht="15.75" customHeight="1" s="436" thickBot="1">
      <c r="A2475" s="704" t="n"/>
      <c r="B2475" s="704" t="n"/>
      <c r="C2475" s="704" t="n"/>
      <c r="D2475" s="703" t="n"/>
      <c r="E2475" s="701" t="n"/>
      <c r="F2475" s="705" t="n"/>
      <c r="G2475" s="706" t="n"/>
      <c r="H2475" s="707" t="n"/>
      <c r="I2475" s="704" t="n"/>
      <c r="J2475" s="703" t="n"/>
      <c r="L2475" s="701" t="n"/>
    </row>
    <row r="2476" ht="15.75" customHeight="1" s="436" thickBot="1">
      <c r="A2476" s="704" t="n"/>
      <c r="B2476" s="704" t="n"/>
      <c r="C2476" s="704" t="n"/>
      <c r="D2476" s="705" t="n"/>
      <c r="E2476" s="707" t="n"/>
      <c r="F2476" s="3" t="inlineStr">
        <is>
          <t>ENTRADA</t>
        </is>
      </c>
      <c r="G2476" s="3" t="inlineStr">
        <is>
          <t>SAÍDA</t>
        </is>
      </c>
      <c r="H2476" s="640" t="n"/>
      <c r="I2476" s="633" t="inlineStr">
        <is>
          <t>MÉDIO</t>
        </is>
      </c>
      <c r="J2476" s="739" t="inlineStr">
        <is>
          <t>SALDO EM 30/12/2017</t>
        </is>
      </c>
      <c r="K2476" s="707" t="n"/>
      <c r="L2476" s="17" t="n"/>
    </row>
    <row r="2477" ht="15.75" customHeight="1" s="436" thickBot="1">
      <c r="A2477" s="695" t="n"/>
      <c r="B2477" s="695" t="n"/>
      <c r="C2477" s="695" t="n"/>
      <c r="D2477" s="3" t="inlineStr">
        <is>
          <t>C/ICMS</t>
        </is>
      </c>
      <c r="E2477" s="3" t="inlineStr">
        <is>
          <t>S/ICMS</t>
        </is>
      </c>
      <c r="F2477" s="695" t="n"/>
      <c r="G2477" s="695" t="n"/>
      <c r="H2477" s="361" t="inlineStr">
        <is>
          <t>Saldo em 31/05/2022</t>
        </is>
      </c>
      <c r="I2477" s="695" t="n"/>
      <c r="J2477" s="645" t="inlineStr">
        <is>
          <t>ENTRADA</t>
        </is>
      </c>
      <c r="K2477" s="633" t="inlineStr">
        <is>
          <t>SAÍDA / CMV</t>
        </is>
      </c>
      <c r="L2477" s="633" t="inlineStr">
        <is>
          <t>SALDO</t>
        </is>
      </c>
    </row>
    <row r="2478">
      <c r="A2478" s="568" t="n"/>
      <c r="B2478" s="392" t="n"/>
      <c r="C2478" s="392" t="n"/>
      <c r="D2478" s="392" t="n"/>
      <c r="E2478" s="392" t="n"/>
      <c r="F2478" s="392" t="n"/>
      <c r="G2478" s="392" t="n"/>
      <c r="H2478" s="52" t="n">
        <v>1198</v>
      </c>
      <c r="I2478" s="568" t="n"/>
      <c r="J2478" s="568" t="n"/>
      <c r="K2478" s="568" t="n"/>
      <c r="L2478" s="568" t="n"/>
    </row>
    <row r="2479">
      <c r="A2479" s="568" t="n">
        <v>45083</v>
      </c>
      <c r="B2479" s="392" t="n">
        <v>10193</v>
      </c>
      <c r="C2479" s="392" t="n">
        <v>99</v>
      </c>
      <c r="D2479" s="392" t="n"/>
      <c r="E2479" s="392" t="n"/>
      <c r="F2479" s="392" t="n"/>
      <c r="G2479" s="392" t="n">
        <v>30</v>
      </c>
      <c r="H2479" s="52">
        <f>H2478-G2479</f>
        <v/>
      </c>
      <c r="I2479" s="568" t="n"/>
      <c r="J2479" s="568" t="n"/>
      <c r="K2479" s="568" t="n"/>
      <c r="L2479" s="568" t="n"/>
    </row>
    <row r="2480">
      <c r="A2480" s="568" t="n">
        <v>45083</v>
      </c>
      <c r="B2480" s="392" t="n">
        <v>10201</v>
      </c>
      <c r="C2480" s="392" t="n">
        <v>99</v>
      </c>
      <c r="D2480" s="392" t="n"/>
      <c r="E2480" s="392" t="n"/>
      <c r="F2480" s="392" t="n"/>
      <c r="G2480" s="392" t="n">
        <v>15</v>
      </c>
      <c r="H2480" s="52">
        <f>H2479-G2480</f>
        <v/>
      </c>
      <c r="I2480" s="568" t="n"/>
      <c r="J2480" s="568" t="n"/>
      <c r="K2480" s="568" t="n"/>
      <c r="L2480" s="568" t="n"/>
    </row>
    <row r="2481">
      <c r="A2481" s="568" t="n">
        <v>45083</v>
      </c>
      <c r="B2481" s="392" t="n">
        <v>10203</v>
      </c>
      <c r="C2481" s="392" t="n">
        <v>100.12</v>
      </c>
      <c r="D2481" s="392" t="n"/>
      <c r="E2481" s="392" t="n"/>
      <c r="F2481" s="392" t="n"/>
      <c r="G2481" s="392" t="n">
        <v>50</v>
      </c>
      <c r="H2481" s="52">
        <f>H2480-G2481</f>
        <v/>
      </c>
      <c r="I2481" s="568" t="n"/>
      <c r="J2481" s="568" t="n"/>
      <c r="K2481" s="568" t="n"/>
      <c r="L2481" s="568" t="n"/>
    </row>
    <row r="2482">
      <c r="A2482" s="568" t="n">
        <v>45086</v>
      </c>
      <c r="B2482" s="392" t="n">
        <v>10207</v>
      </c>
      <c r="C2482" s="392" t="n">
        <v>100</v>
      </c>
      <c r="D2482" s="392" t="n"/>
      <c r="E2482" s="392" t="n"/>
      <c r="F2482" s="392" t="n"/>
      <c r="G2482" s="392" t="n">
        <v>10</v>
      </c>
      <c r="H2482" s="52">
        <f>H2481-G2482</f>
        <v/>
      </c>
      <c r="I2482" s="568" t="n"/>
      <c r="J2482" s="568" t="n"/>
      <c r="K2482" s="568" t="n"/>
      <c r="L2482" s="568" t="n"/>
    </row>
    <row r="2483">
      <c r="A2483" s="568" t="n">
        <v>45089</v>
      </c>
      <c r="B2483" s="392" t="n">
        <v>10209</v>
      </c>
      <c r="C2483" s="392" t="n">
        <v>100.6</v>
      </c>
      <c r="D2483" s="392" t="n"/>
      <c r="E2483" s="392" t="n"/>
      <c r="F2483" s="392" t="n"/>
      <c r="G2483" s="392" t="n">
        <v>50</v>
      </c>
      <c r="H2483" s="52">
        <f>H2482-G2483</f>
        <v/>
      </c>
      <c r="I2483" s="568" t="n"/>
      <c r="J2483" s="568" t="n"/>
      <c r="K2483" s="568" t="n"/>
      <c r="L2483" s="568" t="n"/>
    </row>
    <row r="2484">
      <c r="A2484" s="568" t="n">
        <v>45089</v>
      </c>
      <c r="B2484" s="392" t="n">
        <v>10212</v>
      </c>
      <c r="C2484" s="392" t="n">
        <v>97</v>
      </c>
      <c r="D2484" s="392" t="n"/>
      <c r="E2484" s="392" t="n"/>
      <c r="F2484" s="392" t="n"/>
      <c r="G2484" s="392" t="n">
        <v>20</v>
      </c>
      <c r="H2484" s="52">
        <f>H2483-G2484</f>
        <v/>
      </c>
      <c r="I2484" s="568" t="n"/>
      <c r="J2484" s="568" t="n"/>
      <c r="K2484" s="568" t="n"/>
      <c r="L2484" s="568" t="n"/>
    </row>
    <row r="2485">
      <c r="A2485" s="568" t="n">
        <v>45089</v>
      </c>
      <c r="B2485" s="392" t="n">
        <v>10214</v>
      </c>
      <c r="C2485" s="392" t="n">
        <v>100.15</v>
      </c>
      <c r="D2485" s="392" t="n"/>
      <c r="E2485" s="392" t="n"/>
      <c r="F2485" s="392" t="n"/>
      <c r="G2485" s="392" t="n">
        <v>35</v>
      </c>
      <c r="H2485" s="52">
        <f>H2484-G2485</f>
        <v/>
      </c>
      <c r="I2485" s="568" t="n"/>
      <c r="J2485" s="568" t="n"/>
      <c r="K2485" s="568" t="n"/>
      <c r="L2485" s="568" t="n"/>
    </row>
    <row r="2486">
      <c r="A2486" s="568" t="n">
        <v>45089</v>
      </c>
      <c r="B2486" s="392" t="n">
        <v>10217</v>
      </c>
      <c r="C2486" s="392" t="n">
        <v>99</v>
      </c>
      <c r="D2486" s="392" t="n"/>
      <c r="E2486" s="392" t="n"/>
      <c r="F2486" s="392" t="n"/>
      <c r="G2486" s="392" t="n">
        <v>30</v>
      </c>
      <c r="H2486" s="52">
        <f>H2485-G2486</f>
        <v/>
      </c>
      <c r="I2486" s="568" t="n"/>
      <c r="J2486" s="568" t="n"/>
      <c r="K2486" s="568" t="n"/>
      <c r="L2486" s="568" t="n"/>
    </row>
    <row r="2487">
      <c r="A2487" s="568" t="n">
        <v>45091</v>
      </c>
      <c r="B2487" s="392" t="n">
        <v>10219</v>
      </c>
      <c r="C2487" s="392" t="n">
        <v>101.38</v>
      </c>
      <c r="D2487" s="392" t="n"/>
      <c r="E2487" s="392" t="n"/>
      <c r="F2487" s="392" t="n"/>
      <c r="G2487" s="392" t="n">
        <v>40</v>
      </c>
      <c r="H2487" s="52">
        <f>H2486-G2487</f>
        <v/>
      </c>
      <c r="I2487" s="568" t="n"/>
      <c r="J2487" s="568" t="n"/>
      <c r="K2487" s="568" t="n"/>
      <c r="L2487" s="568" t="n"/>
    </row>
    <row r="2488">
      <c r="A2488" s="568" t="n">
        <v>45091</v>
      </c>
      <c r="B2488" s="392" t="n">
        <v>10221</v>
      </c>
      <c r="C2488" s="392" t="n">
        <v>100.5</v>
      </c>
      <c r="D2488" s="392" t="n"/>
      <c r="E2488" s="392" t="n"/>
      <c r="F2488" s="392" t="n"/>
      <c r="G2488" s="392" t="n">
        <v>20</v>
      </c>
      <c r="H2488" s="52">
        <f>H2487-G2488</f>
        <v/>
      </c>
      <c r="I2488" s="568" t="n"/>
      <c r="J2488" s="568" t="n"/>
      <c r="K2488" s="568" t="n"/>
      <c r="L2488" s="568" t="n"/>
    </row>
    <row r="2489">
      <c r="A2489" s="568" t="n">
        <v>45091</v>
      </c>
      <c r="B2489" s="392" t="n">
        <v>10223</v>
      </c>
      <c r="C2489" s="392" t="n">
        <v>100.75</v>
      </c>
      <c r="D2489" s="392" t="n"/>
      <c r="E2489" s="392" t="n"/>
      <c r="F2489" s="392" t="n"/>
      <c r="G2489" s="392" t="n">
        <v>32</v>
      </c>
      <c r="H2489" s="52">
        <f>H2488-G2489</f>
        <v/>
      </c>
      <c r="I2489" s="568" t="n"/>
      <c r="J2489" s="568" t="n"/>
      <c r="K2489" s="568" t="n"/>
      <c r="L2489" s="568" t="n"/>
    </row>
    <row r="2490">
      <c r="A2490" s="304" t="n">
        <v>45096</v>
      </c>
      <c r="B2490" s="401" t="n">
        <v>219917</v>
      </c>
      <c r="C2490" s="401" t="n">
        <v>79</v>
      </c>
      <c r="D2490" s="401" t="n"/>
      <c r="E2490" s="401" t="n"/>
      <c r="F2490" s="401" t="n">
        <v>780</v>
      </c>
      <c r="G2490" s="401" t="n"/>
      <c r="H2490" s="277" t="n">
        <v>1646</v>
      </c>
      <c r="I2490" s="568" t="n"/>
      <c r="J2490" s="568" t="n"/>
      <c r="K2490" s="568" t="n"/>
      <c r="L2490" s="568" t="n"/>
    </row>
    <row r="2491">
      <c r="A2491" s="568" t="n">
        <v>45096</v>
      </c>
      <c r="B2491" s="392" t="n">
        <v>10228</v>
      </c>
      <c r="C2491" s="392" t="n">
        <v>98</v>
      </c>
      <c r="D2491" s="392" t="n"/>
      <c r="E2491" s="392" t="n"/>
      <c r="F2491" s="392" t="n"/>
      <c r="G2491" s="392" t="n">
        <v>100</v>
      </c>
      <c r="H2491" s="52">
        <f>H2490-G2491</f>
        <v/>
      </c>
      <c r="I2491" s="568" t="n"/>
      <c r="J2491" s="568" t="n"/>
      <c r="K2491" s="568" t="n"/>
      <c r="L2491" s="568" t="n"/>
    </row>
    <row r="2492">
      <c r="A2492" s="568" t="n">
        <v>45096</v>
      </c>
      <c r="B2492" s="392" t="n">
        <v>10236</v>
      </c>
      <c r="C2492" s="392" t="n">
        <v>96</v>
      </c>
      <c r="D2492" s="392" t="n"/>
      <c r="E2492" s="392" t="n"/>
      <c r="F2492" s="392" t="n"/>
      <c r="G2492" s="392" t="n">
        <v>30</v>
      </c>
      <c r="H2492" s="52">
        <f>H2491-G2492</f>
        <v/>
      </c>
      <c r="I2492" s="568" t="n"/>
      <c r="J2492" s="568" t="n"/>
      <c r="K2492" s="568" t="n"/>
      <c r="L2492" s="568" t="n"/>
    </row>
    <row r="2493">
      <c r="A2493" s="568" t="n">
        <v>45098</v>
      </c>
      <c r="B2493" s="392" t="n">
        <v>10242</v>
      </c>
      <c r="C2493" s="392" t="n">
        <v>100</v>
      </c>
      <c r="D2493" s="392" t="n"/>
      <c r="E2493" s="392" t="n"/>
      <c r="F2493" s="392" t="n"/>
      <c r="G2493" s="392" t="n">
        <v>40</v>
      </c>
      <c r="H2493" s="52">
        <f>H2492-G2493</f>
        <v/>
      </c>
      <c r="I2493" s="568" t="n"/>
      <c r="J2493" s="568" t="n"/>
      <c r="K2493" s="568" t="n"/>
      <c r="L2493" s="568" t="n"/>
    </row>
    <row r="2494">
      <c r="A2494" s="568" t="n">
        <v>45098</v>
      </c>
      <c r="B2494" s="392" t="n">
        <v>10243</v>
      </c>
      <c r="C2494" s="392" t="n">
        <v>101</v>
      </c>
      <c r="D2494" s="392" t="n"/>
      <c r="E2494" s="392" t="n"/>
      <c r="F2494" s="392" t="n"/>
      <c r="G2494" s="392" t="n">
        <v>20</v>
      </c>
      <c r="H2494" s="52">
        <f>H2493-G2494</f>
        <v/>
      </c>
      <c r="I2494" s="568" t="n"/>
      <c r="J2494" s="568" t="n"/>
      <c r="K2494" s="568" t="n"/>
      <c r="L2494" s="568" t="n"/>
    </row>
    <row r="2495">
      <c r="A2495" s="568" t="n">
        <v>45098</v>
      </c>
      <c r="B2495" s="392" t="n">
        <v>10246</v>
      </c>
      <c r="C2495" s="392" t="n">
        <v>99</v>
      </c>
      <c r="D2495" s="392" t="n"/>
      <c r="E2495" s="392" t="n"/>
      <c r="F2495" s="392" t="n"/>
      <c r="G2495" s="392" t="n">
        <v>30</v>
      </c>
      <c r="H2495" s="52">
        <f>H2494-G2495</f>
        <v/>
      </c>
      <c r="I2495" s="568" t="n"/>
      <c r="J2495" s="568" t="n"/>
      <c r="K2495" s="568" t="n"/>
      <c r="L2495" s="568" t="n"/>
    </row>
    <row r="2496">
      <c r="A2496" s="568" t="n">
        <v>45099</v>
      </c>
      <c r="B2496" s="392" t="n">
        <v>10247</v>
      </c>
      <c r="C2496" s="392" t="n">
        <v>99</v>
      </c>
      <c r="D2496" s="392" t="n"/>
      <c r="E2496" s="392" t="n"/>
      <c r="F2496" s="392" t="n"/>
      <c r="G2496" s="392" t="n">
        <v>10</v>
      </c>
      <c r="H2496" s="52">
        <f>H2495-G2496</f>
        <v/>
      </c>
      <c r="I2496" s="568" t="n"/>
      <c r="J2496" s="568" t="n"/>
      <c r="K2496" s="568" t="n"/>
      <c r="L2496" s="568" t="n"/>
    </row>
    <row r="2497">
      <c r="A2497" s="568" t="n">
        <v>45099</v>
      </c>
      <c r="B2497" s="392" t="n">
        <v>10248</v>
      </c>
      <c r="C2497" s="392" t="n">
        <v>102</v>
      </c>
      <c r="D2497" s="392" t="n"/>
      <c r="E2497" s="392" t="n"/>
      <c r="F2497" s="392" t="n"/>
      <c r="G2497" s="392" t="n">
        <v>20</v>
      </c>
      <c r="H2497" s="52">
        <f>H2496-G2497</f>
        <v/>
      </c>
      <c r="I2497" s="568" t="n"/>
      <c r="J2497" s="568" t="n"/>
      <c r="K2497" s="568" t="n"/>
      <c r="L2497" s="568" t="n"/>
    </row>
    <row r="2498">
      <c r="A2498" s="568" t="n">
        <v>45104</v>
      </c>
      <c r="B2498" s="392" t="n">
        <v>10252</v>
      </c>
      <c r="C2498" s="392" t="n">
        <v>99</v>
      </c>
      <c r="D2498" s="392" t="n"/>
      <c r="E2498" s="392" t="n"/>
      <c r="F2498" s="392" t="n"/>
      <c r="G2498" s="392" t="n">
        <v>15</v>
      </c>
      <c r="H2498" s="52">
        <f>H2497-G2498</f>
        <v/>
      </c>
      <c r="I2498" s="568" t="n"/>
      <c r="J2498" s="568" t="n"/>
      <c r="K2498" s="568" t="n"/>
      <c r="L2498" s="568" t="n"/>
    </row>
    <row r="2499">
      <c r="A2499" s="568" t="n">
        <v>45104</v>
      </c>
      <c r="B2499" s="392" t="n">
        <v>10255</v>
      </c>
      <c r="C2499" s="392" t="n">
        <v>99</v>
      </c>
      <c r="D2499" s="392" t="n"/>
      <c r="E2499" s="392" t="n"/>
      <c r="F2499" s="392" t="n"/>
      <c r="G2499" s="392" t="n">
        <v>15</v>
      </c>
      <c r="H2499" s="52">
        <f>H2498-G2499</f>
        <v/>
      </c>
      <c r="I2499" s="568" t="n"/>
      <c r="J2499" s="568" t="n"/>
      <c r="K2499" s="568" t="n"/>
      <c r="L2499" s="568" t="n"/>
    </row>
    <row r="2500">
      <c r="A2500" s="568" t="n">
        <v>45104</v>
      </c>
      <c r="B2500" s="392" t="n">
        <v>10260</v>
      </c>
      <c r="C2500" s="392" t="n">
        <v>100.82</v>
      </c>
      <c r="D2500" s="392" t="n"/>
      <c r="E2500" s="392" t="n"/>
      <c r="F2500" s="392" t="n"/>
      <c r="G2500" s="392" t="n">
        <v>32</v>
      </c>
      <c r="H2500" s="52">
        <f>H2499-G2500</f>
        <v/>
      </c>
      <c r="I2500" s="568" t="n"/>
      <c r="J2500" s="568" t="n"/>
      <c r="K2500" s="568" t="n"/>
      <c r="L2500" s="568" t="n"/>
    </row>
    <row r="2501">
      <c r="A2501" s="568" t="n">
        <v>45104</v>
      </c>
      <c r="B2501" s="392" t="n">
        <v>10261</v>
      </c>
      <c r="C2501" s="392" t="n">
        <v>99</v>
      </c>
      <c r="D2501" s="392" t="n"/>
      <c r="E2501" s="392" t="n"/>
      <c r="F2501" s="392" t="n"/>
      <c r="G2501" s="392" t="n">
        <v>10</v>
      </c>
      <c r="H2501" s="52">
        <f>H2500-G2501</f>
        <v/>
      </c>
      <c r="I2501" s="568" t="n"/>
      <c r="J2501" s="568" t="n"/>
      <c r="K2501" s="568" t="n"/>
      <c r="L2501" s="568" t="n"/>
    </row>
    <row r="2502">
      <c r="A2502" s="568" t="n">
        <v>45104</v>
      </c>
      <c r="B2502" s="392" t="n">
        <v>10262</v>
      </c>
      <c r="C2502" s="392" t="n">
        <v>99</v>
      </c>
      <c r="D2502" s="392" t="n"/>
      <c r="E2502" s="392" t="n"/>
      <c r="F2502" s="392" t="n"/>
      <c r="G2502" s="392" t="n">
        <v>15</v>
      </c>
      <c r="H2502" s="52">
        <f>H2501-G2502</f>
        <v/>
      </c>
      <c r="I2502" s="568" t="n"/>
      <c r="J2502" s="568" t="n"/>
      <c r="K2502" s="568" t="n"/>
      <c r="L2502" s="568" t="n"/>
    </row>
    <row r="2503">
      <c r="A2503" s="568" t="n">
        <v>45104</v>
      </c>
      <c r="B2503" s="392" t="n">
        <v>10263</v>
      </c>
      <c r="C2503" s="392" t="n">
        <v>101</v>
      </c>
      <c r="D2503" s="392" t="n"/>
      <c r="E2503" s="392" t="n"/>
      <c r="F2503" s="392" t="n"/>
      <c r="G2503" s="392" t="n">
        <v>50</v>
      </c>
      <c r="H2503" s="52">
        <f>H2502-G2503</f>
        <v/>
      </c>
      <c r="I2503" s="568" t="n"/>
      <c r="J2503" s="568" t="n"/>
      <c r="K2503" s="568" t="n"/>
      <c r="L2503" s="568" t="n"/>
    </row>
    <row r="2504" ht="15.75" customHeight="1" s="436" thickBot="1">
      <c r="A2504" s="414" t="n"/>
      <c r="H2504" s="171" t="n"/>
      <c r="I2504" s="414" t="n"/>
      <c r="J2504" s="414" t="n"/>
      <c r="K2504" s="414" t="n"/>
      <c r="L2504" s="414" t="n"/>
    </row>
    <row r="2505" ht="21.75" customHeight="1" s="436" thickBot="1">
      <c r="A2505" s="757" t="inlineStr">
        <is>
          <t>Julho</t>
        </is>
      </c>
      <c r="B2505" s="697" t="n"/>
      <c r="C2505" s="697" t="n"/>
      <c r="D2505" s="697" t="n"/>
      <c r="E2505" s="697" t="n"/>
      <c r="F2505" s="697" t="n"/>
      <c r="G2505" s="697" t="n"/>
      <c r="H2505" s="697" t="n"/>
      <c r="I2505" s="697" t="n"/>
      <c r="J2505" s="697" t="n"/>
      <c r="K2505" s="697" t="n"/>
      <c r="L2505" s="698" t="n"/>
    </row>
    <row r="2506" ht="21.75" customHeight="1" s="436" thickBot="1">
      <c r="A2506" s="699" t="inlineStr">
        <is>
          <t xml:space="preserve">021 - DENISE FURTADO DE SOUZA - ME </t>
        </is>
      </c>
      <c r="B2506" s="697" t="n"/>
      <c r="C2506" s="697" t="n"/>
      <c r="D2506" s="697" t="n"/>
      <c r="E2506" s="697" t="n"/>
      <c r="F2506" s="697" t="n"/>
      <c r="G2506" s="697" t="n"/>
      <c r="H2506" s="697" t="n"/>
      <c r="I2506" s="697" t="n"/>
      <c r="J2506" s="697" t="n"/>
      <c r="K2506" s="697" t="n"/>
      <c r="L2506" s="698" t="n"/>
    </row>
    <row r="2507" ht="24" customHeight="1" s="436" thickBot="1">
      <c r="A2507" s="759" t="inlineStr">
        <is>
          <t xml:space="preserve">  PRÉ MISTURA - 25 KG</t>
        </is>
      </c>
      <c r="B2507" s="697" t="n"/>
      <c r="C2507" s="697" t="n"/>
      <c r="D2507" s="697" t="n"/>
      <c r="E2507" s="697" t="n"/>
      <c r="F2507" s="697" t="n"/>
      <c r="G2507" s="697" t="n"/>
      <c r="H2507" s="697" t="n"/>
      <c r="I2507" s="697" t="n"/>
      <c r="J2507" s="697" t="n"/>
      <c r="K2507" s="697" t="n"/>
      <c r="L2507" s="698" t="n"/>
    </row>
    <row r="2508">
      <c r="A2508" s="3" t="inlineStr">
        <is>
          <t>DATA</t>
        </is>
      </c>
      <c r="B2508" s="3" t="inlineStr">
        <is>
          <t>N.F.</t>
        </is>
      </c>
      <c r="C2508" s="3" t="inlineStr">
        <is>
          <t>TIPO</t>
        </is>
      </c>
      <c r="D2508" s="3" t="inlineStr">
        <is>
          <t>PREÇO UNITÁRIO</t>
        </is>
      </c>
      <c r="E2508" s="736" t="n"/>
      <c r="F2508" s="3" t="inlineStr">
        <is>
          <t>QUANTIDADE / KG</t>
        </is>
      </c>
      <c r="G2508" s="737" t="n"/>
      <c r="H2508" s="736" t="n"/>
      <c r="I2508" s="631" t="inlineStr">
        <is>
          <t>PREÇO</t>
        </is>
      </c>
      <c r="J2508" s="631" t="inlineStr">
        <is>
          <t>VALORES</t>
        </is>
      </c>
      <c r="K2508" s="737" t="n"/>
      <c r="L2508" s="736" t="n"/>
    </row>
    <row r="2509" ht="15.75" customHeight="1" s="436" thickBot="1">
      <c r="A2509" s="704" t="n"/>
      <c r="B2509" s="704" t="n"/>
      <c r="C2509" s="704" t="n"/>
      <c r="D2509" s="703" t="n"/>
      <c r="E2509" s="701" t="n"/>
      <c r="F2509" s="705" t="n"/>
      <c r="G2509" s="706" t="n"/>
      <c r="H2509" s="707" t="n"/>
      <c r="I2509" s="704" t="n"/>
      <c r="J2509" s="703" t="n"/>
      <c r="L2509" s="701" t="n"/>
    </row>
    <row r="2510" ht="15.75" customHeight="1" s="436" thickBot="1">
      <c r="A2510" s="704" t="n"/>
      <c r="B2510" s="704" t="n"/>
      <c r="C2510" s="704" t="n"/>
      <c r="D2510" s="705" t="n"/>
      <c r="E2510" s="707" t="n"/>
      <c r="F2510" s="3" t="inlineStr">
        <is>
          <t>ENTRADA</t>
        </is>
      </c>
      <c r="G2510" s="3" t="inlineStr">
        <is>
          <t>SAÍDA</t>
        </is>
      </c>
      <c r="H2510" s="640" t="n"/>
      <c r="I2510" s="633" t="inlineStr">
        <is>
          <t>MÉDIO</t>
        </is>
      </c>
      <c r="J2510" s="739" t="inlineStr">
        <is>
          <t>SALDO EM 30/12/2017</t>
        </is>
      </c>
      <c r="K2510" s="707" t="n"/>
      <c r="L2510" s="17" t="n"/>
    </row>
    <row r="2511" ht="15.75" customHeight="1" s="436" thickBot="1">
      <c r="A2511" s="695" t="n"/>
      <c r="B2511" s="695" t="n"/>
      <c r="C2511" s="695" t="n"/>
      <c r="D2511" s="3" t="inlineStr">
        <is>
          <t>C/ICMS</t>
        </is>
      </c>
      <c r="E2511" s="3" t="inlineStr">
        <is>
          <t>S/ICMS</t>
        </is>
      </c>
      <c r="F2511" s="695" t="n"/>
      <c r="G2511" s="695" t="n"/>
      <c r="H2511" s="361" t="inlineStr">
        <is>
          <t>Saldo em 31/06/2022</t>
        </is>
      </c>
      <c r="I2511" s="695" t="n"/>
      <c r="J2511" s="645" t="inlineStr">
        <is>
          <t>ENTRADA</t>
        </is>
      </c>
      <c r="K2511" s="633" t="inlineStr">
        <is>
          <t>SAÍDA / CMV</t>
        </is>
      </c>
      <c r="L2511" s="633" t="inlineStr">
        <is>
          <t>SALDO</t>
        </is>
      </c>
    </row>
    <row r="2512">
      <c r="A2512" s="568" t="n"/>
      <c r="B2512" s="392" t="n"/>
      <c r="C2512" s="392" t="n"/>
      <c r="D2512" s="392" t="n"/>
      <c r="E2512" s="392" t="n"/>
      <c r="F2512" s="392" t="n"/>
      <c r="G2512" s="392" t="n"/>
      <c r="H2512" s="52" t="n">
        <v>1259</v>
      </c>
      <c r="I2512" s="568" t="n"/>
      <c r="J2512" s="568" t="n"/>
      <c r="K2512" s="568" t="n"/>
      <c r="L2512" s="568" t="n"/>
    </row>
    <row r="2513">
      <c r="A2513" s="568" t="n">
        <v>45112</v>
      </c>
      <c r="B2513" s="392" t="n">
        <v>10270</v>
      </c>
      <c r="C2513" s="392" t="n">
        <v>97</v>
      </c>
      <c r="D2513" s="392" t="n"/>
      <c r="E2513" s="392" t="n"/>
      <c r="F2513" s="392" t="n"/>
      <c r="G2513" s="392" t="n">
        <v>20</v>
      </c>
      <c r="H2513" s="52">
        <f>H2512-G2513</f>
        <v/>
      </c>
      <c r="I2513" s="568" t="n"/>
      <c r="J2513" s="568" t="n"/>
      <c r="K2513" s="568" t="n"/>
      <c r="L2513" s="568" t="n"/>
    </row>
    <row r="2514">
      <c r="A2514" s="568" t="n">
        <v>45112</v>
      </c>
      <c r="B2514" s="392" t="n">
        <v>10271</v>
      </c>
      <c r="C2514" s="392" t="n">
        <v>97</v>
      </c>
      <c r="D2514" s="392" t="n"/>
      <c r="E2514" s="392" t="n"/>
      <c r="F2514" s="392" t="n"/>
      <c r="G2514" s="392" t="n">
        <v>30</v>
      </c>
      <c r="H2514" s="52">
        <f>H2513-G2514</f>
        <v/>
      </c>
      <c r="I2514" s="568" t="n"/>
      <c r="J2514" s="568" t="n"/>
      <c r="K2514" s="568" t="n"/>
      <c r="L2514" s="568" t="n"/>
    </row>
    <row r="2515">
      <c r="A2515" s="568" t="n">
        <v>45112</v>
      </c>
      <c r="B2515" s="392" t="n">
        <v>10273</v>
      </c>
      <c r="C2515" s="392" t="n">
        <v>97</v>
      </c>
      <c r="D2515" s="392" t="n"/>
      <c r="E2515" s="392" t="n"/>
      <c r="F2515" s="392" t="n"/>
      <c r="G2515" s="392" t="n">
        <v>20</v>
      </c>
      <c r="H2515" s="52">
        <f>H2514-G2515</f>
        <v/>
      </c>
      <c r="I2515" s="568" t="n"/>
      <c r="J2515" s="568" t="n"/>
      <c r="K2515" s="568" t="n"/>
      <c r="L2515" s="568" t="n"/>
    </row>
    <row r="2516">
      <c r="A2516" s="568" t="n">
        <v>45112</v>
      </c>
      <c r="B2516" s="392" t="n">
        <v>10277</v>
      </c>
      <c r="C2516" s="392" t="n">
        <v>101</v>
      </c>
      <c r="D2516" s="392" t="n"/>
      <c r="E2516" s="392" t="n"/>
      <c r="F2516" s="392" t="n"/>
      <c r="G2516" s="392" t="n">
        <v>36</v>
      </c>
      <c r="H2516" s="52">
        <f>H2515-G2516</f>
        <v/>
      </c>
      <c r="I2516" s="568" t="n"/>
      <c r="J2516" s="568" t="n"/>
      <c r="K2516" s="568" t="n"/>
      <c r="L2516" s="568" t="n"/>
    </row>
    <row r="2517">
      <c r="A2517" s="568" t="n">
        <v>45112</v>
      </c>
      <c r="B2517" s="392" t="n">
        <v>10278</v>
      </c>
      <c r="C2517" s="392" t="n">
        <v>98.34</v>
      </c>
      <c r="D2517" s="392" t="n"/>
      <c r="E2517" s="392" t="n"/>
      <c r="F2517" s="392" t="n"/>
      <c r="G2517" s="392" t="n">
        <v>30</v>
      </c>
      <c r="H2517" s="52">
        <f>H2516-G2517</f>
        <v/>
      </c>
      <c r="I2517" s="568" t="n"/>
      <c r="J2517" s="568" t="n"/>
      <c r="K2517" s="568" t="n"/>
      <c r="L2517" s="568" t="n"/>
    </row>
    <row r="2518">
      <c r="A2518" s="568" t="n">
        <v>45112</v>
      </c>
      <c r="B2518" s="392" t="n">
        <v>10280</v>
      </c>
      <c r="C2518" s="392" t="n">
        <v>97</v>
      </c>
      <c r="D2518" s="392" t="n"/>
      <c r="E2518" s="392" t="n"/>
      <c r="F2518" s="392" t="n"/>
      <c r="G2518" s="392" t="n">
        <v>20</v>
      </c>
      <c r="H2518" s="52">
        <f>H2517-G2518</f>
        <v/>
      </c>
      <c r="I2518" s="568" t="n"/>
      <c r="J2518" s="568" t="n"/>
      <c r="K2518" s="568" t="n"/>
      <c r="L2518" s="568" t="n"/>
    </row>
    <row r="2519">
      <c r="A2519" s="568" t="n">
        <v>45112</v>
      </c>
      <c r="B2519" s="392" t="n">
        <v>10282</v>
      </c>
      <c r="C2519" s="392" t="n">
        <v>98.34</v>
      </c>
      <c r="D2519" s="392" t="n"/>
      <c r="E2519" s="392" t="n"/>
      <c r="F2519" s="392" t="n"/>
      <c r="G2519" s="392" t="n">
        <v>42</v>
      </c>
      <c r="H2519" s="52">
        <f>H2518-G2519</f>
        <v/>
      </c>
      <c r="I2519" s="568" t="n"/>
      <c r="J2519" s="568" t="n"/>
      <c r="K2519" s="568" t="n"/>
      <c r="L2519" s="568" t="n"/>
    </row>
    <row r="2520">
      <c r="A2520" s="568" t="n">
        <v>45113</v>
      </c>
      <c r="B2520" s="392" t="n">
        <v>10283</v>
      </c>
      <c r="C2520" s="392" t="n">
        <v>98</v>
      </c>
      <c r="D2520" s="392" t="n"/>
      <c r="E2520" s="392" t="n"/>
      <c r="F2520" s="392" t="n"/>
      <c r="G2520" s="392" t="n">
        <v>30</v>
      </c>
      <c r="H2520" s="52">
        <f>H2519-G2520</f>
        <v/>
      </c>
      <c r="I2520" s="568" t="n"/>
      <c r="J2520" s="568" t="n"/>
      <c r="K2520" s="568" t="n"/>
      <c r="L2520" s="568" t="n"/>
    </row>
    <row r="2521">
      <c r="A2521" s="568" t="n">
        <v>45117</v>
      </c>
      <c r="B2521" s="392" t="n">
        <v>10291</v>
      </c>
      <c r="C2521" s="392" t="n">
        <v>97</v>
      </c>
      <c r="D2521" s="392" t="n"/>
      <c r="E2521" s="392" t="n"/>
      <c r="F2521" s="392" t="n"/>
      <c r="G2521" s="392" t="n">
        <v>20</v>
      </c>
      <c r="H2521" s="52">
        <f>H2520-G2521</f>
        <v/>
      </c>
      <c r="I2521" s="568" t="n"/>
      <c r="J2521" s="568" t="n"/>
      <c r="K2521" s="568" t="n"/>
      <c r="L2521" s="568" t="n"/>
    </row>
    <row r="2522">
      <c r="A2522" s="568" t="n">
        <v>45118</v>
      </c>
      <c r="B2522" s="392" t="n">
        <v>10293</v>
      </c>
      <c r="C2522" s="392" t="n">
        <v>97</v>
      </c>
      <c r="D2522" s="392" t="n"/>
      <c r="E2522" s="392" t="n"/>
      <c r="F2522" s="392" t="n"/>
      <c r="G2522" s="392" t="n">
        <v>10</v>
      </c>
      <c r="H2522" s="52">
        <f>H2521-G2522</f>
        <v/>
      </c>
      <c r="I2522" s="568" t="n"/>
      <c r="J2522" s="568" t="n"/>
      <c r="K2522" s="568" t="n"/>
      <c r="L2522" s="568" t="n"/>
    </row>
    <row r="2523">
      <c r="A2523" s="568" t="n">
        <v>45118</v>
      </c>
      <c r="B2523" s="392" t="n">
        <v>10294</v>
      </c>
      <c r="C2523" s="392" t="n">
        <v>97</v>
      </c>
      <c r="D2523" s="392" t="n"/>
      <c r="E2523" s="392" t="n"/>
      <c r="F2523" s="392" t="n"/>
      <c r="G2523" s="392" t="n">
        <v>10</v>
      </c>
      <c r="H2523" s="52">
        <f>H2522-G2523</f>
        <v/>
      </c>
      <c r="I2523" s="568" t="n"/>
      <c r="J2523" s="568" t="n"/>
      <c r="K2523" s="568" t="n"/>
      <c r="L2523" s="568" t="n"/>
    </row>
    <row r="2524">
      <c r="A2524" s="568" t="n">
        <v>45118</v>
      </c>
      <c r="B2524" s="392" t="n">
        <v>10295</v>
      </c>
      <c r="C2524" s="392" t="n">
        <v>98.09999999999999</v>
      </c>
      <c r="D2524" s="392" t="n"/>
      <c r="E2524" s="392" t="n"/>
      <c r="F2524" s="392" t="n"/>
      <c r="G2524" s="392" t="n">
        <v>32</v>
      </c>
      <c r="H2524" s="52">
        <f>H2523-G2524</f>
        <v/>
      </c>
      <c r="I2524" s="568" t="n"/>
      <c r="J2524" s="568" t="n"/>
      <c r="K2524" s="568" t="n"/>
      <c r="L2524" s="568" t="n"/>
    </row>
    <row r="2525">
      <c r="A2525" s="568" t="n">
        <v>45124</v>
      </c>
      <c r="B2525" s="392" t="n">
        <v>10301</v>
      </c>
      <c r="C2525" s="392" t="n">
        <v>98.59999999999999</v>
      </c>
      <c r="D2525" s="392" t="n"/>
      <c r="E2525" s="392" t="n"/>
      <c r="F2525" s="392" t="n"/>
      <c r="G2525" s="392" t="n">
        <v>50</v>
      </c>
      <c r="H2525" s="52">
        <f>H2524-G2525</f>
        <v/>
      </c>
      <c r="I2525" s="568" t="n"/>
      <c r="J2525" s="568" t="n"/>
      <c r="K2525" s="568" t="n"/>
      <c r="L2525" s="568" t="n"/>
    </row>
    <row r="2526">
      <c r="A2526" s="568" t="n">
        <v>45124</v>
      </c>
      <c r="B2526" s="392" t="n">
        <v>10305</v>
      </c>
      <c r="C2526" s="392" t="n">
        <v>99.28</v>
      </c>
      <c r="D2526" s="392" t="n"/>
      <c r="E2526" s="392" t="n"/>
      <c r="F2526" s="392" t="n"/>
      <c r="G2526" s="392" t="n">
        <v>35</v>
      </c>
      <c r="H2526" s="52">
        <f>H2525-G2526</f>
        <v/>
      </c>
      <c r="I2526" s="568" t="n"/>
      <c r="J2526" s="568" t="n"/>
      <c r="K2526" s="568" t="n"/>
      <c r="L2526" s="568" t="n"/>
    </row>
    <row r="2527">
      <c r="A2527" s="568" t="n">
        <v>45124</v>
      </c>
      <c r="B2527" s="392" t="n">
        <v>10306</v>
      </c>
      <c r="C2527" s="392" t="n">
        <v>97</v>
      </c>
      <c r="D2527" s="392" t="n"/>
      <c r="E2527" s="392" t="n"/>
      <c r="F2527" s="392" t="n"/>
      <c r="G2527" s="392" t="n">
        <v>20</v>
      </c>
      <c r="H2527" s="52">
        <f>H2526-G2527</f>
        <v/>
      </c>
      <c r="I2527" s="568" t="n"/>
      <c r="J2527" s="568" t="n"/>
      <c r="K2527" s="568" t="n"/>
      <c r="L2527" s="568" t="n"/>
    </row>
    <row r="2528">
      <c r="A2528" s="568" t="n">
        <v>45124</v>
      </c>
      <c r="B2528" s="392" t="n">
        <v>10307</v>
      </c>
      <c r="C2528" s="392" t="n">
        <v>97</v>
      </c>
      <c r="D2528" s="392" t="n"/>
      <c r="E2528" s="392" t="n"/>
      <c r="F2528" s="392" t="n"/>
      <c r="G2528" s="392" t="n">
        <v>10</v>
      </c>
      <c r="H2528" s="52">
        <f>H2527-G2528</f>
        <v/>
      </c>
      <c r="I2528" s="568" t="n"/>
      <c r="J2528" s="568" t="n"/>
      <c r="K2528" s="568" t="n"/>
      <c r="L2528" s="568" t="n"/>
    </row>
    <row r="2529">
      <c r="A2529" s="568" t="n">
        <v>45125</v>
      </c>
      <c r="B2529" s="392" t="n">
        <v>10309</v>
      </c>
      <c r="C2529" s="392" t="n">
        <v>99.40000000000001</v>
      </c>
      <c r="D2529" s="392" t="n"/>
      <c r="E2529" s="392" t="n"/>
      <c r="F2529" s="392" t="n"/>
      <c r="G2529" s="392" t="n">
        <v>50</v>
      </c>
      <c r="H2529" s="52">
        <f>H2528-G2529</f>
        <v/>
      </c>
      <c r="I2529" s="568" t="n"/>
      <c r="J2529" s="568" t="n"/>
      <c r="K2529" s="568" t="n"/>
      <c r="L2529" s="568" t="n"/>
    </row>
    <row r="2530">
      <c r="A2530" s="568" t="n">
        <v>45125</v>
      </c>
      <c r="B2530" s="392" t="n">
        <v>10311</v>
      </c>
      <c r="C2530" s="392" t="n">
        <v>98.33</v>
      </c>
      <c r="D2530" s="392" t="n"/>
      <c r="E2530" s="392" t="n"/>
      <c r="F2530" s="392" t="n"/>
      <c r="G2530" s="392" t="n">
        <v>42</v>
      </c>
      <c r="H2530" s="52">
        <f>H2529-G2530</f>
        <v/>
      </c>
      <c r="I2530" s="568" t="n"/>
      <c r="J2530" s="568" t="n"/>
      <c r="K2530" s="568" t="n"/>
      <c r="L2530" s="568" t="n"/>
    </row>
    <row r="2531">
      <c r="A2531" s="568" t="n">
        <v>45125</v>
      </c>
      <c r="B2531" s="392" t="n">
        <v>10312</v>
      </c>
      <c r="C2531" s="392" t="n">
        <v>97</v>
      </c>
      <c r="D2531" s="392" t="n"/>
      <c r="E2531" s="392" t="n"/>
      <c r="F2531" s="392" t="n"/>
      <c r="G2531" s="392" t="n">
        <v>20</v>
      </c>
      <c r="H2531" s="52">
        <f>H2530-G2531</f>
        <v/>
      </c>
      <c r="I2531" s="568" t="n"/>
      <c r="J2531" s="568" t="n"/>
      <c r="K2531" s="568" t="n"/>
      <c r="L2531" s="568" t="n"/>
    </row>
    <row r="2532">
      <c r="A2532" s="568" t="n">
        <v>45125</v>
      </c>
      <c r="B2532" s="392" t="n">
        <v>10314</v>
      </c>
      <c r="C2532" s="392" t="n">
        <v>97</v>
      </c>
      <c r="D2532" s="392" t="n"/>
      <c r="E2532" s="392" t="n"/>
      <c r="F2532" s="392" t="n"/>
      <c r="G2532" s="392" t="n">
        <v>30</v>
      </c>
      <c r="H2532" s="52">
        <f>H2531-G2532</f>
        <v/>
      </c>
      <c r="I2532" s="568" t="n"/>
      <c r="J2532" s="568" t="n"/>
      <c r="K2532" s="568" t="n"/>
      <c r="L2532" s="568" t="n"/>
    </row>
    <row r="2533">
      <c r="A2533" s="568" t="n">
        <v>45131</v>
      </c>
      <c r="B2533" s="392" t="n">
        <v>10321</v>
      </c>
      <c r="C2533" s="392" t="n">
        <v>97</v>
      </c>
      <c r="D2533" s="392" t="n"/>
      <c r="E2533" s="392" t="n"/>
      <c r="F2533" s="392" t="n"/>
      <c r="G2533" s="392" t="n">
        <v>30</v>
      </c>
      <c r="H2533" s="52">
        <f>H2532-G2533</f>
        <v/>
      </c>
      <c r="I2533" s="568" t="n"/>
      <c r="J2533" s="568" t="n"/>
      <c r="K2533" s="568" t="n"/>
      <c r="L2533" s="568" t="n"/>
    </row>
    <row r="2534">
      <c r="A2534" s="568" t="n">
        <v>45131</v>
      </c>
      <c r="B2534" s="392" t="n">
        <v>10322</v>
      </c>
      <c r="C2534" s="392" t="n">
        <v>97</v>
      </c>
      <c r="D2534" s="392" t="n"/>
      <c r="E2534" s="392" t="n"/>
      <c r="F2534" s="392" t="n"/>
      <c r="G2534" s="392" t="n">
        <v>20</v>
      </c>
      <c r="H2534" s="52">
        <f>H2533-G2534</f>
        <v/>
      </c>
      <c r="I2534" s="568" t="n"/>
      <c r="J2534" s="568" t="n"/>
      <c r="K2534" s="568" t="n"/>
      <c r="L2534" s="568" t="n"/>
    </row>
    <row r="2535">
      <c r="A2535" s="568" t="n">
        <v>45131</v>
      </c>
      <c r="B2535" s="392" t="n">
        <v>10324</v>
      </c>
      <c r="C2535" s="392" t="n">
        <v>97</v>
      </c>
      <c r="D2535" s="392" t="n"/>
      <c r="E2535" s="392" t="n"/>
      <c r="F2535" s="392" t="n"/>
      <c r="G2535" s="392" t="n">
        <v>20</v>
      </c>
      <c r="H2535" s="52">
        <f>H2534-G2535</f>
        <v/>
      </c>
      <c r="I2535" s="568" t="n"/>
      <c r="J2535" s="568" t="n"/>
      <c r="K2535" s="568" t="n"/>
      <c r="L2535" s="568" t="n"/>
    </row>
    <row r="2536">
      <c r="A2536" s="568" t="n">
        <v>45131</v>
      </c>
      <c r="B2536" s="392" t="n">
        <v>10326</v>
      </c>
      <c r="C2536" s="392" t="n">
        <v>97</v>
      </c>
      <c r="D2536" s="392" t="n"/>
      <c r="E2536" s="392" t="n"/>
      <c r="F2536" s="392" t="n"/>
      <c r="G2536" s="392" t="n">
        <v>30</v>
      </c>
      <c r="H2536" s="52">
        <f>H2535-G2536</f>
        <v/>
      </c>
      <c r="I2536" s="568" t="n"/>
      <c r="J2536" s="568" t="n"/>
      <c r="K2536" s="568" t="n"/>
      <c r="L2536" s="568" t="n"/>
    </row>
    <row r="2537">
      <c r="A2537" s="304" t="n">
        <v>45132</v>
      </c>
      <c r="B2537" s="401" t="n">
        <v>879</v>
      </c>
      <c r="C2537" s="401" t="n">
        <v>68</v>
      </c>
      <c r="D2537" s="401" t="n"/>
      <c r="E2537" s="401" t="n"/>
      <c r="F2537" s="401" t="n">
        <v>300</v>
      </c>
      <c r="G2537" s="401" t="n"/>
      <c r="H2537" s="277" t="n">
        <v>902</v>
      </c>
      <c r="I2537" s="568" t="n"/>
      <c r="J2537" s="568" t="n"/>
      <c r="K2537" s="568" t="n"/>
      <c r="L2537" s="568" t="n"/>
    </row>
    <row r="2538">
      <c r="A2538" s="568" t="n">
        <v>45132</v>
      </c>
      <c r="B2538" s="392" t="n">
        <v>10327</v>
      </c>
      <c r="C2538" s="392" t="n">
        <v>97</v>
      </c>
      <c r="D2538" s="392" t="n"/>
      <c r="E2538" s="392" t="n"/>
      <c r="F2538" s="392" t="n"/>
      <c r="G2538" s="392" t="n">
        <v>30</v>
      </c>
      <c r="H2538" s="52">
        <f>H2537-G2538</f>
        <v/>
      </c>
      <c r="I2538" s="568" t="n"/>
      <c r="J2538" s="568" t="n"/>
      <c r="K2538" s="568" t="n"/>
      <c r="L2538" s="568" t="n"/>
    </row>
    <row r="2539">
      <c r="A2539" s="568" t="n">
        <v>45134</v>
      </c>
      <c r="B2539" s="392" t="n">
        <v>10328</v>
      </c>
      <c r="C2539" s="392" t="n">
        <v>97</v>
      </c>
      <c r="D2539" s="392" t="n"/>
      <c r="E2539" s="392" t="n"/>
      <c r="F2539" s="392" t="n"/>
      <c r="G2539" s="392" t="n">
        <v>15</v>
      </c>
      <c r="H2539" s="52">
        <f>H2538-G2539</f>
        <v/>
      </c>
      <c r="I2539" s="568" t="n"/>
      <c r="J2539" s="568" t="n"/>
      <c r="K2539" s="568" t="n"/>
      <c r="L2539" s="568" t="n"/>
    </row>
    <row r="2540">
      <c r="A2540" s="568" t="n">
        <v>45134</v>
      </c>
      <c r="B2540" s="392" t="n">
        <v>10329</v>
      </c>
      <c r="C2540" s="392" t="n">
        <v>85</v>
      </c>
      <c r="D2540" s="392" t="n"/>
      <c r="E2540" s="392" t="n"/>
      <c r="F2540" s="392" t="n"/>
      <c r="G2540" s="392" t="n">
        <v>10</v>
      </c>
      <c r="H2540" s="52">
        <f>H2539-G2540</f>
        <v/>
      </c>
      <c r="I2540" s="568" t="n"/>
      <c r="J2540" s="568" t="n"/>
      <c r="K2540" s="568" t="n"/>
      <c r="L2540" s="568" t="n"/>
    </row>
    <row r="2541">
      <c r="A2541" s="568" t="n">
        <v>45134</v>
      </c>
      <c r="B2541" s="392" t="n">
        <v>10332</v>
      </c>
      <c r="C2541" s="392" t="n">
        <v>98.48</v>
      </c>
      <c r="D2541" s="392" t="n"/>
      <c r="E2541" s="392" t="n"/>
      <c r="F2541" s="392" t="n"/>
      <c r="G2541" s="392" t="n">
        <v>23</v>
      </c>
      <c r="H2541" s="52">
        <f>H2540-G2541</f>
        <v/>
      </c>
      <c r="I2541" s="568" t="n"/>
      <c r="J2541" s="568" t="n"/>
      <c r="K2541" s="568" t="n"/>
      <c r="L2541" s="568" t="n"/>
    </row>
    <row r="2542">
      <c r="A2542" s="568" t="n">
        <v>45134</v>
      </c>
      <c r="B2542" s="392" t="n">
        <v>10333</v>
      </c>
      <c r="C2542" s="392" t="n">
        <v>85</v>
      </c>
      <c r="D2542" s="392" t="n"/>
      <c r="E2542" s="392" t="n"/>
      <c r="F2542" s="392" t="n"/>
      <c r="G2542" s="392" t="n">
        <v>10</v>
      </c>
      <c r="H2542" s="52">
        <f>H2541-G2542</f>
        <v/>
      </c>
      <c r="I2542" s="568" t="n"/>
      <c r="J2542" s="568" t="n"/>
      <c r="K2542" s="568" t="n"/>
      <c r="L2542" s="568" t="n"/>
    </row>
    <row r="2543">
      <c r="A2543" s="568" t="n">
        <v>45134</v>
      </c>
      <c r="B2543" s="392" t="n">
        <v>10334</v>
      </c>
      <c r="C2543" s="392" t="n">
        <v>96.59999999999999</v>
      </c>
      <c r="D2543" s="392" t="n"/>
      <c r="E2543" s="392" t="n"/>
      <c r="F2543" s="392" t="n"/>
      <c r="G2543" s="392" t="n">
        <v>15</v>
      </c>
      <c r="H2543" s="52">
        <f>H2542-G2543</f>
        <v/>
      </c>
      <c r="I2543" s="568" t="n"/>
      <c r="J2543" s="568" t="n"/>
      <c r="K2543" s="568" t="n"/>
      <c r="L2543" s="568" t="n"/>
    </row>
    <row r="2544">
      <c r="A2544" s="568" t="n">
        <v>45134</v>
      </c>
      <c r="B2544" s="392" t="n">
        <v>10337</v>
      </c>
      <c r="C2544" s="392" t="n">
        <v>97</v>
      </c>
      <c r="D2544" s="392" t="n"/>
      <c r="E2544" s="392" t="n"/>
      <c r="F2544" s="392" t="n"/>
      <c r="G2544" s="392" t="n">
        <v>20</v>
      </c>
      <c r="H2544" s="52">
        <f>H2543-G2544</f>
        <v/>
      </c>
      <c r="I2544" s="568" t="n"/>
      <c r="J2544" s="568" t="n"/>
      <c r="K2544" s="568" t="n"/>
      <c r="L2544" s="568" t="n"/>
    </row>
    <row r="2545">
      <c r="A2545" s="568" t="n">
        <v>45134</v>
      </c>
      <c r="B2545" s="392" t="n">
        <v>10338</v>
      </c>
      <c r="C2545" s="392" t="n">
        <v>100.79</v>
      </c>
      <c r="D2545" s="392" t="n"/>
      <c r="E2545" s="392" t="n"/>
      <c r="F2545" s="392" t="n"/>
      <c r="G2545" s="392" t="n">
        <v>38</v>
      </c>
      <c r="H2545" s="52">
        <f>H2544-G2545</f>
        <v/>
      </c>
      <c r="I2545" s="568" t="n"/>
      <c r="J2545" s="568" t="n"/>
      <c r="K2545" s="568" t="n"/>
      <c r="L2545" s="568" t="n"/>
    </row>
    <row r="2546">
      <c r="A2546" s="568" t="n">
        <v>45134</v>
      </c>
      <c r="B2546" s="392" t="n">
        <v>10339</v>
      </c>
      <c r="C2546" s="392" t="n">
        <v>98.34</v>
      </c>
      <c r="D2546" s="392" t="n"/>
      <c r="E2546" s="392" t="n"/>
      <c r="F2546" s="392" t="n"/>
      <c r="G2546" s="392" t="n">
        <v>42</v>
      </c>
      <c r="H2546" s="52">
        <f>H2545-G2546</f>
        <v/>
      </c>
      <c r="I2546" s="568" t="n"/>
      <c r="J2546" s="568" t="n"/>
      <c r="K2546" s="568" t="n"/>
      <c r="L2546" s="568" t="n"/>
    </row>
    <row r="2547">
      <c r="A2547" s="304" t="n">
        <v>45135</v>
      </c>
      <c r="B2547" s="401" t="n">
        <v>222750</v>
      </c>
      <c r="C2547" s="401" t="n">
        <v>77.5</v>
      </c>
      <c r="D2547" s="401" t="n"/>
      <c r="E2547" s="401" t="n"/>
      <c r="F2547" s="401" t="n">
        <v>780</v>
      </c>
      <c r="G2547" s="401" t="n"/>
      <c r="H2547" s="277" t="n">
        <v>1479</v>
      </c>
      <c r="I2547" s="568" t="n"/>
      <c r="J2547" s="568" t="n"/>
      <c r="K2547" s="568" t="n"/>
      <c r="L2547" s="568" t="n"/>
    </row>
    <row r="2548">
      <c r="A2548" s="414" t="n"/>
      <c r="H2548" s="171" t="n"/>
      <c r="I2548" s="414" t="n"/>
      <c r="J2548" s="414" t="n"/>
      <c r="K2548" s="414" t="n"/>
      <c r="L2548" s="414" t="n"/>
    </row>
    <row r="2549" ht="15.75" customHeight="1" s="436" thickBot="1">
      <c r="A2549" s="414" t="n"/>
      <c r="H2549" s="171" t="n"/>
      <c r="I2549" s="414" t="n"/>
      <c r="J2549" s="414" t="n"/>
      <c r="K2549" s="414" t="n"/>
      <c r="L2549" s="414" t="n"/>
    </row>
    <row r="2550" ht="21.75" customHeight="1" s="436" thickBot="1">
      <c r="A2550" s="757" t="inlineStr">
        <is>
          <t>Agosto</t>
        </is>
      </c>
      <c r="B2550" s="697" t="n"/>
      <c r="C2550" s="697" t="n"/>
      <c r="D2550" s="697" t="n"/>
      <c r="E2550" s="697" t="n"/>
      <c r="F2550" s="697" t="n"/>
      <c r="G2550" s="697" t="n"/>
      <c r="H2550" s="697" t="n"/>
      <c r="I2550" s="697" t="n"/>
      <c r="J2550" s="697" t="n"/>
      <c r="K2550" s="697" t="n"/>
      <c r="L2550" s="698" t="n"/>
    </row>
    <row r="2551" ht="21.75" customHeight="1" s="436" thickBot="1">
      <c r="A2551" s="699" t="inlineStr">
        <is>
          <t xml:space="preserve">021 - DENISE FURTADO DE SOUZA - ME </t>
        </is>
      </c>
      <c r="B2551" s="697" t="n"/>
      <c r="C2551" s="697" t="n"/>
      <c r="D2551" s="697" t="n"/>
      <c r="E2551" s="697" t="n"/>
      <c r="F2551" s="697" t="n"/>
      <c r="G2551" s="697" t="n"/>
      <c r="H2551" s="697" t="n"/>
      <c r="I2551" s="697" t="n"/>
      <c r="J2551" s="697" t="n"/>
      <c r="K2551" s="697" t="n"/>
      <c r="L2551" s="698" t="n"/>
    </row>
    <row r="2552" ht="24" customHeight="1" s="436" thickBot="1">
      <c r="A2552" s="759" t="inlineStr">
        <is>
          <t xml:space="preserve">  PRÉ MISTURA - 25 KG</t>
        </is>
      </c>
      <c r="B2552" s="697" t="n"/>
      <c r="C2552" s="697" t="n"/>
      <c r="D2552" s="697" t="n"/>
      <c r="E2552" s="697" t="n"/>
      <c r="F2552" s="697" t="n"/>
      <c r="G2552" s="697" t="n"/>
      <c r="H2552" s="697" t="n"/>
      <c r="I2552" s="697" t="n"/>
      <c r="J2552" s="697" t="n"/>
      <c r="K2552" s="697" t="n"/>
      <c r="L2552" s="698" t="n"/>
    </row>
    <row r="2553">
      <c r="A2553" s="3" t="inlineStr">
        <is>
          <t>DATA</t>
        </is>
      </c>
      <c r="B2553" s="3" t="inlineStr">
        <is>
          <t>N.F.</t>
        </is>
      </c>
      <c r="C2553" s="3" t="inlineStr">
        <is>
          <t>TIPO</t>
        </is>
      </c>
      <c r="D2553" s="3" t="inlineStr">
        <is>
          <t>PREÇO UNITÁRIO</t>
        </is>
      </c>
      <c r="E2553" s="736" t="n"/>
      <c r="F2553" s="3" t="inlineStr">
        <is>
          <t>QUANTIDADE / KG</t>
        </is>
      </c>
      <c r="G2553" s="737" t="n"/>
      <c r="H2553" s="736" t="n"/>
      <c r="I2553" s="631" t="inlineStr">
        <is>
          <t>PREÇO</t>
        </is>
      </c>
      <c r="J2553" s="631" t="inlineStr">
        <is>
          <t>VALORES</t>
        </is>
      </c>
      <c r="K2553" s="737" t="n"/>
      <c r="L2553" s="736" t="n"/>
    </row>
    <row r="2554" ht="15.75" customHeight="1" s="436" thickBot="1">
      <c r="A2554" s="704" t="n"/>
      <c r="B2554" s="704" t="n"/>
      <c r="C2554" s="704" t="n"/>
      <c r="D2554" s="703" t="n"/>
      <c r="E2554" s="701" t="n"/>
      <c r="F2554" s="705" t="n"/>
      <c r="G2554" s="706" t="n"/>
      <c r="H2554" s="707" t="n"/>
      <c r="I2554" s="704" t="n"/>
      <c r="J2554" s="703" t="n"/>
      <c r="L2554" s="701" t="n"/>
    </row>
    <row r="2555" ht="15.75" customHeight="1" s="436" thickBot="1">
      <c r="A2555" s="704" t="n"/>
      <c r="B2555" s="704" t="n"/>
      <c r="C2555" s="704" t="n"/>
      <c r="D2555" s="705" t="n"/>
      <c r="E2555" s="707" t="n"/>
      <c r="F2555" s="3" t="inlineStr">
        <is>
          <t>ENTRADA</t>
        </is>
      </c>
      <c r="G2555" s="3" t="inlineStr">
        <is>
          <t>SAÍDA</t>
        </is>
      </c>
      <c r="H2555" s="640" t="n"/>
      <c r="I2555" s="633" t="inlineStr">
        <is>
          <t>MÉDIO</t>
        </is>
      </c>
      <c r="J2555" s="739" t="inlineStr">
        <is>
          <t>SALDO EM 30/12/2017</t>
        </is>
      </c>
      <c r="K2555" s="707" t="n"/>
      <c r="L2555" s="17" t="n"/>
    </row>
    <row r="2556" ht="15.75" customHeight="1" s="436" thickBot="1">
      <c r="A2556" s="695" t="n"/>
      <c r="B2556" s="695" t="n"/>
      <c r="C2556" s="695" t="n"/>
      <c r="D2556" s="3" t="inlineStr">
        <is>
          <t>C/ICMS</t>
        </is>
      </c>
      <c r="E2556" s="3" t="inlineStr">
        <is>
          <t>S/ICMS</t>
        </is>
      </c>
      <c r="F2556" s="695" t="n"/>
      <c r="G2556" s="695" t="n"/>
      <c r="H2556" s="361" t="inlineStr">
        <is>
          <t>Saldo em 31/07/2022</t>
        </is>
      </c>
      <c r="I2556" s="695" t="n"/>
      <c r="J2556" s="645" t="inlineStr">
        <is>
          <t>ENTRADA</t>
        </is>
      </c>
      <c r="K2556" s="633" t="inlineStr">
        <is>
          <t>SAÍDA / CMV</t>
        </is>
      </c>
      <c r="L2556" s="633" t="inlineStr">
        <is>
          <t>SALDO</t>
        </is>
      </c>
    </row>
    <row r="2557">
      <c r="A2557" s="568" t="n"/>
      <c r="B2557" s="392" t="n"/>
      <c r="C2557" s="392" t="n"/>
      <c r="D2557" s="392" t="n"/>
      <c r="E2557" s="392" t="n"/>
      <c r="F2557" s="392" t="n"/>
      <c r="G2557" s="392" t="n"/>
      <c r="H2557" s="52" t="n">
        <v>1479</v>
      </c>
      <c r="I2557" s="568" t="n"/>
      <c r="J2557" s="568" t="n"/>
      <c r="K2557" s="568" t="n"/>
      <c r="L2557" s="568" t="n"/>
    </row>
    <row r="2558">
      <c r="A2558" s="568" t="n">
        <v>45139</v>
      </c>
      <c r="B2558" s="392" t="n">
        <v>10342</v>
      </c>
      <c r="C2558" s="392" t="n">
        <v>85</v>
      </c>
      <c r="D2558" s="392" t="n"/>
      <c r="E2558" s="392" t="n"/>
      <c r="F2558" s="392" t="n"/>
      <c r="G2558" s="392" t="n">
        <v>20</v>
      </c>
      <c r="H2558" s="52">
        <f>H2557-G2558</f>
        <v/>
      </c>
      <c r="I2558" s="568" t="n"/>
      <c r="J2558" s="568" t="n"/>
      <c r="K2558" s="568" t="n"/>
      <c r="L2558" s="568" t="n"/>
    </row>
    <row r="2559">
      <c r="A2559" s="568" t="n">
        <v>45139</v>
      </c>
      <c r="B2559" s="392" t="n">
        <v>10343</v>
      </c>
      <c r="C2559" s="392" t="n">
        <v>95</v>
      </c>
      <c r="D2559" s="392" t="n"/>
      <c r="E2559" s="392" t="n"/>
      <c r="F2559" s="392" t="n"/>
      <c r="G2559" s="392" t="n">
        <v>20</v>
      </c>
      <c r="H2559" s="52">
        <f>H2558-G2559</f>
        <v/>
      </c>
      <c r="I2559" s="568" t="n"/>
      <c r="J2559" s="568" t="n"/>
      <c r="K2559" s="568" t="n"/>
      <c r="L2559" s="568" t="n"/>
    </row>
    <row r="2560">
      <c r="A2560" s="568" t="n">
        <v>45139</v>
      </c>
      <c r="B2560" s="392" t="n">
        <v>10345</v>
      </c>
      <c r="C2560" s="392" t="n">
        <v>95</v>
      </c>
      <c r="D2560" s="392" t="n"/>
      <c r="E2560" s="392" t="n"/>
      <c r="F2560" s="392" t="n"/>
      <c r="G2560" s="392" t="n">
        <v>20</v>
      </c>
      <c r="H2560" s="52">
        <f>H2559-G2560</f>
        <v/>
      </c>
      <c r="I2560" s="568" t="n"/>
      <c r="J2560" s="568" t="n"/>
      <c r="K2560" s="568" t="n"/>
      <c r="L2560" s="568" t="n"/>
    </row>
    <row r="2561">
      <c r="A2561" s="568" t="n">
        <v>45139</v>
      </c>
      <c r="B2561" s="392" t="n">
        <v>10349</v>
      </c>
      <c r="C2561" s="392" t="n">
        <v>95</v>
      </c>
      <c r="D2561" s="392" t="n"/>
      <c r="E2561" s="392" t="n"/>
      <c r="F2561" s="392" t="n"/>
      <c r="G2561" s="392" t="n">
        <v>15</v>
      </c>
      <c r="H2561" s="52">
        <f>H2560-G2561</f>
        <v/>
      </c>
      <c r="I2561" s="568" t="n"/>
      <c r="J2561" s="568" t="n"/>
      <c r="K2561" s="568" t="n"/>
      <c r="L2561" s="568" t="n"/>
    </row>
    <row r="2562">
      <c r="A2562" s="568" t="n">
        <v>45139</v>
      </c>
      <c r="B2562" s="392" t="n">
        <v>10350</v>
      </c>
      <c r="C2562" s="392" t="n">
        <v>97.67</v>
      </c>
      <c r="D2562" s="392" t="n"/>
      <c r="E2562" s="392" t="n"/>
      <c r="F2562" s="392" t="n"/>
      <c r="G2562" s="392" t="n">
        <v>30</v>
      </c>
      <c r="H2562" s="52">
        <f>H2561-G2562</f>
        <v/>
      </c>
      <c r="I2562" s="568" t="n"/>
      <c r="J2562" s="568" t="n"/>
      <c r="K2562" s="568" t="n"/>
      <c r="L2562" s="568" t="n"/>
    </row>
    <row r="2563">
      <c r="A2563" s="568" t="n">
        <v>45140</v>
      </c>
      <c r="B2563" s="392" t="n">
        <v>10353</v>
      </c>
      <c r="C2563" s="392" t="n">
        <v>95</v>
      </c>
      <c r="D2563" s="392" t="n"/>
      <c r="E2563" s="392" t="n"/>
      <c r="F2563" s="392" t="n"/>
      <c r="G2563" s="392" t="n">
        <v>15</v>
      </c>
      <c r="H2563" s="52">
        <f>H2562-G2563</f>
        <v/>
      </c>
      <c r="I2563" s="568" t="n"/>
      <c r="J2563" s="568" t="n"/>
      <c r="K2563" s="568" t="n"/>
      <c r="L2563" s="568" t="n"/>
    </row>
    <row r="2564">
      <c r="A2564" s="568" t="n">
        <v>45140</v>
      </c>
      <c r="B2564" s="392" t="n">
        <v>10355</v>
      </c>
      <c r="C2564" s="392" t="n">
        <v>95</v>
      </c>
      <c r="D2564" s="392" t="n"/>
      <c r="E2564" s="392" t="n"/>
      <c r="F2564" s="392" t="n"/>
      <c r="G2564" s="392" t="n">
        <v>10</v>
      </c>
      <c r="H2564" s="52">
        <f>H2563-G2564</f>
        <v/>
      </c>
      <c r="I2564" s="568" t="n"/>
      <c r="J2564" s="568" t="n"/>
      <c r="K2564" s="568" t="n"/>
      <c r="L2564" s="568" t="n"/>
    </row>
    <row r="2565">
      <c r="A2565" s="568" t="n">
        <v>45140</v>
      </c>
      <c r="B2565" s="392" t="n">
        <v>10356</v>
      </c>
      <c r="C2565" s="392" t="n">
        <v>96.59999999999999</v>
      </c>
      <c r="D2565" s="392" t="n"/>
      <c r="E2565" s="392" t="n"/>
      <c r="F2565" s="392" t="n"/>
      <c r="G2565" s="392" t="n">
        <v>50</v>
      </c>
      <c r="H2565" s="52">
        <f>H2564-G2565</f>
        <v/>
      </c>
      <c r="I2565" s="568" t="n"/>
      <c r="J2565" s="568" t="n"/>
      <c r="K2565" s="568" t="n"/>
      <c r="L2565" s="568" t="n"/>
    </row>
    <row r="2566">
      <c r="A2566" s="568" t="n">
        <v>45140</v>
      </c>
      <c r="B2566" s="392" t="n">
        <v>10357</v>
      </c>
      <c r="C2566" s="392" t="n">
        <v>89.5</v>
      </c>
      <c r="D2566" s="392" t="n"/>
      <c r="E2566" s="392" t="n"/>
      <c r="F2566" s="392" t="n"/>
      <c r="G2566" s="392" t="n">
        <v>40</v>
      </c>
      <c r="H2566" s="52">
        <f>H2565-G2566</f>
        <v/>
      </c>
      <c r="I2566" s="568" t="n"/>
      <c r="J2566" s="568" t="n"/>
      <c r="K2566" s="568" t="n"/>
      <c r="L2566" s="568" t="n"/>
    </row>
    <row r="2567">
      <c r="A2567" s="568" t="n">
        <v>45140</v>
      </c>
      <c r="B2567" s="392" t="n">
        <v>10358</v>
      </c>
      <c r="C2567" s="392" t="n">
        <v>96.59999999999999</v>
      </c>
      <c r="D2567" s="392" t="n"/>
      <c r="E2567" s="392" t="n"/>
      <c r="F2567" s="392" t="n"/>
      <c r="G2567" s="392" t="n">
        <v>50</v>
      </c>
      <c r="H2567" s="52">
        <f>H2566-G2567</f>
        <v/>
      </c>
      <c r="I2567" s="568" t="n"/>
      <c r="J2567" s="568" t="n"/>
      <c r="K2567" s="568" t="n"/>
      <c r="L2567" s="568" t="n"/>
    </row>
    <row r="2568">
      <c r="A2568" s="568" t="n">
        <v>45142</v>
      </c>
      <c r="B2568" s="392" t="n">
        <v>10359</v>
      </c>
      <c r="C2568" s="392" t="n">
        <v>95</v>
      </c>
      <c r="D2568" s="392" t="n"/>
      <c r="E2568" s="392" t="n"/>
      <c r="F2568" s="392" t="n"/>
      <c r="G2568" s="392" t="n">
        <v>20</v>
      </c>
      <c r="H2568" s="52">
        <f>H2567-G2568</f>
        <v/>
      </c>
      <c r="I2568" s="568" t="n"/>
      <c r="J2568" s="568" t="n"/>
      <c r="K2568" s="568" t="n"/>
      <c r="L2568" s="568" t="n"/>
    </row>
    <row r="2569">
      <c r="A2569" s="568" t="n">
        <v>45145</v>
      </c>
      <c r="B2569" s="392" t="n">
        <v>10361</v>
      </c>
      <c r="C2569" s="392" t="n">
        <v>95.5</v>
      </c>
      <c r="D2569" s="392" t="n"/>
      <c r="E2569" s="392" t="n"/>
      <c r="F2569" s="392" t="n"/>
      <c r="G2569" s="392" t="n">
        <v>120</v>
      </c>
      <c r="H2569" s="52">
        <f>H2568-G2569</f>
        <v/>
      </c>
      <c r="I2569" s="568" t="n"/>
      <c r="J2569" s="568" t="n"/>
      <c r="K2569" s="568" t="n"/>
      <c r="L2569" s="568" t="n"/>
    </row>
    <row r="2570">
      <c r="A2570" s="568" t="n">
        <v>45145</v>
      </c>
      <c r="B2570" s="392" t="n">
        <v>10364</v>
      </c>
      <c r="C2570" s="392" t="n">
        <v>95</v>
      </c>
      <c r="D2570" s="392" t="n"/>
      <c r="E2570" s="392" t="n"/>
      <c r="F2570" s="392" t="n"/>
      <c r="G2570" s="392" t="n">
        <v>30</v>
      </c>
      <c r="H2570" s="52">
        <f>H2569-G2570</f>
        <v/>
      </c>
      <c r="I2570" s="568" t="n"/>
      <c r="J2570" s="568" t="n"/>
      <c r="K2570" s="568" t="n"/>
      <c r="L2570" s="568" t="n"/>
    </row>
    <row r="2571">
      <c r="A2571" s="568" t="n">
        <v>45145</v>
      </c>
      <c r="B2571" s="392" t="n">
        <v>10365</v>
      </c>
      <c r="C2571" s="392" t="n">
        <v>85</v>
      </c>
      <c r="D2571" s="392" t="n"/>
      <c r="E2571" s="392" t="n"/>
      <c r="F2571" s="392" t="n"/>
      <c r="G2571" s="392" t="n">
        <v>20</v>
      </c>
      <c r="H2571" s="52">
        <f>H2570-G2571</f>
        <v/>
      </c>
      <c r="I2571" s="568" t="n"/>
      <c r="J2571" s="568" t="n"/>
      <c r="K2571" s="568" t="n"/>
      <c r="L2571" s="568" t="n"/>
    </row>
    <row r="2572">
      <c r="A2572" s="568" t="n">
        <v>45145</v>
      </c>
      <c r="B2572" s="392" t="n">
        <v>10366</v>
      </c>
      <c r="C2572" s="392" t="n">
        <v>85</v>
      </c>
      <c r="D2572" s="392" t="n"/>
      <c r="E2572" s="392" t="n"/>
      <c r="F2572" s="392" t="n"/>
      <c r="G2572" s="392" t="n">
        <v>15</v>
      </c>
      <c r="H2572" s="52">
        <f>H2571-G2572</f>
        <v/>
      </c>
      <c r="I2572" s="568" t="n"/>
      <c r="J2572" s="568" t="n"/>
      <c r="K2572" s="568" t="n"/>
      <c r="L2572" s="568" t="n"/>
    </row>
    <row r="2573">
      <c r="A2573" s="568" t="n">
        <v>45145</v>
      </c>
      <c r="B2573" s="392" t="n">
        <v>10367</v>
      </c>
      <c r="C2573" s="392" t="n">
        <v>95</v>
      </c>
      <c r="D2573" s="392" t="n"/>
      <c r="E2573" s="392" t="n"/>
      <c r="F2573" s="392" t="n"/>
      <c r="G2573" s="392" t="n">
        <v>15</v>
      </c>
      <c r="H2573" s="52">
        <f>H2572-G2573</f>
        <v/>
      </c>
      <c r="I2573" s="568" t="n"/>
      <c r="J2573" s="568" t="n"/>
      <c r="K2573" s="568" t="n"/>
      <c r="L2573" s="568" t="n"/>
    </row>
    <row r="2574">
      <c r="A2574" s="568" t="n">
        <v>45145</v>
      </c>
      <c r="B2574" s="392" t="n">
        <v>10368</v>
      </c>
      <c r="C2574" s="392" t="n">
        <v>95</v>
      </c>
      <c r="D2574" s="392" t="n"/>
      <c r="E2574" s="392" t="n"/>
      <c r="F2574" s="392" t="n"/>
      <c r="G2574" s="392" t="n">
        <v>30</v>
      </c>
      <c r="H2574" s="52">
        <f>H2573-G2574</f>
        <v/>
      </c>
      <c r="I2574" s="568" t="n"/>
      <c r="J2574" s="568" t="n"/>
      <c r="K2574" s="568" t="n"/>
      <c r="L2574" s="568" t="n"/>
    </row>
    <row r="2575">
      <c r="A2575" s="568" t="n">
        <v>45147</v>
      </c>
      <c r="B2575" s="392" t="n">
        <v>10373</v>
      </c>
      <c r="C2575" s="392" t="n">
        <v>96.34</v>
      </c>
      <c r="D2575" s="392" t="n"/>
      <c r="E2575" s="392" t="n"/>
      <c r="F2575" s="392" t="n"/>
      <c r="G2575" s="392" t="n">
        <v>20</v>
      </c>
      <c r="H2575" s="52">
        <f>H2574-G2575</f>
        <v/>
      </c>
      <c r="I2575" s="568" t="n"/>
      <c r="J2575" s="568" t="n"/>
      <c r="K2575" s="568" t="n"/>
      <c r="L2575" s="568" t="n"/>
    </row>
    <row r="2576">
      <c r="A2576" s="304" t="n">
        <v>45153</v>
      </c>
      <c r="B2576" s="401" t="n">
        <v>224911</v>
      </c>
      <c r="C2576" s="401" t="n">
        <v>76.5</v>
      </c>
      <c r="D2576" s="401" t="n"/>
      <c r="E2576" s="401" t="n">
        <v>900</v>
      </c>
      <c r="F2576" s="401" t="n"/>
      <c r="G2576" s="401" t="n"/>
      <c r="H2576" s="277" t="n">
        <v>1839</v>
      </c>
      <c r="I2576" s="568" t="n"/>
      <c r="J2576" s="568" t="n"/>
      <c r="K2576" s="568" t="n"/>
      <c r="L2576" s="568" t="n"/>
    </row>
    <row r="2577">
      <c r="A2577" s="568" t="n">
        <v>45153</v>
      </c>
      <c r="B2577" s="392" t="n">
        <v>10378</v>
      </c>
      <c r="C2577" s="392" t="n">
        <v>95</v>
      </c>
      <c r="D2577" s="392" t="n"/>
      <c r="E2577" s="392" t="n"/>
      <c r="F2577" s="392" t="n"/>
      <c r="G2577" s="392" t="n">
        <v>30</v>
      </c>
      <c r="H2577" s="52">
        <f>H2576-G2577</f>
        <v/>
      </c>
      <c r="I2577" s="568" t="n"/>
      <c r="J2577" s="568" t="n"/>
      <c r="K2577" s="568" t="n"/>
      <c r="L2577" s="568" t="n"/>
    </row>
    <row r="2578">
      <c r="A2578" s="568" t="n">
        <v>45153</v>
      </c>
      <c r="B2578" s="392" t="n">
        <v>10384</v>
      </c>
      <c r="C2578" s="392" t="n">
        <v>96.34</v>
      </c>
      <c r="D2578" s="392" t="n"/>
      <c r="E2578" s="392" t="n"/>
      <c r="F2578" s="392" t="n"/>
      <c r="G2578" s="392" t="n">
        <v>30</v>
      </c>
      <c r="H2578" s="52">
        <f>H2577-G2578</f>
        <v/>
      </c>
      <c r="I2578" s="568" t="n"/>
      <c r="J2578" s="568" t="n"/>
      <c r="K2578" s="568" t="n"/>
      <c r="L2578" s="568" t="n"/>
    </row>
    <row r="2579">
      <c r="A2579" s="568" t="n">
        <v>45153</v>
      </c>
      <c r="B2579" s="392" t="n">
        <v>10386</v>
      </c>
      <c r="C2579" s="392" t="n">
        <v>96</v>
      </c>
      <c r="D2579" s="392" t="n"/>
      <c r="E2579" s="392" t="n"/>
      <c r="F2579" s="392" t="n"/>
      <c r="G2579" s="392" t="n">
        <v>20</v>
      </c>
      <c r="H2579" s="52">
        <f>H2578-G2579</f>
        <v/>
      </c>
      <c r="I2579" s="568" t="n"/>
      <c r="J2579" s="568" t="n"/>
      <c r="K2579" s="568" t="n"/>
      <c r="L2579" s="568" t="n"/>
    </row>
    <row r="2580">
      <c r="A2580" s="568" t="n">
        <v>45154</v>
      </c>
      <c r="B2580" s="392" t="n">
        <v>10391</v>
      </c>
      <c r="C2580" s="392" t="n">
        <v>96.34</v>
      </c>
      <c r="D2580" s="392" t="n"/>
      <c r="E2580" s="392" t="n"/>
      <c r="F2580" s="392" t="n"/>
      <c r="G2580" s="392" t="n">
        <v>42</v>
      </c>
      <c r="H2580" s="52">
        <f>H2579-G2580</f>
        <v/>
      </c>
      <c r="I2580" s="568" t="n"/>
      <c r="J2580" s="568" t="n"/>
      <c r="K2580" s="568" t="n"/>
      <c r="L2580" s="568" t="n"/>
    </row>
    <row r="2581">
      <c r="A2581" s="568" t="n">
        <v>45159</v>
      </c>
      <c r="B2581" s="392" t="n">
        <v>10397</v>
      </c>
      <c r="C2581" s="392" t="n">
        <v>95</v>
      </c>
      <c r="D2581" s="392" t="n"/>
      <c r="E2581" s="392" t="n"/>
      <c r="F2581" s="392" t="n"/>
      <c r="G2581" s="392" t="n">
        <v>20</v>
      </c>
      <c r="H2581" s="52">
        <f>H2580-G2581</f>
        <v/>
      </c>
      <c r="I2581" s="568" t="n"/>
      <c r="J2581" s="568" t="n"/>
      <c r="K2581" s="568" t="n"/>
      <c r="L2581" s="568" t="n"/>
    </row>
    <row r="2582">
      <c r="A2582" s="568" t="n">
        <v>45159</v>
      </c>
      <c r="B2582" s="392" t="n">
        <v>10398</v>
      </c>
      <c r="C2582" s="392" t="n">
        <v>85</v>
      </c>
      <c r="D2582" s="392" t="n"/>
      <c r="E2582" s="392" t="n"/>
      <c r="F2582" s="392" t="n"/>
      <c r="G2582" s="392" t="n">
        <v>20</v>
      </c>
      <c r="H2582" s="52">
        <f>H2581-G2582</f>
        <v/>
      </c>
      <c r="I2582" s="568" t="n"/>
      <c r="J2582" s="568" t="n"/>
      <c r="K2582" s="568" t="n"/>
      <c r="L2582" s="568" t="n"/>
    </row>
    <row r="2583">
      <c r="A2583" s="568" t="n">
        <v>45159</v>
      </c>
      <c r="B2583" s="392" t="n">
        <v>10400</v>
      </c>
      <c r="C2583" s="392" t="n">
        <v>95</v>
      </c>
      <c r="D2583" s="392" t="n"/>
      <c r="E2583" s="392" t="n"/>
      <c r="F2583" s="392" t="n"/>
      <c r="G2583" s="392" t="n">
        <v>15</v>
      </c>
      <c r="H2583" s="52">
        <f>H2582-G2583</f>
        <v/>
      </c>
      <c r="I2583" s="568" t="n"/>
      <c r="J2583" s="568" t="n"/>
      <c r="K2583" s="568" t="n"/>
      <c r="L2583" s="568" t="n"/>
    </row>
    <row r="2584">
      <c r="A2584" s="568" t="n">
        <v>45160</v>
      </c>
      <c r="B2584" s="392" t="n">
        <v>10402</v>
      </c>
      <c r="C2584" s="392" t="n">
        <v>85</v>
      </c>
      <c r="D2584" s="392" t="n"/>
      <c r="E2584" s="392" t="n"/>
      <c r="F2584" s="392" t="n"/>
      <c r="G2584" s="392" t="n">
        <v>10</v>
      </c>
      <c r="H2584" s="52">
        <f>H2583-G2584</f>
        <v/>
      </c>
      <c r="I2584" s="568" t="n"/>
      <c r="J2584" s="568" t="n"/>
      <c r="K2584" s="568" t="n"/>
      <c r="L2584" s="568" t="n"/>
    </row>
    <row r="2585">
      <c r="A2585" s="568" t="n">
        <v>45160</v>
      </c>
      <c r="B2585" s="392" t="n">
        <v>10403</v>
      </c>
      <c r="C2585" s="392" t="n">
        <v>96.90000000000001</v>
      </c>
      <c r="D2585" s="392" t="n"/>
      <c r="E2585" s="392" t="n"/>
      <c r="F2585" s="392" t="n"/>
      <c r="G2585" s="392" t="n">
        <v>26</v>
      </c>
      <c r="H2585" s="52">
        <f>H2584-G2585</f>
        <v/>
      </c>
      <c r="I2585" s="568" t="n"/>
      <c r="J2585" s="568" t="n"/>
      <c r="K2585" s="568" t="n"/>
      <c r="L2585" s="568" t="n"/>
    </row>
    <row r="2586">
      <c r="A2586" s="568" t="n">
        <v>45161</v>
      </c>
      <c r="B2586" s="392" t="n">
        <v>10410</v>
      </c>
      <c r="C2586" s="392" t="n">
        <v>85</v>
      </c>
      <c r="D2586" s="392" t="n"/>
      <c r="E2586" s="392" t="n"/>
      <c r="F2586" s="392" t="n"/>
      <c r="G2586" s="392" t="n">
        <v>20</v>
      </c>
      <c r="H2586" s="52">
        <f>H2585-G2586</f>
        <v/>
      </c>
      <c r="I2586" s="568" t="n"/>
      <c r="J2586" s="568" t="n"/>
      <c r="K2586" s="568" t="n"/>
      <c r="L2586" s="568" t="n"/>
    </row>
    <row r="2587">
      <c r="A2587" s="568" t="n">
        <v>45161</v>
      </c>
      <c r="B2587" s="392" t="n">
        <v>10411</v>
      </c>
      <c r="C2587" s="392" t="n">
        <v>95.84</v>
      </c>
      <c r="D2587" s="392" t="n"/>
      <c r="E2587" s="392" t="n"/>
      <c r="F2587" s="392" t="n"/>
      <c r="G2587" s="392" t="n">
        <v>42</v>
      </c>
      <c r="H2587" s="52">
        <f>H2586-G2587</f>
        <v/>
      </c>
      <c r="I2587" s="568" t="n"/>
      <c r="J2587" s="568" t="n"/>
      <c r="K2587" s="568" t="n"/>
      <c r="L2587" s="568" t="n"/>
    </row>
    <row r="2588">
      <c r="A2588" s="568" t="n">
        <v>45167</v>
      </c>
      <c r="B2588" s="392" t="n">
        <v>10415</v>
      </c>
      <c r="C2588" s="392" t="n">
        <v>95</v>
      </c>
      <c r="D2588" s="392" t="n"/>
      <c r="E2588" s="392" t="n"/>
      <c r="F2588" s="392" t="n"/>
      <c r="G2588" s="392" t="n">
        <v>15</v>
      </c>
      <c r="H2588" s="52">
        <f>H2587-G2588</f>
        <v/>
      </c>
      <c r="I2588" s="568" t="n"/>
      <c r="J2588" s="568" t="n"/>
      <c r="K2588" s="568" t="n"/>
      <c r="L2588" s="568" t="n"/>
    </row>
    <row r="2589">
      <c r="A2589" s="568" t="n">
        <v>45167</v>
      </c>
      <c r="B2589" s="392" t="n">
        <v>10416</v>
      </c>
      <c r="C2589" s="392" t="n">
        <v>94.5</v>
      </c>
      <c r="D2589" s="392" t="n"/>
      <c r="E2589" s="392" t="n"/>
      <c r="F2589" s="392" t="n"/>
      <c r="G2589" s="392" t="n">
        <v>20</v>
      </c>
      <c r="H2589" s="52">
        <f>H2588-G2589</f>
        <v/>
      </c>
      <c r="I2589" s="568" t="n"/>
      <c r="J2589" s="568" t="n"/>
      <c r="K2589" s="568" t="n"/>
      <c r="L2589" s="568" t="n"/>
    </row>
    <row r="2590">
      <c r="A2590" s="568" t="n">
        <v>45167</v>
      </c>
      <c r="B2590" s="392" t="n">
        <v>10418</v>
      </c>
      <c r="C2590" s="392" t="n">
        <v>96.75</v>
      </c>
      <c r="D2590" s="392" t="n"/>
      <c r="E2590" s="392" t="n"/>
      <c r="F2590" s="392" t="n"/>
      <c r="G2590" s="392" t="n">
        <v>32</v>
      </c>
      <c r="H2590" s="52">
        <f>H2589-G2590</f>
        <v/>
      </c>
      <c r="I2590" s="568" t="n"/>
      <c r="J2590" s="568" t="n"/>
      <c r="K2590" s="568" t="n"/>
      <c r="L2590" s="568" t="n"/>
    </row>
    <row r="2591">
      <c r="A2591" s="568" t="n">
        <v>45167</v>
      </c>
      <c r="B2591" s="392" t="n">
        <v>10419</v>
      </c>
      <c r="C2591" s="392" t="n">
        <v>85</v>
      </c>
      <c r="D2591" s="392" t="n"/>
      <c r="E2591" s="392" t="n"/>
      <c r="F2591" s="392" t="n"/>
      <c r="G2591" s="392" t="n">
        <v>10</v>
      </c>
      <c r="H2591" s="52">
        <f>H2590-G2591</f>
        <v/>
      </c>
      <c r="I2591" s="568" t="n"/>
      <c r="J2591" s="568" t="n"/>
      <c r="K2591" s="568" t="n"/>
      <c r="L2591" s="568" t="n"/>
    </row>
    <row r="2592">
      <c r="A2592" s="568" t="n">
        <v>45167</v>
      </c>
      <c r="B2592" s="392" t="n">
        <v>10420</v>
      </c>
      <c r="C2592" s="392" t="n">
        <v>95.5</v>
      </c>
      <c r="D2592" s="392" t="n"/>
      <c r="E2592" s="392" t="n"/>
      <c r="F2592" s="392" t="n"/>
      <c r="G2592" s="392" t="n">
        <v>50</v>
      </c>
      <c r="H2592" s="52">
        <f>H2591-G2592</f>
        <v/>
      </c>
      <c r="I2592" s="568" t="n"/>
      <c r="J2592" s="568" t="n"/>
      <c r="K2592" s="568" t="n"/>
      <c r="L2592" s="568" t="n"/>
    </row>
    <row r="2593">
      <c r="A2593" s="568" t="n">
        <v>45167</v>
      </c>
      <c r="B2593" s="392" t="n">
        <v>10422</v>
      </c>
      <c r="C2593" s="392" t="n">
        <v>92.5</v>
      </c>
      <c r="D2593" s="392" t="n"/>
      <c r="E2593" s="392" t="n"/>
      <c r="F2593" s="392" t="n"/>
      <c r="G2593" s="392" t="n">
        <v>20</v>
      </c>
      <c r="H2593" s="52">
        <f>H2592-G2593</f>
        <v/>
      </c>
      <c r="I2593" s="568" t="n"/>
      <c r="J2593" s="568" t="n"/>
      <c r="K2593" s="568" t="n"/>
      <c r="L2593" s="568" t="n"/>
    </row>
    <row r="2594">
      <c r="A2594" s="568" t="n">
        <v>45167</v>
      </c>
      <c r="B2594" s="392" t="n">
        <v>10423</v>
      </c>
      <c r="C2594" s="392" t="n">
        <v>96</v>
      </c>
      <c r="D2594" s="392" t="n"/>
      <c r="E2594" s="392" t="n"/>
      <c r="F2594" s="392" t="n"/>
      <c r="G2594" s="392" t="n">
        <v>40</v>
      </c>
      <c r="H2594" s="52">
        <f>H2593-G2594</f>
        <v/>
      </c>
      <c r="I2594" s="568" t="n"/>
      <c r="J2594" s="568" t="n"/>
      <c r="K2594" s="568" t="n"/>
      <c r="L2594" s="568" t="n"/>
    </row>
    <row r="2595">
      <c r="A2595" s="568" t="n">
        <v>45167</v>
      </c>
      <c r="B2595" s="392" t="n">
        <v>10424</v>
      </c>
      <c r="C2595" s="392" t="n">
        <v>97.29000000000001</v>
      </c>
      <c r="D2595" s="392" t="n"/>
      <c r="E2595" s="392" t="n"/>
      <c r="F2595" s="392" t="n"/>
      <c r="G2595" s="392" t="n">
        <v>35</v>
      </c>
      <c r="H2595" s="52">
        <f>H2594-G2595</f>
        <v/>
      </c>
      <c r="I2595" s="568" t="n"/>
      <c r="J2595" s="568" t="n"/>
      <c r="K2595" s="568" t="n"/>
      <c r="L2595" s="568" t="n"/>
    </row>
    <row r="2596">
      <c r="A2596" s="568" t="n">
        <v>45167</v>
      </c>
      <c r="B2596" s="392" t="n">
        <v>10425</v>
      </c>
      <c r="C2596" s="392" t="n">
        <v>95</v>
      </c>
      <c r="D2596" s="392" t="n"/>
      <c r="E2596" s="392" t="n"/>
      <c r="F2596" s="392" t="n"/>
      <c r="G2596" s="392" t="n">
        <v>30</v>
      </c>
      <c r="H2596" s="52">
        <f>H2595-G2596</f>
        <v/>
      </c>
      <c r="I2596" s="568" t="n"/>
      <c r="J2596" s="568" t="n"/>
      <c r="K2596" s="568" t="n"/>
      <c r="L2596" s="568" t="n"/>
    </row>
    <row r="2597">
      <c r="A2597" s="568" t="n">
        <v>45167</v>
      </c>
      <c r="B2597" s="392" t="n">
        <v>10426</v>
      </c>
      <c r="C2597" s="392" t="n">
        <v>96</v>
      </c>
      <c r="D2597" s="392" t="n"/>
      <c r="E2597" s="392" t="n"/>
      <c r="F2597" s="392" t="n"/>
      <c r="G2597" s="392" t="n">
        <v>20</v>
      </c>
      <c r="H2597" s="52">
        <f>H2596-G2597</f>
        <v/>
      </c>
      <c r="I2597" s="568" t="n"/>
      <c r="J2597" s="568" t="n"/>
      <c r="K2597" s="568" t="n"/>
      <c r="L2597" s="568" t="n"/>
    </row>
    <row r="2598">
      <c r="A2598" s="568" t="n">
        <v>45167</v>
      </c>
      <c r="B2598" s="392" t="n">
        <v>10429</v>
      </c>
      <c r="C2598" s="392" t="n">
        <v>95</v>
      </c>
      <c r="D2598" s="392" t="n"/>
      <c r="E2598" s="392" t="n"/>
      <c r="F2598" s="392" t="n"/>
      <c r="G2598" s="392" t="n">
        <v>10</v>
      </c>
      <c r="H2598" s="52">
        <f>H2597-G2598</f>
        <v/>
      </c>
      <c r="I2598" s="568" t="n"/>
      <c r="J2598" s="568" t="n"/>
      <c r="K2598" s="568" t="n"/>
      <c r="L2598" s="568" t="n"/>
    </row>
    <row r="2599">
      <c r="A2599" s="568" t="n">
        <v>45167</v>
      </c>
      <c r="B2599" s="392" t="n">
        <v>10430</v>
      </c>
      <c r="C2599" s="392" t="n">
        <v>95</v>
      </c>
      <c r="D2599" s="392" t="n"/>
      <c r="E2599" s="392" t="n"/>
      <c r="F2599" s="392" t="n"/>
      <c r="G2599" s="392" t="n">
        <v>30</v>
      </c>
      <c r="H2599" s="52">
        <f>H2598-G2599</f>
        <v/>
      </c>
      <c r="I2599" s="568" t="n"/>
      <c r="J2599" s="568" t="n"/>
      <c r="K2599" s="568" t="n"/>
      <c r="L2599" s="568" t="n"/>
    </row>
    <row r="2600">
      <c r="A2600" s="568" t="n">
        <v>45167</v>
      </c>
      <c r="B2600" s="392" t="n">
        <v>10431</v>
      </c>
      <c r="C2600" s="392" t="n">
        <v>93</v>
      </c>
      <c r="D2600" s="392" t="n"/>
      <c r="E2600" s="392" t="n"/>
      <c r="F2600" s="392" t="n"/>
      <c r="G2600" s="392" t="n">
        <v>30</v>
      </c>
      <c r="H2600" s="52">
        <f>H2599-G2600</f>
        <v/>
      </c>
      <c r="I2600" s="568" t="n"/>
      <c r="J2600" s="568" t="n"/>
      <c r="K2600" s="568" t="n"/>
      <c r="L2600" s="568" t="n"/>
    </row>
    <row r="2601">
      <c r="A2601" s="568" t="n">
        <v>45167</v>
      </c>
      <c r="B2601" s="392" t="n">
        <v>10433</v>
      </c>
      <c r="C2601" s="392" t="n">
        <v>95.84</v>
      </c>
      <c r="D2601" s="392" t="n"/>
      <c r="E2601" s="392" t="n"/>
      <c r="F2601" s="392" t="n"/>
      <c r="G2601" s="392" t="n">
        <v>42</v>
      </c>
      <c r="H2601" s="52">
        <f>H2600-G2601</f>
        <v/>
      </c>
      <c r="I2601" s="568" t="n"/>
      <c r="J2601" s="568" t="n"/>
      <c r="K2601" s="568" t="n"/>
      <c r="L2601" s="568" t="n"/>
    </row>
    <row r="2602" ht="15.75" customHeight="1" s="436" thickBot="1">
      <c r="A2602" s="414" t="n"/>
      <c r="H2602" s="171" t="n"/>
      <c r="I2602" s="414" t="n"/>
      <c r="J2602" s="414" t="n"/>
      <c r="K2602" s="414" t="n"/>
      <c r="L2602" s="414" t="n"/>
    </row>
    <row r="2603" ht="21.75" customHeight="1" s="436" thickBot="1">
      <c r="A2603" s="757" t="inlineStr">
        <is>
          <t>Setembro</t>
        </is>
      </c>
      <c r="B2603" s="697" t="n"/>
      <c r="C2603" s="697" t="n"/>
      <c r="D2603" s="697" t="n"/>
      <c r="E2603" s="697" t="n"/>
      <c r="F2603" s="697" t="n"/>
      <c r="G2603" s="697" t="n"/>
      <c r="H2603" s="697" t="n"/>
      <c r="I2603" s="697" t="n"/>
      <c r="J2603" s="697" t="n"/>
      <c r="K2603" s="697" t="n"/>
      <c r="L2603" s="698" t="n"/>
    </row>
    <row r="2604" ht="21.75" customHeight="1" s="436" thickBot="1">
      <c r="A2604" s="699" t="inlineStr">
        <is>
          <t xml:space="preserve">021 - DENISE FURTADO DE SOUZA - ME </t>
        </is>
      </c>
      <c r="B2604" s="697" t="n"/>
      <c r="C2604" s="697" t="n"/>
      <c r="D2604" s="697" t="n"/>
      <c r="E2604" s="697" t="n"/>
      <c r="F2604" s="697" t="n"/>
      <c r="G2604" s="697" t="n"/>
      <c r="H2604" s="697" t="n"/>
      <c r="I2604" s="697" t="n"/>
      <c r="J2604" s="697" t="n"/>
      <c r="K2604" s="697" t="n"/>
      <c r="L2604" s="698" t="n"/>
    </row>
    <row r="2605" ht="24" customHeight="1" s="436" thickBot="1">
      <c r="A2605" s="759" t="inlineStr">
        <is>
          <t xml:space="preserve">  PRÉ MISTURA - 25 KG</t>
        </is>
      </c>
      <c r="B2605" s="697" t="n"/>
      <c r="C2605" s="697" t="n"/>
      <c r="D2605" s="697" t="n"/>
      <c r="E2605" s="697" t="n"/>
      <c r="F2605" s="697" t="n"/>
      <c r="G2605" s="697" t="n"/>
      <c r="H2605" s="697" t="n"/>
      <c r="I2605" s="697" t="n"/>
      <c r="J2605" s="697" t="n"/>
      <c r="K2605" s="697" t="n"/>
      <c r="L2605" s="698" t="n"/>
    </row>
    <row r="2606">
      <c r="A2606" s="3" t="inlineStr">
        <is>
          <t>DATA</t>
        </is>
      </c>
      <c r="B2606" s="3" t="inlineStr">
        <is>
          <t>N.F.</t>
        </is>
      </c>
      <c r="C2606" s="3" t="inlineStr">
        <is>
          <t>TIPO</t>
        </is>
      </c>
      <c r="D2606" s="3" t="inlineStr">
        <is>
          <t>PREÇO UNITÁRIO</t>
        </is>
      </c>
      <c r="E2606" s="736" t="n"/>
      <c r="F2606" s="3" t="inlineStr">
        <is>
          <t>QUANTIDADE / KG</t>
        </is>
      </c>
      <c r="G2606" s="737" t="n"/>
      <c r="H2606" s="736" t="n"/>
      <c r="I2606" s="631" t="inlineStr">
        <is>
          <t>PREÇO</t>
        </is>
      </c>
      <c r="J2606" s="631" t="inlineStr">
        <is>
          <t>VALORES</t>
        </is>
      </c>
      <c r="K2606" s="737" t="n"/>
      <c r="L2606" s="736" t="n"/>
    </row>
    <row r="2607" ht="15.75" customHeight="1" s="436" thickBot="1">
      <c r="A2607" s="704" t="n"/>
      <c r="B2607" s="704" t="n"/>
      <c r="C2607" s="704" t="n"/>
      <c r="D2607" s="703" t="n"/>
      <c r="E2607" s="701" t="n"/>
      <c r="F2607" s="705" t="n"/>
      <c r="G2607" s="706" t="n"/>
      <c r="H2607" s="707" t="n"/>
      <c r="I2607" s="704" t="n"/>
      <c r="J2607" s="703" t="n"/>
      <c r="L2607" s="701" t="n"/>
    </row>
    <row r="2608" ht="15.75" customHeight="1" s="436" thickBot="1">
      <c r="A2608" s="704" t="n"/>
      <c r="B2608" s="704" t="n"/>
      <c r="C2608" s="704" t="n"/>
      <c r="D2608" s="705" t="n"/>
      <c r="E2608" s="707" t="n"/>
      <c r="F2608" s="3" t="inlineStr">
        <is>
          <t>ENTRADA</t>
        </is>
      </c>
      <c r="G2608" s="3" t="inlineStr">
        <is>
          <t>SAÍDA</t>
        </is>
      </c>
      <c r="H2608" s="640" t="n"/>
      <c r="I2608" s="633" t="inlineStr">
        <is>
          <t>MÉDIO</t>
        </is>
      </c>
      <c r="J2608" s="739" t="inlineStr">
        <is>
          <t>SALDO EM 30/12/2017</t>
        </is>
      </c>
      <c r="K2608" s="707" t="n"/>
      <c r="L2608" s="17" t="n"/>
    </row>
    <row r="2609" ht="15.75" customHeight="1" s="436" thickBot="1">
      <c r="A2609" s="695" t="n"/>
      <c r="B2609" s="695" t="n"/>
      <c r="C2609" s="695" t="n"/>
      <c r="D2609" s="3" t="inlineStr">
        <is>
          <t>C/ICMS</t>
        </is>
      </c>
      <c r="E2609" s="3" t="inlineStr">
        <is>
          <t>S/ICMS</t>
        </is>
      </c>
      <c r="F2609" s="695" t="n"/>
      <c r="G2609" s="695" t="n"/>
      <c r="H2609" s="361" t="inlineStr">
        <is>
          <t>Saldo em 30/08/2022</t>
        </is>
      </c>
      <c r="I2609" s="695" t="n"/>
      <c r="J2609" s="645" t="inlineStr">
        <is>
          <t>ENTRADA</t>
        </is>
      </c>
      <c r="K2609" s="633" t="inlineStr">
        <is>
          <t>SAÍDA / CMV</t>
        </is>
      </c>
      <c r="L2609" s="633" t="inlineStr">
        <is>
          <t>SALDO</t>
        </is>
      </c>
    </row>
    <row r="2610">
      <c r="A2610" s="568" t="n"/>
      <c r="B2610" s="392" t="n"/>
      <c r="C2610" s="392" t="n"/>
      <c r="D2610" s="392" t="n"/>
      <c r="E2610" s="392" t="n"/>
      <c r="F2610" s="392" t="n"/>
      <c r="G2610" s="392" t="n"/>
      <c r="H2610" s="52" t="n">
        <v>1180</v>
      </c>
      <c r="I2610" s="568" t="n"/>
      <c r="J2610" s="568" t="n"/>
      <c r="K2610" s="568" t="n"/>
      <c r="L2610" s="568" t="n"/>
    </row>
    <row r="2611">
      <c r="A2611" s="568" t="n">
        <v>45173</v>
      </c>
      <c r="B2611" s="392" t="n">
        <v>10442</v>
      </c>
      <c r="C2611" s="392" t="n">
        <v>85</v>
      </c>
      <c r="D2611" s="392" t="n"/>
      <c r="E2611" s="392" t="n"/>
      <c r="F2611" s="392" t="n"/>
      <c r="G2611" s="392" t="n">
        <v>10</v>
      </c>
      <c r="H2611" s="52">
        <f>H2610-G2611</f>
        <v/>
      </c>
      <c r="I2611" s="568" t="n"/>
      <c r="J2611" s="568" t="n"/>
      <c r="K2611" s="568" t="n"/>
      <c r="L2611" s="568" t="n"/>
    </row>
    <row r="2612">
      <c r="A2612" s="568" t="n">
        <v>45173</v>
      </c>
      <c r="B2612" s="392" t="n">
        <v>10443</v>
      </c>
      <c r="C2612" s="392" t="n">
        <v>85</v>
      </c>
      <c r="D2612" s="392" t="n"/>
      <c r="E2612" s="392" t="n"/>
      <c r="F2612" s="392" t="n"/>
      <c r="G2612" s="392" t="n">
        <v>10</v>
      </c>
      <c r="H2612" s="52">
        <f>H2611-G2612</f>
        <v/>
      </c>
      <c r="I2612" s="568" t="n"/>
      <c r="J2612" s="568" t="n"/>
      <c r="K2612" s="568" t="n"/>
      <c r="L2612" s="568" t="n"/>
    </row>
    <row r="2613">
      <c r="A2613" s="568" t="n">
        <v>45173</v>
      </c>
      <c r="B2613" s="392" t="n">
        <v>10445</v>
      </c>
      <c r="C2613" s="392" t="n">
        <v>95</v>
      </c>
      <c r="D2613" s="392" t="n"/>
      <c r="E2613" s="392" t="n"/>
      <c r="F2613" s="392" t="n"/>
      <c r="G2613" s="392" t="n">
        <v>20</v>
      </c>
      <c r="H2613" s="52">
        <f>H2612-G2613</f>
        <v/>
      </c>
      <c r="I2613" s="568" t="n"/>
      <c r="J2613" s="568" t="n"/>
      <c r="K2613" s="568" t="n"/>
      <c r="L2613" s="568" t="n"/>
    </row>
    <row r="2614">
      <c r="A2614" s="568" t="n">
        <v>45173</v>
      </c>
      <c r="B2614" s="392" t="n">
        <v>10446</v>
      </c>
      <c r="C2614" s="392" t="n">
        <v>95</v>
      </c>
      <c r="D2614" s="392" t="n"/>
      <c r="E2614" s="392" t="n"/>
      <c r="F2614" s="392" t="n"/>
      <c r="G2614" s="392" t="n">
        <v>15</v>
      </c>
      <c r="H2614" s="52">
        <f>H2613-G2614</f>
        <v/>
      </c>
      <c r="I2614" s="568" t="n"/>
      <c r="J2614" s="568" t="n"/>
      <c r="K2614" s="568" t="n"/>
      <c r="L2614" s="568" t="n"/>
    </row>
    <row r="2615">
      <c r="A2615" s="568" t="n">
        <v>45174</v>
      </c>
      <c r="B2615" s="392" t="n">
        <v>10449</v>
      </c>
      <c r="C2615" s="392" t="n">
        <v>95.65000000000001</v>
      </c>
      <c r="D2615" s="392" t="n"/>
      <c r="E2615" s="392" t="n"/>
      <c r="F2615" s="392" t="n"/>
      <c r="G2615" s="392" t="n">
        <v>20</v>
      </c>
      <c r="H2615" s="52">
        <f>H2614-G2615</f>
        <v/>
      </c>
      <c r="I2615" s="568" t="n"/>
      <c r="J2615" s="568" t="n"/>
      <c r="K2615" s="568" t="n"/>
      <c r="L2615" s="568" t="n"/>
    </row>
    <row r="2616">
      <c r="A2616" s="568" t="n">
        <v>45174</v>
      </c>
      <c r="B2616" s="392" t="n">
        <v>10453</v>
      </c>
      <c r="C2616" s="392" t="n">
        <v>95.84</v>
      </c>
      <c r="D2616" s="392" t="n"/>
      <c r="E2616" s="392" t="n"/>
      <c r="F2616" s="392" t="n"/>
      <c r="G2616" s="392" t="n">
        <v>42</v>
      </c>
      <c r="H2616" s="52">
        <f>H2615-G2616</f>
        <v/>
      </c>
      <c r="I2616" s="568" t="n"/>
      <c r="J2616" s="568" t="n"/>
      <c r="K2616" s="568" t="n"/>
      <c r="L2616" s="568" t="n"/>
    </row>
    <row r="2617">
      <c r="A2617" s="568" t="n">
        <v>45181</v>
      </c>
      <c r="B2617" s="392" t="n">
        <v>10456</v>
      </c>
      <c r="C2617" s="392" t="n">
        <v>85</v>
      </c>
      <c r="D2617" s="392" t="n"/>
      <c r="E2617" s="392" t="n"/>
      <c r="F2617" s="392" t="n"/>
      <c r="G2617" s="392" t="n">
        <v>20</v>
      </c>
      <c r="H2617" s="52">
        <f>H2616-G2617</f>
        <v/>
      </c>
      <c r="I2617" s="568" t="n"/>
      <c r="J2617" s="568" t="n"/>
      <c r="K2617" s="568" t="n"/>
      <c r="L2617" s="568" t="n"/>
    </row>
    <row r="2618">
      <c r="A2618" s="568" t="n">
        <v>45181</v>
      </c>
      <c r="B2618" s="392" t="n">
        <v>10457</v>
      </c>
      <c r="C2618" s="392" t="n">
        <v>96</v>
      </c>
      <c r="D2618" s="392" t="n"/>
      <c r="E2618" s="392" t="n"/>
      <c r="F2618" s="392" t="n"/>
      <c r="G2618" s="392" t="n">
        <v>20</v>
      </c>
      <c r="H2618" s="52">
        <f>H2617-G2618</f>
        <v/>
      </c>
      <c r="I2618" s="568" t="n"/>
      <c r="J2618" s="568" t="n"/>
      <c r="K2618" s="568" t="n"/>
      <c r="L2618" s="568" t="n"/>
    </row>
    <row r="2619">
      <c r="A2619" s="568" t="n">
        <v>45181</v>
      </c>
      <c r="B2619" s="392" t="n">
        <v>10460</v>
      </c>
      <c r="C2619" s="392" t="n">
        <v>95</v>
      </c>
      <c r="D2619" s="392" t="n"/>
      <c r="E2619" s="392" t="n"/>
      <c r="F2619" s="392" t="n"/>
      <c r="G2619" s="392" t="n">
        <v>15</v>
      </c>
      <c r="H2619" s="52">
        <f>H2618-G2619</f>
        <v/>
      </c>
      <c r="I2619" s="568" t="n"/>
      <c r="J2619" s="568" t="n"/>
      <c r="K2619" s="568" t="n"/>
      <c r="L2619" s="568" t="n"/>
    </row>
    <row r="2620">
      <c r="A2620" s="568" t="n">
        <v>45181</v>
      </c>
      <c r="B2620" s="392" t="n">
        <v>10462</v>
      </c>
      <c r="C2620" s="392" t="n">
        <v>89</v>
      </c>
      <c r="D2620" s="392" t="n"/>
      <c r="E2620" s="392" t="n"/>
      <c r="F2620" s="392" t="n"/>
      <c r="G2620" s="392" t="n">
        <v>30</v>
      </c>
      <c r="H2620" s="52">
        <f>H2619-G2620</f>
        <v/>
      </c>
      <c r="I2620" s="568" t="n"/>
      <c r="J2620" s="568" t="n"/>
      <c r="K2620" s="568" t="n"/>
      <c r="L2620" s="568" t="n"/>
    </row>
    <row r="2621">
      <c r="A2621" s="568" t="n">
        <v>45181</v>
      </c>
      <c r="B2621" s="392" t="n">
        <v>10463</v>
      </c>
      <c r="C2621" s="392" t="n">
        <v>85</v>
      </c>
      <c r="D2621" s="392" t="n"/>
      <c r="E2621" s="392" t="n"/>
      <c r="F2621" s="392" t="n"/>
      <c r="G2621" s="392" t="n">
        <v>15</v>
      </c>
      <c r="H2621" s="52">
        <f>H2620-G2621</f>
        <v/>
      </c>
      <c r="I2621" s="568" t="n"/>
      <c r="J2621" s="568" t="n"/>
      <c r="K2621" s="568" t="n"/>
      <c r="L2621" s="568" t="n"/>
    </row>
    <row r="2622">
      <c r="A2622" s="568" t="n">
        <v>45181</v>
      </c>
      <c r="B2622" s="392" t="n">
        <v>10465</v>
      </c>
      <c r="C2622" s="392" t="n">
        <v>96</v>
      </c>
      <c r="D2622" s="392" t="n"/>
      <c r="E2622" s="392" t="n"/>
      <c r="F2622" s="392" t="n"/>
      <c r="G2622" s="392" t="n">
        <v>20</v>
      </c>
      <c r="H2622" s="52">
        <f>H2621-G2622</f>
        <v/>
      </c>
      <c r="I2622" s="568" t="n"/>
      <c r="J2622" s="568" t="n"/>
      <c r="K2622" s="568" t="n"/>
      <c r="L2622" s="568" t="n"/>
    </row>
    <row r="2623">
      <c r="A2623" s="568" t="n">
        <v>45181</v>
      </c>
      <c r="B2623" s="392" t="n">
        <v>10466</v>
      </c>
      <c r="C2623" s="392" t="n">
        <v>96</v>
      </c>
      <c r="D2623" s="392" t="n"/>
      <c r="E2623" s="392" t="n"/>
      <c r="F2623" s="392" t="n"/>
      <c r="G2623" s="392" t="n">
        <v>40</v>
      </c>
      <c r="H2623" s="52">
        <f>H2622-G2623</f>
        <v/>
      </c>
      <c r="I2623" s="568" t="n"/>
      <c r="J2623" s="568" t="n"/>
      <c r="K2623" s="568" t="n"/>
      <c r="L2623" s="568" t="n"/>
    </row>
    <row r="2624">
      <c r="A2624" s="568" t="n">
        <v>45181</v>
      </c>
      <c r="B2624" s="392" t="n">
        <v>10467</v>
      </c>
      <c r="C2624" s="392" t="n">
        <v>95</v>
      </c>
      <c r="D2624" s="392" t="n"/>
      <c r="E2624" s="392" t="n"/>
      <c r="F2624" s="392" t="n"/>
      <c r="G2624" s="392" t="n">
        <v>30</v>
      </c>
      <c r="H2624" s="52">
        <f>H2623-G2624</f>
        <v/>
      </c>
      <c r="I2624" s="568" t="n"/>
      <c r="J2624" s="568" t="n"/>
      <c r="K2624" s="568" t="n"/>
      <c r="L2624" s="568" t="n"/>
    </row>
    <row r="2625">
      <c r="A2625" s="568" t="n">
        <v>45181</v>
      </c>
      <c r="B2625" s="392" t="n">
        <v>10468</v>
      </c>
      <c r="C2625" s="392" t="n">
        <v>85</v>
      </c>
      <c r="D2625" s="392" t="n"/>
      <c r="E2625" s="392" t="n"/>
      <c r="F2625" s="392" t="n"/>
      <c r="G2625" s="392" t="n">
        <v>10</v>
      </c>
      <c r="H2625" s="52">
        <f>H2624-G2625</f>
        <v/>
      </c>
      <c r="I2625" s="568" t="n"/>
      <c r="J2625" s="568" t="n"/>
      <c r="K2625" s="568" t="n"/>
      <c r="L2625" s="568" t="n"/>
    </row>
    <row r="2626">
      <c r="A2626" s="568" t="n">
        <v>45181</v>
      </c>
      <c r="B2626" s="392" t="n">
        <v>10469</v>
      </c>
      <c r="C2626" s="392" t="n">
        <v>95</v>
      </c>
      <c r="D2626" s="392" t="n"/>
      <c r="E2626" s="392" t="n"/>
      <c r="F2626" s="392" t="n"/>
      <c r="G2626" s="392" t="n">
        <v>15</v>
      </c>
      <c r="H2626" s="52">
        <f>H2625-G2626</f>
        <v/>
      </c>
      <c r="I2626" s="568" t="n"/>
      <c r="J2626" s="568" t="n"/>
      <c r="K2626" s="568" t="n"/>
      <c r="L2626" s="568" t="n"/>
    </row>
    <row r="2627">
      <c r="A2627" s="568" t="n">
        <v>45182</v>
      </c>
      <c r="B2627" s="392" t="n">
        <v>10475</v>
      </c>
      <c r="C2627" s="392" t="n">
        <v>85</v>
      </c>
      <c r="D2627" s="392" t="n"/>
      <c r="E2627" s="392" t="n"/>
      <c r="F2627" s="392" t="n"/>
      <c r="G2627" s="392" t="n">
        <v>15</v>
      </c>
      <c r="H2627" s="52">
        <f>H2626-G2627</f>
        <v/>
      </c>
      <c r="I2627" s="568" t="n"/>
      <c r="J2627" s="568" t="n"/>
      <c r="K2627" s="568" t="n"/>
      <c r="L2627" s="568" t="n"/>
    </row>
    <row r="2628">
      <c r="A2628" s="568" t="n">
        <v>45182</v>
      </c>
      <c r="B2628" s="392" t="n">
        <v>10476</v>
      </c>
      <c r="C2628" s="392" t="n">
        <v>90</v>
      </c>
      <c r="D2628" s="392" t="n"/>
      <c r="E2628" s="392" t="n"/>
      <c r="F2628" s="392" t="n"/>
      <c r="G2628" s="392" t="n">
        <v>12</v>
      </c>
      <c r="H2628" s="52">
        <f>H2627-G2628</f>
        <v/>
      </c>
      <c r="I2628" s="568" t="n"/>
      <c r="J2628" s="568" t="n"/>
      <c r="K2628" s="568" t="n"/>
      <c r="L2628" s="568" t="n"/>
    </row>
    <row r="2629">
      <c r="A2629" s="568" t="n">
        <v>45187</v>
      </c>
      <c r="B2629" s="392" t="n">
        <v>10479</v>
      </c>
      <c r="C2629" s="392" t="n">
        <v>95</v>
      </c>
      <c r="D2629" s="392" t="n"/>
      <c r="E2629" s="392" t="n"/>
      <c r="F2629" s="392" t="n"/>
      <c r="G2629" s="392" t="n">
        <v>15</v>
      </c>
      <c r="H2629" s="52">
        <f>H2628-G2629</f>
        <v/>
      </c>
      <c r="I2629" s="568" t="n"/>
      <c r="J2629" s="568" t="n"/>
      <c r="K2629" s="568" t="n"/>
      <c r="L2629" s="568" t="n"/>
    </row>
    <row r="2630">
      <c r="A2630" s="568" t="n">
        <v>45187</v>
      </c>
      <c r="B2630" s="392" t="n">
        <v>10480</v>
      </c>
      <c r="C2630" s="392" t="n">
        <v>95.67</v>
      </c>
      <c r="D2630" s="392" t="n"/>
      <c r="E2630" s="392" t="n"/>
      <c r="F2630" s="392" t="n"/>
      <c r="G2630" s="392" t="n">
        <v>120</v>
      </c>
      <c r="H2630" s="52">
        <f>H2629-G2630</f>
        <v/>
      </c>
      <c r="I2630" s="568" t="n"/>
      <c r="J2630" s="568" t="n"/>
      <c r="K2630" s="568" t="n"/>
      <c r="L2630" s="568" t="n"/>
    </row>
    <row r="2631">
      <c r="A2631" s="568" t="n">
        <v>45187</v>
      </c>
      <c r="B2631" s="392" t="n">
        <v>10482</v>
      </c>
      <c r="C2631" s="392" t="n">
        <v>95</v>
      </c>
      <c r="D2631" s="392" t="n"/>
      <c r="E2631" s="392" t="n"/>
      <c r="F2631" s="392" t="n"/>
      <c r="G2631" s="392" t="n">
        <v>20</v>
      </c>
      <c r="H2631" s="52">
        <f>H2630-G2631</f>
        <v/>
      </c>
      <c r="I2631" s="568" t="n"/>
      <c r="J2631" s="568" t="n"/>
      <c r="K2631" s="568" t="n"/>
      <c r="L2631" s="568" t="n"/>
    </row>
    <row r="2632">
      <c r="A2632" s="568" t="n">
        <v>45187</v>
      </c>
      <c r="B2632" s="392" t="n">
        <v>10483</v>
      </c>
      <c r="C2632" s="392" t="n">
        <v>95.83</v>
      </c>
      <c r="D2632" s="392" t="n"/>
      <c r="E2632" s="392" t="n"/>
      <c r="F2632" s="392" t="n"/>
      <c r="G2632" s="392" t="n">
        <v>30</v>
      </c>
      <c r="H2632" s="52">
        <f>H2631-G2632</f>
        <v/>
      </c>
      <c r="I2632" s="568" t="n"/>
      <c r="J2632" s="568" t="n"/>
      <c r="K2632" s="568" t="n"/>
      <c r="L2632" s="568" t="n"/>
    </row>
    <row r="2633">
      <c r="A2633" s="568" t="n">
        <v>45187</v>
      </c>
      <c r="B2633" s="392" t="n">
        <v>10484</v>
      </c>
      <c r="C2633" s="392" t="n">
        <v>97.15000000000001</v>
      </c>
      <c r="D2633" s="392" t="n"/>
      <c r="E2633" s="392" t="n"/>
      <c r="F2633" s="392" t="n"/>
      <c r="G2633" s="392" t="n">
        <v>35</v>
      </c>
      <c r="H2633" s="52">
        <f>H2632-G2633</f>
        <v/>
      </c>
      <c r="I2633" s="568" t="n"/>
      <c r="J2633" s="568" t="n"/>
      <c r="K2633" s="568" t="n"/>
      <c r="L2633" s="568" t="n"/>
    </row>
    <row r="2634">
      <c r="A2634" s="304" t="n">
        <v>45184</v>
      </c>
      <c r="B2634" s="401" t="n">
        <v>227479</v>
      </c>
      <c r="C2634" s="401" t="n">
        <v>75</v>
      </c>
      <c r="D2634" s="401" t="n"/>
      <c r="E2634" s="401" t="n"/>
      <c r="F2634" s="401" t="n">
        <v>880</v>
      </c>
      <c r="G2634" s="401" t="n"/>
      <c r="H2634" s="277" t="n">
        <v>1481</v>
      </c>
      <c r="I2634" s="568" t="n"/>
      <c r="J2634" s="568" t="n"/>
      <c r="K2634" s="568" t="n"/>
      <c r="L2634" s="568" t="n"/>
    </row>
    <row r="2635">
      <c r="A2635" s="568" t="n">
        <v>45188</v>
      </c>
      <c r="B2635" s="392" t="n">
        <v>10486</v>
      </c>
      <c r="C2635" s="392" t="n">
        <v>95</v>
      </c>
      <c r="D2635" s="392" t="n"/>
      <c r="E2635" s="392" t="n"/>
      <c r="F2635" s="392" t="n"/>
      <c r="G2635" s="392" t="n">
        <v>30</v>
      </c>
      <c r="H2635" s="52">
        <f>H2634-G2635</f>
        <v/>
      </c>
      <c r="I2635" s="568" t="n"/>
      <c r="J2635" s="568" t="n"/>
      <c r="K2635" s="568" t="n"/>
      <c r="L2635" s="568" t="n"/>
    </row>
    <row r="2636">
      <c r="A2636" s="568" t="n">
        <v>45188</v>
      </c>
      <c r="B2636" s="392" t="n">
        <v>10488</v>
      </c>
      <c r="C2636" s="392" t="n">
        <v>95</v>
      </c>
      <c r="D2636" s="392" t="n"/>
      <c r="E2636" s="392" t="n"/>
      <c r="F2636" s="392" t="n"/>
      <c r="G2636" s="392" t="n">
        <v>50</v>
      </c>
      <c r="H2636" s="52">
        <f>H2635-G2636</f>
        <v/>
      </c>
      <c r="I2636" s="568" t="n"/>
      <c r="J2636" s="568" t="n"/>
      <c r="K2636" s="568" t="n"/>
      <c r="L2636" s="568" t="n"/>
    </row>
    <row r="2637">
      <c r="A2637" s="568" t="n">
        <v>45188</v>
      </c>
      <c r="B2637" s="392" t="n">
        <v>10489</v>
      </c>
      <c r="C2637" s="392" t="n">
        <v>85</v>
      </c>
      <c r="D2637" s="392" t="n"/>
      <c r="E2637" s="392" t="n"/>
      <c r="F2637" s="392" t="n"/>
      <c r="G2637" s="392" t="n">
        <v>20</v>
      </c>
      <c r="H2637" s="52">
        <f>H2636-G2637</f>
        <v/>
      </c>
      <c r="I2637" s="568" t="n"/>
      <c r="J2637" s="568" t="n"/>
      <c r="K2637" s="568" t="n"/>
      <c r="L2637" s="568" t="n"/>
    </row>
    <row r="2638">
      <c r="A2638" s="568" t="n">
        <v>45188</v>
      </c>
      <c r="B2638" s="392" t="n">
        <v>10490</v>
      </c>
      <c r="C2638" s="392" t="n">
        <v>88.75</v>
      </c>
      <c r="D2638" s="392" t="n"/>
      <c r="E2638" s="392" t="n"/>
      <c r="F2638" s="392" t="n"/>
      <c r="G2638" s="392" t="n">
        <v>20</v>
      </c>
      <c r="H2638" s="52">
        <f>H2637-G2638</f>
        <v/>
      </c>
      <c r="I2638" s="568" t="n"/>
      <c r="J2638" s="568" t="n"/>
      <c r="K2638" s="568" t="n"/>
      <c r="L2638" s="568" t="n"/>
    </row>
    <row r="2639">
      <c r="A2639" s="568" t="n">
        <v>45188</v>
      </c>
      <c r="B2639" s="392" t="n">
        <v>10491</v>
      </c>
      <c r="C2639" s="392" t="n">
        <v>85</v>
      </c>
      <c r="D2639" s="392" t="n"/>
      <c r="E2639" s="392" t="n"/>
      <c r="F2639" s="392" t="n"/>
      <c r="G2639" s="392" t="n">
        <v>15</v>
      </c>
      <c r="H2639" s="52">
        <f>H2638-G2639</f>
        <v/>
      </c>
      <c r="I2639" s="568" t="n"/>
      <c r="J2639" s="568" t="n"/>
      <c r="K2639" s="568" t="n"/>
      <c r="L2639" s="568" t="n"/>
    </row>
    <row r="2640">
      <c r="A2640" s="568" t="n">
        <v>45188</v>
      </c>
      <c r="B2640" s="392" t="n">
        <v>10493</v>
      </c>
      <c r="C2640" s="392" t="n">
        <v>85</v>
      </c>
      <c r="D2640" s="392" t="n"/>
      <c r="E2640" s="392" t="n"/>
      <c r="F2640" s="392" t="n"/>
      <c r="G2640" s="392" t="n">
        <v>20</v>
      </c>
      <c r="H2640" s="52">
        <f>H2639-G2640</f>
        <v/>
      </c>
      <c r="I2640" s="568" t="n"/>
      <c r="J2640" s="568" t="n"/>
      <c r="K2640" s="568" t="n"/>
      <c r="L2640" s="568" t="n"/>
    </row>
    <row r="2641">
      <c r="A2641" s="568" t="n">
        <v>45189</v>
      </c>
      <c r="B2641" s="392" t="n">
        <v>10495</v>
      </c>
      <c r="C2641" s="392" t="n">
        <v>94.44</v>
      </c>
      <c r="D2641" s="392" t="n"/>
      <c r="E2641" s="392" t="n"/>
      <c r="F2641" s="392" t="n"/>
      <c r="G2641" s="392" t="n">
        <v>45</v>
      </c>
      <c r="H2641" s="52">
        <f>H2640-G2641</f>
        <v/>
      </c>
      <c r="I2641" s="568" t="n"/>
      <c r="J2641" s="568" t="n"/>
      <c r="K2641" s="568" t="n"/>
      <c r="L2641" s="568" t="n"/>
    </row>
    <row r="2642">
      <c r="A2642" s="568" t="n">
        <v>45189</v>
      </c>
      <c r="B2642" s="392" t="n">
        <v>10496</v>
      </c>
      <c r="C2642" s="392" t="n">
        <v>85</v>
      </c>
      <c r="D2642" s="392" t="n"/>
      <c r="E2642" s="392" t="n"/>
      <c r="F2642" s="392" t="n"/>
      <c r="G2642" s="392" t="n">
        <v>10</v>
      </c>
      <c r="H2642" s="52">
        <f>H2641-G2642</f>
        <v/>
      </c>
      <c r="I2642" s="568" t="n"/>
      <c r="J2642" s="568" t="n"/>
      <c r="K2642" s="568" t="n"/>
      <c r="L2642" s="568" t="n"/>
    </row>
    <row r="2643">
      <c r="A2643" s="568" t="n">
        <v>45189</v>
      </c>
      <c r="B2643" s="392" t="n">
        <v>10497</v>
      </c>
      <c r="C2643" s="392" t="n">
        <v>95</v>
      </c>
      <c r="D2643" s="392" t="n"/>
      <c r="E2643" s="392" t="n"/>
      <c r="F2643" s="392" t="n"/>
      <c r="G2643" s="392" t="n">
        <v>20</v>
      </c>
      <c r="H2643" s="52">
        <f>H2642-G2643</f>
        <v/>
      </c>
      <c r="I2643" s="568" t="n"/>
      <c r="J2643" s="568" t="n"/>
      <c r="K2643" s="568" t="n"/>
      <c r="L2643" s="568" t="n"/>
    </row>
    <row r="2644">
      <c r="A2644" s="568" t="n">
        <v>45195</v>
      </c>
      <c r="B2644" s="392" t="n">
        <v>10505</v>
      </c>
      <c r="C2644" s="392" t="n">
        <v>95</v>
      </c>
      <c r="D2644" s="392" t="n"/>
      <c r="E2644" s="392" t="n"/>
      <c r="F2644" s="392" t="n"/>
      <c r="G2644" s="392" t="n">
        <v>15</v>
      </c>
      <c r="H2644" s="52">
        <f>H2643-G2644</f>
        <v/>
      </c>
      <c r="I2644" s="568" t="n"/>
      <c r="J2644" s="568" t="n"/>
      <c r="K2644" s="568" t="n"/>
      <c r="L2644" s="568" t="n"/>
    </row>
    <row r="2645">
      <c r="A2645" s="568" t="n">
        <v>45195</v>
      </c>
      <c r="B2645" s="392" t="n">
        <v>10506</v>
      </c>
      <c r="C2645" s="392" t="n">
        <v>96</v>
      </c>
      <c r="D2645" s="392" t="n"/>
      <c r="E2645" s="392" t="n"/>
      <c r="F2645" s="392" t="n"/>
      <c r="G2645" s="392" t="n">
        <v>20</v>
      </c>
      <c r="H2645" s="52">
        <f>H2644-G2645</f>
        <v/>
      </c>
      <c r="I2645" s="568" t="n"/>
      <c r="J2645" s="568" t="n"/>
      <c r="K2645" s="568" t="n"/>
      <c r="L2645" s="568" t="n"/>
    </row>
    <row r="2646">
      <c r="A2646" s="568" t="n">
        <v>45195</v>
      </c>
      <c r="B2646" s="392" t="n">
        <v>10507</v>
      </c>
      <c r="C2646" s="392" t="n">
        <v>85</v>
      </c>
      <c r="D2646" s="392" t="n"/>
      <c r="E2646" s="392" t="n"/>
      <c r="F2646" s="392" t="n"/>
      <c r="G2646" s="392" t="n">
        <v>12</v>
      </c>
      <c r="H2646" s="52">
        <f>H2645-G2646</f>
        <v/>
      </c>
      <c r="I2646" s="568" t="n"/>
      <c r="J2646" s="568" t="n"/>
      <c r="K2646" s="568" t="n"/>
      <c r="L2646" s="568" t="n"/>
    </row>
    <row r="2647">
      <c r="A2647" s="568" t="n">
        <v>45195</v>
      </c>
      <c r="B2647" s="392" t="n">
        <v>10509</v>
      </c>
      <c r="C2647" s="392" t="n">
        <v>92</v>
      </c>
      <c r="D2647" s="392" t="n"/>
      <c r="E2647" s="392" t="n"/>
      <c r="F2647" s="392" t="n"/>
      <c r="G2647" s="392" t="n">
        <v>30</v>
      </c>
      <c r="H2647" s="52">
        <f>H2646-G2647</f>
        <v/>
      </c>
      <c r="I2647" s="568" t="n"/>
      <c r="J2647" s="568" t="n"/>
      <c r="K2647" s="568" t="n"/>
      <c r="L2647" s="568" t="n"/>
    </row>
    <row r="2648">
      <c r="A2648" s="568" t="n">
        <v>45195</v>
      </c>
      <c r="B2648" s="392" t="n">
        <v>10510</v>
      </c>
      <c r="C2648" s="392" t="n">
        <v>85</v>
      </c>
      <c r="D2648" s="392" t="n"/>
      <c r="E2648" s="392" t="n"/>
      <c r="F2648" s="392" t="n"/>
      <c r="G2648" s="392" t="n">
        <v>20</v>
      </c>
      <c r="H2648" s="52">
        <f>H2647-G2648</f>
        <v/>
      </c>
      <c r="I2648" s="568" t="n"/>
      <c r="J2648" s="568" t="n"/>
      <c r="K2648" s="568" t="n"/>
      <c r="L2648" s="568" t="n"/>
    </row>
    <row r="2649">
      <c r="A2649" s="568" t="n">
        <v>45195</v>
      </c>
      <c r="B2649" s="392" t="n">
        <v>10512</v>
      </c>
      <c r="C2649" s="392" t="n">
        <v>84</v>
      </c>
      <c r="D2649" s="392" t="n"/>
      <c r="E2649" s="392" t="n"/>
      <c r="F2649" s="392" t="n"/>
      <c r="G2649" s="392" t="n">
        <v>50</v>
      </c>
      <c r="H2649" s="52">
        <f>H2648-G2649</f>
        <v/>
      </c>
      <c r="I2649" s="568" t="n"/>
      <c r="J2649" s="568" t="n"/>
      <c r="K2649" s="568" t="n"/>
      <c r="L2649" s="568" t="n"/>
    </row>
    <row r="2650">
      <c r="A2650" s="568" t="n">
        <v>45195</v>
      </c>
      <c r="B2650" s="392" t="n">
        <v>10513</v>
      </c>
      <c r="C2650" s="392" t="n">
        <v>88.75</v>
      </c>
      <c r="D2650" s="392" t="n"/>
      <c r="E2650" s="392" t="n"/>
      <c r="F2650" s="392" t="n"/>
      <c r="G2650" s="392" t="n">
        <v>20</v>
      </c>
      <c r="H2650" s="52">
        <f>H2649-G2650</f>
        <v/>
      </c>
      <c r="I2650" s="568" t="n"/>
      <c r="J2650" s="568" t="n"/>
      <c r="K2650" s="568" t="n"/>
      <c r="L2650" s="568" t="n"/>
    </row>
    <row r="2651">
      <c r="A2651" s="568" t="n">
        <v>45196</v>
      </c>
      <c r="B2651" s="392" t="n">
        <v>10514</v>
      </c>
      <c r="C2651" s="392" t="n">
        <v>94</v>
      </c>
      <c r="D2651" s="392" t="n"/>
      <c r="E2651" s="392" t="n"/>
      <c r="F2651" s="392" t="n"/>
      <c r="G2651" s="392" t="n">
        <v>20</v>
      </c>
      <c r="H2651" s="52">
        <f>H2650-G2651</f>
        <v/>
      </c>
      <c r="I2651" s="568" t="n"/>
      <c r="J2651" s="568" t="n"/>
      <c r="K2651" s="568" t="n"/>
      <c r="L2651" s="568" t="n"/>
    </row>
    <row r="2652">
      <c r="A2652" s="568" t="n">
        <v>45196</v>
      </c>
      <c r="B2652" s="392" t="n">
        <v>10515</v>
      </c>
      <c r="C2652" s="392" t="n">
        <v>93.8</v>
      </c>
      <c r="D2652" s="392" t="n"/>
      <c r="E2652" s="392" t="n"/>
      <c r="F2652" s="392" t="n"/>
      <c r="G2652" s="392" t="n">
        <v>50</v>
      </c>
      <c r="H2652" s="52">
        <f>H2651-G2652</f>
        <v/>
      </c>
      <c r="I2652" s="568" t="n"/>
      <c r="J2652" s="568" t="n"/>
      <c r="K2652" s="568" t="n"/>
      <c r="L2652" s="568" t="n"/>
    </row>
    <row r="2653">
      <c r="A2653" s="568" t="n">
        <v>45196</v>
      </c>
      <c r="B2653" s="392" t="n">
        <v>10516</v>
      </c>
      <c r="C2653" s="392" t="n">
        <v>95.84</v>
      </c>
      <c r="D2653" s="392" t="n"/>
      <c r="E2653" s="392" t="n"/>
      <c r="F2653" s="392" t="n"/>
      <c r="G2653" s="392" t="n">
        <v>42</v>
      </c>
      <c r="H2653" s="52">
        <f>H2652-G2653</f>
        <v/>
      </c>
      <c r="I2653" s="568" t="n"/>
      <c r="J2653" s="568" t="n"/>
      <c r="K2653" s="568" t="n"/>
      <c r="L2653" s="568" t="n"/>
    </row>
    <row r="2654">
      <c r="A2654" s="568" t="n">
        <v>45196</v>
      </c>
      <c r="B2654" s="392" t="n">
        <v>10517</v>
      </c>
      <c r="C2654" s="392" t="n">
        <v>96.16</v>
      </c>
      <c r="D2654" s="392" t="n"/>
      <c r="E2654" s="392" t="n"/>
      <c r="F2654" s="392" t="n"/>
      <c r="G2654" s="392" t="n">
        <v>13</v>
      </c>
      <c r="H2654" s="52">
        <f>H2653-G2654</f>
        <v/>
      </c>
      <c r="I2654" s="568" t="n"/>
      <c r="J2654" s="568" t="n"/>
      <c r="K2654" s="568" t="n"/>
      <c r="L2654" s="568" t="n"/>
    </row>
    <row r="2655">
      <c r="A2655" s="568" t="n">
        <v>45196</v>
      </c>
      <c r="B2655" s="392" t="n">
        <v>10518</v>
      </c>
      <c r="C2655" s="392" t="n">
        <v>90</v>
      </c>
      <c r="D2655" s="392" t="n"/>
      <c r="E2655" s="392" t="n"/>
      <c r="F2655" s="392" t="n"/>
      <c r="G2655" s="392" t="n">
        <v>10</v>
      </c>
      <c r="H2655" s="52">
        <f>H2654-G2655</f>
        <v/>
      </c>
      <c r="I2655" s="568" t="n"/>
      <c r="J2655" s="568" t="n"/>
      <c r="K2655" s="568" t="n"/>
      <c r="L2655" s="568" t="n"/>
    </row>
    <row r="2656">
      <c r="A2656" s="568" t="n"/>
      <c r="B2656" s="392" t="n"/>
      <c r="C2656" s="392" t="n"/>
      <c r="D2656" s="392" t="n"/>
      <c r="E2656" s="392" t="n"/>
      <c r="F2656" s="392" t="n"/>
      <c r="G2656" s="392" t="n"/>
      <c r="H2656" s="52" t="n"/>
      <c r="I2656" s="568" t="n"/>
      <c r="J2656" s="568" t="n"/>
      <c r="K2656" s="568" t="n"/>
      <c r="L2656" s="568" t="n"/>
    </row>
    <row r="2657">
      <c r="A2657" s="568" t="n"/>
      <c r="B2657" s="392" t="n"/>
      <c r="C2657" s="392" t="n"/>
      <c r="D2657" s="392" t="n"/>
      <c r="E2657" s="392" t="n"/>
      <c r="F2657" s="392" t="n"/>
      <c r="G2657" s="392" t="n"/>
      <c r="H2657" s="52" t="n"/>
      <c r="I2657" s="568" t="n"/>
      <c r="J2657" s="568" t="n"/>
      <c r="K2657" s="568" t="n"/>
      <c r="L2657" s="568" t="n"/>
    </row>
    <row r="2658">
      <c r="A2658" s="414" t="n"/>
      <c r="H2658" s="171" t="n"/>
      <c r="I2658" s="414" t="n"/>
      <c r="J2658" s="414" t="n"/>
      <c r="K2658" s="414" t="n"/>
      <c r="L2658" s="414" t="n"/>
    </row>
    <row r="2659">
      <c r="A2659" s="414" t="n"/>
      <c r="H2659" s="171" t="n"/>
      <c r="I2659" s="414" t="n"/>
      <c r="J2659" s="414" t="n"/>
      <c r="K2659" s="414" t="n"/>
      <c r="L2659" s="414" t="n"/>
    </row>
    <row r="2660" ht="15.75" customHeight="1" s="436" thickBot="1">
      <c r="A2660" s="414" t="n"/>
      <c r="H2660" s="171" t="n"/>
      <c r="I2660" s="414" t="n"/>
      <c r="J2660" s="414" t="n"/>
      <c r="K2660" s="414" t="n"/>
      <c r="L2660" s="414" t="n"/>
    </row>
    <row r="2661" ht="21.75" customHeight="1" s="436" thickBot="1">
      <c r="A2661" s="757" t="inlineStr">
        <is>
          <t>Outubro</t>
        </is>
      </c>
      <c r="B2661" s="697" t="n"/>
      <c r="C2661" s="697" t="n"/>
      <c r="D2661" s="697" t="n"/>
      <c r="E2661" s="697" t="n"/>
      <c r="F2661" s="697" t="n"/>
      <c r="G2661" s="697" t="n"/>
      <c r="H2661" s="697" t="n"/>
      <c r="I2661" s="697" t="n"/>
      <c r="J2661" s="697" t="n"/>
      <c r="K2661" s="697" t="n"/>
      <c r="L2661" s="698" t="n"/>
    </row>
    <row r="2662" ht="21.75" customHeight="1" s="436" thickBot="1">
      <c r="A2662" s="699" t="inlineStr">
        <is>
          <t xml:space="preserve">021 - DENISE FURTADO DE SOUZA - ME </t>
        </is>
      </c>
      <c r="B2662" s="697" t="n"/>
      <c r="C2662" s="697" t="n"/>
      <c r="D2662" s="697" t="n"/>
      <c r="E2662" s="697" t="n"/>
      <c r="F2662" s="697" t="n"/>
      <c r="G2662" s="697" t="n"/>
      <c r="H2662" s="697" t="n"/>
      <c r="I2662" s="697" t="n"/>
      <c r="J2662" s="697" t="n"/>
      <c r="K2662" s="697" t="n"/>
      <c r="L2662" s="698" t="n"/>
    </row>
    <row r="2663" ht="24" customHeight="1" s="436" thickBot="1">
      <c r="A2663" s="759" t="inlineStr">
        <is>
          <t xml:space="preserve">  PRÉ MISTURA - 25 KG</t>
        </is>
      </c>
      <c r="B2663" s="697" t="n"/>
      <c r="C2663" s="697" t="n"/>
      <c r="D2663" s="697" t="n"/>
      <c r="E2663" s="697" t="n"/>
      <c r="F2663" s="697" t="n"/>
      <c r="G2663" s="697" t="n"/>
      <c r="H2663" s="697" t="n"/>
      <c r="I2663" s="697" t="n"/>
      <c r="J2663" s="697" t="n"/>
      <c r="K2663" s="697" t="n"/>
      <c r="L2663" s="698" t="n"/>
    </row>
    <row r="2664">
      <c r="A2664" s="3" t="inlineStr">
        <is>
          <t>DATA</t>
        </is>
      </c>
      <c r="B2664" s="3" t="inlineStr">
        <is>
          <t>N.F.</t>
        </is>
      </c>
      <c r="C2664" s="3" t="inlineStr">
        <is>
          <t>TIPO</t>
        </is>
      </c>
      <c r="D2664" s="3" t="inlineStr">
        <is>
          <t>PREÇO UNITÁRIO</t>
        </is>
      </c>
      <c r="E2664" s="736" t="n"/>
      <c r="F2664" s="3" t="inlineStr">
        <is>
          <t>QUANTIDADE / KG</t>
        </is>
      </c>
      <c r="G2664" s="737" t="n"/>
      <c r="H2664" s="736" t="n"/>
      <c r="I2664" s="631" t="inlineStr">
        <is>
          <t>PREÇO</t>
        </is>
      </c>
      <c r="J2664" s="631" t="inlineStr">
        <is>
          <t>VALORES</t>
        </is>
      </c>
      <c r="K2664" s="737" t="n"/>
      <c r="L2664" s="736" t="n"/>
    </row>
    <row r="2665" ht="15.75" customHeight="1" s="436" thickBot="1">
      <c r="A2665" s="704" t="n"/>
      <c r="B2665" s="704" t="n"/>
      <c r="C2665" s="704" t="n"/>
      <c r="D2665" s="703" t="n"/>
      <c r="E2665" s="701" t="n"/>
      <c r="F2665" s="705" t="n"/>
      <c r="G2665" s="706" t="n"/>
      <c r="H2665" s="707" t="n"/>
      <c r="I2665" s="704" t="n"/>
      <c r="J2665" s="703" t="n"/>
      <c r="L2665" s="701" t="n"/>
    </row>
    <row r="2666" ht="15.75" customHeight="1" s="436" thickBot="1">
      <c r="A2666" s="704" t="n"/>
      <c r="B2666" s="704" t="n"/>
      <c r="C2666" s="704" t="n"/>
      <c r="D2666" s="705" t="n"/>
      <c r="E2666" s="707" t="n"/>
      <c r="F2666" s="3" t="inlineStr">
        <is>
          <t>ENTRADA</t>
        </is>
      </c>
      <c r="G2666" s="3" t="inlineStr">
        <is>
          <t>SAÍDA</t>
        </is>
      </c>
      <c r="H2666" s="640" t="n"/>
      <c r="I2666" s="633" t="inlineStr">
        <is>
          <t>MÉDIO</t>
        </is>
      </c>
      <c r="J2666" s="739" t="inlineStr">
        <is>
          <t>SALDO EM 30/12/2017</t>
        </is>
      </c>
      <c r="K2666" s="707" t="n"/>
      <c r="L2666" s="17" t="n"/>
    </row>
    <row r="2667" ht="15.75" customHeight="1" s="436" thickBot="1">
      <c r="A2667" s="695" t="n"/>
      <c r="B2667" s="695" t="n"/>
      <c r="C2667" s="695" t="n"/>
      <c r="D2667" s="3" t="inlineStr">
        <is>
          <t>C/ICMS</t>
        </is>
      </c>
      <c r="E2667" s="3" t="inlineStr">
        <is>
          <t>S/ICMS</t>
        </is>
      </c>
      <c r="F2667" s="695" t="n"/>
      <c r="G2667" s="695" t="n"/>
      <c r="H2667" s="361" t="inlineStr">
        <is>
          <t>Saldo em 30/09/2022</t>
        </is>
      </c>
      <c r="I2667" s="695" t="n"/>
      <c r="J2667" s="645" t="inlineStr">
        <is>
          <t>ENTRADA</t>
        </is>
      </c>
      <c r="K2667" s="633" t="inlineStr">
        <is>
          <t>SAÍDA / CMV</t>
        </is>
      </c>
      <c r="L2667" s="633" t="inlineStr">
        <is>
          <t>SALDO</t>
        </is>
      </c>
    </row>
    <row r="2668">
      <c r="A2668" s="568" t="n"/>
      <c r="B2668" s="392" t="n"/>
      <c r="C2668" s="392" t="n"/>
      <c r="D2668" s="392" t="n"/>
      <c r="E2668" s="392" t="n"/>
      <c r="F2668" s="392" t="n"/>
      <c r="G2668" s="392" t="n"/>
      <c r="H2668" s="52" t="n">
        <v>949</v>
      </c>
      <c r="I2668" s="568" t="n"/>
      <c r="J2668" s="568" t="n"/>
      <c r="K2668" s="568" t="n"/>
      <c r="L2668" s="568" t="n"/>
    </row>
    <row r="2669">
      <c r="A2669" s="568" t="n">
        <v>45203</v>
      </c>
      <c r="B2669" s="392" t="n">
        <v>10522</v>
      </c>
      <c r="C2669" s="392" t="n">
        <v>93</v>
      </c>
      <c r="D2669" s="392" t="n"/>
      <c r="E2669" s="392" t="n"/>
      <c r="F2669" s="392" t="n"/>
      <c r="G2669" s="392" t="n">
        <v>20</v>
      </c>
      <c r="H2669" s="52">
        <f>H2668-G2669</f>
        <v/>
      </c>
      <c r="I2669" s="568" t="n"/>
      <c r="J2669" s="568" t="n"/>
      <c r="K2669" s="568" t="n"/>
      <c r="L2669" s="568" t="n"/>
    </row>
    <row r="2670">
      <c r="A2670" s="568" t="n">
        <v>45203</v>
      </c>
      <c r="B2670" s="392" t="n">
        <v>10523</v>
      </c>
      <c r="C2670" s="392" t="n">
        <v>93</v>
      </c>
      <c r="D2670" s="392" t="n"/>
      <c r="E2670" s="392" t="n"/>
      <c r="F2670" s="392" t="n"/>
      <c r="G2670" s="392" t="n">
        <v>30</v>
      </c>
      <c r="H2670" s="52">
        <f>H2669-G2670</f>
        <v/>
      </c>
      <c r="I2670" s="568" t="n"/>
      <c r="J2670" s="568" t="n"/>
      <c r="K2670" s="568" t="n"/>
      <c r="L2670" s="568" t="n"/>
    </row>
    <row r="2671">
      <c r="A2671" s="568" t="n">
        <v>45203</v>
      </c>
      <c r="B2671" s="392" t="n">
        <v>10525</v>
      </c>
      <c r="C2671" s="392" t="n">
        <v>93</v>
      </c>
      <c r="D2671" s="392" t="n"/>
      <c r="E2671" s="392" t="n"/>
      <c r="F2671" s="392" t="n"/>
      <c r="G2671" s="392" t="n">
        <v>30</v>
      </c>
      <c r="H2671" s="52">
        <f>H2670-G2671</f>
        <v/>
      </c>
      <c r="I2671" s="568" t="n"/>
      <c r="J2671" s="568" t="n"/>
      <c r="K2671" s="568" t="n"/>
      <c r="L2671" s="568" t="n"/>
    </row>
    <row r="2672">
      <c r="A2672" s="568" t="n">
        <v>45203</v>
      </c>
      <c r="B2672" s="392" t="n">
        <v>10529</v>
      </c>
      <c r="C2672" s="392" t="n">
        <v>93</v>
      </c>
      <c r="D2672" s="392" t="n"/>
      <c r="E2672" s="392" t="n"/>
      <c r="F2672" s="392" t="n"/>
      <c r="G2672" s="392" t="n">
        <v>10</v>
      </c>
      <c r="H2672" s="52">
        <f>H2671-G2672</f>
        <v/>
      </c>
      <c r="I2672" s="568" t="n"/>
      <c r="J2672" s="568" t="n"/>
      <c r="K2672" s="568" t="n"/>
      <c r="L2672" s="568" t="n"/>
    </row>
    <row r="2673">
      <c r="A2673" s="568" t="n">
        <v>45203</v>
      </c>
      <c r="B2673" s="392" t="n">
        <v>10530</v>
      </c>
      <c r="C2673" s="392" t="n">
        <v>87.90000000000001</v>
      </c>
      <c r="D2673" s="392" t="n"/>
      <c r="E2673" s="392" t="n"/>
      <c r="F2673" s="392" t="n"/>
      <c r="G2673" s="392" t="n">
        <v>20</v>
      </c>
      <c r="H2673" s="52">
        <f>H2672-G2673</f>
        <v/>
      </c>
      <c r="I2673" s="568" t="n"/>
      <c r="J2673" s="568" t="n"/>
      <c r="K2673" s="568" t="n"/>
      <c r="L2673" s="568" t="n"/>
    </row>
    <row r="2674">
      <c r="A2674" s="568" t="n">
        <v>45203</v>
      </c>
      <c r="B2674" s="392" t="n">
        <v>10531</v>
      </c>
      <c r="C2674" s="392" t="n">
        <v>85</v>
      </c>
      <c r="D2674" s="392" t="n"/>
      <c r="E2674" s="392" t="n"/>
      <c r="F2674" s="392" t="n"/>
      <c r="G2674" s="392" t="n">
        <v>10</v>
      </c>
      <c r="H2674" s="52">
        <f>H2673-G2674</f>
        <v/>
      </c>
      <c r="I2674" s="568" t="n"/>
      <c r="J2674" s="568" t="n"/>
      <c r="K2674" s="568" t="n"/>
      <c r="L2674" s="568" t="n"/>
    </row>
    <row r="2675">
      <c r="A2675" s="568" t="n">
        <v>45203</v>
      </c>
      <c r="B2675" s="392" t="n">
        <v>10533</v>
      </c>
      <c r="C2675" s="392" t="n">
        <v>94.5</v>
      </c>
      <c r="D2675" s="392" t="n"/>
      <c r="E2675" s="392" t="n"/>
      <c r="F2675" s="392" t="n"/>
      <c r="G2675" s="392" t="n">
        <v>20</v>
      </c>
      <c r="H2675" s="52">
        <f>H2674-G2675</f>
        <v/>
      </c>
      <c r="I2675" s="568" t="n"/>
      <c r="J2675" s="568" t="n"/>
      <c r="K2675" s="568" t="n"/>
      <c r="L2675" s="568" t="n"/>
    </row>
    <row r="2676">
      <c r="A2676" s="568" t="n">
        <v>45208</v>
      </c>
      <c r="B2676" s="392" t="n">
        <v>10538</v>
      </c>
      <c r="C2676" s="392" t="n">
        <v>85</v>
      </c>
      <c r="D2676" s="392" t="n"/>
      <c r="E2676" s="392" t="n"/>
      <c r="F2676" s="392" t="n"/>
      <c r="G2676" s="392" t="n">
        <v>30</v>
      </c>
      <c r="H2676" s="52">
        <f>H2675-G2676</f>
        <v/>
      </c>
      <c r="I2676" s="568" t="n"/>
      <c r="J2676" s="568" t="n"/>
      <c r="K2676" s="568" t="n"/>
      <c r="L2676" s="568" t="n"/>
    </row>
    <row r="2677">
      <c r="A2677" s="568" t="n">
        <v>45208</v>
      </c>
      <c r="B2677" s="392" t="n">
        <v>10540</v>
      </c>
      <c r="C2677" s="392" t="n">
        <v>93</v>
      </c>
      <c r="D2677" s="392" t="n"/>
      <c r="E2677" s="392" t="n"/>
      <c r="F2677" s="392" t="n"/>
      <c r="G2677" s="392" t="n">
        <v>20</v>
      </c>
      <c r="H2677" s="52">
        <f>H2676-G2677</f>
        <v/>
      </c>
      <c r="I2677" s="568" t="n"/>
      <c r="J2677" s="568" t="n"/>
      <c r="K2677" s="568" t="n"/>
      <c r="L2677" s="568" t="n"/>
    </row>
    <row r="2678">
      <c r="A2678" s="568" t="n">
        <v>45208</v>
      </c>
      <c r="B2678" s="392" t="n">
        <v>10541</v>
      </c>
      <c r="C2678" s="392" t="n">
        <v>93</v>
      </c>
      <c r="D2678" s="392" t="n"/>
      <c r="E2678" s="392" t="n"/>
      <c r="F2678" s="392" t="n"/>
      <c r="G2678" s="392" t="n">
        <v>20</v>
      </c>
      <c r="H2678" s="52">
        <f>H2677-G2678</f>
        <v/>
      </c>
      <c r="I2678" s="568" t="n"/>
      <c r="J2678" s="568" t="n"/>
      <c r="K2678" s="568" t="n"/>
      <c r="L2678" s="568" t="n"/>
    </row>
    <row r="2679">
      <c r="A2679" s="568" t="n">
        <v>45208</v>
      </c>
      <c r="B2679" s="392" t="n">
        <v>10542</v>
      </c>
      <c r="C2679" s="392" t="n">
        <v>93</v>
      </c>
      <c r="D2679" s="392" t="n"/>
      <c r="E2679" s="392" t="n"/>
      <c r="F2679" s="392" t="n"/>
      <c r="G2679" s="392" t="n">
        <v>15</v>
      </c>
      <c r="H2679" s="52">
        <f>H2678-G2679</f>
        <v/>
      </c>
      <c r="I2679" s="568" t="n"/>
      <c r="J2679" s="568" t="n"/>
      <c r="K2679" s="568" t="n"/>
      <c r="L2679" s="568" t="n"/>
    </row>
    <row r="2680">
      <c r="A2680" s="568" t="n">
        <v>45208</v>
      </c>
      <c r="B2680" s="392" t="n">
        <v>10543</v>
      </c>
      <c r="C2680" s="392" t="n">
        <v>85</v>
      </c>
      <c r="D2680" s="392" t="n"/>
      <c r="E2680" s="392" t="n"/>
      <c r="F2680" s="392" t="n"/>
      <c r="G2680" s="392" t="n">
        <v>10</v>
      </c>
      <c r="H2680" s="52">
        <f>H2679-G2680</f>
        <v/>
      </c>
      <c r="I2680" s="568" t="n"/>
      <c r="J2680" s="568" t="n"/>
      <c r="K2680" s="568" t="n"/>
      <c r="L2680" s="568" t="n"/>
    </row>
    <row r="2681">
      <c r="A2681" s="568" t="n">
        <v>45208</v>
      </c>
      <c r="B2681" s="392" t="n">
        <v>10544</v>
      </c>
      <c r="C2681" s="392" t="n">
        <v>94</v>
      </c>
      <c r="D2681" s="392" t="n"/>
      <c r="E2681" s="392" t="n"/>
      <c r="F2681" s="392" t="n"/>
      <c r="G2681" s="392" t="n">
        <v>20</v>
      </c>
      <c r="H2681" s="52">
        <f>H2680-G2681</f>
        <v/>
      </c>
      <c r="I2681" s="568" t="n"/>
      <c r="J2681" s="568" t="n"/>
      <c r="K2681" s="568" t="n"/>
      <c r="L2681" s="568" t="n"/>
    </row>
    <row r="2682">
      <c r="A2682" s="568" t="n">
        <v>45208</v>
      </c>
      <c r="B2682" s="392" t="n">
        <v>10545</v>
      </c>
      <c r="C2682" s="392" t="n">
        <v>88.25</v>
      </c>
      <c r="D2682" s="392" t="n"/>
      <c r="E2682" s="392" t="n"/>
      <c r="F2682" s="392" t="n"/>
      <c r="G2682" s="392" t="n">
        <v>20</v>
      </c>
      <c r="H2682" s="52">
        <f>H2681-G2682</f>
        <v/>
      </c>
      <c r="I2682" s="568" t="n"/>
      <c r="J2682" s="568" t="n"/>
      <c r="K2682" s="568" t="n"/>
      <c r="L2682" s="568" t="n"/>
    </row>
    <row r="2683">
      <c r="A2683" s="568" t="n">
        <v>45208</v>
      </c>
      <c r="B2683" s="392" t="n">
        <v>10546</v>
      </c>
      <c r="C2683" s="392" t="n">
        <v>94</v>
      </c>
      <c r="D2683" s="392" t="n"/>
      <c r="E2683" s="392" t="n"/>
      <c r="F2683" s="392" t="n"/>
      <c r="G2683" s="392" t="n">
        <v>100</v>
      </c>
      <c r="H2683" s="52">
        <f>H2682-G2683</f>
        <v/>
      </c>
      <c r="I2683" s="568" t="n"/>
      <c r="J2683" s="568" t="n"/>
      <c r="K2683" s="568" t="n"/>
      <c r="L2683" s="568" t="n"/>
    </row>
    <row r="2684">
      <c r="A2684" s="568" t="n">
        <v>45208</v>
      </c>
      <c r="B2684" s="392" t="n">
        <v>10550</v>
      </c>
      <c r="C2684" s="392" t="n">
        <v>85</v>
      </c>
      <c r="D2684" s="392" t="n"/>
      <c r="E2684" s="392" t="n"/>
      <c r="F2684" s="392" t="n"/>
      <c r="G2684" s="392" t="n">
        <v>20</v>
      </c>
      <c r="H2684" s="52">
        <f>H2683-G2684</f>
        <v/>
      </c>
      <c r="I2684" s="568" t="n"/>
      <c r="J2684" s="568" t="n"/>
      <c r="K2684" s="568" t="n"/>
      <c r="L2684" s="568" t="n"/>
    </row>
    <row r="2685">
      <c r="A2685" s="568" t="n">
        <v>45209</v>
      </c>
      <c r="B2685" s="392" t="n">
        <v>10557</v>
      </c>
      <c r="C2685" s="392" t="n">
        <v>93.56</v>
      </c>
      <c r="D2685" s="392" t="n"/>
      <c r="E2685" s="392" t="n"/>
      <c r="F2685" s="392" t="n"/>
      <c r="G2685" s="392" t="n">
        <v>45</v>
      </c>
      <c r="H2685" s="52">
        <f>H2684-G2685</f>
        <v/>
      </c>
      <c r="I2685" s="568" t="n"/>
      <c r="J2685" s="568" t="n"/>
      <c r="K2685" s="568" t="n"/>
      <c r="L2685" s="568" t="n"/>
    </row>
    <row r="2686">
      <c r="A2686" s="568" t="n">
        <v>45215</v>
      </c>
      <c r="B2686" s="392" t="n">
        <v>10563</v>
      </c>
      <c r="C2686" s="392" t="n">
        <v>85.67</v>
      </c>
      <c r="D2686" s="392" t="n"/>
      <c r="E2686" s="392" t="n"/>
      <c r="F2686" s="392" t="n"/>
      <c r="G2686" s="392" t="n">
        <v>60</v>
      </c>
      <c r="H2686" s="52">
        <f>H2685-G2686</f>
        <v/>
      </c>
      <c r="I2686" s="568" t="n"/>
      <c r="J2686" s="568" t="n"/>
      <c r="K2686" s="568" t="n"/>
      <c r="L2686" s="568" t="n"/>
    </row>
    <row r="2687">
      <c r="A2687" s="304" t="n">
        <v>45216</v>
      </c>
      <c r="B2687" s="401" t="n">
        <v>229798</v>
      </c>
      <c r="C2687" s="401" t="n">
        <v>73</v>
      </c>
      <c r="D2687" s="401" t="n"/>
      <c r="E2687" s="401" t="n"/>
      <c r="F2687" s="401" t="n">
        <v>700</v>
      </c>
      <c r="G2687" s="401" t="n"/>
      <c r="H2687" s="277" t="n">
        <v>1149</v>
      </c>
      <c r="I2687" s="568" t="n"/>
      <c r="J2687" s="568" t="n"/>
      <c r="K2687" s="568" t="n"/>
      <c r="L2687" s="568" t="n"/>
    </row>
    <row r="2688">
      <c r="A2688" s="304" t="n">
        <v>45222</v>
      </c>
      <c r="B2688" s="401" t="n">
        <v>1768</v>
      </c>
      <c r="C2688" s="401" t="n">
        <v>61</v>
      </c>
      <c r="D2688" s="401" t="n"/>
      <c r="E2688" s="401" t="n"/>
      <c r="F2688" s="401" t="n">
        <v>600</v>
      </c>
      <c r="G2688" s="401" t="n"/>
      <c r="H2688" s="277" t="n">
        <v>1749</v>
      </c>
      <c r="I2688" s="568" t="n"/>
      <c r="J2688" s="568" t="n"/>
      <c r="K2688" s="568" t="n"/>
      <c r="L2688" s="568" t="n"/>
    </row>
    <row r="2689">
      <c r="A2689" s="568" t="n">
        <v>45223</v>
      </c>
      <c r="B2689" s="392" t="n">
        <v>10584</v>
      </c>
      <c r="C2689" s="392" t="n">
        <v>93</v>
      </c>
      <c r="D2689" s="392" t="n"/>
      <c r="E2689" s="392" t="n"/>
      <c r="F2689" s="392" t="n"/>
      <c r="G2689" s="392" t="n">
        <v>20</v>
      </c>
      <c r="H2689" s="52">
        <f>H2688-G2689</f>
        <v/>
      </c>
      <c r="I2689" s="568" t="n"/>
      <c r="J2689" s="568" t="n"/>
      <c r="K2689" s="568" t="n"/>
      <c r="L2689" s="568" t="n"/>
    </row>
    <row r="2690">
      <c r="A2690" s="568" t="n">
        <v>45223</v>
      </c>
      <c r="B2690" s="392" t="n">
        <v>10593</v>
      </c>
      <c r="C2690" s="392" t="n">
        <v>85</v>
      </c>
      <c r="D2690" s="392" t="n"/>
      <c r="E2690" s="392" t="n"/>
      <c r="F2690" s="392" t="n"/>
      <c r="G2690" s="392" t="n">
        <v>20</v>
      </c>
      <c r="H2690" s="52">
        <f>H2689-G2690</f>
        <v/>
      </c>
      <c r="I2690" s="568" t="n"/>
      <c r="J2690" s="568" t="n"/>
      <c r="K2690" s="568" t="n"/>
      <c r="L2690" s="568" t="n"/>
    </row>
    <row r="2691">
      <c r="A2691" s="568" t="n">
        <v>45223</v>
      </c>
      <c r="B2691" s="392" t="n">
        <v>10594</v>
      </c>
      <c r="C2691" s="392" t="n">
        <v>85</v>
      </c>
      <c r="D2691" s="392" t="n"/>
      <c r="E2691" s="392" t="n"/>
      <c r="F2691" s="392" t="n"/>
      <c r="G2691" s="392" t="n">
        <v>12</v>
      </c>
      <c r="H2691" s="52">
        <f>H2690-G2691</f>
        <v/>
      </c>
      <c r="I2691" s="568" t="n"/>
      <c r="J2691" s="568" t="n"/>
      <c r="K2691" s="568" t="n"/>
      <c r="L2691" s="568" t="n"/>
    </row>
    <row r="2692">
      <c r="A2692" s="568" t="n">
        <v>45224</v>
      </c>
      <c r="B2692" s="392" t="n">
        <v>10598</v>
      </c>
      <c r="C2692" s="392" t="n">
        <v>93</v>
      </c>
      <c r="D2692" s="392" t="n"/>
      <c r="E2692" s="392" t="n"/>
      <c r="F2692" s="392" t="n"/>
      <c r="G2692" s="392" t="n">
        <v>30</v>
      </c>
      <c r="H2692" s="52">
        <f>H2691-G2692</f>
        <v/>
      </c>
      <c r="I2692" s="568" t="n"/>
      <c r="J2692" s="568" t="n"/>
      <c r="K2692" s="568" t="n"/>
      <c r="L2692" s="568" t="n"/>
    </row>
    <row r="2693">
      <c r="A2693" s="568" t="n">
        <v>45224</v>
      </c>
      <c r="B2693" s="392" t="n">
        <v>10599</v>
      </c>
      <c r="C2693" s="392" t="n">
        <v>93.59999999999999</v>
      </c>
      <c r="D2693" s="392" t="n"/>
      <c r="E2693" s="392" t="n"/>
      <c r="F2693" s="392" t="n"/>
      <c r="G2693" s="392" t="n">
        <v>47</v>
      </c>
      <c r="H2693" s="52">
        <f>H2692-G2693</f>
        <v/>
      </c>
      <c r="I2693" s="568" t="n"/>
      <c r="J2693" s="568" t="n"/>
      <c r="K2693" s="568" t="n"/>
      <c r="L2693" s="568" t="n"/>
    </row>
    <row r="2694">
      <c r="A2694" s="568" t="n">
        <v>45229</v>
      </c>
      <c r="B2694" s="392" t="n">
        <v>10605</v>
      </c>
      <c r="C2694" s="392" t="n">
        <v>92</v>
      </c>
      <c r="D2694" s="392" t="n"/>
      <c r="E2694" s="392" t="n"/>
      <c r="F2694" s="392" t="n"/>
      <c r="G2694" s="392" t="n">
        <v>30</v>
      </c>
      <c r="H2694" s="52">
        <f>H2693-G2694</f>
        <v/>
      </c>
      <c r="I2694" s="568" t="n"/>
      <c r="J2694" s="568" t="n"/>
      <c r="K2694" s="568" t="n"/>
      <c r="L2694" s="568" t="n"/>
    </row>
    <row r="2695">
      <c r="A2695" s="568" t="n">
        <v>45230</v>
      </c>
      <c r="B2695" s="392" t="n">
        <v>10607</v>
      </c>
      <c r="C2695" s="392" t="n">
        <v>86.09999999999999</v>
      </c>
      <c r="D2695" s="392" t="n"/>
      <c r="E2695" s="392" t="n"/>
      <c r="F2695" s="392" t="n"/>
      <c r="G2695" s="392" t="n">
        <v>11</v>
      </c>
      <c r="H2695" s="52">
        <f>H2694-G2695</f>
        <v/>
      </c>
      <c r="I2695" s="568" t="n"/>
      <c r="J2695" s="568" t="n"/>
      <c r="K2695" s="568" t="n"/>
      <c r="L2695" s="568" t="n"/>
    </row>
    <row r="2696">
      <c r="A2696" s="568" t="n">
        <v>45230</v>
      </c>
      <c r="B2696" s="392" t="n">
        <v>10609</v>
      </c>
      <c r="C2696" s="392" t="n">
        <v>93</v>
      </c>
      <c r="D2696" s="392" t="n"/>
      <c r="E2696" s="392" t="n"/>
      <c r="F2696" s="392" t="n"/>
      <c r="G2696" s="392" t="n">
        <v>20</v>
      </c>
      <c r="H2696" s="52">
        <f>H2695-G2696</f>
        <v/>
      </c>
      <c r="I2696" s="568" t="n"/>
      <c r="J2696" s="568" t="n"/>
      <c r="K2696" s="568" t="n"/>
      <c r="L2696" s="568" t="n"/>
    </row>
    <row r="2697">
      <c r="A2697" s="568" t="n">
        <v>45230</v>
      </c>
      <c r="B2697" s="392" t="n">
        <v>10610</v>
      </c>
      <c r="C2697" s="392" t="n">
        <v>93</v>
      </c>
      <c r="D2697" s="392" t="n"/>
      <c r="E2697" s="392" t="n"/>
      <c r="F2697" s="392" t="n"/>
      <c r="G2697" s="392" t="n">
        <v>20</v>
      </c>
      <c r="H2697" s="52">
        <f>H2696-G2697</f>
        <v/>
      </c>
      <c r="I2697" s="568" t="n"/>
      <c r="J2697" s="568" t="n"/>
      <c r="K2697" s="568" t="n"/>
      <c r="L2697" s="568" t="n"/>
    </row>
    <row r="2698">
      <c r="A2698" s="568" t="n">
        <v>45230</v>
      </c>
      <c r="B2698" s="392" t="n">
        <v>10611</v>
      </c>
      <c r="C2698" s="392" t="n">
        <v>85</v>
      </c>
      <c r="D2698" s="392" t="n"/>
      <c r="E2698" s="392" t="n"/>
      <c r="F2698" s="392" t="n"/>
      <c r="G2698" s="392" t="n">
        <v>20</v>
      </c>
      <c r="H2698" s="52">
        <f>H2697-G2698</f>
        <v/>
      </c>
      <c r="I2698" s="568" t="n"/>
      <c r="J2698" s="568" t="n"/>
      <c r="K2698" s="568" t="n"/>
      <c r="L2698" s="568" t="n"/>
    </row>
    <row r="2699">
      <c r="A2699" s="568" t="n">
        <v>45230</v>
      </c>
      <c r="B2699" s="392" t="n">
        <v>10612</v>
      </c>
      <c r="C2699" s="392" t="n">
        <v>88</v>
      </c>
      <c r="D2699" s="392" t="n"/>
      <c r="E2699" s="392" t="n"/>
      <c r="F2699" s="392" t="n"/>
      <c r="G2699" s="392" t="n">
        <v>20</v>
      </c>
      <c r="H2699" s="52">
        <f>H2698-G2699</f>
        <v/>
      </c>
      <c r="I2699" s="568" t="n"/>
      <c r="J2699" s="568" t="n"/>
      <c r="K2699" s="568" t="n"/>
      <c r="L2699" s="568" t="n"/>
    </row>
    <row r="2700">
      <c r="A2700" s="568" t="n">
        <v>45230</v>
      </c>
      <c r="B2700" s="392" t="n">
        <v>10613</v>
      </c>
      <c r="C2700" s="392" t="n">
        <v>82</v>
      </c>
      <c r="D2700" s="392" t="n"/>
      <c r="E2700" s="392" t="n"/>
      <c r="F2700" s="392" t="n"/>
      <c r="G2700" s="392" t="n">
        <v>25</v>
      </c>
      <c r="H2700" s="52">
        <f>H2699-G2700</f>
        <v/>
      </c>
      <c r="I2700" s="568" t="n"/>
      <c r="J2700" s="568" t="n"/>
      <c r="K2700" s="568" t="n"/>
      <c r="L2700" s="568" t="n"/>
    </row>
    <row r="2701">
      <c r="A2701" s="568" t="n">
        <v>45230</v>
      </c>
      <c r="B2701" s="392" t="n">
        <v>10614</v>
      </c>
      <c r="C2701" s="392" t="n">
        <v>93</v>
      </c>
      <c r="D2701" s="392" t="n"/>
      <c r="E2701" s="392" t="n"/>
      <c r="F2701" s="392" t="n"/>
      <c r="G2701" s="392" t="n">
        <v>40</v>
      </c>
      <c r="H2701" s="52">
        <f>H2700-G2701</f>
        <v/>
      </c>
      <c r="I2701" s="568" t="n"/>
      <c r="J2701" s="568" t="n"/>
      <c r="K2701" s="568" t="n"/>
      <c r="L2701" s="568" t="n"/>
    </row>
    <row r="2702">
      <c r="A2702" s="568" t="n">
        <v>45230</v>
      </c>
      <c r="B2702" s="392" t="n">
        <v>10615</v>
      </c>
      <c r="C2702" s="392" t="n">
        <v>85</v>
      </c>
      <c r="D2702" s="392" t="n"/>
      <c r="E2702" s="392" t="n"/>
      <c r="F2702" s="392" t="n"/>
      <c r="G2702" s="392" t="n">
        <v>15</v>
      </c>
      <c r="H2702" s="52">
        <f>H2701-G2702</f>
        <v/>
      </c>
      <c r="I2702" s="568" t="n"/>
      <c r="J2702" s="568" t="n"/>
      <c r="K2702" s="568" t="n"/>
      <c r="L2702" s="568" t="n"/>
    </row>
    <row r="2703">
      <c r="A2703" s="568" t="n">
        <v>45230</v>
      </c>
      <c r="B2703" s="392" t="n">
        <v>10618</v>
      </c>
      <c r="C2703" s="392" t="n">
        <v>93.59999999999999</v>
      </c>
      <c r="D2703" s="392" t="n"/>
      <c r="E2703" s="392" t="n"/>
      <c r="F2703" s="392" t="n"/>
      <c r="G2703" s="392" t="n">
        <v>47</v>
      </c>
      <c r="H2703" s="52">
        <f>H2702-G2703</f>
        <v/>
      </c>
      <c r="I2703" s="568" t="n"/>
      <c r="J2703" s="568" t="n"/>
      <c r="K2703" s="568" t="n"/>
      <c r="L2703" s="568" t="n"/>
    </row>
    <row r="2704" ht="15.75" customHeight="1" s="436" thickBot="1">
      <c r="A2704" s="414" t="n"/>
      <c r="H2704" s="171" t="n"/>
      <c r="I2704" s="414" t="n"/>
      <c r="J2704" s="414" t="n"/>
      <c r="K2704" s="414" t="n"/>
      <c r="L2704" s="414" t="n"/>
    </row>
    <row r="2705" ht="21.75" customHeight="1" s="436" thickBot="1">
      <c r="A2705" s="757" t="inlineStr">
        <is>
          <t>Novembro</t>
        </is>
      </c>
      <c r="B2705" s="697" t="n"/>
      <c r="C2705" s="697" t="n"/>
      <c r="D2705" s="697" t="n"/>
      <c r="E2705" s="697" t="n"/>
      <c r="F2705" s="697" t="n"/>
      <c r="G2705" s="697" t="n"/>
      <c r="H2705" s="697" t="n"/>
      <c r="I2705" s="697" t="n"/>
      <c r="J2705" s="697" t="n"/>
      <c r="K2705" s="697" t="n"/>
      <c r="L2705" s="698" t="n"/>
    </row>
    <row r="2706" ht="21.75" customHeight="1" s="436" thickBot="1">
      <c r="A2706" s="699" t="inlineStr">
        <is>
          <t xml:space="preserve">021 - DENISE FURTADO DE SOUZA - ME </t>
        </is>
      </c>
      <c r="B2706" s="697" t="n"/>
      <c r="C2706" s="697" t="n"/>
      <c r="D2706" s="697" t="n"/>
      <c r="E2706" s="697" t="n"/>
      <c r="F2706" s="697" t="n"/>
      <c r="G2706" s="697" t="n"/>
      <c r="H2706" s="697" t="n"/>
      <c r="I2706" s="697" t="n"/>
      <c r="J2706" s="697" t="n"/>
      <c r="K2706" s="697" t="n"/>
      <c r="L2706" s="698" t="n"/>
    </row>
    <row r="2707" ht="24" customHeight="1" s="436" thickBot="1">
      <c r="A2707" s="759" t="inlineStr">
        <is>
          <t xml:space="preserve">  PRÉ MISTURA - 25 KG</t>
        </is>
      </c>
      <c r="B2707" s="697" t="n"/>
      <c r="C2707" s="697" t="n"/>
      <c r="D2707" s="697" t="n"/>
      <c r="E2707" s="697" t="n"/>
      <c r="F2707" s="697" t="n"/>
      <c r="G2707" s="697" t="n"/>
      <c r="H2707" s="697" t="n"/>
      <c r="I2707" s="697" t="n"/>
      <c r="J2707" s="697" t="n"/>
      <c r="K2707" s="697" t="n"/>
      <c r="L2707" s="698" t="n"/>
    </row>
    <row r="2708">
      <c r="A2708" s="3" t="inlineStr">
        <is>
          <t>DATA</t>
        </is>
      </c>
      <c r="B2708" s="3" t="inlineStr">
        <is>
          <t>N.F.</t>
        </is>
      </c>
      <c r="C2708" s="3" t="inlineStr">
        <is>
          <t>TIPO</t>
        </is>
      </c>
      <c r="D2708" s="3" t="inlineStr">
        <is>
          <t>PREÇO UNITÁRIO</t>
        </is>
      </c>
      <c r="E2708" s="736" t="n"/>
      <c r="F2708" s="3" t="inlineStr">
        <is>
          <t>QUANTIDADE / KG</t>
        </is>
      </c>
      <c r="G2708" s="737" t="n"/>
      <c r="H2708" s="736" t="n"/>
      <c r="I2708" s="631" t="inlineStr">
        <is>
          <t>PREÇO</t>
        </is>
      </c>
      <c r="J2708" s="631" t="inlineStr">
        <is>
          <t>VALORES</t>
        </is>
      </c>
      <c r="K2708" s="737" t="n"/>
      <c r="L2708" s="736" t="n"/>
    </row>
    <row r="2709" ht="15.75" customHeight="1" s="436" thickBot="1">
      <c r="A2709" s="704" t="n"/>
      <c r="B2709" s="704" t="n"/>
      <c r="C2709" s="704" t="n"/>
      <c r="D2709" s="703" t="n"/>
      <c r="E2709" s="701" t="n"/>
      <c r="F2709" s="705" t="n"/>
      <c r="G2709" s="706" t="n"/>
      <c r="H2709" s="707" t="n"/>
      <c r="I2709" s="704" t="n"/>
      <c r="J2709" s="703" t="n"/>
      <c r="L2709" s="701" t="n"/>
    </row>
    <row r="2710" ht="15.75" customHeight="1" s="436" thickBot="1">
      <c r="A2710" s="704" t="n"/>
      <c r="B2710" s="704" t="n"/>
      <c r="C2710" s="704" t="n"/>
      <c r="D2710" s="705" t="n"/>
      <c r="E2710" s="707" t="n"/>
      <c r="F2710" s="3" t="inlineStr">
        <is>
          <t>ENTRADA</t>
        </is>
      </c>
      <c r="G2710" s="3" t="inlineStr">
        <is>
          <t>SAÍDA</t>
        </is>
      </c>
      <c r="H2710" s="640" t="n"/>
      <c r="I2710" s="633" t="inlineStr">
        <is>
          <t>MÉDIO</t>
        </is>
      </c>
      <c r="J2710" s="739" t="inlineStr">
        <is>
          <t>SALDO EM 30/12/2017</t>
        </is>
      </c>
      <c r="K2710" s="707" t="n"/>
      <c r="L2710" s="17" t="n"/>
    </row>
    <row r="2711" ht="15.75" customHeight="1" s="436" thickBot="1">
      <c r="A2711" s="695" t="n"/>
      <c r="B2711" s="695" t="n"/>
      <c r="C2711" s="695" t="n"/>
      <c r="D2711" s="3" t="inlineStr">
        <is>
          <t>C/ICMS</t>
        </is>
      </c>
      <c r="E2711" s="3" t="inlineStr">
        <is>
          <t>S/ICMS</t>
        </is>
      </c>
      <c r="F2711" s="695" t="n"/>
      <c r="G2711" s="695" t="n"/>
      <c r="H2711" s="361" t="inlineStr">
        <is>
          <t>Saldo em 30/10/2022</t>
        </is>
      </c>
      <c r="I2711" s="695" t="n"/>
      <c r="J2711" s="645" t="inlineStr">
        <is>
          <t>ENTRADA</t>
        </is>
      </c>
      <c r="K2711" s="633" t="inlineStr">
        <is>
          <t>SAÍDA / CMV</t>
        </is>
      </c>
      <c r="L2711" s="633" t="inlineStr">
        <is>
          <t>SALDO</t>
        </is>
      </c>
    </row>
    <row r="2712">
      <c r="A2712" s="568" t="n"/>
      <c r="B2712" s="392" t="n"/>
      <c r="C2712" s="392" t="n"/>
      <c r="D2712" s="392" t="n"/>
      <c r="E2712" s="392" t="n"/>
      <c r="F2712" s="392" t="n"/>
      <c r="G2712" s="392" t="n"/>
      <c r="H2712" s="52" t="n">
        <v>1372</v>
      </c>
      <c r="I2712" s="568" t="n"/>
      <c r="J2712" s="568" t="n"/>
      <c r="K2712" s="568" t="n"/>
      <c r="L2712" s="568" t="n"/>
    </row>
    <row r="2713">
      <c r="A2713" s="568" t="n">
        <v>45237</v>
      </c>
      <c r="B2713" s="392" t="n">
        <v>10619</v>
      </c>
      <c r="C2713" s="392" t="n">
        <v>93.3</v>
      </c>
      <c r="D2713" s="392" t="n"/>
      <c r="E2713" s="392" t="n"/>
      <c r="F2713" s="392" t="n"/>
      <c r="G2713" s="392" t="n">
        <v>60</v>
      </c>
      <c r="H2713" s="52">
        <f>H2712-G2713</f>
        <v/>
      </c>
      <c r="I2713" s="568" t="n"/>
      <c r="J2713" s="568" t="n"/>
      <c r="K2713" s="568" t="n"/>
      <c r="L2713" s="568" t="n"/>
    </row>
    <row r="2714">
      <c r="A2714" s="568" t="n">
        <v>45237</v>
      </c>
      <c r="B2714" s="392" t="n">
        <v>10626</v>
      </c>
      <c r="C2714" s="392" t="n">
        <v>93</v>
      </c>
      <c r="D2714" s="392" t="n"/>
      <c r="E2714" s="392" t="n"/>
      <c r="F2714" s="392" t="n"/>
      <c r="G2714" s="392" t="n">
        <v>20</v>
      </c>
      <c r="H2714" s="52">
        <f>H2713-G2714</f>
        <v/>
      </c>
      <c r="I2714" s="568" t="n"/>
      <c r="J2714" s="568" t="n"/>
      <c r="K2714" s="568" t="n"/>
      <c r="L2714" s="568" t="n"/>
    </row>
    <row r="2715">
      <c r="A2715" s="568" t="n">
        <v>45237</v>
      </c>
      <c r="B2715" s="392" t="n">
        <v>10627</v>
      </c>
      <c r="C2715" s="392" t="n">
        <v>85</v>
      </c>
      <c r="D2715" s="392" t="n"/>
      <c r="E2715" s="392" t="n"/>
      <c r="F2715" s="392" t="n"/>
      <c r="G2715" s="392" t="n">
        <v>20</v>
      </c>
      <c r="H2715" s="52">
        <f>H2714-G2715</f>
        <v/>
      </c>
      <c r="I2715" s="568" t="n"/>
      <c r="J2715" s="568" t="n"/>
      <c r="K2715" s="568" t="n"/>
      <c r="L2715" s="568" t="n"/>
    </row>
    <row r="2716">
      <c r="A2716" s="568" t="n">
        <v>45237</v>
      </c>
      <c r="B2716" s="392" t="n">
        <v>10629</v>
      </c>
      <c r="C2716" s="392" t="n">
        <v>94</v>
      </c>
      <c r="D2716" s="392" t="n"/>
      <c r="E2716" s="392" t="n"/>
      <c r="F2716" s="392" t="n"/>
      <c r="G2716" s="392" t="n">
        <v>40</v>
      </c>
      <c r="H2716" s="52">
        <f>H2715-G2716</f>
        <v/>
      </c>
      <c r="I2716" s="568" t="n"/>
      <c r="J2716" s="568" t="n"/>
      <c r="K2716" s="568" t="n"/>
      <c r="L2716" s="568" t="n"/>
    </row>
    <row r="2717">
      <c r="A2717" s="568" t="n">
        <v>45238</v>
      </c>
      <c r="B2717" s="392" t="n">
        <v>10632</v>
      </c>
      <c r="C2717" s="392" t="n">
        <v>86.5</v>
      </c>
      <c r="D2717" s="392" t="n"/>
      <c r="E2717" s="392" t="n"/>
      <c r="F2717" s="392" t="n"/>
      <c r="G2717" s="392" t="n">
        <v>100</v>
      </c>
      <c r="H2717" s="52">
        <f>H2716-G2717</f>
        <v/>
      </c>
      <c r="I2717" s="568" t="n"/>
      <c r="J2717" s="568" t="n"/>
      <c r="K2717" s="568" t="n"/>
      <c r="L2717" s="568" t="n"/>
    </row>
    <row r="2718">
      <c r="A2718" s="568" t="n">
        <v>45238</v>
      </c>
      <c r="B2718" s="392" t="n">
        <v>10635</v>
      </c>
      <c r="C2718" s="392" t="n">
        <v>94</v>
      </c>
      <c r="D2718" s="392" t="n"/>
      <c r="E2718" s="392" t="n"/>
      <c r="F2718" s="392" t="n"/>
      <c r="G2718" s="392" t="n">
        <v>20</v>
      </c>
      <c r="H2718" s="52">
        <f>H2717-G2718</f>
        <v/>
      </c>
      <c r="I2718" s="568" t="n"/>
      <c r="J2718" s="568" t="n"/>
      <c r="K2718" s="568" t="n"/>
      <c r="L2718" s="568" t="n"/>
    </row>
    <row r="2719">
      <c r="A2719" s="568" t="n">
        <v>45238</v>
      </c>
      <c r="B2719" s="392" t="n">
        <v>10636</v>
      </c>
      <c r="C2719" s="392" t="n">
        <v>93.59999999999999</v>
      </c>
      <c r="D2719" s="392" t="n"/>
      <c r="E2719" s="392" t="n"/>
      <c r="F2719" s="392" t="n"/>
      <c r="G2719" s="392" t="n">
        <v>47</v>
      </c>
      <c r="H2719" s="52">
        <f>H2718-G2719</f>
        <v/>
      </c>
      <c r="I2719" s="568" t="n"/>
      <c r="J2719" s="568" t="n"/>
      <c r="K2719" s="568" t="n"/>
      <c r="L2719" s="568" t="n"/>
    </row>
    <row r="2720">
      <c r="A2720" s="568" t="n">
        <v>45239</v>
      </c>
      <c r="B2720" s="392" t="n">
        <v>10637</v>
      </c>
      <c r="C2720" s="392" t="n">
        <v>93</v>
      </c>
      <c r="D2720" s="392" t="n"/>
      <c r="E2720" s="392" t="n"/>
      <c r="F2720" s="392" t="n"/>
      <c r="G2720" s="392" t="n">
        <v>15</v>
      </c>
      <c r="H2720" s="52">
        <f>H2719-G2720</f>
        <v/>
      </c>
      <c r="I2720" s="568" t="n"/>
      <c r="J2720" s="568" t="n"/>
      <c r="K2720" s="568" t="n"/>
      <c r="L2720" s="568" t="n"/>
    </row>
    <row r="2721">
      <c r="A2721" s="304" t="n">
        <v>45238</v>
      </c>
      <c r="B2721" s="401" t="n">
        <v>231648</v>
      </c>
      <c r="C2721" s="401" t="n">
        <v>73</v>
      </c>
      <c r="D2721" s="401" t="n"/>
      <c r="E2721" s="401" t="n">
        <v>930</v>
      </c>
      <c r="F2721" s="401" t="n"/>
      <c r="G2721" s="401" t="n"/>
      <c r="H2721" s="277" t="n">
        <v>1980</v>
      </c>
      <c r="I2721" s="568" t="n"/>
      <c r="J2721" s="568" t="n"/>
      <c r="K2721" s="568" t="n"/>
      <c r="L2721" s="568" t="n"/>
    </row>
    <row r="2722">
      <c r="A2722" s="568" t="n">
        <v>45243</v>
      </c>
      <c r="B2722" s="392" t="n">
        <v>10639</v>
      </c>
      <c r="C2722" s="392" t="n">
        <v>93.67</v>
      </c>
      <c r="D2722" s="392" t="n"/>
      <c r="E2722" s="392" t="n"/>
      <c r="F2722" s="392" t="n"/>
      <c r="G2722" s="392" t="n">
        <v>120</v>
      </c>
      <c r="H2722" s="52">
        <f>H2721-G2722</f>
        <v/>
      </c>
      <c r="I2722" s="568" t="n"/>
      <c r="J2722" s="568" t="n"/>
      <c r="K2722" s="568" t="n"/>
      <c r="L2722" s="568" t="n"/>
    </row>
    <row r="2723">
      <c r="A2723" s="568" t="n">
        <v>45243</v>
      </c>
      <c r="B2723" s="392" t="n">
        <v>10641</v>
      </c>
      <c r="C2723" s="392" t="n">
        <v>93</v>
      </c>
      <c r="D2723" s="392" t="n"/>
      <c r="E2723" s="392" t="n"/>
      <c r="F2723" s="392" t="n"/>
      <c r="G2723" s="392" t="n">
        <v>30</v>
      </c>
      <c r="H2723" s="52">
        <f>H2722-G2723</f>
        <v/>
      </c>
      <c r="I2723" s="568" t="n"/>
      <c r="J2723" s="568" t="n"/>
      <c r="K2723" s="568" t="n"/>
      <c r="L2723" s="568" t="n"/>
    </row>
    <row r="2724">
      <c r="A2724" s="568" t="n">
        <v>45243</v>
      </c>
      <c r="B2724" s="392" t="n">
        <v>10642</v>
      </c>
      <c r="C2724" s="392" t="n">
        <v>93</v>
      </c>
      <c r="D2724" s="392" t="n"/>
      <c r="E2724" s="392" t="n"/>
      <c r="F2724" s="392" t="n"/>
      <c r="G2724" s="392" t="n">
        <v>30</v>
      </c>
      <c r="H2724" s="52">
        <f>H2723-G2724</f>
        <v/>
      </c>
      <c r="I2724" s="568" t="n"/>
      <c r="J2724" s="568" t="n"/>
      <c r="K2724" s="568" t="n"/>
      <c r="L2724" s="568" t="n"/>
    </row>
    <row r="2725">
      <c r="A2725" s="568" t="n">
        <v>45243</v>
      </c>
      <c r="B2725" s="392" t="n">
        <v>10644</v>
      </c>
      <c r="C2725" s="392" t="n">
        <v>94.84</v>
      </c>
      <c r="D2725" s="392" t="n"/>
      <c r="E2725" s="392" t="n"/>
      <c r="F2725" s="392" t="n"/>
      <c r="G2725" s="392" t="n">
        <v>37</v>
      </c>
      <c r="H2725" s="52">
        <f>H2724-G2725</f>
        <v/>
      </c>
      <c r="I2725" s="568" t="n"/>
      <c r="J2725" s="568" t="n"/>
      <c r="K2725" s="568" t="n"/>
      <c r="L2725" s="568" t="n"/>
    </row>
    <row r="2726">
      <c r="A2726" s="568" t="n">
        <v>45243</v>
      </c>
      <c r="B2726" s="392" t="n">
        <v>10646</v>
      </c>
      <c r="C2726" s="392" t="n">
        <v>93</v>
      </c>
      <c r="D2726" s="392" t="n"/>
      <c r="E2726" s="392" t="n"/>
      <c r="F2726" s="392" t="n"/>
      <c r="G2726" s="392" t="n">
        <v>20</v>
      </c>
      <c r="H2726" s="52">
        <f>H2725-G2726</f>
        <v/>
      </c>
      <c r="I2726" s="568" t="n"/>
      <c r="J2726" s="568" t="n"/>
      <c r="K2726" s="568" t="n"/>
      <c r="L2726" s="568" t="n"/>
    </row>
    <row r="2727">
      <c r="A2727" s="568" t="n">
        <v>45245</v>
      </c>
      <c r="B2727" s="392" t="n">
        <v>10648</v>
      </c>
      <c r="C2727" s="392" t="n">
        <v>93.59999999999999</v>
      </c>
      <c r="D2727" s="392" t="n"/>
      <c r="E2727" s="392" t="n"/>
      <c r="F2727" s="392" t="n"/>
      <c r="G2727" s="392" t="n">
        <v>47</v>
      </c>
      <c r="H2727" s="52">
        <f>H2726-G2727</f>
        <v/>
      </c>
      <c r="I2727" s="568" t="n"/>
      <c r="J2727" s="568" t="n"/>
      <c r="K2727" s="568" t="n"/>
      <c r="L2727" s="568" t="n"/>
    </row>
    <row r="2728">
      <c r="A2728" s="568" t="n">
        <v>45245</v>
      </c>
      <c r="B2728" s="392" t="n">
        <v>10650</v>
      </c>
      <c r="C2728" s="392" t="n">
        <v>89</v>
      </c>
      <c r="D2728" s="392" t="n"/>
      <c r="E2728" s="392" t="n"/>
      <c r="F2728" s="392" t="n"/>
      <c r="G2728" s="392" t="n">
        <v>40</v>
      </c>
      <c r="H2728" s="52">
        <f>H2727-G2728</f>
        <v/>
      </c>
      <c r="I2728" s="568" t="n"/>
      <c r="J2728" s="568" t="n"/>
      <c r="K2728" s="568" t="n"/>
      <c r="L2728" s="568" t="n"/>
    </row>
    <row r="2729">
      <c r="A2729" s="568" t="n">
        <v>45250</v>
      </c>
      <c r="B2729" s="392" t="n">
        <v>10659</v>
      </c>
      <c r="C2729" s="392" t="n">
        <v>93</v>
      </c>
      <c r="D2729" s="392" t="n"/>
      <c r="E2729" s="392" t="n"/>
      <c r="F2729" s="392" t="n"/>
      <c r="G2729" s="392" t="n">
        <v>40</v>
      </c>
      <c r="H2729" s="52">
        <f>H2728-G2729</f>
        <v/>
      </c>
      <c r="I2729" s="568" t="n"/>
      <c r="J2729" s="568" t="n"/>
      <c r="K2729" s="568" t="n"/>
      <c r="L2729" s="568" t="n"/>
    </row>
    <row r="2730">
      <c r="A2730" s="568" t="n">
        <v>45250</v>
      </c>
      <c r="B2730" s="392" t="n">
        <v>10662</v>
      </c>
      <c r="C2730" s="392" t="n">
        <v>90</v>
      </c>
      <c r="D2730" s="392" t="n"/>
      <c r="E2730" s="392" t="n"/>
      <c r="F2730" s="392" t="n"/>
      <c r="G2730" s="392" t="n">
        <v>36</v>
      </c>
      <c r="H2730" s="52">
        <f>H2729-G2730</f>
        <v/>
      </c>
      <c r="I2730" s="568" t="n"/>
      <c r="J2730" s="568" t="n"/>
      <c r="K2730" s="568" t="n"/>
      <c r="L2730" s="568" t="n"/>
    </row>
    <row r="2731">
      <c r="A2731" s="568" t="n">
        <v>45252</v>
      </c>
      <c r="B2731" s="392" t="n">
        <v>10664</v>
      </c>
      <c r="C2731" s="392" t="n">
        <v>93.3</v>
      </c>
      <c r="D2731" s="392" t="n"/>
      <c r="E2731" s="392" t="n"/>
      <c r="F2731" s="392" t="n"/>
      <c r="G2731" s="392" t="n">
        <v>47</v>
      </c>
      <c r="H2731" s="52">
        <f>H2730-G2731</f>
        <v/>
      </c>
      <c r="I2731" s="568" t="n"/>
      <c r="J2731" s="568" t="n"/>
      <c r="K2731" s="568" t="n"/>
      <c r="L2731" s="568" t="n"/>
    </row>
    <row r="2732">
      <c r="A2732" s="568" t="n">
        <v>45252</v>
      </c>
      <c r="B2732" s="392" t="n">
        <v>10665</v>
      </c>
      <c r="C2732" s="392" t="n">
        <v>93</v>
      </c>
      <c r="D2732" s="392" t="n"/>
      <c r="E2732" s="392" t="n"/>
      <c r="F2732" s="392" t="n"/>
      <c r="G2732" s="392" t="n">
        <v>20</v>
      </c>
      <c r="H2732" s="52">
        <f>H2731-G2732</f>
        <v/>
      </c>
      <c r="I2732" s="568" t="n"/>
      <c r="J2732" s="568" t="n"/>
      <c r="K2732" s="568" t="n"/>
      <c r="L2732" s="568" t="n"/>
    </row>
    <row r="2733">
      <c r="A2733" s="568" t="n">
        <v>45252</v>
      </c>
      <c r="B2733" s="392" t="n">
        <v>10666</v>
      </c>
      <c r="C2733" s="392" t="n">
        <v>86.2</v>
      </c>
      <c r="D2733" s="392" t="n"/>
      <c r="E2733" s="392" t="n"/>
      <c r="F2733" s="392" t="n"/>
      <c r="G2733" s="392" t="n">
        <v>10</v>
      </c>
      <c r="H2733" s="52">
        <f>H2732-G2733</f>
        <v/>
      </c>
      <c r="I2733" s="568" t="n"/>
      <c r="J2733" s="568" t="n"/>
      <c r="K2733" s="568" t="n"/>
      <c r="L2733" s="568" t="n"/>
    </row>
    <row r="2734">
      <c r="A2734" s="568" t="n">
        <v>45252</v>
      </c>
      <c r="B2734" s="392" t="n">
        <v>10668</v>
      </c>
      <c r="C2734" s="392" t="n">
        <v>85</v>
      </c>
      <c r="D2734" s="392" t="n"/>
      <c r="E2734" s="392" t="n"/>
      <c r="F2734" s="392" t="n"/>
      <c r="G2734" s="392" t="n">
        <v>12</v>
      </c>
      <c r="H2734" s="52">
        <f>H2733-G2734</f>
        <v/>
      </c>
      <c r="I2734" s="568" t="n"/>
      <c r="J2734" s="568" t="n"/>
      <c r="K2734" s="568" t="n"/>
      <c r="L2734" s="568" t="n"/>
    </row>
    <row r="2735">
      <c r="A2735" s="568" t="n">
        <v>45252</v>
      </c>
      <c r="B2735" s="392" t="n">
        <v>10669</v>
      </c>
      <c r="C2735" s="392" t="n">
        <v>87.56999999999999</v>
      </c>
      <c r="D2735" s="392" t="n"/>
      <c r="E2735" s="392" t="n"/>
      <c r="F2735" s="392" t="n"/>
      <c r="G2735" s="392" t="n">
        <v>21</v>
      </c>
      <c r="H2735" s="52">
        <f>H2734-G2735</f>
        <v/>
      </c>
      <c r="I2735" s="568" t="n"/>
      <c r="J2735" s="568" t="n"/>
      <c r="K2735" s="568" t="n"/>
      <c r="L2735" s="568" t="n"/>
    </row>
    <row r="2736">
      <c r="A2736" s="568" t="n">
        <v>45252</v>
      </c>
      <c r="B2736" s="392" t="n">
        <v>10670</v>
      </c>
      <c r="C2736" s="392" t="n">
        <v>78</v>
      </c>
      <c r="D2736" s="392" t="n"/>
      <c r="E2736" s="392" t="n"/>
      <c r="F2736" s="392" t="n"/>
      <c r="G2736" s="392" t="n">
        <v>10</v>
      </c>
      <c r="H2736" s="52">
        <f>H2735-G2736</f>
        <v/>
      </c>
      <c r="I2736" s="568" t="n"/>
      <c r="J2736" s="568" t="n"/>
      <c r="K2736" s="568" t="n"/>
      <c r="L2736" s="568" t="n"/>
    </row>
    <row r="2737">
      <c r="A2737" s="568" t="n">
        <v>45258</v>
      </c>
      <c r="B2737" s="392" t="n">
        <v>10674</v>
      </c>
      <c r="C2737" s="392" t="n">
        <v>93</v>
      </c>
      <c r="D2737" s="392" t="n"/>
      <c r="E2737" s="392" t="n"/>
      <c r="F2737" s="392" t="n"/>
      <c r="G2737" s="392" t="n">
        <v>15</v>
      </c>
      <c r="H2737" s="52">
        <f>H2736-G2737</f>
        <v/>
      </c>
      <c r="I2737" s="568" t="n"/>
      <c r="J2737" s="568" t="n"/>
      <c r="K2737" s="568" t="n"/>
      <c r="L2737" s="568" t="n"/>
    </row>
    <row r="2738">
      <c r="A2738" s="568" t="n">
        <v>45258</v>
      </c>
      <c r="B2738" s="392" t="n">
        <v>10679</v>
      </c>
      <c r="C2738" s="392" t="n">
        <v>85</v>
      </c>
      <c r="D2738" s="392" t="n"/>
      <c r="E2738" s="392" t="n"/>
      <c r="F2738" s="392" t="n"/>
      <c r="G2738" s="392" t="n">
        <v>20</v>
      </c>
      <c r="H2738" s="52">
        <f>H2737-G2738</f>
        <v/>
      </c>
      <c r="I2738" s="568" t="n"/>
      <c r="J2738" s="568" t="n"/>
      <c r="K2738" s="568" t="n"/>
      <c r="L2738" s="568" t="n"/>
    </row>
    <row r="2739">
      <c r="A2739" s="568" t="n">
        <v>45258</v>
      </c>
      <c r="B2739" s="392" t="n">
        <v>10681</v>
      </c>
      <c r="C2739" s="392" t="n">
        <v>85</v>
      </c>
      <c r="D2739" s="392" t="n"/>
      <c r="E2739" s="392" t="n"/>
      <c r="F2739" s="392" t="n"/>
      <c r="G2739" s="392" t="n">
        <v>10</v>
      </c>
      <c r="H2739" s="52">
        <f>H2738-G2739</f>
        <v/>
      </c>
      <c r="I2739" s="568" t="n"/>
      <c r="J2739" s="568" t="n"/>
      <c r="K2739" s="568" t="n"/>
      <c r="L2739" s="568" t="n"/>
    </row>
    <row r="2740">
      <c r="A2740" s="568" t="n">
        <v>45258</v>
      </c>
      <c r="B2740" s="392" t="n">
        <v>10686</v>
      </c>
      <c r="C2740" s="392" t="n">
        <v>85</v>
      </c>
      <c r="D2740" s="392" t="n"/>
      <c r="E2740" s="392" t="n"/>
      <c r="F2740" s="392" t="n"/>
      <c r="G2740" s="392" t="n">
        <v>10</v>
      </c>
      <c r="H2740" s="52">
        <f>H2739-G2740</f>
        <v/>
      </c>
      <c r="I2740" s="568" t="n"/>
      <c r="J2740" s="568" t="n"/>
      <c r="K2740" s="568" t="n"/>
      <c r="L2740" s="568" t="n"/>
    </row>
    <row r="2741">
      <c r="A2741" s="304" t="n">
        <v>45259</v>
      </c>
      <c r="B2741" s="401" t="n">
        <v>233736</v>
      </c>
      <c r="C2741" s="401" t="n">
        <v>73</v>
      </c>
      <c r="D2741" s="401" t="n"/>
      <c r="E2741" s="401" t="n">
        <v>880</v>
      </c>
      <c r="F2741" s="401" t="n"/>
      <c r="G2741" s="401" t="n"/>
      <c r="H2741" s="277" t="n">
        <v>2285</v>
      </c>
      <c r="I2741" s="568" t="n"/>
      <c r="J2741" s="568" t="n"/>
      <c r="K2741" s="568" t="n"/>
      <c r="L2741" s="568" t="n"/>
    </row>
    <row r="2742">
      <c r="A2742" s="568" t="n">
        <v>45259</v>
      </c>
      <c r="B2742" s="392" t="n">
        <v>10687</v>
      </c>
      <c r="C2742" s="392" t="n">
        <v>93.5</v>
      </c>
      <c r="D2742" s="392" t="n"/>
      <c r="E2742" s="392" t="n"/>
      <c r="F2742" s="392" t="n"/>
      <c r="G2742" s="392" t="n">
        <v>20</v>
      </c>
      <c r="H2742" s="52">
        <f>H2741-G2742</f>
        <v/>
      </c>
      <c r="I2742" s="568" t="n"/>
      <c r="J2742" s="568" t="n"/>
      <c r="K2742" s="568" t="n"/>
      <c r="L2742" s="568" t="n"/>
    </row>
    <row r="2743">
      <c r="A2743" s="568" t="n">
        <v>45259</v>
      </c>
      <c r="B2743" s="392" t="n">
        <v>10688</v>
      </c>
      <c r="C2743" s="392" t="n">
        <v>93.3</v>
      </c>
      <c r="D2743" s="392" t="n"/>
      <c r="E2743" s="392" t="n"/>
      <c r="F2743" s="392" t="n"/>
      <c r="G2743" s="392" t="n">
        <v>47</v>
      </c>
      <c r="H2743" s="52">
        <f>H2742-G2743</f>
        <v/>
      </c>
      <c r="I2743" s="568" t="n"/>
      <c r="J2743" s="568" t="n"/>
      <c r="K2743" s="568" t="n"/>
      <c r="L2743" s="568" t="n"/>
    </row>
    <row r="2744" ht="15.75" customHeight="1" s="436" thickBot="1">
      <c r="A2744" s="414" t="n"/>
      <c r="H2744" s="171" t="n"/>
      <c r="I2744" s="414" t="n"/>
      <c r="J2744" s="414" t="n"/>
      <c r="K2744" s="414" t="n"/>
      <c r="L2744" s="414" t="n"/>
    </row>
    <row r="2745" ht="21.75" customHeight="1" s="436" thickBot="1">
      <c r="A2745" s="757" t="inlineStr">
        <is>
          <t>Dezembro</t>
        </is>
      </c>
      <c r="B2745" s="697" t="n"/>
      <c r="C2745" s="697" t="n"/>
      <c r="D2745" s="697" t="n"/>
      <c r="E2745" s="697" t="n"/>
      <c r="F2745" s="697" t="n"/>
      <c r="G2745" s="697" t="n"/>
      <c r="H2745" s="697" t="n"/>
      <c r="I2745" s="697" t="n"/>
      <c r="J2745" s="697" t="n"/>
      <c r="K2745" s="697" t="n"/>
      <c r="L2745" s="698" t="n"/>
    </row>
    <row r="2746" ht="21.75" customHeight="1" s="436" thickBot="1">
      <c r="A2746" s="699" t="inlineStr">
        <is>
          <t xml:space="preserve">021 - DENISE FURTADO DE SOUZA - ME </t>
        </is>
      </c>
      <c r="B2746" s="697" t="n"/>
      <c r="C2746" s="697" t="n"/>
      <c r="D2746" s="697" t="n"/>
      <c r="E2746" s="697" t="n"/>
      <c r="F2746" s="697" t="n"/>
      <c r="G2746" s="697" t="n"/>
      <c r="H2746" s="697" t="n"/>
      <c r="I2746" s="697" t="n"/>
      <c r="J2746" s="697" t="n"/>
      <c r="K2746" s="697" t="n"/>
      <c r="L2746" s="698" t="n"/>
    </row>
    <row r="2747" ht="24" customHeight="1" s="436" thickBot="1">
      <c r="A2747" s="759" t="inlineStr">
        <is>
          <t xml:space="preserve">  PRÉ MISTURA - 25 KG</t>
        </is>
      </c>
      <c r="B2747" s="697" t="n"/>
      <c r="C2747" s="697" t="n"/>
      <c r="D2747" s="697" t="n"/>
      <c r="E2747" s="697" t="n"/>
      <c r="F2747" s="697" t="n"/>
      <c r="G2747" s="697" t="n"/>
      <c r="H2747" s="697" t="n"/>
      <c r="I2747" s="697" t="n"/>
      <c r="J2747" s="697" t="n"/>
      <c r="K2747" s="697" t="n"/>
      <c r="L2747" s="698" t="n"/>
    </row>
    <row r="2748">
      <c r="A2748" s="3" t="inlineStr">
        <is>
          <t>DATA</t>
        </is>
      </c>
      <c r="B2748" s="3" t="inlineStr">
        <is>
          <t>N.F.</t>
        </is>
      </c>
      <c r="C2748" s="3" t="inlineStr">
        <is>
          <t>TIPO</t>
        </is>
      </c>
      <c r="D2748" s="3" t="inlineStr">
        <is>
          <t>PREÇO UNITÁRIO</t>
        </is>
      </c>
      <c r="E2748" s="736" t="n"/>
      <c r="F2748" s="3" t="inlineStr">
        <is>
          <t>QUANTIDADE / KG</t>
        </is>
      </c>
      <c r="G2748" s="737" t="n"/>
      <c r="H2748" s="736" t="n"/>
      <c r="I2748" s="631" t="inlineStr">
        <is>
          <t>PREÇO</t>
        </is>
      </c>
      <c r="J2748" s="631" t="inlineStr">
        <is>
          <t>VALORES</t>
        </is>
      </c>
      <c r="K2748" s="737" t="n"/>
      <c r="L2748" s="736" t="n"/>
    </row>
    <row r="2749" ht="15.75" customHeight="1" s="436" thickBot="1">
      <c r="A2749" s="704" t="n"/>
      <c r="B2749" s="704" t="n"/>
      <c r="C2749" s="704" t="n"/>
      <c r="D2749" s="703" t="n"/>
      <c r="E2749" s="701" t="n"/>
      <c r="F2749" s="705" t="n"/>
      <c r="G2749" s="706" t="n"/>
      <c r="H2749" s="707" t="n"/>
      <c r="I2749" s="704" t="n"/>
      <c r="J2749" s="703" t="n"/>
      <c r="L2749" s="701" t="n"/>
    </row>
    <row r="2750" ht="15.75" customHeight="1" s="436" thickBot="1">
      <c r="A2750" s="704" t="n"/>
      <c r="B2750" s="704" t="n"/>
      <c r="C2750" s="704" t="n"/>
      <c r="D2750" s="705" t="n"/>
      <c r="E2750" s="707" t="n"/>
      <c r="F2750" s="3" t="inlineStr">
        <is>
          <t>ENTRADA</t>
        </is>
      </c>
      <c r="G2750" s="3" t="inlineStr">
        <is>
          <t>SAÍDA</t>
        </is>
      </c>
      <c r="H2750" s="640" t="n"/>
      <c r="I2750" s="633" t="inlineStr">
        <is>
          <t>MÉDIO</t>
        </is>
      </c>
      <c r="J2750" s="739" t="inlineStr">
        <is>
          <t>SALDO EM 30/12/2017</t>
        </is>
      </c>
      <c r="K2750" s="707" t="n"/>
      <c r="L2750" s="17" t="n"/>
    </row>
    <row r="2751" ht="15.75" customHeight="1" s="436" thickBot="1">
      <c r="A2751" s="695" t="n"/>
      <c r="B2751" s="695" t="n"/>
      <c r="C2751" s="695" t="n"/>
      <c r="D2751" s="3" t="inlineStr">
        <is>
          <t>C/ICMS</t>
        </is>
      </c>
      <c r="E2751" s="3" t="inlineStr">
        <is>
          <t>S/ICMS</t>
        </is>
      </c>
      <c r="F2751" s="695" t="n"/>
      <c r="G2751" s="695" t="n"/>
      <c r="H2751" s="361" t="inlineStr">
        <is>
          <t>Saldo em 30/11/2022</t>
        </is>
      </c>
      <c r="I2751" s="695" t="n"/>
      <c r="J2751" s="645" t="inlineStr">
        <is>
          <t>ENTRADA</t>
        </is>
      </c>
      <c r="K2751" s="633" t="inlineStr">
        <is>
          <t>SAÍDA / CMV</t>
        </is>
      </c>
      <c r="L2751" s="633" t="inlineStr">
        <is>
          <t>SALDO</t>
        </is>
      </c>
    </row>
    <row r="2752">
      <c r="A2752" s="568" t="n"/>
      <c r="B2752" s="392" t="n"/>
      <c r="C2752" s="392" t="n"/>
      <c r="D2752" s="392" t="n"/>
      <c r="E2752" s="392" t="n"/>
      <c r="F2752" s="392" t="n"/>
      <c r="G2752" s="392" t="n"/>
      <c r="H2752" s="52" t="n">
        <v>2218</v>
      </c>
      <c r="I2752" s="568" t="n"/>
      <c r="J2752" s="568" t="n"/>
      <c r="K2752" s="568" t="n"/>
      <c r="L2752" s="568" t="n"/>
    </row>
    <row r="2753">
      <c r="A2753" s="568" t="n">
        <v>45264</v>
      </c>
      <c r="B2753" s="392" t="n">
        <v>10692</v>
      </c>
      <c r="C2753" s="392" t="n">
        <v>93.27</v>
      </c>
      <c r="D2753" s="392" t="n"/>
      <c r="E2753" s="392" t="n"/>
      <c r="F2753" s="392" t="n"/>
      <c r="G2753" s="392" t="n">
        <v>75</v>
      </c>
      <c r="H2753" s="52">
        <f>H2752-G2753</f>
        <v/>
      </c>
      <c r="I2753" s="568" t="n"/>
      <c r="J2753" s="568" t="n"/>
      <c r="K2753" s="568" t="n"/>
      <c r="L2753" s="568" t="n"/>
    </row>
    <row r="2754">
      <c r="A2754" s="568" t="n">
        <v>45264</v>
      </c>
      <c r="B2754" s="392" t="n">
        <v>10694</v>
      </c>
      <c r="C2754" s="392" t="n">
        <v>93</v>
      </c>
      <c r="D2754" s="392" t="n"/>
      <c r="E2754" s="392" t="n"/>
      <c r="F2754" s="392" t="n"/>
      <c r="G2754" s="392" t="n">
        <v>50</v>
      </c>
      <c r="H2754" s="52">
        <f>H2753-G2754</f>
        <v/>
      </c>
      <c r="I2754" s="568" t="n"/>
      <c r="J2754" s="568" t="n"/>
      <c r="K2754" s="568" t="n"/>
      <c r="L2754" s="568" t="n"/>
    </row>
    <row r="2755">
      <c r="A2755" s="568" t="n">
        <v>45264</v>
      </c>
      <c r="B2755" s="392" t="n">
        <v>10696</v>
      </c>
      <c r="C2755" s="392" t="n">
        <v>85</v>
      </c>
      <c r="D2755" s="392" t="n"/>
      <c r="E2755" s="392" t="n"/>
      <c r="F2755" s="392" t="n"/>
      <c r="G2755" s="392" t="n">
        <v>30</v>
      </c>
      <c r="H2755" s="52">
        <f>H2754-G2755</f>
        <v/>
      </c>
      <c r="I2755" s="568" t="n"/>
      <c r="J2755" s="568" t="n"/>
      <c r="K2755" s="568" t="n"/>
      <c r="L2755" s="568" t="n"/>
    </row>
    <row r="2756">
      <c r="A2756" s="568" t="n">
        <v>45264</v>
      </c>
      <c r="B2756" s="392" t="n">
        <v>10697</v>
      </c>
      <c r="C2756" s="392" t="n">
        <v>93</v>
      </c>
      <c r="D2756" s="392" t="n"/>
      <c r="E2756" s="392" t="n"/>
      <c r="F2756" s="392" t="n"/>
      <c r="G2756" s="392" t="n">
        <v>20</v>
      </c>
      <c r="H2756" s="52">
        <f>H2755-G2756</f>
        <v/>
      </c>
      <c r="I2756" s="568" t="n"/>
      <c r="J2756" s="568" t="n"/>
      <c r="K2756" s="568" t="n"/>
      <c r="L2756" s="568" t="n"/>
    </row>
    <row r="2757">
      <c r="A2757" s="568" t="n">
        <v>45266</v>
      </c>
      <c r="B2757" s="392" t="n">
        <v>10699</v>
      </c>
      <c r="C2757" s="392" t="n">
        <v>89.8</v>
      </c>
      <c r="D2757" s="392" t="n"/>
      <c r="E2757" s="392" t="n"/>
      <c r="F2757" s="392" t="n"/>
      <c r="G2757" s="392" t="n">
        <v>25</v>
      </c>
      <c r="H2757" s="52">
        <f>H2756-G2757</f>
        <v/>
      </c>
      <c r="I2757" s="568" t="n"/>
      <c r="J2757" s="568" t="n"/>
      <c r="K2757" s="568" t="n"/>
      <c r="L2757" s="568" t="n"/>
    </row>
    <row r="2758">
      <c r="A2758" s="568" t="n">
        <v>45266</v>
      </c>
      <c r="B2758" s="392" t="n">
        <v>10701</v>
      </c>
      <c r="C2758" s="392" t="n">
        <v>93.40000000000001</v>
      </c>
      <c r="D2758" s="392" t="n"/>
      <c r="E2758" s="392" t="n"/>
      <c r="F2758" s="392" t="n"/>
      <c r="G2758" s="392" t="n">
        <v>100</v>
      </c>
      <c r="H2758" s="52">
        <f>H2757-G2758</f>
        <v/>
      </c>
      <c r="I2758" s="568" t="n"/>
      <c r="J2758" s="568" t="n"/>
      <c r="K2758" s="568" t="n"/>
      <c r="L2758" s="568" t="n"/>
    </row>
    <row r="2759">
      <c r="A2759" s="568" t="n">
        <v>45266</v>
      </c>
      <c r="B2759" s="392" t="n">
        <v>10703</v>
      </c>
      <c r="C2759" s="392" t="n">
        <v>94</v>
      </c>
      <c r="D2759" s="392" t="n"/>
      <c r="E2759" s="392" t="n"/>
      <c r="F2759" s="392" t="n"/>
      <c r="G2759" s="392" t="n">
        <v>20</v>
      </c>
      <c r="H2759" s="52">
        <f>H2758-G2759</f>
        <v/>
      </c>
      <c r="I2759" s="568" t="n"/>
      <c r="J2759" s="568" t="n"/>
      <c r="K2759" s="568" t="n"/>
      <c r="L2759" s="568" t="n"/>
    </row>
    <row r="2760">
      <c r="A2760" s="568" t="n">
        <v>45266</v>
      </c>
      <c r="B2760" s="392" t="n">
        <v>10704</v>
      </c>
      <c r="C2760" s="392" t="n">
        <v>85</v>
      </c>
      <c r="D2760" s="392" t="n"/>
      <c r="E2760" s="392" t="n"/>
      <c r="F2760" s="392" t="n"/>
      <c r="G2760" s="392" t="n">
        <v>10</v>
      </c>
      <c r="H2760" s="52">
        <f>H2759-G2760</f>
        <v/>
      </c>
      <c r="I2760" s="568" t="n"/>
      <c r="J2760" s="568" t="n"/>
      <c r="K2760" s="568" t="n"/>
      <c r="L2760" s="568" t="n"/>
    </row>
    <row r="2761">
      <c r="A2761" s="568" t="n">
        <v>45266</v>
      </c>
      <c r="B2761" s="392" t="n">
        <v>10705</v>
      </c>
      <c r="C2761" s="392" t="n">
        <v>86.67</v>
      </c>
      <c r="D2761" s="392" t="n"/>
      <c r="E2761" s="392" t="n"/>
      <c r="F2761" s="392" t="n"/>
      <c r="G2761" s="392" t="n">
        <v>60</v>
      </c>
      <c r="H2761" s="52">
        <f>H2760-G2761</f>
        <v/>
      </c>
      <c r="I2761" s="568" t="n"/>
      <c r="J2761" s="568" t="n"/>
      <c r="K2761" s="568" t="n"/>
      <c r="L2761" s="568" t="n"/>
    </row>
    <row r="2762">
      <c r="A2762" s="568" t="n">
        <v>45266</v>
      </c>
      <c r="B2762" s="392" t="n">
        <v>10706</v>
      </c>
      <c r="C2762" s="392" t="n">
        <v>85</v>
      </c>
      <c r="D2762" s="392" t="n"/>
      <c r="E2762" s="392" t="n"/>
      <c r="F2762" s="392" t="n"/>
      <c r="G2762" s="392" t="n">
        <v>20</v>
      </c>
      <c r="H2762" s="52">
        <f>H2761-G2762</f>
        <v/>
      </c>
      <c r="I2762" s="568" t="n"/>
      <c r="J2762" s="568" t="n"/>
      <c r="K2762" s="568" t="n"/>
      <c r="L2762" s="568" t="n"/>
    </row>
    <row r="2763">
      <c r="A2763" s="568" t="n">
        <v>45267</v>
      </c>
      <c r="B2763" s="392" t="n">
        <v>10708</v>
      </c>
      <c r="C2763" s="392" t="n">
        <v>93.3</v>
      </c>
      <c r="D2763" s="392" t="n"/>
      <c r="E2763" s="392" t="n"/>
      <c r="F2763" s="392" t="n"/>
      <c r="G2763" s="392" t="n">
        <v>47</v>
      </c>
      <c r="H2763" s="52">
        <f>H2762-G2763</f>
        <v/>
      </c>
      <c r="I2763" s="568" t="n"/>
      <c r="J2763" s="568" t="n"/>
      <c r="K2763" s="568" t="n"/>
      <c r="L2763" s="568" t="n"/>
    </row>
    <row r="2764">
      <c r="A2764" s="568" t="n">
        <v>45267</v>
      </c>
      <c r="B2764" s="392" t="n">
        <v>10710</v>
      </c>
      <c r="C2764" s="392" t="n">
        <v>85</v>
      </c>
      <c r="D2764" s="392" t="n"/>
      <c r="E2764" s="392" t="n"/>
      <c r="F2764" s="392" t="n"/>
      <c r="G2764" s="392" t="n">
        <v>20</v>
      </c>
      <c r="H2764" s="52">
        <f>H2763-G2764</f>
        <v/>
      </c>
      <c r="I2764" s="568" t="n"/>
      <c r="J2764" s="568" t="n"/>
      <c r="K2764" s="568" t="n"/>
      <c r="L2764" s="568" t="n"/>
    </row>
    <row r="2765">
      <c r="A2765" s="304" t="n">
        <v>45637</v>
      </c>
      <c r="B2765" s="401" t="n">
        <v>2409</v>
      </c>
      <c r="C2765" s="401" t="n">
        <v>65</v>
      </c>
      <c r="D2765" s="401" t="n"/>
      <c r="E2765" s="401" t="n"/>
      <c r="F2765" s="401" t="n">
        <v>600</v>
      </c>
      <c r="G2765" s="401" t="n"/>
      <c r="H2765" s="277" t="n">
        <v>2341</v>
      </c>
      <c r="I2765" s="568" t="n"/>
      <c r="J2765" s="568" t="n"/>
      <c r="K2765" s="568" t="n"/>
      <c r="L2765" s="568" t="n"/>
    </row>
    <row r="2766">
      <c r="A2766" s="568" t="n">
        <v>45271</v>
      </c>
      <c r="B2766" s="392" t="n">
        <v>10715</v>
      </c>
      <c r="C2766" s="392" t="n">
        <v>89.5</v>
      </c>
      <c r="D2766" s="392" t="n"/>
      <c r="E2766" s="392" t="n"/>
      <c r="F2766" s="392" t="n"/>
      <c r="G2766" s="392" t="n">
        <v>50</v>
      </c>
      <c r="H2766" s="52">
        <f>H2765-G2766</f>
        <v/>
      </c>
      <c r="I2766" s="568" t="n"/>
      <c r="J2766" s="568" t="n"/>
      <c r="K2766" s="568" t="n"/>
      <c r="L2766" s="568" t="n"/>
    </row>
    <row r="2767">
      <c r="A2767" s="568" t="n">
        <v>45272</v>
      </c>
      <c r="B2767" s="392" t="n">
        <v>10719</v>
      </c>
      <c r="C2767" s="392" t="n">
        <v>93</v>
      </c>
      <c r="D2767" s="392" t="n"/>
      <c r="E2767" s="392" t="n"/>
      <c r="F2767" s="392" t="n"/>
      <c r="G2767" s="392" t="n">
        <v>60</v>
      </c>
      <c r="H2767" s="52">
        <f>H2766-G2767</f>
        <v/>
      </c>
      <c r="I2767" s="568" t="n"/>
      <c r="J2767" s="568" t="n"/>
      <c r="K2767" s="568" t="n"/>
      <c r="L2767" s="568" t="n"/>
    </row>
    <row r="2768">
      <c r="A2768" s="568" t="n">
        <v>45272</v>
      </c>
      <c r="B2768" s="392" t="n">
        <v>10722</v>
      </c>
      <c r="C2768" s="392" t="n">
        <v>93</v>
      </c>
      <c r="D2768" s="392" t="n"/>
      <c r="E2768" s="392" t="n"/>
      <c r="F2768" s="392" t="n"/>
      <c r="G2768" s="392" t="n">
        <v>25</v>
      </c>
      <c r="H2768" s="52">
        <f>H2767-G2768</f>
        <v/>
      </c>
      <c r="I2768" s="568" t="n"/>
      <c r="J2768" s="568" t="n"/>
      <c r="K2768" s="568" t="n"/>
      <c r="L2768" s="568" t="n"/>
    </row>
    <row r="2769">
      <c r="A2769" s="568" t="n">
        <v>45274</v>
      </c>
      <c r="B2769" s="392" t="n">
        <v>10726</v>
      </c>
      <c r="C2769" s="392" t="n">
        <v>90</v>
      </c>
      <c r="D2769" s="392" t="n"/>
      <c r="E2769" s="392" t="n"/>
      <c r="F2769" s="392" t="n"/>
      <c r="G2769" s="392" t="n">
        <v>30</v>
      </c>
      <c r="H2769" s="52">
        <f>H2768-G2769</f>
        <v/>
      </c>
      <c r="I2769" s="568" t="n"/>
      <c r="J2769" s="568" t="n"/>
      <c r="K2769" s="568" t="n"/>
      <c r="L2769" s="568" t="n"/>
    </row>
    <row r="2770">
      <c r="A2770" s="568" t="n">
        <v>45274</v>
      </c>
      <c r="B2770" s="392" t="n">
        <v>10732</v>
      </c>
      <c r="C2770" s="392" t="n">
        <v>95</v>
      </c>
      <c r="D2770" s="392" t="n"/>
      <c r="E2770" s="392" t="n"/>
      <c r="F2770" s="392" t="n"/>
      <c r="G2770" s="392" t="n">
        <v>36</v>
      </c>
      <c r="H2770" s="52">
        <f>H2769-G2770</f>
        <v/>
      </c>
      <c r="I2770" s="568" t="n"/>
      <c r="J2770" s="568" t="n"/>
      <c r="K2770" s="568" t="n"/>
      <c r="L2770" s="568" t="n"/>
    </row>
    <row r="2771">
      <c r="A2771" s="568" t="n">
        <v>45274</v>
      </c>
      <c r="B2771" s="392" t="n">
        <v>10736</v>
      </c>
      <c r="C2771" s="392" t="n">
        <v>93</v>
      </c>
      <c r="D2771" s="392" t="n"/>
      <c r="E2771" s="392" t="n"/>
      <c r="F2771" s="392" t="n"/>
      <c r="G2771" s="392" t="n">
        <v>30</v>
      </c>
      <c r="H2771" s="52">
        <f>H2770-G2771</f>
        <v/>
      </c>
      <c r="I2771" s="568" t="n"/>
      <c r="J2771" s="568" t="n"/>
      <c r="K2771" s="568" t="n"/>
      <c r="L2771" s="568" t="n"/>
    </row>
    <row r="2772">
      <c r="A2772" s="568" t="n">
        <v>45274</v>
      </c>
      <c r="B2772" s="392" t="n">
        <v>10737</v>
      </c>
      <c r="C2772" s="392" t="n">
        <v>93</v>
      </c>
      <c r="D2772" s="392" t="n"/>
      <c r="E2772" s="392" t="n"/>
      <c r="F2772" s="392" t="n"/>
      <c r="G2772" s="392" t="n">
        <v>15</v>
      </c>
      <c r="H2772" s="52">
        <f>H2771-G2772</f>
        <v/>
      </c>
      <c r="I2772" s="568" t="n"/>
      <c r="J2772" s="568" t="n"/>
      <c r="K2772" s="568" t="n"/>
      <c r="L2772" s="568" t="n"/>
    </row>
    <row r="2773">
      <c r="A2773" s="568" t="n">
        <v>45274</v>
      </c>
      <c r="B2773" s="392" t="n">
        <v>10739</v>
      </c>
      <c r="C2773" s="392" t="n">
        <v>93.5</v>
      </c>
      <c r="D2773" s="392" t="n"/>
      <c r="E2773" s="392" t="n"/>
      <c r="F2773" s="392" t="n"/>
      <c r="G2773" s="392" t="n">
        <v>80</v>
      </c>
      <c r="H2773" s="52">
        <f>H2772-G2773</f>
        <v/>
      </c>
      <c r="I2773" s="568" t="n"/>
      <c r="J2773" s="568" t="n"/>
      <c r="K2773" s="568" t="n"/>
      <c r="L2773" s="568" t="n"/>
    </row>
    <row r="2774" ht="15.75" customHeight="1" s="436" thickBot="1">
      <c r="A2774" s="414" t="n"/>
      <c r="H2774" s="171" t="n"/>
      <c r="I2774" s="414" t="n"/>
      <c r="J2774" s="414" t="n"/>
      <c r="K2774" s="414" t="n"/>
      <c r="L2774" s="414" t="n"/>
    </row>
    <row r="2775" ht="21.75" customHeight="1" s="436" thickBot="1">
      <c r="A2775" s="757" t="inlineStr">
        <is>
          <t>Janeiro</t>
        </is>
      </c>
      <c r="B2775" s="697" t="n"/>
      <c r="C2775" s="697" t="n"/>
      <c r="D2775" s="697" t="n"/>
      <c r="E2775" s="697" t="n"/>
      <c r="F2775" s="697" t="n"/>
      <c r="G2775" s="697" t="n"/>
      <c r="H2775" s="697" t="n"/>
      <c r="I2775" s="697" t="n"/>
      <c r="J2775" s="697" t="n"/>
      <c r="K2775" s="697" t="n"/>
      <c r="L2775" s="698" t="n"/>
    </row>
    <row r="2776" ht="21.75" customHeight="1" s="436" thickBot="1">
      <c r="A2776" s="699" t="inlineStr">
        <is>
          <t xml:space="preserve">021 - DENISE FURTADO DE SOUZA - ME </t>
        </is>
      </c>
      <c r="B2776" s="697" t="n"/>
      <c r="C2776" s="697" t="n"/>
      <c r="D2776" s="697" t="n"/>
      <c r="E2776" s="697" t="n"/>
      <c r="F2776" s="697" t="n"/>
      <c r="G2776" s="697" t="n"/>
      <c r="H2776" s="697" t="n"/>
      <c r="I2776" s="697" t="n"/>
      <c r="J2776" s="697" t="n"/>
      <c r="K2776" s="697" t="n"/>
      <c r="L2776" s="698" t="n"/>
    </row>
    <row r="2777" ht="24" customHeight="1" s="436" thickBot="1">
      <c r="A2777" s="759" t="inlineStr">
        <is>
          <t xml:space="preserve">  PRÉ MISTURA - 25 KG</t>
        </is>
      </c>
      <c r="B2777" s="697" t="n"/>
      <c r="C2777" s="697" t="n"/>
      <c r="D2777" s="697" t="n"/>
      <c r="E2777" s="697" t="n"/>
      <c r="F2777" s="697" t="n"/>
      <c r="G2777" s="697" t="n"/>
      <c r="H2777" s="697" t="n"/>
      <c r="I2777" s="697" t="n"/>
      <c r="J2777" s="697" t="n"/>
      <c r="K2777" s="697" t="n"/>
      <c r="L2777" s="698" t="n"/>
    </row>
    <row r="2778">
      <c r="A2778" s="3" t="inlineStr">
        <is>
          <t>DATA</t>
        </is>
      </c>
      <c r="B2778" s="3" t="inlineStr">
        <is>
          <t>N.F.</t>
        </is>
      </c>
      <c r="C2778" s="3" t="inlineStr">
        <is>
          <t>TIPO</t>
        </is>
      </c>
      <c r="D2778" s="3" t="inlineStr">
        <is>
          <t>PREÇO UNITÁRIO</t>
        </is>
      </c>
      <c r="E2778" s="736" t="n"/>
      <c r="F2778" s="3" t="inlineStr">
        <is>
          <t>QUANTIDADE / KG</t>
        </is>
      </c>
      <c r="G2778" s="737" t="n"/>
      <c r="H2778" s="736" t="n"/>
      <c r="I2778" s="631" t="inlineStr">
        <is>
          <t>PREÇO</t>
        </is>
      </c>
      <c r="J2778" s="631" t="inlineStr">
        <is>
          <t>VALORES</t>
        </is>
      </c>
      <c r="K2778" s="737" t="n"/>
      <c r="L2778" s="736" t="n"/>
    </row>
    <row r="2779" ht="15.75" customHeight="1" s="436" thickBot="1">
      <c r="A2779" s="704" t="n"/>
      <c r="B2779" s="704" t="n"/>
      <c r="C2779" s="704" t="n"/>
      <c r="D2779" s="703" t="n"/>
      <c r="E2779" s="701" t="n"/>
      <c r="F2779" s="705" t="n"/>
      <c r="G2779" s="706" t="n"/>
      <c r="H2779" s="707" t="n"/>
      <c r="I2779" s="704" t="n"/>
      <c r="J2779" s="703" t="n"/>
      <c r="L2779" s="701" t="n"/>
    </row>
    <row r="2780" ht="15.75" customHeight="1" s="436" thickBot="1">
      <c r="A2780" s="704" t="n"/>
      <c r="B2780" s="704" t="n"/>
      <c r="C2780" s="704" t="n"/>
      <c r="D2780" s="705" t="n"/>
      <c r="E2780" s="707" t="n"/>
      <c r="F2780" s="3" t="inlineStr">
        <is>
          <t>ENTRADA</t>
        </is>
      </c>
      <c r="G2780" s="3" t="inlineStr">
        <is>
          <t>SAÍDA</t>
        </is>
      </c>
      <c r="H2780" s="640" t="n"/>
      <c r="I2780" s="633" t="inlineStr">
        <is>
          <t>MÉDIO</t>
        </is>
      </c>
      <c r="J2780" s="739" t="inlineStr">
        <is>
          <t>SALDO EM 30/12/2017</t>
        </is>
      </c>
      <c r="K2780" s="707" t="n"/>
      <c r="L2780" s="17" t="n"/>
    </row>
    <row r="2781" ht="15.75" customHeight="1" s="436" thickBot="1">
      <c r="A2781" s="695" t="n"/>
      <c r="B2781" s="695" t="n"/>
      <c r="C2781" s="695" t="n"/>
      <c r="D2781" s="3" t="inlineStr">
        <is>
          <t>C/ICMS</t>
        </is>
      </c>
      <c r="E2781" s="3" t="inlineStr">
        <is>
          <t>S/ICMS</t>
        </is>
      </c>
      <c r="F2781" s="695" t="n"/>
      <c r="G2781" s="695" t="n"/>
      <c r="H2781" s="361" t="inlineStr">
        <is>
          <t>Saldo em 31/12/2023</t>
        </is>
      </c>
      <c r="I2781" s="695" t="n"/>
      <c r="J2781" s="645" t="inlineStr">
        <is>
          <t>ENTRADA</t>
        </is>
      </c>
      <c r="K2781" s="633" t="inlineStr">
        <is>
          <t>SAÍDA / CMV</t>
        </is>
      </c>
      <c r="L2781" s="633" t="inlineStr">
        <is>
          <t>SALDO</t>
        </is>
      </c>
    </row>
    <row r="2782">
      <c r="A2782" s="568" t="n"/>
      <c r="B2782" s="392" t="n"/>
      <c r="C2782" s="392" t="n"/>
      <c r="D2782" s="392" t="n"/>
      <c r="E2782" s="392" t="n"/>
      <c r="F2782" s="392" t="n"/>
      <c r="G2782" s="392" t="n"/>
      <c r="H2782" s="52" t="n">
        <v>2015</v>
      </c>
      <c r="I2782" s="568" t="n"/>
      <c r="J2782" s="568" t="n"/>
      <c r="K2782" s="568" t="n"/>
      <c r="L2782" s="568" t="n"/>
    </row>
    <row r="2783">
      <c r="A2783" s="568" t="n">
        <v>45294</v>
      </c>
      <c r="B2783" s="392" t="n">
        <v>10743</v>
      </c>
      <c r="C2783" s="392" t="n">
        <v>82</v>
      </c>
      <c r="D2783" s="392" t="n"/>
      <c r="E2783" s="392" t="n"/>
      <c r="F2783" s="392" t="n"/>
      <c r="G2783" s="392" t="n">
        <v>150</v>
      </c>
      <c r="H2783" s="52">
        <f>H2782-G2783</f>
        <v/>
      </c>
      <c r="I2783" s="568" t="n"/>
      <c r="J2783" s="568" t="n"/>
      <c r="K2783" s="568" t="n"/>
      <c r="L2783" s="568" t="n"/>
    </row>
    <row r="2784">
      <c r="A2784" s="568" t="n">
        <v>45294</v>
      </c>
      <c r="B2784" s="392" t="n">
        <v>10748</v>
      </c>
      <c r="C2784" s="392" t="n">
        <v>93.40000000000001</v>
      </c>
      <c r="D2784" s="392" t="n"/>
      <c r="E2784" s="392" t="n"/>
      <c r="F2784" s="392" t="n"/>
      <c r="G2784" s="392" t="n">
        <v>25</v>
      </c>
      <c r="H2784" s="52">
        <f>H2783-G2784</f>
        <v/>
      </c>
      <c r="I2784" s="568" t="n"/>
      <c r="J2784" s="568" t="n"/>
      <c r="K2784" s="568" t="n"/>
      <c r="L2784" s="568" t="n"/>
    </row>
    <row r="2785">
      <c r="A2785" s="568" t="n">
        <v>45294</v>
      </c>
      <c r="B2785" s="392" t="n">
        <v>10749</v>
      </c>
      <c r="C2785" s="392" t="n">
        <v>87.3</v>
      </c>
      <c r="D2785" s="392" t="n"/>
      <c r="E2785" s="392" t="n"/>
      <c r="F2785" s="392" t="n"/>
      <c r="G2785" s="392" t="n">
        <v>35</v>
      </c>
      <c r="H2785" s="52">
        <f>H2784-G2785</f>
        <v/>
      </c>
      <c r="I2785" s="568" t="n"/>
      <c r="J2785" s="568" t="n"/>
      <c r="K2785" s="568" t="n"/>
      <c r="L2785" s="568" t="n"/>
    </row>
    <row r="2786">
      <c r="A2786" s="568" t="n">
        <v>45294</v>
      </c>
      <c r="B2786" s="392" t="n">
        <v>10751</v>
      </c>
      <c r="C2786" s="392" t="n">
        <v>93</v>
      </c>
      <c r="D2786" s="392" t="n"/>
      <c r="E2786" s="392" t="n"/>
      <c r="F2786" s="392" t="n"/>
      <c r="G2786" s="392" t="n">
        <v>30</v>
      </c>
      <c r="H2786" s="52">
        <f>H2785-G2786</f>
        <v/>
      </c>
      <c r="I2786" s="568" t="n"/>
      <c r="J2786" s="568" t="n"/>
      <c r="K2786" s="568" t="n"/>
      <c r="L2786" s="568" t="n"/>
    </row>
    <row r="2787">
      <c r="A2787" s="568" t="n">
        <v>45294</v>
      </c>
      <c r="B2787" s="392" t="n">
        <v>10754</v>
      </c>
      <c r="C2787" s="392" t="n">
        <v>10</v>
      </c>
      <c r="D2787" s="392" t="n"/>
      <c r="E2787" s="392" t="n"/>
      <c r="F2787" s="392" t="n"/>
      <c r="G2787" s="392" t="n">
        <v>85</v>
      </c>
      <c r="H2787" s="52">
        <f>H2786-G2787</f>
        <v/>
      </c>
      <c r="I2787" s="568" t="n"/>
      <c r="J2787" s="568" t="n"/>
      <c r="K2787" s="568" t="n"/>
      <c r="L2787" s="568" t="n"/>
    </row>
    <row r="2788">
      <c r="A2788" s="568" t="n">
        <v>45294</v>
      </c>
      <c r="B2788" s="392" t="n">
        <v>10756</v>
      </c>
      <c r="C2788" s="392" t="n">
        <v>86</v>
      </c>
      <c r="D2788" s="392" t="n"/>
      <c r="E2788" s="392" t="n"/>
      <c r="F2788" s="392" t="n"/>
      <c r="G2788" s="392" t="n">
        <v>10</v>
      </c>
      <c r="H2788" s="52">
        <f>H2787-G2788</f>
        <v/>
      </c>
      <c r="I2788" s="568" t="n"/>
      <c r="J2788" s="568" t="n"/>
      <c r="K2788" s="568" t="n"/>
      <c r="L2788" s="568" t="n"/>
    </row>
    <row r="2789">
      <c r="A2789" s="568" t="n">
        <v>45294</v>
      </c>
      <c r="B2789" s="392" t="n">
        <v>10757</v>
      </c>
      <c r="C2789" s="392" t="n">
        <v>93</v>
      </c>
      <c r="D2789" s="392" t="n"/>
      <c r="E2789" s="392" t="n"/>
      <c r="F2789" s="392" t="n"/>
      <c r="G2789" s="392" t="n">
        <v>30</v>
      </c>
      <c r="H2789" s="52">
        <f>H2788-G2789</f>
        <v/>
      </c>
      <c r="I2789" s="568" t="n"/>
      <c r="J2789" s="568" t="n"/>
      <c r="K2789" s="568" t="n"/>
      <c r="L2789" s="568" t="n"/>
    </row>
    <row r="2790">
      <c r="A2790" s="568" t="n">
        <v>45299</v>
      </c>
      <c r="B2790" s="392" t="n">
        <v>10758</v>
      </c>
      <c r="C2790" s="392" t="n">
        <v>93.2</v>
      </c>
      <c r="D2790" s="392" t="n"/>
      <c r="E2790" s="392" t="n"/>
      <c r="F2790" s="392" t="n"/>
      <c r="G2790" s="392" t="n">
        <v>55</v>
      </c>
      <c r="H2790" s="52">
        <f>H2789-G2790</f>
        <v/>
      </c>
      <c r="I2790" s="568" t="n"/>
      <c r="J2790" s="568" t="n"/>
      <c r="K2790" s="568" t="n"/>
      <c r="L2790" s="568" t="n"/>
    </row>
    <row r="2791">
      <c r="A2791" s="568" t="n">
        <v>45299</v>
      </c>
      <c r="B2791" s="392" t="n">
        <v>10761</v>
      </c>
      <c r="C2791" s="392" t="n">
        <v>93</v>
      </c>
      <c r="D2791" s="392" t="n"/>
      <c r="E2791" s="392" t="n"/>
      <c r="F2791" s="392" t="n"/>
      <c r="G2791" s="392" t="n">
        <v>20</v>
      </c>
      <c r="H2791" s="52">
        <f>H2790-G2791</f>
        <v/>
      </c>
      <c r="I2791" s="568" t="n"/>
      <c r="J2791" s="568" t="n"/>
      <c r="K2791" s="568" t="n"/>
      <c r="L2791" s="568" t="n"/>
    </row>
    <row r="2792">
      <c r="A2792" s="568" t="n">
        <v>45299</v>
      </c>
      <c r="B2792" s="392" t="n">
        <v>10762</v>
      </c>
      <c r="C2792" s="392" t="n">
        <v>93.15000000000001</v>
      </c>
      <c r="D2792" s="392" t="n"/>
      <c r="E2792" s="392" t="n"/>
      <c r="F2792" s="392" t="n"/>
      <c r="G2792" s="392" t="n">
        <v>70</v>
      </c>
      <c r="H2792" s="52">
        <f>H2791-G2792</f>
        <v/>
      </c>
      <c r="I2792" s="568" t="n"/>
      <c r="J2792" s="568" t="n"/>
      <c r="K2792" s="568" t="n"/>
      <c r="L2792" s="568" t="n"/>
    </row>
    <row r="2793">
      <c r="A2793" s="568" t="n">
        <v>45299</v>
      </c>
      <c r="B2793" s="392" t="n">
        <v>10763</v>
      </c>
      <c r="C2793" s="392" t="n">
        <v>78</v>
      </c>
      <c r="D2793" s="392" t="n"/>
      <c r="E2793" s="392" t="n"/>
      <c r="F2793" s="392" t="n"/>
      <c r="G2793" s="392" t="n">
        <v>20</v>
      </c>
      <c r="H2793" s="52">
        <f>H2792-G2793</f>
        <v/>
      </c>
      <c r="I2793" s="568" t="n"/>
      <c r="J2793" s="568" t="n"/>
      <c r="K2793" s="568" t="n"/>
      <c r="L2793" s="568" t="n"/>
    </row>
    <row r="2794">
      <c r="A2794" s="568" t="n">
        <v>45299</v>
      </c>
      <c r="B2794" s="392" t="n">
        <v>10766</v>
      </c>
      <c r="C2794" s="392" t="n">
        <v>93.23</v>
      </c>
      <c r="D2794" s="392" t="n"/>
      <c r="E2794" s="392" t="n"/>
      <c r="F2794" s="392" t="n"/>
      <c r="G2794" s="392" t="n">
        <v>45</v>
      </c>
      <c r="H2794" s="52">
        <f>H2793-G2794</f>
        <v/>
      </c>
      <c r="I2794" s="568" t="n"/>
      <c r="J2794" s="568" t="n"/>
      <c r="K2794" s="568" t="n"/>
      <c r="L2794" s="568" t="n"/>
    </row>
    <row r="2795">
      <c r="A2795" s="568" t="n">
        <v>45301</v>
      </c>
      <c r="B2795" s="392" t="n">
        <v>10767</v>
      </c>
      <c r="C2795" s="392" t="n">
        <v>93</v>
      </c>
      <c r="D2795" s="392" t="n"/>
      <c r="E2795" s="392" t="n"/>
      <c r="F2795" s="392" t="n"/>
      <c r="G2795" s="392" t="n">
        <v>20</v>
      </c>
      <c r="H2795" s="52">
        <f>H2794-G2795</f>
        <v/>
      </c>
      <c r="I2795" s="568" t="n"/>
      <c r="J2795" s="568" t="n"/>
      <c r="K2795" s="568" t="n"/>
      <c r="L2795" s="568" t="n"/>
    </row>
    <row r="2796">
      <c r="A2796" s="568" t="n">
        <v>45301</v>
      </c>
      <c r="B2796" s="392" t="n">
        <v>10769</v>
      </c>
      <c r="C2796" s="392" t="n">
        <v>94.72</v>
      </c>
      <c r="D2796" s="392" t="n"/>
      <c r="E2796" s="392" t="n"/>
      <c r="F2796" s="392" t="n"/>
      <c r="G2796" s="392" t="n">
        <v>35</v>
      </c>
      <c r="H2796" s="52">
        <f>H2795-G2796</f>
        <v/>
      </c>
      <c r="I2796" s="568" t="n"/>
      <c r="J2796" s="568" t="n"/>
      <c r="K2796" s="568" t="n"/>
      <c r="L2796" s="568" t="n"/>
    </row>
    <row r="2797">
      <c r="A2797" s="568" t="n">
        <v>45301</v>
      </c>
      <c r="B2797" s="392" t="n">
        <v>10770</v>
      </c>
      <c r="C2797" s="392" t="n">
        <v>85</v>
      </c>
      <c r="D2797" s="392" t="n"/>
      <c r="E2797" s="392" t="n"/>
      <c r="F2797" s="392" t="n"/>
      <c r="G2797" s="392" t="n">
        <v>15</v>
      </c>
      <c r="H2797" s="52">
        <f>H2796-G2797</f>
        <v/>
      </c>
      <c r="I2797" s="568" t="n"/>
      <c r="J2797" s="568" t="n"/>
      <c r="K2797" s="568" t="n"/>
      <c r="L2797" s="568" t="n"/>
    </row>
    <row r="2798">
      <c r="A2798" s="568" t="n">
        <v>45301</v>
      </c>
      <c r="B2798" s="392" t="n">
        <v>10773</v>
      </c>
      <c r="C2798" s="392" t="n">
        <v>90</v>
      </c>
      <c r="D2798" s="392" t="n"/>
      <c r="E2798" s="392" t="n"/>
      <c r="F2798" s="392" t="n"/>
      <c r="G2798" s="392" t="n">
        <v>10</v>
      </c>
      <c r="H2798" s="52">
        <f>H2797-G2798</f>
        <v/>
      </c>
      <c r="I2798" s="568" t="n"/>
      <c r="J2798" s="568" t="n"/>
      <c r="K2798" s="568" t="n"/>
      <c r="L2798" s="568" t="n"/>
    </row>
    <row r="2799">
      <c r="A2799" s="568" t="n">
        <v>45301</v>
      </c>
      <c r="B2799" s="392" t="n">
        <v>10774</v>
      </c>
      <c r="C2799" s="392" t="n">
        <v>89</v>
      </c>
      <c r="D2799" s="392" t="n"/>
      <c r="E2799" s="392" t="n"/>
      <c r="F2799" s="392" t="n"/>
      <c r="G2799" s="392" t="n">
        <v>50</v>
      </c>
      <c r="H2799" s="52">
        <f>H2798-G2799</f>
        <v/>
      </c>
      <c r="I2799" s="568" t="n"/>
      <c r="J2799" s="568" t="n"/>
      <c r="K2799" s="568" t="n"/>
      <c r="L2799" s="568" t="n"/>
    </row>
    <row r="2800">
      <c r="A2800" s="568" t="n">
        <v>45306</v>
      </c>
      <c r="B2800" s="392" t="n">
        <v>10780</v>
      </c>
      <c r="C2800" s="392" t="n">
        <v>93</v>
      </c>
      <c r="D2800" s="392" t="n"/>
      <c r="E2800" s="392" t="n"/>
      <c r="F2800" s="392" t="n"/>
      <c r="G2800" s="392" t="n">
        <v>15</v>
      </c>
      <c r="H2800" s="52">
        <f>H2799-G2800</f>
        <v/>
      </c>
      <c r="I2800" s="568" t="n"/>
      <c r="J2800" s="568" t="n"/>
      <c r="K2800" s="568" t="n"/>
      <c r="L2800" s="568" t="n"/>
    </row>
    <row r="2801">
      <c r="A2801" s="568" t="n">
        <v>45308</v>
      </c>
      <c r="B2801" s="392" t="n">
        <v>10782</v>
      </c>
      <c r="C2801" s="392" t="n">
        <v>91.40000000000001</v>
      </c>
      <c r="D2801" s="392" t="n"/>
      <c r="E2801" s="392" t="n"/>
      <c r="F2801" s="392" t="n"/>
      <c r="G2801" s="392" t="n">
        <v>20</v>
      </c>
      <c r="H2801" s="52">
        <f>H2800-G2801</f>
        <v/>
      </c>
      <c r="I2801" s="568" t="n"/>
      <c r="J2801" s="568" t="n"/>
      <c r="K2801" s="568" t="n"/>
      <c r="L2801" s="568" t="n"/>
    </row>
    <row r="2802">
      <c r="A2802" s="568" t="n">
        <v>45308</v>
      </c>
      <c r="B2802" s="392" t="n">
        <v>10783</v>
      </c>
      <c r="C2802" s="392" t="n">
        <v>93.5</v>
      </c>
      <c r="D2802" s="392" t="n"/>
      <c r="E2802" s="392" t="n"/>
      <c r="F2802" s="392" t="n"/>
      <c r="G2802" s="392" t="n">
        <v>20</v>
      </c>
      <c r="H2802" s="52">
        <f>H2801-G2802</f>
        <v/>
      </c>
      <c r="I2802" s="568" t="n"/>
      <c r="J2802" s="568" t="n"/>
      <c r="K2802" s="568" t="n"/>
      <c r="L2802" s="568" t="n"/>
    </row>
    <row r="2803">
      <c r="A2803" s="568" t="n">
        <v>45308</v>
      </c>
      <c r="B2803" s="392" t="n">
        <v>10784</v>
      </c>
      <c r="C2803" s="392" t="n">
        <v>93</v>
      </c>
      <c r="D2803" s="392" t="n"/>
      <c r="E2803" s="392" t="n"/>
      <c r="F2803" s="392" t="n"/>
      <c r="G2803" s="392" t="n">
        <v>30</v>
      </c>
      <c r="H2803" s="52">
        <f>H2802-G2803</f>
        <v/>
      </c>
      <c r="I2803" s="568" t="n"/>
      <c r="J2803" s="568" t="n"/>
      <c r="K2803" s="568" t="n"/>
      <c r="L2803" s="568" t="n"/>
    </row>
    <row r="2804">
      <c r="A2804" s="568" t="n">
        <v>45308</v>
      </c>
      <c r="B2804" s="392" t="n">
        <v>10785</v>
      </c>
      <c r="C2804" s="392" t="n">
        <v>85</v>
      </c>
      <c r="D2804" s="392" t="n"/>
      <c r="E2804" s="392" t="n"/>
      <c r="F2804" s="392" t="n"/>
      <c r="G2804" s="392" t="n">
        <v>50</v>
      </c>
      <c r="H2804" s="52">
        <f>H2803-G2804</f>
        <v/>
      </c>
      <c r="I2804" s="568" t="n"/>
      <c r="J2804" s="568" t="n"/>
      <c r="K2804" s="568" t="n"/>
      <c r="L2804" s="568" t="n"/>
    </row>
    <row r="2805">
      <c r="A2805" s="568" t="n">
        <v>45308</v>
      </c>
      <c r="B2805" s="392" t="n">
        <v>10787</v>
      </c>
      <c r="C2805" s="392" t="n">
        <v>85</v>
      </c>
      <c r="D2805" s="392" t="n"/>
      <c r="E2805" s="392" t="n"/>
      <c r="F2805" s="392" t="n"/>
      <c r="G2805" s="392" t="n">
        <v>10</v>
      </c>
      <c r="H2805" s="52">
        <f>H2804-G2805</f>
        <v/>
      </c>
      <c r="I2805" s="568" t="n"/>
      <c r="J2805" s="568" t="n"/>
      <c r="K2805" s="568" t="n"/>
      <c r="L2805" s="568" t="n"/>
    </row>
    <row r="2806">
      <c r="A2806" s="568" t="n">
        <v>45308</v>
      </c>
      <c r="B2806" s="392" t="n">
        <v>10790</v>
      </c>
      <c r="C2806" s="392" t="n">
        <v>90</v>
      </c>
      <c r="D2806" s="392" t="n"/>
      <c r="E2806" s="392" t="n"/>
      <c r="F2806" s="392" t="n"/>
      <c r="G2806" s="392" t="n">
        <v>30</v>
      </c>
      <c r="H2806" s="52">
        <f>H2805-G2806</f>
        <v/>
      </c>
      <c r="I2806" s="568" t="n"/>
      <c r="J2806" s="568" t="n"/>
      <c r="K2806" s="568" t="n"/>
      <c r="L2806" s="568" t="n"/>
    </row>
    <row r="2807">
      <c r="A2807" s="568" t="n">
        <v>45308</v>
      </c>
      <c r="B2807" s="392" t="n">
        <v>10794</v>
      </c>
      <c r="C2807" s="392" t="n">
        <v>85</v>
      </c>
      <c r="D2807" s="392" t="n"/>
      <c r="E2807" s="392" t="n"/>
      <c r="F2807" s="392" t="n"/>
      <c r="G2807" s="392" t="n">
        <v>15</v>
      </c>
      <c r="H2807" s="52">
        <f>H2806-G2807</f>
        <v/>
      </c>
      <c r="I2807" s="568" t="n"/>
      <c r="J2807" s="568" t="n"/>
      <c r="K2807" s="568" t="n"/>
      <c r="L2807" s="568" t="n"/>
    </row>
    <row r="2808">
      <c r="A2808" s="568" t="n">
        <v>45308</v>
      </c>
      <c r="B2808" s="392" t="n">
        <v>10795</v>
      </c>
      <c r="C2808" s="392" t="n">
        <v>89</v>
      </c>
      <c r="D2808" s="392" t="n"/>
      <c r="E2808" s="392" t="n"/>
      <c r="F2808" s="392" t="n"/>
      <c r="G2808" s="392" t="n">
        <v>30</v>
      </c>
      <c r="H2808" s="52">
        <f>H2807-G2808</f>
        <v/>
      </c>
      <c r="I2808" s="568" t="n"/>
      <c r="J2808" s="568" t="n"/>
      <c r="K2808" s="568" t="n"/>
      <c r="L2808" s="568" t="n"/>
    </row>
    <row r="2809">
      <c r="A2809" s="568" t="n">
        <v>45314</v>
      </c>
      <c r="B2809" s="392" t="n">
        <v>10801</v>
      </c>
      <c r="C2809" s="392" t="n">
        <v>87.40000000000001</v>
      </c>
      <c r="D2809" s="392" t="n"/>
      <c r="E2809" s="392" t="n"/>
      <c r="F2809" s="392" t="n"/>
      <c r="G2809" s="392" t="n">
        <v>25</v>
      </c>
      <c r="H2809" s="52">
        <f>H2808-G2809</f>
        <v/>
      </c>
      <c r="I2809" s="568" t="n"/>
      <c r="J2809" s="568" t="n"/>
      <c r="K2809" s="568" t="n"/>
      <c r="L2809" s="568" t="n"/>
    </row>
    <row r="2810">
      <c r="A2810" s="568" t="n">
        <v>45314</v>
      </c>
      <c r="B2810" s="392" t="n">
        <v>10802</v>
      </c>
      <c r="C2810" s="392" t="n">
        <v>82</v>
      </c>
      <c r="D2810" s="392" t="n"/>
      <c r="E2810" s="392" t="n"/>
      <c r="F2810" s="392" t="n"/>
      <c r="G2810" s="392" t="n">
        <v>150</v>
      </c>
      <c r="H2810" s="52">
        <f>H2809-G2810</f>
        <v/>
      </c>
      <c r="I2810" s="568" t="n"/>
      <c r="J2810" s="568" t="n"/>
      <c r="K2810" s="568" t="n"/>
      <c r="L2810" s="568" t="n"/>
    </row>
    <row r="2811">
      <c r="A2811" s="304" t="n">
        <v>45315</v>
      </c>
      <c r="B2811" s="401" t="n">
        <v>237612</v>
      </c>
      <c r="C2811" s="401" t="n">
        <v>72</v>
      </c>
      <c r="D2811" s="401" t="n"/>
      <c r="E2811" s="401" t="n"/>
      <c r="F2811" s="401" t="n">
        <v>800</v>
      </c>
      <c r="G2811" s="401" t="n"/>
      <c r="H2811" s="277" t="n">
        <v>1715</v>
      </c>
      <c r="I2811" s="568" t="n"/>
      <c r="J2811" s="568" t="n"/>
      <c r="K2811" s="568" t="n"/>
      <c r="L2811" s="568" t="n"/>
    </row>
    <row r="2812">
      <c r="A2812" s="568" t="n">
        <v>45315</v>
      </c>
      <c r="B2812" s="392" t="n">
        <v>10804</v>
      </c>
      <c r="C2812" s="392" t="n">
        <v>85</v>
      </c>
      <c r="D2812" s="392" t="n"/>
      <c r="E2812" s="392" t="n"/>
      <c r="F2812" s="392" t="n"/>
      <c r="G2812" s="392" t="n">
        <v>10</v>
      </c>
      <c r="H2812" s="52">
        <f>H2811-G2812</f>
        <v/>
      </c>
      <c r="I2812" s="568" t="n"/>
      <c r="J2812" s="568" t="n"/>
      <c r="K2812" s="568" t="n"/>
      <c r="L2812" s="568" t="n"/>
    </row>
    <row r="2813">
      <c r="A2813" s="568" t="n">
        <v>45315</v>
      </c>
      <c r="B2813" s="392" t="n">
        <v>10805</v>
      </c>
      <c r="C2813" s="392" t="n">
        <v>93.64</v>
      </c>
      <c r="D2813" s="392" t="n"/>
      <c r="E2813" s="392" t="n"/>
      <c r="F2813" s="392" t="n"/>
      <c r="G2813" s="392" t="n">
        <v>50</v>
      </c>
      <c r="H2813" s="52">
        <f>H2812-G2813</f>
        <v/>
      </c>
      <c r="I2813" s="568" t="n"/>
      <c r="J2813" s="568" t="n"/>
      <c r="K2813" s="568" t="n"/>
      <c r="L2813" s="568" t="n"/>
    </row>
    <row r="2814">
      <c r="A2814" s="568" t="n">
        <v>45321</v>
      </c>
      <c r="B2814" s="392" t="n">
        <v>10809</v>
      </c>
      <c r="C2814" s="392" t="n">
        <v>85</v>
      </c>
      <c r="D2814" s="392" t="n"/>
      <c r="E2814" s="392" t="n"/>
      <c r="F2814" s="392" t="n"/>
      <c r="G2814" s="392" t="n">
        <v>20</v>
      </c>
      <c r="H2814" s="52">
        <f>H2813-G2814</f>
        <v/>
      </c>
      <c r="I2814" s="568" t="n"/>
      <c r="J2814" s="568" t="n"/>
      <c r="K2814" s="568" t="n"/>
      <c r="L2814" s="568" t="n"/>
    </row>
    <row r="2815">
      <c r="A2815" s="568" t="n">
        <v>45321</v>
      </c>
      <c r="B2815" s="392" t="n">
        <v>10810</v>
      </c>
      <c r="C2815" s="392" t="n">
        <v>91.40000000000001</v>
      </c>
      <c r="D2815" s="392" t="n"/>
      <c r="E2815" s="392" t="n"/>
      <c r="F2815" s="392" t="n"/>
      <c r="G2815" s="392" t="n">
        <v>50</v>
      </c>
      <c r="H2815" s="52">
        <f>H2814-G2815</f>
        <v/>
      </c>
      <c r="I2815" s="568" t="n"/>
      <c r="J2815" s="568" t="n"/>
      <c r="K2815" s="568" t="n"/>
      <c r="L2815" s="568" t="n"/>
    </row>
    <row r="2816">
      <c r="A2816" s="568" t="n">
        <v>45321</v>
      </c>
      <c r="B2816" s="392" t="n">
        <v>10813</v>
      </c>
      <c r="C2816" s="392" t="n">
        <v>93</v>
      </c>
      <c r="D2816" s="392" t="n"/>
      <c r="E2816" s="392" t="n"/>
      <c r="F2816" s="392" t="n"/>
      <c r="G2816" s="392" t="n">
        <v>10</v>
      </c>
      <c r="H2816" s="52">
        <f>H2815-G2816</f>
        <v/>
      </c>
      <c r="I2816" s="568" t="n"/>
      <c r="J2816" s="568" t="n"/>
      <c r="K2816" s="568" t="n"/>
      <c r="L2816" s="568" t="n"/>
    </row>
    <row r="2817">
      <c r="A2817" s="568" t="n">
        <v>45321</v>
      </c>
      <c r="B2817" s="392" t="n">
        <v>10815</v>
      </c>
      <c r="C2817" s="392" t="n">
        <v>94.2</v>
      </c>
      <c r="D2817" s="392" t="n"/>
      <c r="E2817" s="392" t="n"/>
      <c r="F2817" s="392" t="n"/>
      <c r="G2817" s="392" t="n">
        <v>50</v>
      </c>
      <c r="H2817" s="52">
        <f>H2816-G2817</f>
        <v/>
      </c>
      <c r="I2817" s="568" t="n"/>
      <c r="J2817" s="568" t="n"/>
      <c r="K2817" s="568" t="n"/>
      <c r="L2817" s="568" t="n"/>
    </row>
    <row r="2818">
      <c r="A2818" s="568" t="n">
        <v>45321</v>
      </c>
      <c r="B2818" s="392" t="n">
        <v>10816</v>
      </c>
      <c r="C2818" s="392" t="n">
        <v>93</v>
      </c>
      <c r="D2818" s="392" t="n"/>
      <c r="E2818" s="392" t="n"/>
      <c r="F2818" s="392" t="n"/>
      <c r="G2818" s="392" t="n">
        <v>20</v>
      </c>
      <c r="H2818" s="52">
        <f>H2817-G2818</f>
        <v/>
      </c>
      <c r="I2818" s="568" t="n"/>
      <c r="J2818" s="568" t="n"/>
      <c r="K2818" s="568" t="n"/>
      <c r="L2818" s="568" t="n"/>
    </row>
    <row r="2819">
      <c r="A2819" s="568" t="n">
        <v>45321</v>
      </c>
      <c r="B2819" s="392" t="n">
        <v>10817</v>
      </c>
      <c r="C2819" s="392" t="n">
        <v>85</v>
      </c>
      <c r="D2819" s="392" t="n"/>
      <c r="E2819" s="392" t="n"/>
      <c r="F2819" s="392" t="n"/>
      <c r="G2819" s="392" t="n">
        <v>10</v>
      </c>
      <c r="H2819" s="52">
        <f>H2818-G2819</f>
        <v/>
      </c>
      <c r="I2819" s="568" t="n"/>
      <c r="J2819" s="568" t="n"/>
      <c r="K2819" s="568" t="n"/>
      <c r="L2819" s="568" t="n"/>
    </row>
    <row r="2820">
      <c r="A2820" s="568" t="n">
        <v>45321</v>
      </c>
      <c r="B2820" s="392" t="n">
        <v>10818</v>
      </c>
      <c r="C2820" s="392" t="n">
        <v>93.8</v>
      </c>
      <c r="D2820" s="392" t="n"/>
      <c r="E2820" s="392" t="n"/>
      <c r="F2820" s="392" t="n"/>
      <c r="G2820" s="392" t="n">
        <v>50</v>
      </c>
      <c r="H2820" s="52">
        <f>H2819-G2820</f>
        <v/>
      </c>
      <c r="I2820" s="568" t="n"/>
      <c r="J2820" s="568" t="n"/>
      <c r="K2820" s="568" t="n"/>
      <c r="L2820" s="568" t="n"/>
    </row>
    <row r="2821">
      <c r="A2821" s="568" t="n">
        <v>45321</v>
      </c>
      <c r="B2821" s="392" t="n">
        <v>10819</v>
      </c>
      <c r="C2821" s="392" t="n">
        <v>89</v>
      </c>
      <c r="D2821" s="392" t="n"/>
      <c r="E2821" s="392" t="n"/>
      <c r="F2821" s="392" t="n"/>
      <c r="G2821" s="392" t="n">
        <v>20</v>
      </c>
      <c r="H2821" s="52">
        <f>H2820-G2821</f>
        <v/>
      </c>
      <c r="I2821" s="568" t="n"/>
      <c r="J2821" s="568" t="n"/>
      <c r="K2821" s="568" t="n"/>
      <c r="L2821" s="568" t="n"/>
    </row>
    <row r="2822">
      <c r="A2822" s="568" t="n">
        <v>45321</v>
      </c>
      <c r="B2822" s="392" t="n">
        <v>10820</v>
      </c>
      <c r="C2822" s="392" t="n">
        <v>93.33</v>
      </c>
      <c r="D2822" s="392" t="n"/>
      <c r="E2822" s="392" t="n"/>
      <c r="F2822" s="392" t="n"/>
      <c r="G2822" s="392" t="n">
        <v>23</v>
      </c>
      <c r="H2822" s="52">
        <f>H2821-G2822</f>
        <v/>
      </c>
      <c r="I2822" s="568" t="n"/>
      <c r="J2822" s="568" t="n"/>
      <c r="K2822" s="568" t="n"/>
      <c r="L2822" s="568" t="n"/>
    </row>
    <row r="2823">
      <c r="A2823" s="568" t="n">
        <v>45322</v>
      </c>
      <c r="B2823" s="392" t="n">
        <v>10822</v>
      </c>
      <c r="C2823" s="392" t="n">
        <v>93.64</v>
      </c>
      <c r="D2823" s="392" t="n"/>
      <c r="E2823" s="392" t="n"/>
      <c r="F2823" s="392" t="n"/>
      <c r="G2823" s="392" t="n">
        <v>50</v>
      </c>
      <c r="H2823" s="52">
        <f>H2822-G2823</f>
        <v/>
      </c>
      <c r="I2823" s="568" t="n"/>
      <c r="J2823" s="568" t="n"/>
      <c r="K2823" s="568" t="n"/>
      <c r="L2823" s="568" t="n"/>
    </row>
    <row r="2824" ht="15.75" customHeight="1" s="436" thickBot="1">
      <c r="A2824" s="414" t="n"/>
      <c r="H2824" s="171" t="n"/>
      <c r="I2824" s="414" t="n"/>
      <c r="J2824" s="414" t="n"/>
      <c r="K2824" s="414" t="n"/>
      <c r="L2824" s="414" t="n"/>
    </row>
    <row r="2825" ht="21.75" customHeight="1" s="436" thickBot="1">
      <c r="A2825" s="757" t="inlineStr">
        <is>
          <t>Fevereiro</t>
        </is>
      </c>
      <c r="B2825" s="697" t="n"/>
      <c r="C2825" s="697" t="n"/>
      <c r="D2825" s="697" t="n"/>
      <c r="E2825" s="697" t="n"/>
      <c r="F2825" s="697" t="n"/>
      <c r="G2825" s="697" t="n"/>
      <c r="H2825" s="697" t="n"/>
      <c r="I2825" s="697" t="n"/>
      <c r="J2825" s="697" t="n"/>
      <c r="K2825" s="697" t="n"/>
      <c r="L2825" s="698" t="n"/>
    </row>
    <row r="2826" ht="21.75" customHeight="1" s="436" thickBot="1">
      <c r="A2826" s="699" t="inlineStr">
        <is>
          <t xml:space="preserve">021 - DENISE FURTADO DE SOUZA - ME </t>
        </is>
      </c>
      <c r="B2826" s="697" t="n"/>
      <c r="C2826" s="697" t="n"/>
      <c r="D2826" s="697" t="n"/>
      <c r="E2826" s="697" t="n"/>
      <c r="F2826" s="697" t="n"/>
      <c r="G2826" s="697" t="n"/>
      <c r="H2826" s="697" t="n"/>
      <c r="I2826" s="697" t="n"/>
      <c r="J2826" s="697" t="n"/>
      <c r="K2826" s="697" t="n"/>
      <c r="L2826" s="698" t="n"/>
    </row>
    <row r="2827" ht="24" customHeight="1" s="436" thickBot="1">
      <c r="A2827" s="759" t="inlineStr">
        <is>
          <t xml:space="preserve">  PRÉ MISTURA - 25 KG</t>
        </is>
      </c>
      <c r="B2827" s="697" t="n"/>
      <c r="C2827" s="697" t="n"/>
      <c r="D2827" s="697" t="n"/>
      <c r="E2827" s="697" t="n"/>
      <c r="F2827" s="697" t="n"/>
      <c r="G2827" s="697" t="n"/>
      <c r="H2827" s="697" t="n"/>
      <c r="I2827" s="697" t="n"/>
      <c r="J2827" s="697" t="n"/>
      <c r="K2827" s="697" t="n"/>
      <c r="L2827" s="698" t="n"/>
    </row>
    <row r="2828">
      <c r="A2828" s="3" t="inlineStr">
        <is>
          <t>DATA</t>
        </is>
      </c>
      <c r="B2828" s="3" t="inlineStr">
        <is>
          <t>N.F.</t>
        </is>
      </c>
      <c r="C2828" s="3" t="inlineStr">
        <is>
          <t>TIPO</t>
        </is>
      </c>
      <c r="D2828" s="3" t="inlineStr">
        <is>
          <t>PREÇO UNITÁRIO</t>
        </is>
      </c>
      <c r="E2828" s="736" t="n"/>
      <c r="F2828" s="3" t="inlineStr">
        <is>
          <t>QUANTIDADE / KG</t>
        </is>
      </c>
      <c r="G2828" s="737" t="n"/>
      <c r="H2828" s="736" t="n"/>
      <c r="I2828" s="631" t="inlineStr">
        <is>
          <t>PREÇO</t>
        </is>
      </c>
      <c r="J2828" s="631" t="inlineStr">
        <is>
          <t>VALORES</t>
        </is>
      </c>
      <c r="K2828" s="737" t="n"/>
      <c r="L2828" s="736" t="n"/>
    </row>
    <row r="2829" ht="15.75" customHeight="1" s="436" thickBot="1">
      <c r="A2829" s="704" t="n"/>
      <c r="B2829" s="704" t="n"/>
      <c r="C2829" s="704" t="n"/>
      <c r="D2829" s="703" t="n"/>
      <c r="E2829" s="701" t="n"/>
      <c r="F2829" s="705" t="n"/>
      <c r="G2829" s="706" t="n"/>
      <c r="H2829" s="707" t="n"/>
      <c r="I2829" s="704" t="n"/>
      <c r="J2829" s="703" t="n"/>
      <c r="L2829" s="701" t="n"/>
    </row>
    <row r="2830" ht="15.75" customHeight="1" s="436" thickBot="1">
      <c r="A2830" s="704" t="n"/>
      <c r="B2830" s="704" t="n"/>
      <c r="C2830" s="704" t="n"/>
      <c r="D2830" s="705" t="n"/>
      <c r="E2830" s="707" t="n"/>
      <c r="F2830" s="3" t="inlineStr">
        <is>
          <t>ENTRADA</t>
        </is>
      </c>
      <c r="G2830" s="3" t="inlineStr">
        <is>
          <t>SAÍDA</t>
        </is>
      </c>
      <c r="H2830" s="640" t="n"/>
      <c r="I2830" s="633" t="inlineStr">
        <is>
          <t>MÉDIO</t>
        </is>
      </c>
      <c r="J2830" s="739" t="inlineStr">
        <is>
          <t>SALDO EM 30/12/2017</t>
        </is>
      </c>
      <c r="K2830" s="707" t="n"/>
      <c r="L2830" s="17" t="n"/>
    </row>
    <row r="2831" ht="15.75" customHeight="1" s="436" thickBot="1">
      <c r="A2831" s="695" t="n"/>
      <c r="B2831" s="695" t="n"/>
      <c r="C2831" s="695" t="n"/>
      <c r="D2831" s="3" t="inlineStr">
        <is>
          <t>C/ICMS</t>
        </is>
      </c>
      <c r="E2831" s="3" t="inlineStr">
        <is>
          <t>S/ICMS</t>
        </is>
      </c>
      <c r="F2831" s="695" t="n"/>
      <c r="G2831" s="695" t="n"/>
      <c r="H2831" s="361" t="inlineStr">
        <is>
          <t>Saldo em 31/01/2024</t>
        </is>
      </c>
      <c r="I2831" s="695" t="n"/>
      <c r="J2831" s="645" t="inlineStr">
        <is>
          <t>ENTRADA</t>
        </is>
      </c>
      <c r="K2831" s="633" t="inlineStr">
        <is>
          <t>SAÍDA / CMV</t>
        </is>
      </c>
      <c r="L2831" s="633" t="inlineStr">
        <is>
          <t>SALDO</t>
        </is>
      </c>
    </row>
    <row r="2832">
      <c r="A2832" s="568" t="n"/>
      <c r="B2832" s="392" t="n"/>
      <c r="C2832" s="392" t="n"/>
      <c r="D2832" s="392" t="n"/>
      <c r="E2832" s="392" t="n"/>
      <c r="F2832" s="392" t="n"/>
      <c r="G2832" s="392" t="n"/>
      <c r="H2832" s="52" t="n">
        <v>1352</v>
      </c>
      <c r="I2832" s="568" t="n"/>
      <c r="J2832" s="568" t="n"/>
      <c r="K2832" s="568" t="n"/>
      <c r="L2832" s="392" t="n"/>
    </row>
    <row r="2833">
      <c r="A2833" s="568" t="n">
        <v>45329</v>
      </c>
      <c r="B2833" s="392" t="n">
        <v>10825</v>
      </c>
      <c r="C2833" s="392" t="n">
        <v>85</v>
      </c>
      <c r="D2833" s="392" t="n"/>
      <c r="E2833" s="392" t="n"/>
      <c r="F2833" s="392" t="n"/>
      <c r="G2833" s="392" t="n">
        <v>10</v>
      </c>
      <c r="H2833" s="52">
        <f>H2832-G2833</f>
        <v/>
      </c>
      <c r="I2833" s="568" t="n"/>
      <c r="J2833" s="568" t="n"/>
      <c r="K2833" s="568" t="n"/>
      <c r="L2833" s="568" t="n"/>
    </row>
    <row r="2834">
      <c r="A2834" s="568" t="n">
        <v>45329</v>
      </c>
      <c r="B2834" s="392" t="n">
        <v>10830</v>
      </c>
      <c r="C2834" s="392" t="n">
        <v>92</v>
      </c>
      <c r="D2834" s="392" t="n"/>
      <c r="E2834" s="392" t="n"/>
      <c r="F2834" s="392" t="n"/>
      <c r="G2834" s="392" t="n">
        <v>16</v>
      </c>
      <c r="H2834" s="52">
        <f>H2833-G2834</f>
        <v/>
      </c>
      <c r="I2834" s="568" t="n"/>
      <c r="J2834" s="568" t="n"/>
      <c r="K2834" s="568" t="n"/>
      <c r="L2834" s="568" t="n"/>
    </row>
    <row r="2835">
      <c r="A2835" s="568" t="n">
        <v>45329</v>
      </c>
      <c r="B2835" s="392" t="n">
        <v>10832</v>
      </c>
      <c r="C2835" s="392" t="n">
        <v>85</v>
      </c>
      <c r="D2835" s="392" t="n"/>
      <c r="E2835" s="392" t="n"/>
      <c r="F2835" s="392" t="n"/>
      <c r="G2835" s="392" t="n">
        <v>30</v>
      </c>
      <c r="H2835" s="52">
        <f>H2834-G2835</f>
        <v/>
      </c>
      <c r="I2835" s="568" t="n"/>
      <c r="J2835" s="568" t="n"/>
      <c r="K2835" s="568" t="n"/>
      <c r="L2835" s="568" t="n"/>
    </row>
    <row r="2836">
      <c r="A2836" s="568" t="n">
        <v>45329</v>
      </c>
      <c r="B2836" s="392" t="n">
        <v>10835</v>
      </c>
      <c r="C2836" s="392" t="n">
        <v>85</v>
      </c>
      <c r="D2836" s="392" t="n"/>
      <c r="E2836" s="392" t="n"/>
      <c r="F2836" s="392" t="n"/>
      <c r="G2836" s="392" t="n">
        <v>10</v>
      </c>
      <c r="H2836" s="52">
        <f>H2835-G2836</f>
        <v/>
      </c>
      <c r="I2836" s="568" t="n"/>
      <c r="J2836" s="568" t="n"/>
      <c r="K2836" s="568" t="n"/>
      <c r="L2836" s="568" t="n"/>
    </row>
    <row r="2837">
      <c r="A2837" s="568" t="n">
        <v>45329</v>
      </c>
      <c r="B2837" s="392" t="n">
        <v>10836</v>
      </c>
      <c r="C2837" s="392" t="n">
        <v>88</v>
      </c>
      <c r="D2837" s="392" t="n"/>
      <c r="E2837" s="392" t="n"/>
      <c r="F2837" s="392" t="n"/>
      <c r="G2837" s="392" t="n">
        <v>20</v>
      </c>
      <c r="H2837" s="52">
        <f>H2836-G2837</f>
        <v/>
      </c>
      <c r="I2837" s="568" t="n"/>
      <c r="J2837" s="568" t="n"/>
      <c r="K2837" s="568" t="n"/>
      <c r="L2837" s="568" t="n"/>
    </row>
    <row r="2838">
      <c r="A2838" s="568" t="n">
        <v>45329</v>
      </c>
      <c r="B2838" s="392" t="n">
        <v>10838</v>
      </c>
      <c r="C2838" s="392" t="n">
        <v>93.64</v>
      </c>
      <c r="D2838" s="392" t="n"/>
      <c r="E2838" s="392" t="n"/>
      <c r="F2838" s="392" t="n"/>
      <c r="G2838" s="392" t="n">
        <v>50</v>
      </c>
      <c r="H2838" s="52">
        <f>H2837-G2838</f>
        <v/>
      </c>
      <c r="I2838" s="568" t="n"/>
      <c r="J2838" s="568" t="n"/>
      <c r="K2838" s="568" t="n"/>
      <c r="L2838" s="568" t="n"/>
    </row>
    <row r="2839">
      <c r="A2839" s="568" t="n">
        <v>45336</v>
      </c>
      <c r="B2839" s="392" t="n">
        <v>10846</v>
      </c>
      <c r="C2839" s="392" t="n">
        <v>85</v>
      </c>
      <c r="D2839" s="392" t="n"/>
      <c r="E2839" s="392" t="n"/>
      <c r="F2839" s="392" t="n"/>
      <c r="G2839" s="392" t="n">
        <v>10</v>
      </c>
      <c r="H2839" s="52">
        <f>H2838-G2839</f>
        <v/>
      </c>
      <c r="I2839" s="568" t="n"/>
      <c r="J2839" s="568" t="n"/>
      <c r="K2839" s="568" t="n"/>
      <c r="L2839" s="568" t="n"/>
    </row>
    <row r="2840">
      <c r="A2840" s="568" t="n">
        <v>45336</v>
      </c>
      <c r="B2840" s="392" t="n">
        <v>10847</v>
      </c>
      <c r="C2840" s="392" t="n">
        <v>91.40000000000001</v>
      </c>
      <c r="D2840" s="392" t="n"/>
      <c r="E2840" s="392" t="n"/>
      <c r="F2840" s="392" t="n"/>
      <c r="G2840" s="392" t="n">
        <v>20</v>
      </c>
      <c r="H2840" s="52">
        <f>H2839-G2840</f>
        <v/>
      </c>
      <c r="I2840" s="568" t="n"/>
      <c r="J2840" s="568" t="n"/>
      <c r="K2840" s="568" t="n"/>
      <c r="L2840" s="568" t="n"/>
    </row>
    <row r="2841">
      <c r="A2841" s="568" t="n">
        <v>45336</v>
      </c>
      <c r="B2841" s="392" t="n">
        <v>10848</v>
      </c>
      <c r="C2841" s="392" t="n">
        <v>85</v>
      </c>
      <c r="D2841" s="392" t="n"/>
      <c r="E2841" s="392" t="n"/>
      <c r="F2841" s="392" t="n"/>
      <c r="G2841" s="392" t="n">
        <v>10</v>
      </c>
      <c r="H2841" s="52">
        <f>H2840-G2841</f>
        <v/>
      </c>
      <c r="I2841" s="568" t="n"/>
      <c r="J2841" s="568" t="n"/>
      <c r="K2841" s="568" t="n"/>
      <c r="L2841" s="568" t="n"/>
    </row>
    <row r="2842">
      <c r="A2842" s="568" t="n">
        <v>45336</v>
      </c>
      <c r="B2842" s="392" t="n">
        <v>10849</v>
      </c>
      <c r="C2842" s="392" t="n">
        <v>88</v>
      </c>
      <c r="D2842" s="392" t="n"/>
      <c r="E2842" s="392" t="n"/>
      <c r="F2842" s="392" t="n"/>
      <c r="G2842" s="392" t="n">
        <v>15</v>
      </c>
      <c r="H2842" s="52">
        <f>H2841-G2842</f>
        <v/>
      </c>
      <c r="I2842" s="568" t="n"/>
      <c r="J2842" s="568" t="n"/>
      <c r="K2842" s="568" t="n"/>
      <c r="L2842" s="568" t="n"/>
    </row>
    <row r="2843">
      <c r="A2843" s="568" t="n">
        <v>45336</v>
      </c>
      <c r="B2843" s="392" t="n">
        <v>10853</v>
      </c>
      <c r="C2843" s="392" t="n">
        <v>89</v>
      </c>
      <c r="D2843" s="392" t="n"/>
      <c r="E2843" s="392" t="n"/>
      <c r="F2843" s="392" t="n"/>
      <c r="G2843" s="392" t="n">
        <v>20</v>
      </c>
      <c r="H2843" s="52">
        <f>H2842-G2843</f>
        <v/>
      </c>
      <c r="I2843" s="568" t="n"/>
      <c r="J2843" s="568" t="n"/>
      <c r="K2843" s="568" t="n"/>
      <c r="L2843" s="568" t="n"/>
    </row>
    <row r="2844">
      <c r="A2844" s="568" t="n">
        <v>45336</v>
      </c>
      <c r="B2844" s="392" t="n">
        <v>10854</v>
      </c>
      <c r="C2844" s="392" t="n">
        <v>93.64</v>
      </c>
      <c r="D2844" s="392" t="n"/>
      <c r="E2844" s="392" t="n"/>
      <c r="F2844" s="392" t="n"/>
      <c r="G2844" s="392" t="n">
        <v>50</v>
      </c>
      <c r="H2844" s="52">
        <f>H2843-G2844</f>
        <v/>
      </c>
      <c r="I2844" s="568" t="n"/>
      <c r="J2844" s="568" t="n"/>
      <c r="K2844" s="568" t="n"/>
      <c r="L2844" s="568" t="n"/>
    </row>
    <row r="2845">
      <c r="A2845" s="568" t="n">
        <v>45341</v>
      </c>
      <c r="B2845" s="392" t="n">
        <v>10856</v>
      </c>
      <c r="C2845" s="392" t="n">
        <v>82</v>
      </c>
      <c r="D2845" s="392" t="n"/>
      <c r="E2845" s="392" t="n"/>
      <c r="F2845" s="392" t="n"/>
      <c r="G2845" s="392" t="n">
        <v>150</v>
      </c>
      <c r="H2845" s="52">
        <f>H2844-G2845</f>
        <v/>
      </c>
      <c r="I2845" s="568" t="n"/>
      <c r="J2845" s="568" t="n"/>
      <c r="K2845" s="568" t="n"/>
      <c r="L2845" s="568" t="n"/>
    </row>
    <row r="2846">
      <c r="A2846" s="568" t="n">
        <v>45342</v>
      </c>
      <c r="B2846" s="392" t="n">
        <v>10860</v>
      </c>
      <c r="C2846" s="392" t="n">
        <v>93</v>
      </c>
      <c r="D2846" s="392" t="n"/>
      <c r="E2846" s="392" t="n"/>
      <c r="F2846" s="392" t="n"/>
      <c r="G2846" s="392" t="n">
        <v>30</v>
      </c>
      <c r="H2846" s="52">
        <f>H2845-G2846</f>
        <v/>
      </c>
      <c r="I2846" s="568" t="n"/>
      <c r="J2846" s="568" t="n"/>
      <c r="K2846" s="568" t="n"/>
      <c r="L2846" s="568" t="n"/>
    </row>
    <row r="2847">
      <c r="A2847" s="568" t="n">
        <v>45342</v>
      </c>
      <c r="B2847" s="392" t="n">
        <v>10865</v>
      </c>
      <c r="C2847" s="392" t="n">
        <v>93</v>
      </c>
      <c r="D2847" s="392" t="n"/>
      <c r="E2847" s="392" t="n"/>
      <c r="F2847" s="392" t="n"/>
      <c r="G2847" s="392" t="n">
        <v>20</v>
      </c>
      <c r="H2847" s="52">
        <f>H2846-G2847</f>
        <v/>
      </c>
      <c r="I2847" s="568" t="n"/>
      <c r="J2847" s="568" t="n"/>
      <c r="K2847" s="568" t="n"/>
      <c r="L2847" s="568" t="n"/>
    </row>
    <row r="2848">
      <c r="A2848" s="568" t="n">
        <v>45342</v>
      </c>
      <c r="B2848" s="392" t="n">
        <v>10866</v>
      </c>
      <c r="C2848" s="392" t="n">
        <v>93.8</v>
      </c>
      <c r="D2848" s="392" t="n"/>
      <c r="E2848" s="392" t="n"/>
      <c r="F2848" s="392" t="n"/>
      <c r="G2848" s="392" t="n">
        <v>50</v>
      </c>
      <c r="H2848" s="52">
        <f>H2847-G2848</f>
        <v/>
      </c>
      <c r="I2848" s="568" t="n"/>
      <c r="J2848" s="568" t="n"/>
      <c r="K2848" s="568" t="n"/>
      <c r="L2848" s="568" t="n"/>
    </row>
    <row r="2849">
      <c r="A2849" s="568" t="n">
        <v>45342</v>
      </c>
      <c r="B2849" s="392" t="n">
        <v>10868</v>
      </c>
      <c r="C2849" s="392" t="n">
        <v>85.33</v>
      </c>
      <c r="D2849" s="392" t="n"/>
      <c r="E2849" s="392" t="n"/>
      <c r="F2849" s="392" t="n"/>
      <c r="G2849" s="392" t="n">
        <v>30</v>
      </c>
      <c r="H2849" s="52">
        <f>H2848-G2849</f>
        <v/>
      </c>
      <c r="I2849" s="568" t="n"/>
      <c r="J2849" s="568" t="n"/>
      <c r="K2849" s="568" t="n"/>
      <c r="L2849" s="568" t="n"/>
    </row>
    <row r="2850">
      <c r="A2850" s="568" t="n">
        <v>45342</v>
      </c>
      <c r="B2850" s="392" t="n">
        <v>10869</v>
      </c>
      <c r="C2850" s="392" t="n">
        <v>85</v>
      </c>
      <c r="D2850" s="392" t="n"/>
      <c r="E2850" s="392" t="n"/>
      <c r="F2850" s="392" t="n"/>
      <c r="G2850" s="392" t="n">
        <v>15</v>
      </c>
      <c r="H2850" s="52">
        <f>H2849-G2850</f>
        <v/>
      </c>
      <c r="I2850" s="568" t="n"/>
      <c r="J2850" s="568" t="n"/>
      <c r="K2850" s="568" t="n"/>
      <c r="L2850" s="568" t="n"/>
    </row>
    <row r="2851">
      <c r="A2851" s="568" t="n">
        <v>45342</v>
      </c>
      <c r="B2851" s="392" t="n">
        <v>10872</v>
      </c>
      <c r="C2851" s="392" t="n">
        <v>93.64</v>
      </c>
      <c r="D2851" s="392" t="n"/>
      <c r="E2851" s="392" t="n"/>
      <c r="F2851" s="392" t="n"/>
      <c r="G2851" s="392" t="n">
        <v>50</v>
      </c>
      <c r="H2851" s="52">
        <f>H2850-G2851</f>
        <v/>
      </c>
      <c r="I2851" s="568" t="n"/>
      <c r="J2851" s="568" t="n"/>
      <c r="K2851" s="568" t="n"/>
      <c r="L2851" s="568" t="n"/>
    </row>
    <row r="2852">
      <c r="A2852" s="304" t="n">
        <v>45349</v>
      </c>
      <c r="B2852" s="401" t="n">
        <v>239742</v>
      </c>
      <c r="C2852" s="401" t="n">
        <v>69</v>
      </c>
      <c r="D2852" s="401" t="n"/>
      <c r="E2852" s="401" t="n"/>
      <c r="F2852" s="401" t="n">
        <v>600</v>
      </c>
      <c r="G2852" s="401" t="n"/>
      <c r="H2852" s="277" t="n">
        <v>1346</v>
      </c>
      <c r="I2852" s="568" t="n"/>
      <c r="J2852" s="568" t="n"/>
      <c r="K2852" s="568" t="n"/>
      <c r="L2852" s="568" t="n"/>
    </row>
    <row r="2853">
      <c r="A2853" s="568" t="n">
        <v>45350</v>
      </c>
      <c r="B2853" s="392" t="n">
        <v>10879</v>
      </c>
      <c r="C2853" s="392" t="n">
        <v>87</v>
      </c>
      <c r="D2853" s="392" t="n"/>
      <c r="E2853" s="392" t="n"/>
      <c r="F2853" s="392" t="n"/>
      <c r="G2853" s="392" t="n">
        <v>25</v>
      </c>
      <c r="H2853" s="52">
        <f>H2852-G2853</f>
        <v/>
      </c>
      <c r="I2853" s="568" t="n"/>
      <c r="J2853" s="568" t="n"/>
      <c r="K2853" s="568" t="n"/>
      <c r="L2853" s="568" t="n"/>
    </row>
    <row r="2854">
      <c r="A2854" s="568" t="n">
        <v>45350</v>
      </c>
      <c r="B2854" s="392" t="n">
        <v>10880</v>
      </c>
      <c r="C2854" s="392" t="n">
        <v>91</v>
      </c>
      <c r="D2854" s="392" t="n"/>
      <c r="E2854" s="392" t="n"/>
      <c r="F2854" s="392" t="n"/>
      <c r="G2854" s="392" t="n">
        <v>10</v>
      </c>
      <c r="H2854" s="52">
        <f>H2853-G2854</f>
        <v/>
      </c>
      <c r="I2854" s="568" t="n"/>
      <c r="J2854" s="568" t="n"/>
      <c r="K2854" s="568" t="n"/>
      <c r="L2854" s="568" t="n"/>
    </row>
    <row r="2855">
      <c r="A2855" s="568" t="n">
        <v>45350</v>
      </c>
      <c r="B2855" s="392" t="n">
        <v>10882</v>
      </c>
      <c r="C2855" s="392" t="n">
        <v>85</v>
      </c>
      <c r="D2855" s="392" t="n"/>
      <c r="E2855" s="392" t="n"/>
      <c r="F2855" s="392" t="n"/>
      <c r="G2855" s="392" t="n">
        <v>10</v>
      </c>
      <c r="H2855" s="52">
        <f>H2854-G2855</f>
        <v/>
      </c>
      <c r="I2855" s="568" t="n"/>
      <c r="J2855" s="568" t="n"/>
      <c r="K2855" s="568" t="n"/>
      <c r="L2855" s="568" t="n"/>
    </row>
    <row r="2856">
      <c r="A2856" s="568" t="n">
        <v>45350</v>
      </c>
      <c r="B2856" s="392" t="n">
        <v>10883</v>
      </c>
      <c r="C2856" s="392" t="n">
        <v>85.34</v>
      </c>
      <c r="D2856" s="392" t="n"/>
      <c r="E2856" s="392" t="n"/>
      <c r="F2856" s="392" t="n"/>
      <c r="G2856" s="392" t="n">
        <v>30</v>
      </c>
      <c r="H2856" s="52">
        <f>H2855-G2856</f>
        <v/>
      </c>
      <c r="I2856" s="568" t="n"/>
      <c r="J2856" s="568" t="n"/>
      <c r="K2856" s="568" t="n"/>
      <c r="L2856" s="568" t="n"/>
    </row>
    <row r="2857">
      <c r="A2857" s="568" t="n">
        <v>45350</v>
      </c>
      <c r="B2857" s="392" t="n">
        <v>10886</v>
      </c>
      <c r="C2857" s="392" t="n">
        <v>75</v>
      </c>
      <c r="D2857" s="392" t="n"/>
      <c r="E2857" s="392" t="n"/>
      <c r="F2857" s="392" t="n"/>
      <c r="G2857" s="392" t="n"/>
      <c r="H2857" s="52">
        <f>H2856-G2857</f>
        <v/>
      </c>
      <c r="I2857" s="568" t="n"/>
      <c r="J2857" s="568" t="n"/>
      <c r="K2857" s="568" t="n"/>
      <c r="L2857" s="568" t="n"/>
    </row>
    <row r="2858" ht="15.75" customHeight="1" s="436" thickBot="1">
      <c r="A2858" s="414" t="n"/>
      <c r="H2858" s="171" t="n"/>
      <c r="I2858" s="414" t="n"/>
      <c r="J2858" s="414" t="n"/>
      <c r="K2858" s="414" t="n"/>
      <c r="L2858" s="414" t="n"/>
    </row>
    <row r="2859" ht="21.75" customHeight="1" s="436" thickBot="1">
      <c r="A2859" s="757" t="inlineStr">
        <is>
          <t>Março</t>
        </is>
      </c>
      <c r="B2859" s="697" t="n"/>
      <c r="C2859" s="697" t="n"/>
      <c r="D2859" s="697" t="n"/>
      <c r="E2859" s="697" t="n"/>
      <c r="F2859" s="697" t="n"/>
      <c r="G2859" s="697" t="n"/>
      <c r="H2859" s="697" t="n"/>
      <c r="I2859" s="697" t="n"/>
      <c r="J2859" s="697" t="n"/>
      <c r="K2859" s="697" t="n"/>
      <c r="L2859" s="698" t="n"/>
    </row>
    <row r="2860" ht="21.75" customHeight="1" s="436" thickBot="1">
      <c r="A2860" s="699" t="inlineStr">
        <is>
          <t xml:space="preserve">021 - DENISE FURTADO DE SOUZA - ME </t>
        </is>
      </c>
      <c r="B2860" s="697" t="n"/>
      <c r="C2860" s="697" t="n"/>
      <c r="D2860" s="697" t="n"/>
      <c r="E2860" s="697" t="n"/>
      <c r="F2860" s="697" t="n"/>
      <c r="G2860" s="697" t="n"/>
      <c r="H2860" s="697" t="n"/>
      <c r="I2860" s="697" t="n"/>
      <c r="J2860" s="697" t="n"/>
      <c r="K2860" s="697" t="n"/>
      <c r="L2860" s="698" t="n"/>
    </row>
    <row r="2861" ht="24" customHeight="1" s="436" thickBot="1">
      <c r="A2861" s="759" t="inlineStr">
        <is>
          <t xml:space="preserve">  PRÉ MISTURA - 25 KG</t>
        </is>
      </c>
      <c r="B2861" s="697" t="n"/>
      <c r="C2861" s="697" t="n"/>
      <c r="D2861" s="697" t="n"/>
      <c r="E2861" s="697" t="n"/>
      <c r="F2861" s="697" t="n"/>
      <c r="G2861" s="697" t="n"/>
      <c r="H2861" s="697" t="n"/>
      <c r="I2861" s="697" t="n"/>
      <c r="J2861" s="697" t="n"/>
      <c r="K2861" s="697" t="n"/>
      <c r="L2861" s="698" t="n"/>
    </row>
    <row r="2862">
      <c r="A2862" s="3" t="inlineStr">
        <is>
          <t>DATA</t>
        </is>
      </c>
      <c r="B2862" s="3" t="inlineStr">
        <is>
          <t>N.F.</t>
        </is>
      </c>
      <c r="C2862" s="3" t="inlineStr">
        <is>
          <t>TIPO</t>
        </is>
      </c>
      <c r="D2862" s="3" t="inlineStr">
        <is>
          <t>PREÇO UNITÁRIO</t>
        </is>
      </c>
      <c r="E2862" s="736" t="n"/>
      <c r="F2862" s="3" t="inlineStr">
        <is>
          <t>QUANTIDADE / KG</t>
        </is>
      </c>
      <c r="G2862" s="737" t="n"/>
      <c r="H2862" s="736" t="n"/>
      <c r="I2862" s="631" t="inlineStr">
        <is>
          <t>PREÇO</t>
        </is>
      </c>
      <c r="J2862" s="631" t="inlineStr">
        <is>
          <t>VALORES</t>
        </is>
      </c>
      <c r="K2862" s="737" t="n"/>
      <c r="L2862" s="736" t="n"/>
    </row>
    <row r="2863" ht="15.75" customHeight="1" s="436" thickBot="1">
      <c r="A2863" s="704" t="n"/>
      <c r="B2863" s="704" t="n"/>
      <c r="C2863" s="704" t="n"/>
      <c r="D2863" s="703" t="n"/>
      <c r="E2863" s="701" t="n"/>
      <c r="F2863" s="705" t="n"/>
      <c r="G2863" s="706" t="n"/>
      <c r="H2863" s="707" t="n"/>
      <c r="I2863" s="704" t="n"/>
      <c r="J2863" s="703" t="n"/>
      <c r="L2863" s="701" t="n"/>
    </row>
    <row r="2864" ht="15.75" customHeight="1" s="436" thickBot="1">
      <c r="A2864" s="704" t="n"/>
      <c r="B2864" s="704" t="n"/>
      <c r="C2864" s="704" t="n"/>
      <c r="D2864" s="705" t="n"/>
      <c r="E2864" s="707" t="n"/>
      <c r="F2864" s="3" t="inlineStr">
        <is>
          <t>ENTRADA</t>
        </is>
      </c>
      <c r="G2864" s="3" t="inlineStr">
        <is>
          <t>SAÍDA</t>
        </is>
      </c>
      <c r="H2864" s="640" t="n"/>
      <c r="I2864" s="633" t="inlineStr">
        <is>
          <t>MÉDIO</t>
        </is>
      </c>
      <c r="J2864" s="739" t="inlineStr">
        <is>
          <t>SALDO EM 30/12/2017</t>
        </is>
      </c>
      <c r="K2864" s="707" t="n"/>
      <c r="L2864" s="17" t="n"/>
    </row>
    <row r="2865" ht="15.75" customHeight="1" s="436" thickBot="1">
      <c r="A2865" s="695" t="n"/>
      <c r="B2865" s="695" t="n"/>
      <c r="C2865" s="695" t="n"/>
      <c r="D2865" s="3" t="inlineStr">
        <is>
          <t>C/ICMS</t>
        </is>
      </c>
      <c r="E2865" s="3" t="inlineStr">
        <is>
          <t>S/ICMS</t>
        </is>
      </c>
      <c r="F2865" s="695" t="n"/>
      <c r="G2865" s="695" t="n"/>
      <c r="H2865" s="361" t="inlineStr">
        <is>
          <t>Saldo em 29/02/2024</t>
        </is>
      </c>
      <c r="I2865" s="695" t="n"/>
      <c r="J2865" s="645" t="inlineStr">
        <is>
          <t>ENTRADA</t>
        </is>
      </c>
      <c r="K2865" s="633" t="inlineStr">
        <is>
          <t>SAÍDA / CMV</t>
        </is>
      </c>
      <c r="L2865" s="633" t="inlineStr">
        <is>
          <t>SALDO</t>
        </is>
      </c>
    </row>
    <row r="2866">
      <c r="A2866" s="568" t="n"/>
      <c r="B2866" s="392" t="n"/>
      <c r="C2866" s="392" t="n"/>
      <c r="D2866" s="392" t="n"/>
      <c r="E2866" s="392" t="n"/>
      <c r="F2866" s="392" t="n"/>
      <c r="G2866" s="392" t="n"/>
      <c r="H2866" s="52" t="n">
        <v>1271</v>
      </c>
      <c r="I2866" s="568" t="n"/>
      <c r="J2866" s="568" t="n"/>
      <c r="K2866" s="568" t="n"/>
      <c r="L2866" s="392" t="n"/>
    </row>
    <row r="2867">
      <c r="A2867" s="304" t="n">
        <v>45352</v>
      </c>
      <c r="B2867" s="401" t="n">
        <v>3567</v>
      </c>
      <c r="C2867" s="401" t="n">
        <v>64</v>
      </c>
      <c r="D2867" s="401" t="n"/>
      <c r="E2867" s="401" t="n"/>
      <c r="F2867" s="401" t="n">
        <v>600</v>
      </c>
      <c r="G2867" s="401" t="n"/>
      <c r="H2867" s="277" t="n">
        <v>1871</v>
      </c>
      <c r="I2867" s="568" t="n"/>
      <c r="J2867" s="568" t="n"/>
      <c r="K2867" s="568" t="n"/>
      <c r="L2867" s="392" t="n"/>
    </row>
    <row r="2868">
      <c r="A2868" s="568" t="n">
        <v>45355</v>
      </c>
      <c r="B2868" s="392" t="n">
        <v>10888</v>
      </c>
      <c r="C2868" s="392" t="n">
        <v>91.64</v>
      </c>
      <c r="D2868" s="392" t="n"/>
      <c r="E2868" s="392" t="n"/>
      <c r="F2868" s="392" t="n"/>
      <c r="G2868" s="392" t="n">
        <v>50</v>
      </c>
      <c r="H2868" s="52">
        <f>H2867-G2868</f>
        <v/>
      </c>
      <c r="I2868" s="568" t="n"/>
      <c r="J2868" s="568" t="n"/>
      <c r="K2868" s="568" t="n"/>
      <c r="L2868" s="568" t="n"/>
    </row>
    <row r="2869">
      <c r="A2869" s="568" t="n">
        <v>45357</v>
      </c>
      <c r="B2869" s="392" t="n">
        <v>10895</v>
      </c>
      <c r="C2869" s="392" t="n">
        <v>88</v>
      </c>
      <c r="D2869" s="392" t="n"/>
      <c r="E2869" s="392" t="n"/>
      <c r="F2869" s="392" t="n"/>
      <c r="G2869" s="392" t="n">
        <v>20</v>
      </c>
      <c r="H2869" s="52">
        <f>H2868-G2869</f>
        <v/>
      </c>
      <c r="I2869" s="568" t="n"/>
      <c r="J2869" s="568" t="n"/>
      <c r="K2869" s="568" t="n"/>
      <c r="L2869" s="568" t="n"/>
    </row>
    <row r="2870">
      <c r="A2870" s="568" t="n">
        <v>45357</v>
      </c>
      <c r="B2870" s="392" t="n">
        <v>10897</v>
      </c>
      <c r="C2870" s="392" t="n">
        <v>84</v>
      </c>
      <c r="D2870" s="392" t="n"/>
      <c r="E2870" s="392" t="n"/>
      <c r="F2870" s="392" t="n"/>
      <c r="G2870" s="392" t="n">
        <v>30</v>
      </c>
      <c r="H2870" s="52">
        <f>H2869-G2870</f>
        <v/>
      </c>
      <c r="I2870" s="568" t="n"/>
      <c r="J2870" s="568" t="n"/>
      <c r="K2870" s="568" t="n"/>
      <c r="L2870" s="568" t="n"/>
    </row>
    <row r="2871">
      <c r="A2871" s="568" t="n">
        <v>45357</v>
      </c>
      <c r="B2871" s="392" t="n">
        <v>10900</v>
      </c>
      <c r="C2871" s="392" t="n">
        <v>91.37</v>
      </c>
      <c r="D2871" s="392" t="n"/>
      <c r="E2871" s="392" t="n"/>
      <c r="F2871" s="392" t="n"/>
      <c r="G2871" s="392" t="n">
        <v>55</v>
      </c>
      <c r="H2871" s="52">
        <f>H2870-G2871</f>
        <v/>
      </c>
      <c r="I2871" s="568" t="n"/>
      <c r="J2871" s="568" t="n"/>
      <c r="K2871" s="568" t="n"/>
      <c r="L2871" s="568" t="n"/>
    </row>
    <row r="2872">
      <c r="A2872" s="568" t="n">
        <v>45357</v>
      </c>
      <c r="B2872" s="392" t="n">
        <v>10901</v>
      </c>
      <c r="C2872" s="392" t="n">
        <v>85</v>
      </c>
      <c r="D2872" s="392" t="n"/>
      <c r="E2872" s="392" t="n"/>
      <c r="F2872" s="392" t="n"/>
      <c r="G2872" s="392" t="n">
        <v>10</v>
      </c>
      <c r="H2872" s="52">
        <f>H2871-G2872</f>
        <v/>
      </c>
      <c r="I2872" s="568" t="n"/>
      <c r="J2872" s="568" t="n"/>
      <c r="K2872" s="568" t="n"/>
      <c r="L2872" s="568" t="n"/>
    </row>
    <row r="2873">
      <c r="A2873" s="568" t="n">
        <v>45362</v>
      </c>
      <c r="B2873" s="392" t="n">
        <v>10903</v>
      </c>
      <c r="C2873" s="392" t="n">
        <v>91</v>
      </c>
      <c r="D2873" s="392" t="n"/>
      <c r="E2873" s="392" t="n"/>
      <c r="F2873" s="392" t="n"/>
      <c r="G2873" s="392" t="n">
        <v>20</v>
      </c>
      <c r="H2873" s="52">
        <f>H2872-G2873</f>
        <v/>
      </c>
      <c r="I2873" s="568" t="n"/>
      <c r="J2873" s="568" t="n"/>
      <c r="K2873" s="568" t="n"/>
      <c r="L2873" s="568" t="n"/>
    </row>
    <row r="2874">
      <c r="A2874" s="568" t="n">
        <v>45362</v>
      </c>
      <c r="B2874" s="392" t="n">
        <v>10904</v>
      </c>
      <c r="C2874" s="392" t="n">
        <v>82</v>
      </c>
      <c r="D2874" s="392" t="n"/>
      <c r="E2874" s="392" t="n"/>
      <c r="F2874" s="392" t="n"/>
      <c r="G2874" s="392" t="n">
        <v>150</v>
      </c>
      <c r="H2874" s="52">
        <f>H2873-G2874</f>
        <v/>
      </c>
      <c r="I2874" s="568" t="n"/>
      <c r="J2874" s="568" t="n"/>
      <c r="K2874" s="568" t="n"/>
      <c r="L2874" s="568" t="n"/>
    </row>
    <row r="2875">
      <c r="A2875" s="568" t="n">
        <v>45362</v>
      </c>
      <c r="B2875" s="392" t="n">
        <v>10905</v>
      </c>
      <c r="C2875" s="392" t="n">
        <v>89</v>
      </c>
      <c r="D2875" s="392" t="n"/>
      <c r="E2875" s="392" t="n"/>
      <c r="F2875" s="392" t="n"/>
      <c r="G2875" s="392" t="n">
        <v>100</v>
      </c>
      <c r="H2875" s="52">
        <f>H2874-G2875</f>
        <v/>
      </c>
      <c r="I2875" s="568" t="n"/>
      <c r="J2875" s="568" t="n"/>
      <c r="K2875" s="568" t="n"/>
      <c r="L2875" s="568" t="n"/>
    </row>
    <row r="2876">
      <c r="A2876" s="568" t="n">
        <v>45363</v>
      </c>
      <c r="B2876" s="392" t="n">
        <v>10907</v>
      </c>
      <c r="C2876" s="392" t="n">
        <v>91.64</v>
      </c>
      <c r="D2876" s="392" t="n"/>
      <c r="E2876" s="392" t="n"/>
      <c r="F2876" s="392" t="n"/>
      <c r="G2876" s="392" t="n">
        <v>50</v>
      </c>
      <c r="H2876" s="52">
        <f>H2875-G2876</f>
        <v/>
      </c>
      <c r="I2876" s="568" t="n"/>
      <c r="J2876" s="568" t="n"/>
      <c r="K2876" s="568" t="n"/>
      <c r="L2876" s="568" t="n"/>
    </row>
    <row r="2877">
      <c r="A2877" s="568" t="n">
        <v>45364</v>
      </c>
      <c r="B2877" s="392" t="n">
        <v>10910</v>
      </c>
      <c r="C2877" s="392" t="n">
        <v>91</v>
      </c>
      <c r="D2877" s="392" t="n"/>
      <c r="E2877" s="392" t="n"/>
      <c r="F2877" s="392" t="n"/>
      <c r="G2877" s="392" t="n">
        <v>6</v>
      </c>
      <c r="H2877" s="52">
        <f>H2876-G2877</f>
        <v/>
      </c>
      <c r="I2877" s="568" t="n"/>
      <c r="J2877" s="568" t="n"/>
      <c r="K2877" s="568" t="n"/>
      <c r="L2877" s="568" t="n"/>
    </row>
    <row r="2878">
      <c r="A2878" s="568" t="n">
        <v>45364</v>
      </c>
      <c r="B2878" s="392" t="n">
        <v>10911</v>
      </c>
      <c r="C2878" s="392" t="n">
        <v>85</v>
      </c>
      <c r="D2878" s="392" t="n"/>
      <c r="E2878" s="392" t="n"/>
      <c r="F2878" s="392" t="n"/>
      <c r="G2878" s="392" t="n">
        <v>10</v>
      </c>
      <c r="H2878" s="52">
        <f>H2877-G2878</f>
        <v/>
      </c>
      <c r="I2878" s="568" t="n"/>
      <c r="J2878" s="568" t="n"/>
      <c r="K2878" s="568" t="n"/>
      <c r="L2878" s="568" t="n"/>
    </row>
    <row r="2879">
      <c r="A2879" s="568" t="n">
        <v>45364</v>
      </c>
      <c r="B2879" s="392" t="n">
        <v>10912</v>
      </c>
      <c r="C2879" s="392" t="n">
        <v>85</v>
      </c>
      <c r="D2879" s="392" t="n"/>
      <c r="E2879" s="392" t="n"/>
      <c r="F2879" s="392" t="n"/>
      <c r="G2879" s="392" t="n">
        <v>10</v>
      </c>
      <c r="H2879" s="52">
        <f>H2878-G2879</f>
        <v/>
      </c>
      <c r="I2879" s="568" t="n"/>
      <c r="J2879" s="568" t="n"/>
      <c r="K2879" s="568" t="n"/>
      <c r="L2879" s="568" t="n"/>
    </row>
    <row r="2880">
      <c r="A2880" s="568" t="n">
        <v>45364</v>
      </c>
      <c r="B2880" s="392" t="n">
        <v>10914</v>
      </c>
      <c r="C2880" s="392" t="n">
        <v>90</v>
      </c>
      <c r="D2880" s="392" t="n"/>
      <c r="E2880" s="392" t="n"/>
      <c r="F2880" s="392" t="n"/>
      <c r="G2880" s="392" t="n">
        <v>20</v>
      </c>
      <c r="H2880" s="52">
        <f>H2879-G2880</f>
        <v/>
      </c>
      <c r="I2880" s="568" t="n"/>
      <c r="J2880" s="568" t="n"/>
      <c r="K2880" s="568" t="n"/>
      <c r="L2880" s="568" t="n"/>
    </row>
    <row r="2881">
      <c r="A2881" s="568" t="n">
        <v>45368</v>
      </c>
      <c r="B2881" s="392" t="n">
        <v>10916</v>
      </c>
      <c r="C2881" s="392" t="n">
        <v>50</v>
      </c>
      <c r="D2881" s="392" t="n"/>
      <c r="E2881" s="392" t="n"/>
      <c r="F2881" s="392" t="n"/>
      <c r="G2881" s="392" t="n">
        <v>91.64</v>
      </c>
      <c r="H2881" s="52">
        <f>H2880-G2881</f>
        <v/>
      </c>
      <c r="I2881" s="568" t="n"/>
      <c r="J2881" s="568" t="n"/>
      <c r="K2881" s="568" t="n"/>
      <c r="L2881" s="568" t="n"/>
    </row>
    <row r="2882">
      <c r="A2882" s="568" t="n">
        <v>45369</v>
      </c>
      <c r="B2882" s="392" t="n">
        <v>10918</v>
      </c>
      <c r="C2882" s="392" t="n">
        <v>30</v>
      </c>
      <c r="D2882" s="392" t="n"/>
      <c r="E2882" s="392" t="n"/>
      <c r="F2882" s="392" t="n"/>
      <c r="G2882" s="392" t="n">
        <v>82</v>
      </c>
      <c r="H2882" s="52">
        <f>H2881-G2882</f>
        <v/>
      </c>
      <c r="I2882" s="568" t="n"/>
      <c r="J2882" s="568" t="n"/>
      <c r="K2882" s="568" t="n"/>
      <c r="L2882" s="568" t="n"/>
    </row>
    <row r="2883">
      <c r="A2883" s="568" t="n">
        <v>45371</v>
      </c>
      <c r="B2883" s="392" t="n">
        <v>10929</v>
      </c>
      <c r="C2883" s="392" t="n">
        <v>89</v>
      </c>
      <c r="D2883" s="392" t="n"/>
      <c r="E2883" s="392" t="n"/>
      <c r="F2883" s="392" t="n"/>
      <c r="G2883" s="392" t="n">
        <v>40</v>
      </c>
      <c r="H2883" s="52">
        <f>H2882-G2883</f>
        <v/>
      </c>
      <c r="I2883" s="568" t="n"/>
      <c r="J2883" s="568" t="n"/>
      <c r="K2883" s="568" t="n"/>
      <c r="L2883" s="568" t="n"/>
    </row>
    <row r="2884">
      <c r="A2884" s="568" t="n">
        <v>45371</v>
      </c>
      <c r="B2884" s="392" t="n">
        <v>10930</v>
      </c>
      <c r="C2884" s="392" t="n">
        <v>85</v>
      </c>
      <c r="D2884" s="392" t="n"/>
      <c r="E2884" s="392" t="n"/>
      <c r="F2884" s="392" t="n"/>
      <c r="G2884" s="392" t="n">
        <v>20</v>
      </c>
      <c r="H2884" s="52">
        <f>H2883-G2884</f>
        <v/>
      </c>
      <c r="I2884" s="568" t="n"/>
      <c r="J2884" s="568" t="n"/>
      <c r="K2884" s="568" t="n"/>
      <c r="L2884" s="568" t="n"/>
    </row>
    <row r="2885">
      <c r="A2885" s="568" t="n">
        <v>45371</v>
      </c>
      <c r="B2885" s="392" t="n">
        <v>10933</v>
      </c>
      <c r="C2885" s="392" t="n">
        <v>85</v>
      </c>
      <c r="D2885" s="392" t="n"/>
      <c r="E2885" s="392" t="n"/>
      <c r="F2885" s="392" t="n"/>
      <c r="G2885" s="392" t="n">
        <v>25</v>
      </c>
      <c r="H2885" s="52">
        <f>H2884-G2885</f>
        <v/>
      </c>
      <c r="I2885" s="568" t="n"/>
      <c r="J2885" s="568" t="n"/>
      <c r="K2885" s="568" t="n"/>
      <c r="L2885" s="568" t="n"/>
    </row>
    <row r="2886">
      <c r="A2886" s="568" t="n">
        <v>45372</v>
      </c>
      <c r="B2886" s="392" t="n">
        <v>10935</v>
      </c>
      <c r="C2886" s="392" t="n">
        <v>80.59999999999999</v>
      </c>
      <c r="D2886" s="392" t="n"/>
      <c r="E2886" s="392" t="n"/>
      <c r="F2886" s="392" t="n"/>
      <c r="G2886" s="392" t="n">
        <v>30</v>
      </c>
      <c r="H2886" s="52">
        <f>H2885-G2886</f>
        <v/>
      </c>
      <c r="I2886" s="568" t="n"/>
      <c r="J2886" s="568" t="n"/>
      <c r="K2886" s="568" t="n"/>
      <c r="L2886" s="568" t="n"/>
    </row>
    <row r="2887">
      <c r="A2887" s="568" t="n">
        <v>45377</v>
      </c>
      <c r="B2887" s="392" t="n">
        <v>10937</v>
      </c>
      <c r="C2887" s="392" t="n">
        <v>90</v>
      </c>
      <c r="D2887" s="392" t="n"/>
      <c r="E2887" s="392" t="n"/>
      <c r="F2887" s="392" t="n"/>
      <c r="G2887" s="392" t="n">
        <v>7</v>
      </c>
      <c r="H2887" s="52">
        <f>H2886-G2887</f>
        <v/>
      </c>
      <c r="I2887" s="568" t="n"/>
      <c r="J2887" s="568" t="n"/>
      <c r="K2887" s="568" t="n"/>
      <c r="L2887" s="568" t="n"/>
    </row>
    <row r="2888">
      <c r="A2888" s="568" t="n">
        <v>45377</v>
      </c>
      <c r="B2888" s="392" t="n">
        <v>10938</v>
      </c>
      <c r="C2888" s="392" t="n">
        <v>85</v>
      </c>
      <c r="D2888" s="392" t="n"/>
      <c r="E2888" s="392" t="n"/>
      <c r="F2888" s="392" t="n"/>
      <c r="G2888" s="392" t="n">
        <v>10</v>
      </c>
      <c r="H2888" s="52">
        <f>H2887-G2888</f>
        <v/>
      </c>
      <c r="I2888" s="568" t="n"/>
      <c r="J2888" s="568" t="n"/>
      <c r="K2888" s="568" t="n"/>
      <c r="L2888" s="568" t="n"/>
    </row>
    <row r="2889">
      <c r="A2889" s="568" t="n">
        <v>45377</v>
      </c>
      <c r="B2889" s="392" t="n">
        <v>10939</v>
      </c>
      <c r="C2889" s="392" t="n">
        <v>90</v>
      </c>
      <c r="D2889" s="392" t="n"/>
      <c r="E2889" s="392" t="n"/>
      <c r="F2889" s="392" t="n"/>
      <c r="G2889" s="392" t="n">
        <v>30</v>
      </c>
      <c r="H2889" s="52">
        <f>H2888-G2889</f>
        <v/>
      </c>
      <c r="I2889" s="568" t="n"/>
      <c r="J2889" s="568" t="n"/>
      <c r="K2889" s="568" t="n"/>
      <c r="L2889" s="568" t="n"/>
    </row>
    <row r="2890">
      <c r="A2890" s="568" t="n">
        <v>45377</v>
      </c>
      <c r="B2890" s="392" t="n">
        <v>10944</v>
      </c>
      <c r="C2890" s="392" t="n">
        <v>82</v>
      </c>
      <c r="D2890" s="392" t="n"/>
      <c r="E2890" s="392" t="n"/>
      <c r="F2890" s="392" t="n"/>
      <c r="G2890" s="392" t="n">
        <v>20</v>
      </c>
      <c r="H2890" s="52">
        <f>H2889-G2890</f>
        <v/>
      </c>
      <c r="I2890" s="568" t="n"/>
      <c r="J2890" s="568" t="n"/>
      <c r="K2890" s="568" t="n"/>
      <c r="L2890" s="568" t="n"/>
    </row>
    <row r="2891">
      <c r="A2891" s="568" t="n">
        <v>45377</v>
      </c>
      <c r="B2891" s="392" t="n">
        <v>10945</v>
      </c>
      <c r="C2891" s="392" t="n">
        <v>91.67</v>
      </c>
      <c r="D2891" s="392" t="n"/>
      <c r="E2891" s="392" t="n"/>
      <c r="F2891" s="392" t="n"/>
      <c r="G2891" s="392" t="n">
        <v>60</v>
      </c>
      <c r="H2891" s="52">
        <f>H2890-G2891</f>
        <v/>
      </c>
      <c r="I2891" s="568" t="n"/>
      <c r="J2891" s="568" t="n"/>
      <c r="K2891" s="568" t="n"/>
      <c r="L2891" s="568" t="n"/>
    </row>
    <row r="2892">
      <c r="A2892" s="568" t="n">
        <v>45377</v>
      </c>
      <c r="B2892" s="392" t="n">
        <v>10951</v>
      </c>
      <c r="C2892" s="392" t="n">
        <v>91.64</v>
      </c>
      <c r="D2892" s="392" t="n"/>
      <c r="E2892" s="392" t="n"/>
      <c r="F2892" s="392" t="n"/>
      <c r="G2892" s="392" t="n">
        <v>50</v>
      </c>
      <c r="H2892" s="52">
        <f>H2891-G2892</f>
        <v/>
      </c>
      <c r="I2892" s="568" t="n"/>
      <c r="J2892" s="568" t="n"/>
      <c r="K2892" s="568" t="n"/>
      <c r="L2892" s="568" t="n"/>
    </row>
    <row r="2893" ht="15.75" customHeight="1" s="436" thickBot="1">
      <c r="A2893" s="414" t="n"/>
      <c r="H2893" s="171" t="n"/>
      <c r="I2893" s="414" t="n"/>
      <c r="J2893" s="414" t="n"/>
      <c r="K2893" s="414" t="n"/>
      <c r="L2893" s="414" t="n"/>
    </row>
    <row r="2894" ht="21.75" customHeight="1" s="436" thickBot="1">
      <c r="A2894" s="757" t="inlineStr">
        <is>
          <t>Abril</t>
        </is>
      </c>
      <c r="B2894" s="697" t="n"/>
      <c r="C2894" s="697" t="n"/>
      <c r="D2894" s="697" t="n"/>
      <c r="E2894" s="697" t="n"/>
      <c r="F2894" s="697" t="n"/>
      <c r="G2894" s="697" t="n"/>
      <c r="H2894" s="697" t="n"/>
      <c r="I2894" s="697" t="n"/>
      <c r="J2894" s="697" t="n"/>
      <c r="K2894" s="697" t="n"/>
      <c r="L2894" s="698" t="n"/>
    </row>
    <row r="2895" ht="21.75" customHeight="1" s="436" thickBot="1">
      <c r="A2895" s="699" t="inlineStr">
        <is>
          <t xml:space="preserve">021 - DENISE FURTADO DE SOUZA - ME </t>
        </is>
      </c>
      <c r="B2895" s="697" t="n"/>
      <c r="C2895" s="697" t="n"/>
      <c r="D2895" s="697" t="n"/>
      <c r="E2895" s="697" t="n"/>
      <c r="F2895" s="697" t="n"/>
      <c r="G2895" s="697" t="n"/>
      <c r="H2895" s="697" t="n"/>
      <c r="I2895" s="697" t="n"/>
      <c r="J2895" s="697" t="n"/>
      <c r="K2895" s="697" t="n"/>
      <c r="L2895" s="698" t="n"/>
    </row>
    <row r="2896" ht="24" customHeight="1" s="436" thickBot="1">
      <c r="A2896" s="759" t="inlineStr">
        <is>
          <t xml:space="preserve">  PRÉ MISTURA - 25 KG</t>
        </is>
      </c>
      <c r="B2896" s="697" t="n"/>
      <c r="C2896" s="697" t="n"/>
      <c r="D2896" s="697" t="n"/>
      <c r="E2896" s="697" t="n"/>
      <c r="F2896" s="697" t="n"/>
      <c r="G2896" s="697" t="n"/>
      <c r="H2896" s="697" t="n"/>
      <c r="I2896" s="697" t="n"/>
      <c r="J2896" s="697" t="n"/>
      <c r="K2896" s="697" t="n"/>
      <c r="L2896" s="698" t="n"/>
    </row>
    <row r="2897">
      <c r="A2897" s="3" t="inlineStr">
        <is>
          <t>DATA</t>
        </is>
      </c>
      <c r="B2897" s="3" t="inlineStr">
        <is>
          <t>N.F.</t>
        </is>
      </c>
      <c r="C2897" s="3" t="inlineStr">
        <is>
          <t>TIPO</t>
        </is>
      </c>
      <c r="D2897" s="3" t="inlineStr">
        <is>
          <t>PREÇO UNITÁRIO</t>
        </is>
      </c>
      <c r="E2897" s="736" t="n"/>
      <c r="F2897" s="3" t="inlineStr">
        <is>
          <t>QUANTIDADE / KG</t>
        </is>
      </c>
      <c r="G2897" s="737" t="n"/>
      <c r="H2897" s="736" t="n"/>
      <c r="I2897" s="631" t="inlineStr">
        <is>
          <t>PREÇO</t>
        </is>
      </c>
      <c r="J2897" s="631" t="inlineStr">
        <is>
          <t>VALORES</t>
        </is>
      </c>
      <c r="K2897" s="737" t="n"/>
      <c r="L2897" s="736" t="n"/>
    </row>
    <row r="2898" ht="15.75" customHeight="1" s="436" thickBot="1">
      <c r="A2898" s="704" t="n"/>
      <c r="B2898" s="704" t="n"/>
      <c r="C2898" s="704" t="n"/>
      <c r="D2898" s="703" t="n"/>
      <c r="E2898" s="701" t="n"/>
      <c r="F2898" s="705" t="n"/>
      <c r="G2898" s="706" t="n"/>
      <c r="H2898" s="707" t="n"/>
      <c r="I2898" s="704" t="n"/>
      <c r="J2898" s="703" t="n"/>
      <c r="L2898" s="701" t="n"/>
    </row>
    <row r="2899" ht="15.75" customHeight="1" s="436" thickBot="1">
      <c r="A2899" s="704" t="n"/>
      <c r="B2899" s="704" t="n"/>
      <c r="C2899" s="704" t="n"/>
      <c r="D2899" s="705" t="n"/>
      <c r="E2899" s="707" t="n"/>
      <c r="F2899" s="3" t="inlineStr">
        <is>
          <t>ENTRADA</t>
        </is>
      </c>
      <c r="G2899" s="3" t="inlineStr">
        <is>
          <t>SAÍDA</t>
        </is>
      </c>
      <c r="H2899" s="640" t="n"/>
      <c r="I2899" s="633" t="inlineStr">
        <is>
          <t>MÉDIO</t>
        </is>
      </c>
      <c r="J2899" s="739" t="inlineStr">
        <is>
          <t>SALDO EM 30/12/2017</t>
        </is>
      </c>
      <c r="K2899" s="707" t="n"/>
      <c r="L2899" s="17" t="n"/>
    </row>
    <row r="2900" ht="15.75" customHeight="1" s="436" thickBot="1">
      <c r="A2900" s="695" t="n"/>
      <c r="B2900" s="695" t="n"/>
      <c r="C2900" s="695" t="n"/>
      <c r="D2900" s="3" t="inlineStr">
        <is>
          <t>C/ICMS</t>
        </is>
      </c>
      <c r="E2900" s="3" t="inlineStr">
        <is>
          <t>S/ICMS</t>
        </is>
      </c>
      <c r="F2900" s="695" t="n"/>
      <c r="G2900" s="695" t="n"/>
      <c r="H2900" s="361" t="inlineStr">
        <is>
          <t>Saldo em 31/03/2024</t>
        </is>
      </c>
      <c r="I2900" s="695" t="n"/>
      <c r="J2900" s="645" t="inlineStr">
        <is>
          <t>ENTRADA</t>
        </is>
      </c>
      <c r="K2900" s="633" t="inlineStr">
        <is>
          <t>SAÍDA / CMV</t>
        </is>
      </c>
      <c r="L2900" s="633" t="inlineStr">
        <is>
          <t>SALDO</t>
        </is>
      </c>
    </row>
    <row r="2901">
      <c r="A2901" s="568" t="n"/>
      <c r="B2901" s="392" t="n"/>
      <c r="C2901" s="392" t="n"/>
      <c r="D2901" s="392" t="n"/>
      <c r="E2901" s="392" t="n"/>
      <c r="F2901" s="392" t="n"/>
      <c r="G2901" s="392" t="n"/>
      <c r="H2901" s="52" t="n">
        <v>874</v>
      </c>
      <c r="I2901" s="568" t="n"/>
      <c r="J2901" s="568" t="n"/>
      <c r="K2901" s="568" t="n"/>
      <c r="L2901" s="392" t="n"/>
    </row>
    <row r="2902">
      <c r="A2902" s="568" t="n">
        <v>45383</v>
      </c>
      <c r="B2902" s="392" t="n">
        <v>10954</v>
      </c>
      <c r="C2902" s="392" t="n">
        <v>91.59999999999999</v>
      </c>
      <c r="D2902" s="392" t="n"/>
      <c r="E2902" s="392" t="n"/>
      <c r="F2902" s="392" t="n"/>
      <c r="G2902" s="392" t="n">
        <v>47</v>
      </c>
      <c r="H2902" s="52">
        <f>H2901-G2902</f>
        <v/>
      </c>
      <c r="I2902" s="568" t="n"/>
      <c r="J2902" s="568" t="n"/>
      <c r="K2902" s="568" t="n"/>
      <c r="L2902" s="568" t="n"/>
    </row>
    <row r="2903">
      <c r="A2903" s="568" t="n">
        <v>45385</v>
      </c>
      <c r="B2903" s="392" t="n">
        <v>10956</v>
      </c>
      <c r="C2903" s="392" t="n">
        <v>91</v>
      </c>
      <c r="D2903" s="392" t="n"/>
      <c r="E2903" s="392" t="n"/>
      <c r="F2903" s="392" t="n"/>
      <c r="G2903" s="392" t="n">
        <v>15</v>
      </c>
      <c r="H2903" s="52">
        <f>H2902-G2903</f>
        <v/>
      </c>
      <c r="I2903" s="568" t="n"/>
      <c r="J2903" s="568" t="n"/>
      <c r="K2903" s="568" t="n"/>
      <c r="L2903" s="568" t="n"/>
    </row>
    <row r="2904">
      <c r="A2904" s="568" t="n">
        <v>45385</v>
      </c>
      <c r="B2904" s="392" t="n">
        <v>10960</v>
      </c>
      <c r="C2904" s="392" t="n">
        <v>85</v>
      </c>
      <c r="D2904" s="392" t="n"/>
      <c r="E2904" s="392" t="n"/>
      <c r="F2904" s="392" t="n"/>
      <c r="G2904" s="392" t="n">
        <v>30</v>
      </c>
      <c r="H2904" s="52">
        <f>H2903-G2904</f>
        <v/>
      </c>
      <c r="I2904" s="568" t="n"/>
      <c r="J2904" s="568" t="n"/>
      <c r="K2904" s="568" t="n"/>
      <c r="L2904" s="568" t="n"/>
    </row>
    <row r="2905">
      <c r="A2905" s="568" t="n">
        <v>45385</v>
      </c>
      <c r="B2905" s="392" t="n">
        <v>10966</v>
      </c>
      <c r="C2905" s="392" t="n">
        <v>86.40000000000001</v>
      </c>
      <c r="D2905" s="392" t="n"/>
      <c r="E2905" s="392" t="n"/>
      <c r="F2905" s="392" t="n"/>
      <c r="G2905" s="392" t="n">
        <v>50</v>
      </c>
      <c r="H2905" s="52">
        <f>H2904-G2905</f>
        <v/>
      </c>
      <c r="I2905" s="568" t="n"/>
      <c r="J2905" s="568" t="n"/>
      <c r="K2905" s="568" t="n"/>
      <c r="L2905" s="568" t="n"/>
    </row>
    <row r="2906">
      <c r="A2906" s="568" t="n">
        <v>45392</v>
      </c>
      <c r="B2906" s="392" t="n">
        <v>10972</v>
      </c>
      <c r="C2906" s="392" t="n">
        <v>89.5</v>
      </c>
      <c r="D2906" s="392" t="n"/>
      <c r="E2906" s="392" t="n"/>
      <c r="F2906" s="392" t="n"/>
      <c r="G2906" s="392" t="n">
        <v>20</v>
      </c>
      <c r="H2906" s="52">
        <f>H2905-G2906</f>
        <v/>
      </c>
      <c r="I2906" s="568" t="n"/>
      <c r="J2906" s="568" t="n"/>
      <c r="K2906" s="568" t="n"/>
      <c r="L2906" s="568" t="n"/>
    </row>
    <row r="2907">
      <c r="A2907" s="568" t="n">
        <v>45392</v>
      </c>
      <c r="B2907" s="392" t="n">
        <v>10973</v>
      </c>
      <c r="C2907" s="392" t="n">
        <v>89</v>
      </c>
      <c r="D2907" s="392" t="n"/>
      <c r="E2907" s="392" t="n"/>
      <c r="F2907" s="392" t="n"/>
      <c r="G2907" s="392" t="n">
        <v>30</v>
      </c>
      <c r="H2907" s="52">
        <f>H2906-G2907</f>
        <v/>
      </c>
      <c r="I2907" s="568" t="n"/>
      <c r="J2907" s="568" t="n"/>
      <c r="K2907" s="568" t="n"/>
      <c r="L2907" s="568" t="n"/>
    </row>
    <row r="2908">
      <c r="A2908" s="568" t="n">
        <v>45392</v>
      </c>
      <c r="B2908" s="392" t="n">
        <v>10976</v>
      </c>
      <c r="C2908" s="392" t="n">
        <v>84.7</v>
      </c>
      <c r="D2908" s="392" t="n"/>
      <c r="E2908" s="392" t="n"/>
      <c r="F2908" s="392" t="n"/>
      <c r="G2908" s="392" t="n">
        <v>10</v>
      </c>
      <c r="H2908" s="52">
        <f>H2907-G2908</f>
        <v/>
      </c>
      <c r="I2908" s="568" t="n"/>
      <c r="J2908" s="568" t="n"/>
      <c r="K2908" s="568" t="n"/>
      <c r="L2908" s="568" t="n"/>
    </row>
    <row r="2909">
      <c r="A2909" s="568" t="n">
        <v>45392</v>
      </c>
      <c r="B2909" s="392" t="n">
        <v>10978</v>
      </c>
      <c r="C2909" s="392" t="n">
        <v>85</v>
      </c>
      <c r="D2909" s="392" t="n"/>
      <c r="E2909" s="392" t="n"/>
      <c r="F2909" s="392" t="n"/>
      <c r="G2909" s="392" t="n">
        <v>25</v>
      </c>
      <c r="H2909" s="52">
        <f>H2908-G2909</f>
        <v/>
      </c>
      <c r="I2909" s="568" t="n"/>
      <c r="J2909" s="568" t="n"/>
      <c r="K2909" s="568" t="n"/>
      <c r="L2909" s="568" t="n"/>
    </row>
    <row r="2910">
      <c r="A2910" s="568" t="n">
        <v>45392</v>
      </c>
      <c r="B2910" s="392" t="n">
        <v>10979</v>
      </c>
      <c r="C2910" s="392" t="n">
        <v>80</v>
      </c>
      <c r="D2910" s="392" t="n"/>
      <c r="E2910" s="392" t="n"/>
      <c r="F2910" s="392" t="n"/>
      <c r="G2910" s="392" t="n">
        <v>20</v>
      </c>
      <c r="H2910" s="52">
        <f>H2909-G2910</f>
        <v/>
      </c>
      <c r="I2910" s="568" t="n"/>
      <c r="J2910" s="568" t="n"/>
      <c r="K2910" s="568" t="n"/>
      <c r="L2910" s="568" t="n"/>
    </row>
    <row r="2911">
      <c r="A2911" s="568" t="n">
        <v>45392</v>
      </c>
      <c r="B2911" s="392" t="n">
        <v>10982</v>
      </c>
      <c r="C2911" s="392" t="n">
        <v>91.67</v>
      </c>
      <c r="D2911" s="392" t="n"/>
      <c r="E2911" s="392" t="n"/>
      <c r="F2911" s="392" t="n"/>
      <c r="G2911" s="392" t="n">
        <v>42</v>
      </c>
      <c r="H2911" s="52">
        <f>H2910-G2911</f>
        <v/>
      </c>
      <c r="I2911" s="568" t="n"/>
      <c r="J2911" s="568" t="n"/>
      <c r="K2911" s="568" t="n"/>
      <c r="L2911" s="568" t="n"/>
    </row>
    <row r="2912">
      <c r="A2912" s="568" t="n">
        <v>45399</v>
      </c>
      <c r="B2912" s="392" t="n">
        <v>10991</v>
      </c>
      <c r="C2912" s="392" t="n">
        <v>82</v>
      </c>
      <c r="D2912" s="392" t="n"/>
      <c r="E2912" s="392" t="n"/>
      <c r="F2912" s="392" t="n"/>
      <c r="G2912" s="392" t="n">
        <v>30</v>
      </c>
      <c r="H2912" s="52">
        <f>H2911-G2912</f>
        <v/>
      </c>
      <c r="I2912" s="568" t="n"/>
      <c r="J2912" s="568" t="n"/>
      <c r="K2912" s="568" t="n"/>
      <c r="L2912" s="568" t="n"/>
    </row>
    <row r="2913">
      <c r="A2913" s="568" t="n">
        <v>45399</v>
      </c>
      <c r="B2913" s="392" t="n">
        <v>10996</v>
      </c>
      <c r="C2913" s="392" t="n">
        <v>89</v>
      </c>
      <c r="D2913" s="392" t="n"/>
      <c r="E2913" s="392" t="n"/>
      <c r="F2913" s="392" t="n"/>
      <c r="G2913" s="392" t="n">
        <v>15</v>
      </c>
      <c r="H2913" s="52">
        <f>H2912-G2913</f>
        <v/>
      </c>
      <c r="I2913" s="568" t="n"/>
      <c r="J2913" s="568" t="n"/>
      <c r="K2913" s="568" t="n"/>
      <c r="L2913" s="568" t="n"/>
    </row>
    <row r="2914">
      <c r="A2914" s="568" t="n">
        <v>45399</v>
      </c>
      <c r="B2914" s="392" t="n">
        <v>11000</v>
      </c>
      <c r="C2914" s="392" t="n">
        <v>91.67</v>
      </c>
      <c r="D2914" s="392" t="n"/>
      <c r="E2914" s="392" t="n"/>
      <c r="F2914" s="392" t="n"/>
      <c r="G2914" s="392" t="n">
        <v>42</v>
      </c>
      <c r="H2914" s="52">
        <f>H2913-G2914</f>
        <v/>
      </c>
      <c r="I2914" s="568" t="n"/>
      <c r="J2914" s="568" t="n"/>
      <c r="K2914" s="568" t="n"/>
      <c r="L2914" s="568" t="n"/>
    </row>
    <row r="2915">
      <c r="A2915" s="568" t="n">
        <v>45399</v>
      </c>
      <c r="B2915" s="392" t="n">
        <v>11001</v>
      </c>
      <c r="C2915" s="392" t="n">
        <v>88</v>
      </c>
      <c r="D2915" s="392" t="n"/>
      <c r="E2915" s="392" t="n"/>
      <c r="F2915" s="392" t="n"/>
      <c r="G2915" s="392" t="n">
        <v>20</v>
      </c>
      <c r="H2915" s="52">
        <f>H2914-G2915</f>
        <v/>
      </c>
      <c r="I2915" s="568" t="n"/>
      <c r="J2915" s="568" t="n"/>
      <c r="K2915" s="568" t="n"/>
      <c r="L2915" s="568" t="n"/>
    </row>
    <row r="2916">
      <c r="A2916" s="568" t="n">
        <v>45399</v>
      </c>
      <c r="B2916" s="392" t="n">
        <v>11002</v>
      </c>
      <c r="C2916" s="392" t="n">
        <v>91.67</v>
      </c>
      <c r="D2916" s="392" t="n"/>
      <c r="E2916" s="392" t="n"/>
      <c r="F2916" s="392" t="n"/>
      <c r="G2916" s="392" t="n">
        <v>60</v>
      </c>
      <c r="H2916" s="52">
        <f>H2915-G2916</f>
        <v/>
      </c>
      <c r="I2916" s="568" t="n"/>
      <c r="J2916" s="568" t="n"/>
      <c r="K2916" s="568" t="n"/>
      <c r="L2916" s="568" t="n"/>
    </row>
    <row r="2917">
      <c r="A2917" s="304" t="n">
        <v>45400</v>
      </c>
      <c r="B2917" s="401" t="n">
        <v>265882</v>
      </c>
      <c r="C2917" s="401" t="n">
        <v>62.5</v>
      </c>
      <c r="D2917" s="401" t="n"/>
      <c r="E2917" s="401" t="n"/>
      <c r="F2917" s="401" t="n">
        <v>80</v>
      </c>
      <c r="G2917" s="401" t="n"/>
      <c r="H2917" s="277" t="n">
        <v>498</v>
      </c>
      <c r="I2917" s="568" t="n"/>
      <c r="J2917" s="568" t="n"/>
      <c r="K2917" s="568" t="n"/>
      <c r="L2917" s="568" t="n"/>
    </row>
    <row r="2918">
      <c r="A2918" s="568" t="n">
        <v>45412</v>
      </c>
      <c r="B2918" s="392" t="n">
        <v>11029</v>
      </c>
      <c r="C2918" s="392" t="n">
        <v>10</v>
      </c>
      <c r="D2918" s="392" t="n"/>
      <c r="E2918" s="392" t="n"/>
      <c r="F2918" s="392" t="n"/>
      <c r="G2918" s="392" t="n">
        <v>85</v>
      </c>
      <c r="H2918" s="52">
        <f>H2917-G2918</f>
        <v/>
      </c>
      <c r="I2918" s="568" t="n"/>
      <c r="J2918" s="568" t="n"/>
      <c r="K2918" s="568" t="n"/>
      <c r="L2918" s="568" t="n"/>
    </row>
    <row r="2919">
      <c r="A2919" s="568" t="n">
        <v>45412</v>
      </c>
      <c r="B2919" s="392" t="n">
        <v>11031</v>
      </c>
      <c r="C2919" s="392" t="n">
        <v>85</v>
      </c>
      <c r="D2919" s="392" t="n"/>
      <c r="E2919" s="392" t="n"/>
      <c r="F2919" s="392" t="n"/>
      <c r="G2919" s="392" t="n">
        <v>10</v>
      </c>
      <c r="H2919" s="52">
        <f>H2918-G2919</f>
        <v/>
      </c>
      <c r="I2919" s="568" t="n"/>
      <c r="J2919" s="568" t="n"/>
      <c r="K2919" s="568" t="n"/>
      <c r="L2919" s="568" t="n"/>
    </row>
    <row r="2920">
      <c r="A2920" s="568" t="n">
        <v>45412</v>
      </c>
      <c r="B2920" s="392" t="n">
        <v>11032</v>
      </c>
      <c r="C2920" s="392" t="n">
        <v>89</v>
      </c>
      <c r="D2920" s="392" t="n"/>
      <c r="E2920" s="392" t="n"/>
      <c r="F2920" s="392" t="n"/>
      <c r="G2920" s="392" t="n">
        <v>15</v>
      </c>
      <c r="H2920" s="52">
        <f>H2919-G2920</f>
        <v/>
      </c>
      <c r="I2920" s="568" t="n"/>
      <c r="J2920" s="568" t="n"/>
      <c r="K2920" s="568" t="n"/>
      <c r="L2920" s="568" t="n"/>
    </row>
    <row r="2921" ht="15.75" customHeight="1" s="436" thickBot="1">
      <c r="A2921" s="414" t="n"/>
      <c r="H2921" s="171" t="n"/>
      <c r="I2921" s="414" t="n"/>
      <c r="J2921" s="414" t="n"/>
      <c r="K2921" s="414" t="n"/>
      <c r="L2921" s="414" t="n"/>
    </row>
    <row r="2922" ht="21.75" customHeight="1" s="436" thickBot="1">
      <c r="A2922" s="757" t="inlineStr">
        <is>
          <t>Maio</t>
        </is>
      </c>
      <c r="B2922" s="697" t="n"/>
      <c r="C2922" s="697" t="n"/>
      <c r="D2922" s="697" t="n"/>
      <c r="E2922" s="697" t="n"/>
      <c r="F2922" s="697" t="n"/>
      <c r="G2922" s="697" t="n"/>
      <c r="H2922" s="697" t="n"/>
      <c r="I2922" s="697" t="n"/>
      <c r="J2922" s="697" t="n"/>
      <c r="K2922" s="697" t="n"/>
      <c r="L2922" s="698" t="n"/>
    </row>
    <row r="2923" ht="21.75" customHeight="1" s="436" thickBot="1">
      <c r="A2923" s="699" t="inlineStr">
        <is>
          <t xml:space="preserve">021 - DENISE FURTADO DE SOUZA - ME </t>
        </is>
      </c>
      <c r="B2923" s="697" t="n"/>
      <c r="C2923" s="697" t="n"/>
      <c r="D2923" s="697" t="n"/>
      <c r="E2923" s="697" t="n"/>
      <c r="F2923" s="697" t="n"/>
      <c r="G2923" s="697" t="n"/>
      <c r="H2923" s="697" t="n"/>
      <c r="I2923" s="697" t="n"/>
      <c r="J2923" s="697" t="n"/>
      <c r="K2923" s="697" t="n"/>
      <c r="L2923" s="698" t="n"/>
    </row>
    <row r="2924" ht="24" customHeight="1" s="436" thickBot="1">
      <c r="A2924" s="759" t="inlineStr">
        <is>
          <t xml:space="preserve">  PRÉ MISTURA - 25 KG</t>
        </is>
      </c>
      <c r="B2924" s="697" t="n"/>
      <c r="C2924" s="697" t="n"/>
      <c r="D2924" s="697" t="n"/>
      <c r="E2924" s="697" t="n"/>
      <c r="F2924" s="697" t="n"/>
      <c r="G2924" s="697" t="n"/>
      <c r="H2924" s="697" t="n"/>
      <c r="I2924" s="697" t="n"/>
      <c r="J2924" s="697" t="n"/>
      <c r="K2924" s="697" t="n"/>
      <c r="L2924" s="698" t="n"/>
    </row>
    <row r="2925">
      <c r="A2925" s="3" t="inlineStr">
        <is>
          <t>DATA</t>
        </is>
      </c>
      <c r="B2925" s="3" t="inlineStr">
        <is>
          <t>N.F.</t>
        </is>
      </c>
      <c r="C2925" s="3" t="inlineStr">
        <is>
          <t>TIPO</t>
        </is>
      </c>
      <c r="D2925" s="3" t="inlineStr">
        <is>
          <t>PREÇO UNITÁRIO</t>
        </is>
      </c>
      <c r="E2925" s="736" t="n"/>
      <c r="F2925" s="3" t="inlineStr">
        <is>
          <t>QUANTIDADE / KG</t>
        </is>
      </c>
      <c r="G2925" s="737" t="n"/>
      <c r="H2925" s="736" t="n"/>
      <c r="I2925" s="631" t="inlineStr">
        <is>
          <t>PREÇO</t>
        </is>
      </c>
      <c r="J2925" s="631" t="inlineStr">
        <is>
          <t>VALORES</t>
        </is>
      </c>
      <c r="K2925" s="737" t="n"/>
      <c r="L2925" s="736" t="n"/>
    </row>
    <row r="2926" ht="15.75" customHeight="1" s="436" thickBot="1">
      <c r="A2926" s="704" t="n"/>
      <c r="B2926" s="704" t="n"/>
      <c r="C2926" s="704" t="n"/>
      <c r="D2926" s="703" t="n"/>
      <c r="E2926" s="701" t="n"/>
      <c r="F2926" s="705" t="n"/>
      <c r="G2926" s="706" t="n"/>
      <c r="H2926" s="707" t="n"/>
      <c r="I2926" s="704" t="n"/>
      <c r="J2926" s="703" t="n"/>
      <c r="L2926" s="701" t="n"/>
    </row>
    <row r="2927" ht="15.75" customHeight="1" s="436" thickBot="1">
      <c r="A2927" s="704" t="n"/>
      <c r="B2927" s="704" t="n"/>
      <c r="C2927" s="704" t="n"/>
      <c r="D2927" s="705" t="n"/>
      <c r="E2927" s="707" t="n"/>
      <c r="F2927" s="3" t="inlineStr">
        <is>
          <t>ENTRADA</t>
        </is>
      </c>
      <c r="G2927" s="3" t="inlineStr">
        <is>
          <t>SAÍDA</t>
        </is>
      </c>
      <c r="H2927" s="640" t="n"/>
      <c r="I2927" s="633" t="inlineStr">
        <is>
          <t>MÉDIO</t>
        </is>
      </c>
      <c r="J2927" s="739" t="inlineStr">
        <is>
          <t>SALDO EM 30/12/2017</t>
        </is>
      </c>
      <c r="K2927" s="707" t="n"/>
      <c r="L2927" s="17" t="n"/>
    </row>
    <row r="2928" ht="15.75" customHeight="1" s="436" thickBot="1">
      <c r="A2928" s="695" t="n"/>
      <c r="B2928" s="695" t="n"/>
      <c r="C2928" s="695" t="n"/>
      <c r="D2928" s="3" t="inlineStr">
        <is>
          <t>C/ICMS</t>
        </is>
      </c>
      <c r="E2928" s="3" t="inlineStr">
        <is>
          <t>S/ICMS</t>
        </is>
      </c>
      <c r="F2928" s="695" t="n"/>
      <c r="G2928" s="695" t="n"/>
      <c r="H2928" s="361" t="inlineStr">
        <is>
          <t>Saldo em 30/04/2024</t>
        </is>
      </c>
      <c r="I2928" s="695" t="n"/>
      <c r="J2928" s="645" t="inlineStr">
        <is>
          <t>ENTRADA</t>
        </is>
      </c>
      <c r="K2928" s="633" t="inlineStr">
        <is>
          <t>SAÍDA / CMV</t>
        </is>
      </c>
      <c r="L2928" s="633" t="inlineStr">
        <is>
          <t>SALDO</t>
        </is>
      </c>
    </row>
    <row r="2929">
      <c r="A2929" s="568" t="n"/>
      <c r="B2929" s="392" t="n"/>
      <c r="C2929" s="392" t="n"/>
      <c r="D2929" s="392" t="n"/>
      <c r="E2929" s="392" t="n"/>
      <c r="F2929" s="392" t="n"/>
      <c r="G2929" s="392" t="n"/>
      <c r="H2929" s="52" t="n">
        <v>388</v>
      </c>
      <c r="I2929" s="568" t="n"/>
      <c r="J2929" s="568" t="n"/>
      <c r="K2929" s="568" t="n"/>
      <c r="L2929" s="392" t="n"/>
    </row>
    <row r="2930">
      <c r="A2930" s="304" t="n">
        <v>45418</v>
      </c>
      <c r="B2930" s="401" t="n">
        <v>266558</v>
      </c>
      <c r="C2930" s="401" t="n">
        <v>65</v>
      </c>
      <c r="D2930" s="401" t="n"/>
      <c r="E2930" s="401" t="n"/>
      <c r="F2930" s="401" t="n">
        <v>400</v>
      </c>
      <c r="G2930" s="401" t="n"/>
      <c r="H2930" s="277" t="n">
        <v>788</v>
      </c>
      <c r="I2930" s="568" t="n"/>
      <c r="J2930" s="568" t="n"/>
      <c r="K2930" s="568" t="n"/>
      <c r="L2930" s="392" t="n"/>
    </row>
    <row r="2931">
      <c r="A2931" s="568" t="n">
        <v>45421</v>
      </c>
      <c r="B2931" s="392" t="n">
        <v>11056</v>
      </c>
      <c r="C2931" s="392" t="n">
        <v>82</v>
      </c>
      <c r="D2931" s="392" t="n"/>
      <c r="E2931" s="392" t="n"/>
      <c r="F2931" s="392" t="n"/>
      <c r="G2931" s="392" t="n">
        <v>20</v>
      </c>
      <c r="H2931" s="52">
        <f>H2930-G2931</f>
        <v/>
      </c>
      <c r="I2931" s="568" t="n"/>
      <c r="J2931" s="568" t="n"/>
      <c r="K2931" s="568" t="n"/>
      <c r="L2931" s="568" t="n"/>
    </row>
    <row r="2932">
      <c r="A2932" s="568" t="n">
        <v>45426</v>
      </c>
      <c r="B2932" s="392" t="n">
        <v>11058</v>
      </c>
      <c r="C2932" s="392" t="n">
        <v>82</v>
      </c>
      <c r="D2932" s="392" t="n"/>
      <c r="E2932" s="392" t="n"/>
      <c r="F2932" s="392" t="n"/>
      <c r="G2932" s="392" t="n">
        <v>10</v>
      </c>
      <c r="H2932" s="52">
        <f>H2931-G2932</f>
        <v/>
      </c>
      <c r="I2932" s="568" t="n"/>
      <c r="J2932" s="568" t="n"/>
      <c r="K2932" s="568" t="n"/>
      <c r="L2932" s="568" t="n"/>
    </row>
    <row r="2933">
      <c r="A2933" s="568" t="n">
        <v>45426</v>
      </c>
      <c r="B2933" s="392" t="n">
        <v>11065</v>
      </c>
      <c r="C2933" s="392" t="n">
        <v>82</v>
      </c>
      <c r="D2933" s="392" t="n"/>
      <c r="E2933" s="392" t="n"/>
      <c r="F2933" s="392" t="n"/>
      <c r="G2933" s="392" t="n">
        <v>10</v>
      </c>
      <c r="H2933" s="52">
        <f>H2932-G2933</f>
        <v/>
      </c>
      <c r="I2933" s="568" t="n"/>
      <c r="J2933" s="568" t="n"/>
      <c r="K2933" s="568" t="n"/>
      <c r="L2933" s="568" t="n"/>
    </row>
    <row r="2934">
      <c r="A2934" s="568" t="n">
        <v>45426</v>
      </c>
      <c r="B2934" s="392" t="n">
        <v>11066</v>
      </c>
      <c r="C2934" s="392" t="n">
        <v>91</v>
      </c>
      <c r="D2934" s="392" t="n"/>
      <c r="E2934" s="392" t="n"/>
      <c r="F2934" s="392" t="n"/>
      <c r="G2934" s="392" t="n">
        <v>36</v>
      </c>
      <c r="H2934" s="52">
        <f>H2933-G2934</f>
        <v/>
      </c>
      <c r="I2934" s="568" t="n"/>
      <c r="J2934" s="568" t="n"/>
      <c r="K2934" s="568" t="n"/>
      <c r="L2934" s="568" t="n"/>
    </row>
    <row r="2935">
      <c r="A2935" s="568" t="n">
        <v>45427</v>
      </c>
      <c r="B2935" s="392" t="n">
        <v>11070</v>
      </c>
      <c r="C2935" s="392" t="n">
        <v>82.7</v>
      </c>
      <c r="D2935" s="392" t="n"/>
      <c r="E2935" s="392" t="n"/>
      <c r="F2935" s="392" t="n"/>
      <c r="G2935" s="392" t="n">
        <v>20</v>
      </c>
      <c r="H2935" s="52">
        <f>H2934-G2935</f>
        <v/>
      </c>
      <c r="I2935" s="568" t="n"/>
      <c r="J2935" s="568" t="n"/>
      <c r="K2935" s="568" t="n"/>
      <c r="L2935" s="568" t="n"/>
    </row>
    <row r="2936">
      <c r="A2936" s="568" t="n">
        <v>45427</v>
      </c>
      <c r="B2936" s="392" t="n">
        <v>11071</v>
      </c>
      <c r="C2936" s="392" t="n">
        <v>83.34</v>
      </c>
      <c r="D2936" s="392" t="n"/>
      <c r="E2936" s="392" t="n"/>
      <c r="F2936" s="392" t="n"/>
      <c r="G2936" s="392" t="n">
        <v>42</v>
      </c>
      <c r="H2936" s="52">
        <f>H2935-G2936</f>
        <v/>
      </c>
      <c r="I2936" s="568" t="n"/>
      <c r="J2936" s="568" t="n"/>
      <c r="K2936" s="568" t="n"/>
      <c r="L2936" s="568" t="n"/>
    </row>
    <row r="2937">
      <c r="A2937" s="304" t="n">
        <v>45432</v>
      </c>
      <c r="B2937" s="401" t="n">
        <v>11073</v>
      </c>
      <c r="C2937" s="401" t="n">
        <v>62</v>
      </c>
      <c r="D2937" s="401" t="n"/>
      <c r="E2937" s="401" t="n"/>
      <c r="F2937" s="401" t="n"/>
      <c r="G2937" s="401" t="n">
        <v>99</v>
      </c>
      <c r="H2937" s="52">
        <f>H2936-G2937</f>
        <v/>
      </c>
      <c r="I2937" s="568" t="n"/>
      <c r="J2937" s="568" t="n"/>
      <c r="K2937" s="568" t="n"/>
      <c r="L2937" s="568" t="n"/>
    </row>
    <row r="2938">
      <c r="A2938" s="304" t="n">
        <v>45432</v>
      </c>
      <c r="B2938" s="401" t="n">
        <v>267160</v>
      </c>
      <c r="C2938" s="401" t="n">
        <v>62</v>
      </c>
      <c r="D2938" s="401" t="n"/>
      <c r="E2938" s="401" t="n"/>
      <c r="F2938" s="401" t="n">
        <v>438</v>
      </c>
      <c r="G2938" s="401" t="n"/>
      <c r="H2938" s="277" t="n">
        <v>989</v>
      </c>
      <c r="I2938" s="568" t="n"/>
      <c r="J2938" s="568" t="n"/>
      <c r="K2938" s="568" t="n"/>
      <c r="L2938" s="568" t="n"/>
    </row>
    <row r="2939">
      <c r="A2939" s="304" t="n">
        <v>45433</v>
      </c>
      <c r="B2939" s="401" t="n">
        <v>245451</v>
      </c>
      <c r="C2939" s="401" t="n">
        <v>67</v>
      </c>
      <c r="D2939" s="401" t="n"/>
      <c r="E2939" s="401" t="n"/>
      <c r="F2939" s="401" t="n">
        <v>900</v>
      </c>
      <c r="G2939" s="401" t="n"/>
      <c r="H2939" s="277" t="n">
        <v>1889</v>
      </c>
      <c r="I2939" s="568" t="n"/>
      <c r="J2939" s="568" t="n"/>
      <c r="K2939" s="568" t="n"/>
      <c r="L2939" s="568" t="n"/>
    </row>
    <row r="2940">
      <c r="A2940" s="568" t="n">
        <v>45434</v>
      </c>
      <c r="B2940" s="392" t="n">
        <v>11080</v>
      </c>
      <c r="C2940" s="392" t="n">
        <v>80</v>
      </c>
      <c r="D2940" s="392" t="n"/>
      <c r="E2940" s="392" t="n"/>
      <c r="F2940" s="392" t="n"/>
      <c r="G2940" s="392" t="n">
        <v>50</v>
      </c>
      <c r="H2940" s="52">
        <f>H2939-G2940</f>
        <v/>
      </c>
      <c r="I2940" s="568" t="n"/>
      <c r="J2940" s="568" t="n"/>
      <c r="K2940" s="568" t="n"/>
      <c r="L2940" s="568" t="n"/>
    </row>
    <row r="2941">
      <c r="A2941" s="568" t="n">
        <v>45434</v>
      </c>
      <c r="B2941" s="392" t="n">
        <v>11083</v>
      </c>
      <c r="C2941" s="392" t="n">
        <v>82</v>
      </c>
      <c r="D2941" s="392" t="n"/>
      <c r="E2941" s="392" t="n"/>
      <c r="F2941" s="392" t="n"/>
      <c r="G2941" s="392" t="n">
        <v>10</v>
      </c>
      <c r="H2941" s="52">
        <f>H2940-G2941</f>
        <v/>
      </c>
      <c r="I2941" s="568" t="n"/>
      <c r="J2941" s="568" t="n"/>
      <c r="K2941" s="568" t="n"/>
      <c r="L2941" s="568" t="n"/>
    </row>
    <row r="2942">
      <c r="A2942" s="568" t="n">
        <v>45434</v>
      </c>
      <c r="B2942" s="392" t="n">
        <v>11084</v>
      </c>
      <c r="C2942" s="392" t="n">
        <v>80</v>
      </c>
      <c r="D2942" s="392" t="n"/>
      <c r="E2942" s="392" t="n"/>
      <c r="F2942" s="392" t="n"/>
      <c r="G2942" s="392" t="n">
        <v>30</v>
      </c>
      <c r="H2942" s="52">
        <f>H2941-G2942</f>
        <v/>
      </c>
      <c r="I2942" s="568" t="n"/>
      <c r="J2942" s="568" t="n"/>
      <c r="K2942" s="568" t="n"/>
      <c r="L2942" s="568" t="n"/>
    </row>
    <row r="2943">
      <c r="A2943" s="568" t="n">
        <v>45439</v>
      </c>
      <c r="B2943" s="392" t="n">
        <v>11092</v>
      </c>
      <c r="C2943" s="392" t="n">
        <v>89.45999999999999</v>
      </c>
      <c r="D2943" s="392" t="n"/>
      <c r="E2943" s="392" t="n"/>
      <c r="F2943" s="392" t="n"/>
      <c r="G2943" s="392" t="n">
        <v>55</v>
      </c>
      <c r="H2943" s="52">
        <f>H2942-G2943</f>
        <v/>
      </c>
      <c r="I2943" s="568" t="n"/>
      <c r="J2943" s="568" t="n"/>
      <c r="K2943" s="568" t="n"/>
      <c r="L2943" s="568" t="n"/>
    </row>
    <row r="2944">
      <c r="A2944" s="568" t="n">
        <v>45439</v>
      </c>
      <c r="B2944" s="392" t="n">
        <v>11097</v>
      </c>
      <c r="C2944" s="392" t="n">
        <v>82</v>
      </c>
      <c r="D2944" s="392" t="n"/>
      <c r="E2944" s="392" t="n"/>
      <c r="F2944" s="392" t="n"/>
      <c r="G2944" s="392" t="n">
        <v>10</v>
      </c>
      <c r="H2944" s="52">
        <f>H2943-G2944</f>
        <v/>
      </c>
      <c r="I2944" s="568" t="n"/>
      <c r="J2944" s="568" t="n"/>
      <c r="K2944" s="568" t="n"/>
      <c r="L2944" s="568" t="n"/>
    </row>
    <row r="2945">
      <c r="A2945" s="568" t="n">
        <v>45440</v>
      </c>
      <c r="B2945" s="392" t="n">
        <v>11099</v>
      </c>
      <c r="C2945" s="392" t="n">
        <v>82</v>
      </c>
      <c r="D2945" s="392" t="n"/>
      <c r="E2945" s="392" t="n"/>
      <c r="F2945" s="392" t="n"/>
      <c r="G2945" s="392" t="n">
        <v>10</v>
      </c>
      <c r="H2945" s="52">
        <f>H2944-G2945</f>
        <v/>
      </c>
      <c r="I2945" s="568" t="n"/>
      <c r="J2945" s="568" t="n"/>
      <c r="K2945" s="568" t="n"/>
      <c r="L2945" s="568" t="n"/>
    </row>
    <row r="2946">
      <c r="A2946" s="304" t="n">
        <v>45443</v>
      </c>
      <c r="B2946" s="401" t="n">
        <v>267807</v>
      </c>
      <c r="C2946" s="401" t="n">
        <v>62</v>
      </c>
      <c r="D2946" s="401" t="n"/>
      <c r="E2946" s="401" t="n"/>
      <c r="F2946" s="401" t="n">
        <v>960</v>
      </c>
      <c r="G2946" s="401" t="n"/>
      <c r="H2946" s="277" t="n">
        <v>2684</v>
      </c>
      <c r="I2946" s="568" t="n"/>
      <c r="J2946" s="568" t="n"/>
      <c r="K2946" s="568" t="n"/>
      <c r="L2946" s="568" t="n"/>
    </row>
    <row r="2947">
      <c r="A2947" s="568" t="n"/>
      <c r="B2947" s="392" t="n"/>
      <c r="C2947" s="392" t="n"/>
      <c r="D2947" s="392" t="n"/>
      <c r="E2947" s="392" t="n"/>
      <c r="F2947" s="392" t="n"/>
      <c r="G2947" s="392" t="n"/>
      <c r="H2947" s="52" t="n"/>
      <c r="I2947" s="568" t="n"/>
      <c r="J2947" s="568" t="n"/>
      <c r="K2947" s="568" t="n"/>
      <c r="L2947" s="568" t="n"/>
    </row>
    <row r="2948">
      <c r="A2948" s="568" t="n"/>
      <c r="B2948" s="392" t="n"/>
      <c r="C2948" s="392" t="n"/>
      <c r="D2948" s="392" t="n"/>
      <c r="E2948" s="392" t="n"/>
      <c r="F2948" s="392" t="n"/>
      <c r="G2948" s="392" t="n"/>
      <c r="H2948" s="52" t="n"/>
      <c r="I2948" s="568" t="n"/>
      <c r="J2948" s="568" t="n"/>
      <c r="K2948" s="568" t="n"/>
      <c r="L2948" s="568" t="n"/>
    </row>
    <row r="2949">
      <c r="A2949" s="568" t="n"/>
      <c r="B2949" s="392" t="n"/>
      <c r="C2949" s="392" t="n"/>
      <c r="D2949" s="392" t="n"/>
      <c r="E2949" s="392" t="n"/>
      <c r="F2949" s="392" t="n"/>
      <c r="G2949" s="392" t="n"/>
      <c r="H2949" s="52" t="n"/>
      <c r="I2949" s="568" t="n"/>
      <c r="J2949" s="568" t="n"/>
      <c r="K2949" s="568" t="n"/>
      <c r="L2949" s="568" t="n"/>
    </row>
    <row r="2950">
      <c r="A2950" s="414" t="n"/>
      <c r="H2950" s="171" t="n"/>
      <c r="I2950" s="414" t="n"/>
      <c r="J2950" s="414" t="n"/>
      <c r="K2950" s="414" t="n"/>
      <c r="L2950" s="414" t="n"/>
    </row>
    <row r="2951">
      <c r="A2951" s="414" t="n"/>
      <c r="H2951" s="171" t="n"/>
      <c r="I2951" s="414" t="n"/>
      <c r="J2951" s="414" t="n"/>
      <c r="K2951" s="414" t="n"/>
      <c r="L2951" s="414" t="n"/>
    </row>
    <row r="2952">
      <c r="A2952" s="414" t="n"/>
      <c r="H2952" s="171" t="n"/>
      <c r="I2952" s="414" t="n"/>
      <c r="J2952" s="414" t="n"/>
      <c r="K2952" s="414" t="n"/>
      <c r="L2952" s="414" t="n"/>
    </row>
    <row r="2953" ht="15.75" customHeight="1" s="436" thickBot="1">
      <c r="A2953" s="414" t="n"/>
      <c r="H2953" s="171" t="n"/>
      <c r="I2953" s="414" t="n"/>
      <c r="J2953" s="414" t="n"/>
      <c r="K2953" s="414" t="n"/>
      <c r="L2953" s="414" t="n"/>
    </row>
    <row r="2954" ht="21.75" customHeight="1" s="436" thickBot="1">
      <c r="A2954" s="757" t="inlineStr">
        <is>
          <t>Junho</t>
        </is>
      </c>
      <c r="B2954" s="697" t="n"/>
      <c r="C2954" s="697" t="n"/>
      <c r="D2954" s="697" t="n"/>
      <c r="E2954" s="697" t="n"/>
      <c r="F2954" s="697" t="n"/>
      <c r="G2954" s="697" t="n"/>
      <c r="H2954" s="697" t="n"/>
      <c r="I2954" s="697" t="n"/>
      <c r="J2954" s="697" t="n"/>
      <c r="K2954" s="697" t="n"/>
      <c r="L2954" s="698" t="n"/>
    </row>
    <row r="2955" ht="21.75" customHeight="1" s="436" thickBot="1">
      <c r="A2955" s="699" t="inlineStr">
        <is>
          <t xml:space="preserve">021 - DENISE FURTADO DE SOUZA - ME </t>
        </is>
      </c>
      <c r="B2955" s="697" t="n"/>
      <c r="C2955" s="697" t="n"/>
      <c r="D2955" s="697" t="n"/>
      <c r="E2955" s="697" t="n"/>
      <c r="F2955" s="697" t="n"/>
      <c r="G2955" s="697" t="n"/>
      <c r="H2955" s="697" t="n"/>
      <c r="I2955" s="697" t="n"/>
      <c r="J2955" s="697" t="n"/>
      <c r="K2955" s="697" t="n"/>
      <c r="L2955" s="698" t="n"/>
    </row>
    <row r="2956" ht="24" customHeight="1" s="436" thickBot="1">
      <c r="A2956" s="759" t="inlineStr">
        <is>
          <t xml:space="preserve">  PRÉ MISTURA - 25 KG</t>
        </is>
      </c>
      <c r="B2956" s="697" t="n"/>
      <c r="C2956" s="697" t="n"/>
      <c r="D2956" s="697" t="n"/>
      <c r="E2956" s="697" t="n"/>
      <c r="F2956" s="697" t="n"/>
      <c r="G2956" s="697" t="n"/>
      <c r="H2956" s="697" t="n"/>
      <c r="I2956" s="697" t="n"/>
      <c r="J2956" s="697" t="n"/>
      <c r="K2956" s="697" t="n"/>
      <c r="L2956" s="698" t="n"/>
    </row>
    <row r="2957">
      <c r="A2957" s="3" t="inlineStr">
        <is>
          <t>DATA</t>
        </is>
      </c>
      <c r="B2957" s="3" t="inlineStr">
        <is>
          <t>N.F.</t>
        </is>
      </c>
      <c r="C2957" s="3" t="inlineStr">
        <is>
          <t>TIPO</t>
        </is>
      </c>
      <c r="D2957" s="3" t="inlineStr">
        <is>
          <t>PREÇO UNITÁRIO</t>
        </is>
      </c>
      <c r="E2957" s="736" t="n"/>
      <c r="F2957" s="3" t="inlineStr">
        <is>
          <t>QUANTIDADE / KG</t>
        </is>
      </c>
      <c r="G2957" s="737" t="n"/>
      <c r="H2957" s="736" t="n"/>
      <c r="I2957" s="631" t="inlineStr">
        <is>
          <t>PREÇO</t>
        </is>
      </c>
      <c r="J2957" s="631" t="inlineStr">
        <is>
          <t>VALORES</t>
        </is>
      </c>
      <c r="K2957" s="737" t="n"/>
      <c r="L2957" s="736" t="n"/>
    </row>
    <row r="2958" ht="15.75" customHeight="1" s="436" thickBot="1">
      <c r="A2958" s="704" t="n"/>
      <c r="B2958" s="704" t="n"/>
      <c r="C2958" s="704" t="n"/>
      <c r="D2958" s="703" t="n"/>
      <c r="E2958" s="701" t="n"/>
      <c r="F2958" s="705" t="n"/>
      <c r="G2958" s="706" t="n"/>
      <c r="H2958" s="707" t="n"/>
      <c r="I2958" s="704" t="n"/>
      <c r="J2958" s="703" t="n"/>
      <c r="L2958" s="701" t="n"/>
    </row>
    <row r="2959" ht="15.75" customHeight="1" s="436" thickBot="1">
      <c r="A2959" s="704" t="n"/>
      <c r="B2959" s="704" t="n"/>
      <c r="C2959" s="704" t="n"/>
      <c r="D2959" s="705" t="n"/>
      <c r="E2959" s="707" t="n"/>
      <c r="F2959" s="3" t="inlineStr">
        <is>
          <t>ENTRADA</t>
        </is>
      </c>
      <c r="G2959" s="3" t="inlineStr">
        <is>
          <t>SAÍDA</t>
        </is>
      </c>
      <c r="H2959" s="640" t="n"/>
      <c r="I2959" s="633" t="inlineStr">
        <is>
          <t>MÉDIO</t>
        </is>
      </c>
      <c r="J2959" s="739" t="inlineStr">
        <is>
          <t>SALDO EM 30/12/2017</t>
        </is>
      </c>
      <c r="K2959" s="707" t="n"/>
      <c r="L2959" s="17" t="n"/>
    </row>
    <row r="2960" ht="15.75" customHeight="1" s="436" thickBot="1">
      <c r="A2960" s="695" t="n"/>
      <c r="B2960" s="695" t="n"/>
      <c r="C2960" s="695" t="n"/>
      <c r="D2960" s="3" t="inlineStr">
        <is>
          <t>C/ICMS</t>
        </is>
      </c>
      <c r="E2960" s="3" t="inlineStr">
        <is>
          <t>S/ICMS</t>
        </is>
      </c>
      <c r="F2960" s="695" t="n"/>
      <c r="G2960" s="695" t="n"/>
      <c r="H2960" s="361" t="inlineStr">
        <is>
          <t>Saldo em 31/05/2024</t>
        </is>
      </c>
      <c r="I2960" s="695" t="n"/>
      <c r="J2960" s="645" t="inlineStr">
        <is>
          <t>ENTRADA</t>
        </is>
      </c>
      <c r="K2960" s="633" t="inlineStr">
        <is>
          <t>SAÍDA / CMV</t>
        </is>
      </c>
      <c r="L2960" s="633" t="inlineStr">
        <is>
          <t>SALDO</t>
        </is>
      </c>
    </row>
    <row r="2961">
      <c r="A2961" s="568" t="n"/>
      <c r="B2961" s="392" t="n"/>
      <c r="C2961" s="392" t="n"/>
      <c r="D2961" s="392" t="n"/>
      <c r="E2961" s="392" t="n"/>
      <c r="F2961" s="392" t="n"/>
      <c r="G2961" s="392" t="n"/>
      <c r="H2961" s="52" t="n">
        <v>2684</v>
      </c>
      <c r="I2961" s="568" t="n"/>
      <c r="J2961" s="568" t="n"/>
      <c r="K2961" s="568" t="n"/>
      <c r="L2961" s="392" t="n"/>
    </row>
    <row r="2962">
      <c r="A2962" s="568" t="n">
        <v>45448</v>
      </c>
      <c r="B2962" s="392" t="n">
        <v>11104</v>
      </c>
      <c r="C2962" s="392" t="n">
        <v>88</v>
      </c>
      <c r="D2962" s="392" t="n"/>
      <c r="E2962" s="392" t="n"/>
      <c r="F2962" s="392" t="n"/>
      <c r="G2962" s="392" t="n">
        <v>36</v>
      </c>
      <c r="H2962" s="52">
        <f>H2961-G2962</f>
        <v/>
      </c>
      <c r="I2962" s="568" t="n"/>
      <c r="J2962" s="568" t="n"/>
      <c r="K2962" s="568" t="n"/>
      <c r="L2962" s="568" t="n"/>
    </row>
    <row r="2963">
      <c r="A2963" s="568" t="n">
        <v>45448</v>
      </c>
      <c r="B2963" s="392" t="n">
        <v>11108</v>
      </c>
      <c r="C2963" s="392" t="n">
        <v>80</v>
      </c>
      <c r="D2963" s="392" t="n"/>
      <c r="E2963" s="392" t="n"/>
      <c r="F2963" s="392" t="n"/>
      <c r="G2963" s="392" t="n">
        <v>10</v>
      </c>
      <c r="H2963" s="52">
        <f>H2962-G2963</f>
        <v/>
      </c>
      <c r="I2963" s="568" t="n"/>
      <c r="J2963" s="568" t="n"/>
      <c r="K2963" s="568" t="n"/>
      <c r="L2963" s="568" t="n"/>
    </row>
    <row r="2964">
      <c r="A2964" s="568" t="n">
        <v>45448</v>
      </c>
      <c r="B2964" s="392" t="n">
        <v>11112</v>
      </c>
      <c r="C2964" s="392" t="n">
        <v>82</v>
      </c>
      <c r="D2964" s="392" t="n"/>
      <c r="E2964" s="392" t="n"/>
      <c r="F2964" s="392" t="n"/>
      <c r="G2964" s="392" t="n">
        <v>10</v>
      </c>
      <c r="H2964" s="52">
        <f>H2963-G2964</f>
        <v/>
      </c>
      <c r="I2964" s="568" t="n"/>
      <c r="J2964" s="568" t="n"/>
      <c r="K2964" s="568" t="n"/>
      <c r="L2964" s="568" t="n"/>
    </row>
    <row r="2965">
      <c r="A2965" s="568" t="n">
        <v>45448</v>
      </c>
      <c r="B2965" s="392" t="n">
        <v>11113</v>
      </c>
      <c r="C2965" s="392" t="n">
        <v>82</v>
      </c>
      <c r="D2965" s="392" t="n"/>
      <c r="E2965" s="392" t="n"/>
      <c r="F2965" s="392" t="n"/>
      <c r="G2965" s="392" t="n">
        <v>10</v>
      </c>
      <c r="H2965" s="52">
        <f>H2964-G2965</f>
        <v/>
      </c>
      <c r="I2965" s="568" t="n"/>
      <c r="J2965" s="568" t="n"/>
      <c r="K2965" s="568" t="n"/>
      <c r="L2965" s="568" t="n"/>
    </row>
    <row r="2966">
      <c r="A2966" s="568" t="n">
        <v>45448</v>
      </c>
      <c r="B2966" s="392" t="n">
        <v>11114</v>
      </c>
      <c r="C2966" s="392" t="n">
        <v>83.73</v>
      </c>
      <c r="D2966" s="392" t="n"/>
      <c r="E2966" s="392" t="n"/>
      <c r="F2966" s="392" t="n"/>
      <c r="G2966" s="392" t="n">
        <v>11</v>
      </c>
      <c r="H2966" s="52">
        <f>H2965-G2966</f>
        <v/>
      </c>
      <c r="I2966" s="568" t="n"/>
      <c r="J2966" s="568" t="n"/>
      <c r="K2966" s="568" t="n"/>
      <c r="L2966" s="568" t="n"/>
    </row>
    <row r="2967">
      <c r="A2967" s="568" t="n">
        <v>45448</v>
      </c>
      <c r="B2967" s="392" t="n">
        <v>11115</v>
      </c>
      <c r="C2967" s="392" t="n">
        <v>82</v>
      </c>
      <c r="D2967" s="392" t="n"/>
      <c r="E2967" s="392" t="n"/>
      <c r="F2967" s="392" t="n"/>
      <c r="G2967" s="392" t="n">
        <v>10</v>
      </c>
      <c r="H2967" s="52">
        <f>H2966-G2967</f>
        <v/>
      </c>
      <c r="I2967" s="568" t="n"/>
      <c r="J2967" s="568" t="n"/>
      <c r="K2967" s="568" t="n"/>
      <c r="L2967" s="568" t="n"/>
    </row>
    <row r="2968">
      <c r="A2968" s="568" t="n">
        <v>45448</v>
      </c>
      <c r="B2968" s="392" t="n">
        <v>11116</v>
      </c>
      <c r="C2968" s="392" t="n">
        <v>80</v>
      </c>
      <c r="D2968" s="392" t="n"/>
      <c r="E2968" s="392" t="n"/>
      <c r="F2968" s="392" t="n"/>
      <c r="G2968" s="392" t="n">
        <v>20</v>
      </c>
      <c r="H2968" s="52">
        <f>H2967-G2968</f>
        <v/>
      </c>
      <c r="I2968" s="568" t="n"/>
      <c r="J2968" s="568" t="n"/>
      <c r="K2968" s="568" t="n"/>
      <c r="L2968" s="568" t="n"/>
    </row>
    <row r="2969">
      <c r="A2969" s="568" t="n">
        <v>45453</v>
      </c>
      <c r="B2969" s="392" t="n">
        <v>11117</v>
      </c>
      <c r="C2969" s="392" t="n">
        <v>80</v>
      </c>
      <c r="D2969" s="392" t="n"/>
      <c r="E2969" s="392" t="n"/>
      <c r="F2969" s="392" t="n"/>
      <c r="G2969" s="392" t="n">
        <v>30</v>
      </c>
      <c r="H2969" s="52">
        <f>H2968-G2969</f>
        <v/>
      </c>
      <c r="I2969" s="568" t="n"/>
      <c r="J2969" s="568" t="n"/>
      <c r="K2969" s="568" t="n"/>
      <c r="L2969" s="568" t="n"/>
    </row>
    <row r="2970">
      <c r="A2970" s="568" t="n">
        <v>45453</v>
      </c>
      <c r="B2970" s="392" t="n">
        <v>11125</v>
      </c>
      <c r="C2970" s="392" t="n">
        <v>90</v>
      </c>
      <c r="D2970" s="392" t="n"/>
      <c r="E2970" s="392" t="n"/>
      <c r="F2970" s="392" t="n"/>
      <c r="G2970" s="392" t="n">
        <v>60</v>
      </c>
      <c r="H2970" s="52">
        <f>H2969-G2970</f>
        <v/>
      </c>
      <c r="I2970" s="568" t="n"/>
      <c r="J2970" s="568" t="n"/>
      <c r="K2970" s="568" t="n"/>
      <c r="L2970" s="568" t="n"/>
    </row>
    <row r="2971">
      <c r="A2971" s="568" t="n">
        <v>45453</v>
      </c>
      <c r="B2971" s="392" t="n">
        <v>11127</v>
      </c>
      <c r="C2971" s="392" t="n">
        <v>91.15000000000001</v>
      </c>
      <c r="D2971" s="392" t="n"/>
      <c r="E2971" s="392" t="n"/>
      <c r="F2971" s="392" t="n"/>
      <c r="G2971" s="392" t="n">
        <v>35</v>
      </c>
      <c r="H2971" s="52">
        <f>H2970-G2971</f>
        <v/>
      </c>
      <c r="I2971" s="568" t="n"/>
      <c r="J2971" s="568" t="n"/>
      <c r="K2971" s="568" t="n"/>
      <c r="L2971" s="568" t="n"/>
    </row>
    <row r="2972">
      <c r="A2972" s="568" t="n">
        <v>45453</v>
      </c>
      <c r="B2972" s="392" t="n">
        <v>11128</v>
      </c>
      <c r="C2972" s="392" t="n">
        <v>83.28</v>
      </c>
      <c r="D2972" s="392" t="n"/>
      <c r="E2972" s="392" t="n"/>
      <c r="F2972" s="392" t="n"/>
      <c r="G2972" s="392" t="n">
        <v>50</v>
      </c>
      <c r="H2972" s="52">
        <f>H2971-G2972</f>
        <v/>
      </c>
      <c r="I2972" s="568" t="n"/>
      <c r="J2972" s="568" t="n"/>
      <c r="K2972" s="568" t="n"/>
      <c r="L2972" s="568" t="n"/>
    </row>
    <row r="2973">
      <c r="A2973" s="568" t="n">
        <v>45455</v>
      </c>
      <c r="B2973" s="392" t="n">
        <v>11132</v>
      </c>
      <c r="C2973" s="392" t="n">
        <v>80</v>
      </c>
      <c r="D2973" s="392" t="n"/>
      <c r="E2973" s="392" t="n"/>
      <c r="F2973" s="392" t="n"/>
      <c r="G2973" s="392" t="n">
        <v>10</v>
      </c>
      <c r="H2973" s="52">
        <f>H2972-G2973</f>
        <v/>
      </c>
      <c r="I2973" s="568" t="n"/>
      <c r="J2973" s="568" t="n"/>
      <c r="K2973" s="568" t="n"/>
      <c r="L2973" s="568" t="n"/>
    </row>
    <row r="2974">
      <c r="A2974" s="568" t="n">
        <v>45455</v>
      </c>
      <c r="B2974" s="392" t="n">
        <v>11133</v>
      </c>
      <c r="C2974" s="392" t="n">
        <v>82</v>
      </c>
      <c r="D2974" s="392" t="n"/>
      <c r="E2974" s="392" t="n"/>
      <c r="F2974" s="392" t="n"/>
      <c r="G2974" s="392" t="n">
        <v>15</v>
      </c>
      <c r="H2974" s="52">
        <f>H2973-G2974</f>
        <v/>
      </c>
      <c r="I2974" s="568" t="n"/>
      <c r="J2974" s="568" t="n"/>
      <c r="K2974" s="568" t="n"/>
      <c r="L2974" s="568" t="n"/>
    </row>
    <row r="2975">
      <c r="A2975" s="568" t="n">
        <v>45455</v>
      </c>
      <c r="B2975" s="392" t="n">
        <v>11134</v>
      </c>
      <c r="C2975" s="392" t="n">
        <v>80</v>
      </c>
      <c r="D2975" s="392" t="n"/>
      <c r="E2975" s="392" t="n"/>
      <c r="F2975" s="392" t="n"/>
      <c r="G2975" s="392" t="n">
        <v>10</v>
      </c>
      <c r="H2975" s="52">
        <f>H2974-G2975</f>
        <v/>
      </c>
      <c r="I2975" s="568" t="n"/>
      <c r="J2975" s="568" t="n"/>
      <c r="K2975" s="568" t="n"/>
      <c r="L2975" s="568" t="n"/>
    </row>
    <row r="2976">
      <c r="A2976" s="568" t="n">
        <v>45455</v>
      </c>
      <c r="B2976" s="392" t="n">
        <v>11135</v>
      </c>
      <c r="C2976" s="392" t="n">
        <v>88.34</v>
      </c>
      <c r="D2976" s="392" t="n"/>
      <c r="E2976" s="392" t="n"/>
      <c r="F2976" s="392" t="n"/>
      <c r="G2976" s="392" t="n">
        <v>15</v>
      </c>
      <c r="H2976" s="52">
        <f>H2975-G2976</f>
        <v/>
      </c>
      <c r="I2976" s="568" t="n"/>
      <c r="J2976" s="568" t="n"/>
      <c r="K2976" s="568" t="n"/>
      <c r="L2976" s="568" t="n"/>
    </row>
    <row r="2977">
      <c r="A2977" s="568" t="n">
        <v>45455</v>
      </c>
      <c r="B2977" s="392" t="n">
        <v>11136</v>
      </c>
      <c r="C2977" s="392" t="n">
        <v>87.95</v>
      </c>
      <c r="D2977" s="392" t="n"/>
      <c r="E2977" s="392" t="n"/>
      <c r="F2977" s="392" t="n"/>
      <c r="G2977" s="392" t="n">
        <v>20</v>
      </c>
      <c r="H2977" s="52">
        <f>H2976-G2977</f>
        <v/>
      </c>
      <c r="I2977" s="568" t="n"/>
      <c r="J2977" s="568" t="n"/>
      <c r="K2977" s="568" t="n"/>
      <c r="L2977" s="568" t="n"/>
    </row>
    <row r="2978">
      <c r="A2978" s="568" t="n">
        <v>45460</v>
      </c>
      <c r="B2978" s="392" t="n">
        <v>11140</v>
      </c>
      <c r="C2978" s="392" t="n">
        <v>83.59999999999999</v>
      </c>
      <c r="D2978" s="392" t="n"/>
      <c r="E2978" s="392" t="n"/>
      <c r="F2978" s="392" t="n"/>
      <c r="G2978" s="392" t="n">
        <v>25</v>
      </c>
      <c r="H2978" s="52">
        <f>H2977-G2978</f>
        <v/>
      </c>
      <c r="I2978" s="568" t="n"/>
      <c r="J2978" s="568" t="n"/>
      <c r="K2978" s="568" t="n"/>
      <c r="L2978" s="568" t="n"/>
    </row>
    <row r="2979">
      <c r="A2979" s="568" t="n">
        <v>45460</v>
      </c>
      <c r="B2979" s="392" t="n">
        <v>11144</v>
      </c>
      <c r="C2979" s="392" t="n">
        <v>82</v>
      </c>
      <c r="D2979" s="392" t="n"/>
      <c r="E2979" s="392" t="n"/>
      <c r="F2979" s="392" t="n"/>
      <c r="G2979" s="392" t="n">
        <v>10</v>
      </c>
      <c r="H2979" s="52">
        <f>H2978-G2979</f>
        <v/>
      </c>
      <c r="I2979" s="568" t="n"/>
      <c r="J2979" s="568" t="n"/>
      <c r="K2979" s="568" t="n"/>
      <c r="L2979" s="568" t="n"/>
    </row>
    <row r="2980">
      <c r="A2980" s="568" t="n">
        <v>45460</v>
      </c>
      <c r="B2980" s="392" t="n">
        <v>11149</v>
      </c>
      <c r="C2980" s="392" t="n">
        <v>82</v>
      </c>
      <c r="D2980" s="392" t="n"/>
      <c r="E2980" s="392" t="n"/>
      <c r="F2980" s="392" t="n"/>
      <c r="G2980" s="392" t="n">
        <v>10</v>
      </c>
      <c r="H2980" s="52">
        <f>H2979-G2980</f>
        <v/>
      </c>
      <c r="I2980" s="568" t="n"/>
      <c r="J2980" s="568" t="n"/>
      <c r="K2980" s="568" t="n"/>
      <c r="L2980" s="568" t="n"/>
    </row>
    <row r="2981">
      <c r="A2981" s="568" t="n">
        <v>45468</v>
      </c>
      <c r="B2981" s="392" t="n">
        <v>11152</v>
      </c>
      <c r="C2981" s="392" t="n">
        <v>82</v>
      </c>
      <c r="D2981" s="392" t="n"/>
      <c r="E2981" s="392" t="n"/>
      <c r="F2981" s="392" t="n"/>
      <c r="G2981" s="392" t="n">
        <v>10</v>
      </c>
      <c r="H2981" s="52">
        <f>H2980-G2981</f>
        <v/>
      </c>
      <c r="I2981" s="568" t="n"/>
      <c r="J2981" s="568" t="n"/>
      <c r="K2981" s="568" t="n"/>
      <c r="L2981" s="568" t="n"/>
    </row>
    <row r="2982">
      <c r="A2982" s="568" t="n">
        <v>45468</v>
      </c>
      <c r="B2982" s="392" t="n">
        <v>11157</v>
      </c>
      <c r="C2982" s="392" t="n">
        <v>82</v>
      </c>
      <c r="D2982" s="392" t="n"/>
      <c r="E2982" s="392" t="n"/>
      <c r="F2982" s="392" t="n"/>
      <c r="G2982" s="392" t="n">
        <v>20</v>
      </c>
      <c r="H2982" s="52">
        <f>H2981-G2982</f>
        <v/>
      </c>
      <c r="I2982" s="568" t="n"/>
      <c r="J2982" s="568" t="n"/>
      <c r="K2982" s="568" t="n"/>
      <c r="L2982" s="568" t="n"/>
    </row>
    <row r="2983">
      <c r="A2983" s="568" t="n">
        <v>45468</v>
      </c>
      <c r="B2983" s="392" t="n">
        <v>11158</v>
      </c>
      <c r="C2983" s="392" t="n">
        <v>82</v>
      </c>
      <c r="D2983" s="392" t="n"/>
      <c r="E2983" s="392" t="n"/>
      <c r="F2983" s="392" t="n"/>
      <c r="G2983" s="392" t="n">
        <v>10</v>
      </c>
      <c r="H2983" s="52">
        <f>H2982-G2983</f>
        <v/>
      </c>
      <c r="I2983" s="568" t="n"/>
      <c r="J2983" s="568" t="n"/>
      <c r="K2983" s="568" t="n"/>
      <c r="L2983" s="568" t="n"/>
    </row>
    <row r="2984">
      <c r="A2984" s="568" t="n">
        <v>45468</v>
      </c>
      <c r="B2984" s="392" t="n">
        <v>11159</v>
      </c>
      <c r="C2984" s="392" t="n">
        <v>89.45999999999999</v>
      </c>
      <c r="D2984" s="392" t="n"/>
      <c r="E2984" s="392" t="n"/>
      <c r="F2984" s="392" t="n"/>
      <c r="G2984" s="392" t="n">
        <v>55</v>
      </c>
      <c r="H2984" s="52">
        <f>H2983-G2984</f>
        <v/>
      </c>
      <c r="I2984" s="568" t="n"/>
      <c r="J2984" s="568" t="n"/>
      <c r="K2984" s="568" t="n"/>
      <c r="L2984" s="568" t="n"/>
    </row>
    <row r="2985">
      <c r="A2985" s="568" t="n">
        <v>45468</v>
      </c>
      <c r="B2985" s="392" t="n">
        <v>11160</v>
      </c>
      <c r="C2985" s="392" t="n">
        <v>80</v>
      </c>
      <c r="D2985" s="392" t="n"/>
      <c r="E2985" s="392" t="n"/>
      <c r="F2985" s="392" t="n"/>
      <c r="G2985" s="392" t="n">
        <v>50</v>
      </c>
      <c r="H2985" s="52">
        <f>H2984-G2985</f>
        <v/>
      </c>
      <c r="I2985" s="568" t="n"/>
      <c r="J2985" s="568" t="n"/>
      <c r="K2985" s="568" t="n"/>
      <c r="L2985" s="568" t="n"/>
    </row>
    <row r="2986">
      <c r="A2986" s="568" t="n">
        <v>45468</v>
      </c>
      <c r="B2986" s="392" t="n">
        <v>11162</v>
      </c>
      <c r="C2986" s="392" t="n">
        <v>82</v>
      </c>
      <c r="D2986" s="392" t="n"/>
      <c r="E2986" s="392" t="n"/>
      <c r="F2986" s="392" t="n"/>
      <c r="G2986" s="392" t="n">
        <v>15</v>
      </c>
      <c r="H2986" s="52">
        <f>H2985-G2986</f>
        <v/>
      </c>
      <c r="I2986" s="568" t="n"/>
      <c r="J2986" s="568" t="n"/>
      <c r="K2986" s="568" t="n"/>
      <c r="L2986" s="568" t="n"/>
    </row>
    <row r="2987" ht="15.75" customHeight="1" s="436" thickBot="1">
      <c r="A2987" s="414" t="n"/>
      <c r="H2987" s="171" t="n"/>
      <c r="I2987" s="414" t="n"/>
      <c r="J2987" s="414" t="n"/>
      <c r="K2987" s="414" t="n"/>
      <c r="L2987" s="414" t="n"/>
    </row>
    <row r="2988" ht="21.75" customHeight="1" s="436" thickBot="1">
      <c r="A2988" s="757" t="inlineStr">
        <is>
          <t>Julho</t>
        </is>
      </c>
      <c r="B2988" s="697" t="n"/>
      <c r="C2988" s="697" t="n"/>
      <c r="D2988" s="697" t="n"/>
      <c r="E2988" s="697" t="n"/>
      <c r="F2988" s="697" t="n"/>
      <c r="G2988" s="697" t="n"/>
      <c r="H2988" s="697" t="n"/>
      <c r="I2988" s="697" t="n"/>
      <c r="J2988" s="697" t="n"/>
      <c r="K2988" s="697" t="n"/>
      <c r="L2988" s="698" t="n"/>
    </row>
    <row r="2989" ht="21.75" customHeight="1" s="436" thickBot="1">
      <c r="A2989" s="699" t="inlineStr">
        <is>
          <t xml:space="preserve">021 - DENISE FURTADO DE SOUZA - ME </t>
        </is>
      </c>
      <c r="B2989" s="697" t="n"/>
      <c r="C2989" s="697" t="n"/>
      <c r="D2989" s="697" t="n"/>
      <c r="E2989" s="697" t="n"/>
      <c r="F2989" s="697" t="n"/>
      <c r="G2989" s="697" t="n"/>
      <c r="H2989" s="697" t="n"/>
      <c r="I2989" s="697" t="n"/>
      <c r="J2989" s="697" t="n"/>
      <c r="K2989" s="697" t="n"/>
      <c r="L2989" s="698" t="n"/>
    </row>
    <row r="2990" ht="24" customHeight="1" s="436" thickBot="1">
      <c r="A2990" s="759" t="inlineStr">
        <is>
          <t xml:space="preserve">  PRÉ MISTURA - 25 KG</t>
        </is>
      </c>
      <c r="B2990" s="697" t="n"/>
      <c r="C2990" s="697" t="n"/>
      <c r="D2990" s="697" t="n"/>
      <c r="E2990" s="697" t="n"/>
      <c r="F2990" s="697" t="n"/>
      <c r="G2990" s="697" t="n"/>
      <c r="H2990" s="697" t="n"/>
      <c r="I2990" s="697" t="n"/>
      <c r="J2990" s="697" t="n"/>
      <c r="K2990" s="697" t="n"/>
      <c r="L2990" s="698" t="n"/>
    </row>
    <row r="2991">
      <c r="A2991" s="3" t="inlineStr">
        <is>
          <t>DATA</t>
        </is>
      </c>
      <c r="B2991" s="3" t="inlineStr">
        <is>
          <t>N.F.</t>
        </is>
      </c>
      <c r="C2991" s="3" t="inlineStr">
        <is>
          <t>TIPO</t>
        </is>
      </c>
      <c r="D2991" s="3" t="inlineStr">
        <is>
          <t>PREÇO UNITÁRIO</t>
        </is>
      </c>
      <c r="E2991" s="736" t="n"/>
      <c r="F2991" s="3" t="inlineStr">
        <is>
          <t>QUANTIDADE / KG</t>
        </is>
      </c>
      <c r="G2991" s="737" t="n"/>
      <c r="H2991" s="736" t="n"/>
      <c r="I2991" s="631" t="inlineStr">
        <is>
          <t>PREÇO</t>
        </is>
      </c>
      <c r="J2991" s="631" t="inlineStr">
        <is>
          <t>VALORES</t>
        </is>
      </c>
      <c r="K2991" s="737" t="n"/>
      <c r="L2991" s="736" t="n"/>
    </row>
    <row r="2992" ht="15.75" customHeight="1" s="436" thickBot="1">
      <c r="A2992" s="704" t="n"/>
      <c r="B2992" s="704" t="n"/>
      <c r="C2992" s="704" t="n"/>
      <c r="D2992" s="703" t="n"/>
      <c r="E2992" s="701" t="n"/>
      <c r="F2992" s="705" t="n"/>
      <c r="G2992" s="706" t="n"/>
      <c r="H2992" s="707" t="n"/>
      <c r="I2992" s="704" t="n"/>
      <c r="J2992" s="703" t="n"/>
      <c r="L2992" s="701" t="n"/>
    </row>
    <row r="2993" ht="15.75" customHeight="1" s="436" thickBot="1">
      <c r="A2993" s="704" t="n"/>
      <c r="B2993" s="704" t="n"/>
      <c r="C2993" s="704" t="n"/>
      <c r="D2993" s="705" t="n"/>
      <c r="E2993" s="707" t="n"/>
      <c r="F2993" s="3" t="inlineStr">
        <is>
          <t>ENTRADA</t>
        </is>
      </c>
      <c r="G2993" s="3" t="inlineStr">
        <is>
          <t>SAÍDA</t>
        </is>
      </c>
      <c r="H2993" s="640" t="n"/>
      <c r="I2993" s="633" t="inlineStr">
        <is>
          <t>MÉDIO</t>
        </is>
      </c>
      <c r="J2993" s="739" t="inlineStr">
        <is>
          <t>SALDO EM 30/12/2017</t>
        </is>
      </c>
      <c r="K2993" s="707" t="n"/>
      <c r="L2993" s="17" t="n"/>
    </row>
    <row r="2994" ht="15.75" customHeight="1" s="436" thickBot="1">
      <c r="A2994" s="695" t="n"/>
      <c r="B2994" s="695" t="n"/>
      <c r="C2994" s="695" t="n"/>
      <c r="D2994" s="3" t="inlineStr">
        <is>
          <t>C/ICMS</t>
        </is>
      </c>
      <c r="E2994" s="3" t="inlineStr">
        <is>
          <t>S/ICMS</t>
        </is>
      </c>
      <c r="F2994" s="695" t="n"/>
      <c r="G2994" s="695" t="n"/>
      <c r="H2994" s="361" t="inlineStr">
        <is>
          <t>Saldo em 31/06/2024</t>
        </is>
      </c>
      <c r="I2994" s="695" t="n"/>
      <c r="J2994" s="645" t="inlineStr">
        <is>
          <t>ENTRADA</t>
        </is>
      </c>
      <c r="K2994" s="633" t="inlineStr">
        <is>
          <t>SAÍDA / CMV</t>
        </is>
      </c>
      <c r="L2994" s="633" t="inlineStr">
        <is>
          <t>SALDO</t>
        </is>
      </c>
    </row>
    <row r="2995">
      <c r="A2995" s="568" t="n"/>
      <c r="B2995" s="392" t="n"/>
      <c r="C2995" s="392" t="n"/>
      <c r="D2995" s="392" t="n"/>
      <c r="E2995" s="392" t="n"/>
      <c r="F2995" s="392" t="n"/>
      <c r="G2995" s="392" t="n"/>
      <c r="H2995" s="52" t="n">
        <v>2127</v>
      </c>
      <c r="I2995" s="568" t="n"/>
      <c r="J2995" s="568" t="n"/>
      <c r="K2995" s="568" t="n"/>
      <c r="L2995" s="392" t="n"/>
    </row>
    <row r="2996">
      <c r="A2996" s="568" t="n">
        <v>45476</v>
      </c>
      <c r="B2996" s="392" t="n">
        <v>11165</v>
      </c>
      <c r="C2996" s="392" t="n">
        <v>85.43000000000001</v>
      </c>
      <c r="D2996" s="392" t="n"/>
      <c r="E2996" s="392" t="n"/>
      <c r="F2996" s="392" t="n"/>
      <c r="G2996" s="392" t="n">
        <v>35</v>
      </c>
      <c r="H2996" s="52">
        <f>H2995-G2996</f>
        <v/>
      </c>
      <c r="I2996" s="568" t="n"/>
      <c r="J2996" s="568" t="n"/>
      <c r="K2996" s="568" t="n"/>
      <c r="L2996" s="568" t="n"/>
    </row>
    <row r="2997">
      <c r="A2997" s="568" t="n">
        <v>45476</v>
      </c>
      <c r="B2997" s="392" t="n">
        <v>11169</v>
      </c>
      <c r="C2997" s="392" t="n">
        <v>88.43000000000001</v>
      </c>
      <c r="D2997" s="392" t="n"/>
      <c r="E2997" s="392" t="n"/>
      <c r="F2997" s="392" t="n"/>
      <c r="G2997" s="392" t="n">
        <v>70</v>
      </c>
      <c r="H2997" s="52">
        <f>H2996-G2997</f>
        <v/>
      </c>
      <c r="I2997" s="568" t="n"/>
      <c r="J2997" s="568" t="n"/>
      <c r="K2997" s="568" t="n"/>
      <c r="L2997" s="568" t="n"/>
    </row>
    <row r="2998">
      <c r="A2998" s="568" t="n">
        <v>45476</v>
      </c>
      <c r="B2998" s="392" t="n">
        <v>11172</v>
      </c>
      <c r="C2998" s="392" t="n">
        <v>82</v>
      </c>
      <c r="D2998" s="392" t="n"/>
      <c r="E2998" s="392" t="n"/>
      <c r="F2998" s="392" t="n"/>
      <c r="G2998" s="392" t="n">
        <v>10</v>
      </c>
      <c r="H2998" s="52">
        <f>H2997-G2998</f>
        <v/>
      </c>
      <c r="I2998" s="568" t="n"/>
      <c r="J2998" s="568" t="n"/>
      <c r="K2998" s="568" t="n"/>
      <c r="L2998" s="568" t="n"/>
    </row>
    <row r="2999">
      <c r="A2999" s="568" t="n">
        <v>45476</v>
      </c>
      <c r="B2999" s="392" t="n">
        <v>11173</v>
      </c>
      <c r="C2999" s="392" t="n">
        <v>80.8</v>
      </c>
      <c r="D2999" s="392" t="n"/>
      <c r="E2999" s="392" t="n"/>
      <c r="F2999" s="392" t="n"/>
      <c r="G2999" s="392" t="n">
        <v>25</v>
      </c>
      <c r="H2999" s="52">
        <f>H2998-G2999</f>
        <v/>
      </c>
      <c r="I2999" s="568" t="n"/>
      <c r="J2999" s="568" t="n"/>
      <c r="K2999" s="568" t="n"/>
      <c r="L2999" s="568" t="n"/>
    </row>
    <row r="3000">
      <c r="A3000" s="568" t="n">
        <v>45476</v>
      </c>
      <c r="B3000" s="392" t="n">
        <v>11173</v>
      </c>
      <c r="C3000" s="392" t="n">
        <v>85.5</v>
      </c>
      <c r="D3000" s="392" t="n"/>
      <c r="E3000" s="392" t="n"/>
      <c r="F3000" s="392" t="n"/>
      <c r="G3000" s="392" t="n">
        <v>20</v>
      </c>
      <c r="H3000" s="52">
        <f>H2999-G3000</f>
        <v/>
      </c>
      <c r="I3000" s="568" t="n"/>
      <c r="J3000" s="568" t="n"/>
      <c r="K3000" s="568" t="n"/>
      <c r="L3000" s="568" t="n"/>
    </row>
    <row r="3001">
      <c r="A3001" s="568" t="n">
        <v>45476</v>
      </c>
      <c r="B3001" s="392" t="n">
        <v>11175</v>
      </c>
      <c r="C3001" s="392" t="n">
        <v>80.8</v>
      </c>
      <c r="D3001" s="392" t="n"/>
      <c r="E3001" s="392" t="n"/>
      <c r="F3001" s="392" t="n"/>
      <c r="G3001" s="392" t="n">
        <v>20</v>
      </c>
      <c r="H3001" s="52">
        <f>H3000-G3001</f>
        <v/>
      </c>
      <c r="I3001" s="568" t="n"/>
      <c r="J3001" s="568" t="n"/>
      <c r="K3001" s="568" t="n"/>
      <c r="L3001" s="568" t="n"/>
    </row>
    <row r="3002">
      <c r="A3002" s="568" t="n">
        <v>45476</v>
      </c>
      <c r="B3002" s="392" t="n">
        <v>11176</v>
      </c>
      <c r="C3002" s="392" t="n">
        <v>83.28</v>
      </c>
      <c r="D3002" s="392" t="n"/>
      <c r="E3002" s="392" t="n"/>
      <c r="F3002" s="392" t="n"/>
      <c r="G3002" s="392" t="n">
        <v>50</v>
      </c>
      <c r="H3002" s="52">
        <f>H3001-G3002</f>
        <v/>
      </c>
      <c r="I3002" s="568" t="n"/>
      <c r="J3002" s="568" t="n"/>
      <c r="K3002" s="568" t="n"/>
      <c r="L3002" s="568" t="n"/>
    </row>
    <row r="3003">
      <c r="A3003" s="568" t="n">
        <v>45481</v>
      </c>
      <c r="B3003" s="392" t="n">
        <v>11179</v>
      </c>
      <c r="C3003" s="392" t="n">
        <v>82.40000000000001</v>
      </c>
      <c r="D3003" s="392" t="n"/>
      <c r="E3003" s="392" t="n"/>
      <c r="F3003" s="392" t="n"/>
      <c r="G3003" s="392" t="n">
        <v>20</v>
      </c>
      <c r="H3003" s="52">
        <f>H3002-G3003</f>
        <v/>
      </c>
      <c r="I3003" s="568" t="n"/>
      <c r="J3003" s="568" t="n"/>
      <c r="K3003" s="568" t="n"/>
      <c r="L3003" s="568" t="n"/>
    </row>
    <row r="3004">
      <c r="A3004" s="568" t="n">
        <v>45481</v>
      </c>
      <c r="B3004" s="392" t="n">
        <v>11182</v>
      </c>
      <c r="C3004" s="392" t="n">
        <v>82</v>
      </c>
      <c r="D3004" s="392" t="n"/>
      <c r="E3004" s="392" t="n"/>
      <c r="F3004" s="392" t="n"/>
      <c r="G3004" s="392" t="n">
        <v>20</v>
      </c>
      <c r="H3004" s="52">
        <f>H3003-G3004</f>
        <v/>
      </c>
      <c r="I3004" s="568" t="n"/>
      <c r="J3004" s="568" t="n"/>
      <c r="K3004" s="568" t="n"/>
      <c r="L3004" s="568" t="n"/>
    </row>
    <row r="3005">
      <c r="A3005" s="568" t="n">
        <v>45481</v>
      </c>
      <c r="B3005" s="392" t="n">
        <v>11184</v>
      </c>
      <c r="C3005" s="392" t="n">
        <v>87.55</v>
      </c>
      <c r="D3005" s="392" t="n"/>
      <c r="E3005" s="392" t="n"/>
      <c r="F3005" s="392" t="n"/>
      <c r="G3005" s="392" t="n">
        <v>45</v>
      </c>
      <c r="H3005" s="52">
        <f>H3004-G3005</f>
        <v/>
      </c>
      <c r="I3005" s="568" t="n"/>
      <c r="J3005" s="568" t="n"/>
      <c r="K3005" s="568" t="n"/>
      <c r="L3005" s="568" t="n"/>
    </row>
    <row r="3006">
      <c r="A3006" s="568" t="n">
        <v>45482</v>
      </c>
      <c r="B3006" s="392" t="n">
        <v>11189</v>
      </c>
      <c r="C3006" s="392" t="n">
        <v>83</v>
      </c>
      <c r="D3006" s="392" t="n"/>
      <c r="E3006" s="392" t="n"/>
      <c r="F3006" s="392" t="n"/>
      <c r="G3006" s="392" t="n">
        <v>10</v>
      </c>
      <c r="H3006" s="52">
        <f>H3005-G3006</f>
        <v/>
      </c>
      <c r="I3006" s="568" t="n"/>
      <c r="J3006" s="568" t="n"/>
      <c r="K3006" s="568" t="n"/>
      <c r="L3006" s="568" t="n"/>
    </row>
    <row r="3007">
      <c r="A3007" s="568" t="n">
        <v>45482</v>
      </c>
      <c r="B3007" s="392" t="n">
        <v>11190</v>
      </c>
      <c r="C3007" s="392" t="n">
        <v>82</v>
      </c>
      <c r="D3007" s="392" t="n"/>
      <c r="E3007" s="392" t="n"/>
      <c r="F3007" s="392" t="n"/>
      <c r="G3007" s="392" t="n">
        <v>10</v>
      </c>
      <c r="H3007" s="52">
        <f>H3006-G3007</f>
        <v/>
      </c>
      <c r="I3007" s="568" t="n"/>
      <c r="J3007" s="568" t="n"/>
      <c r="K3007" s="568" t="n"/>
      <c r="L3007" s="568" t="n"/>
    </row>
    <row r="3008">
      <c r="A3008" s="568" t="n">
        <v>45482</v>
      </c>
      <c r="B3008" s="392" t="n">
        <v>11192</v>
      </c>
      <c r="C3008" s="392" t="n">
        <v>83.28</v>
      </c>
      <c r="D3008" s="392" t="n"/>
      <c r="E3008" s="392" t="n"/>
      <c r="F3008" s="392" t="n"/>
      <c r="G3008" s="392" t="n">
        <v>50</v>
      </c>
      <c r="H3008" s="52">
        <f>H3007-G3008</f>
        <v/>
      </c>
      <c r="I3008" s="568" t="n"/>
      <c r="J3008" s="568" t="n"/>
      <c r="K3008" s="568" t="n"/>
      <c r="L3008" s="568" t="n"/>
    </row>
    <row r="3009">
      <c r="A3009" s="568" t="n">
        <v>45495</v>
      </c>
      <c r="B3009" s="392" t="n">
        <v>11209</v>
      </c>
      <c r="C3009" s="392" t="n">
        <v>87.75</v>
      </c>
      <c r="D3009" s="392" t="n"/>
      <c r="E3009" s="392" t="n"/>
      <c r="F3009" s="392" t="n"/>
      <c r="G3009" s="392" t="n">
        <v>60</v>
      </c>
      <c r="H3009" s="52">
        <f>H3008-G3009</f>
        <v/>
      </c>
      <c r="I3009" s="568" t="n"/>
      <c r="J3009" s="568" t="n"/>
      <c r="K3009" s="568" t="n"/>
      <c r="L3009" s="568" t="n"/>
    </row>
    <row r="3010">
      <c r="A3010" s="568" t="n">
        <v>45495</v>
      </c>
      <c r="B3010" s="392" t="n">
        <v>11212</v>
      </c>
      <c r="C3010" s="392" t="n">
        <v>80</v>
      </c>
      <c r="D3010" s="392" t="n"/>
      <c r="E3010" s="392" t="n"/>
      <c r="F3010" s="392" t="n"/>
      <c r="G3010" s="392" t="n">
        <v>10</v>
      </c>
      <c r="H3010" s="52">
        <f>H3009-G3010</f>
        <v/>
      </c>
      <c r="I3010" s="568" t="n"/>
      <c r="J3010" s="568" t="n"/>
      <c r="K3010" s="568" t="n"/>
      <c r="L3010" s="568" t="n"/>
    </row>
    <row r="3011">
      <c r="A3011" s="568" t="n">
        <v>45495</v>
      </c>
      <c r="B3011" s="392" t="n">
        <v>11213</v>
      </c>
      <c r="C3011" s="392" t="n">
        <v>92</v>
      </c>
      <c r="D3011" s="392" t="n"/>
      <c r="E3011" s="392" t="n"/>
      <c r="F3011" s="392" t="n"/>
      <c r="G3011" s="392" t="n">
        <v>20</v>
      </c>
      <c r="H3011" s="52">
        <f>H3010-G3011</f>
        <v/>
      </c>
      <c r="I3011" s="568" t="n"/>
      <c r="J3011" s="568" t="n"/>
      <c r="K3011" s="568" t="n"/>
      <c r="L3011" s="568" t="n"/>
    </row>
    <row r="3012">
      <c r="A3012" s="568" t="n">
        <v>45503</v>
      </c>
      <c r="B3012" s="392" t="n">
        <v>11223</v>
      </c>
      <c r="C3012" s="392" t="n">
        <v>83.28</v>
      </c>
      <c r="D3012" s="392" t="n"/>
      <c r="E3012" s="392" t="n"/>
      <c r="F3012" s="392" t="n"/>
      <c r="G3012" s="392" t="n">
        <v>50</v>
      </c>
      <c r="H3012" s="52">
        <f>H3011-G3012</f>
        <v/>
      </c>
      <c r="I3012" s="568" t="n"/>
      <c r="J3012" s="568" t="n"/>
      <c r="K3012" s="568" t="n"/>
      <c r="L3012" s="568" t="n"/>
    </row>
    <row r="3013">
      <c r="A3013" s="568" t="n">
        <v>45503</v>
      </c>
      <c r="B3013" s="392" t="n">
        <v>11232</v>
      </c>
      <c r="C3013" s="392" t="n">
        <v>82.40000000000001</v>
      </c>
      <c r="D3013" s="392" t="n"/>
      <c r="E3013" s="392" t="n"/>
      <c r="F3013" s="392" t="n"/>
      <c r="G3013" s="392" t="n">
        <v>20</v>
      </c>
      <c r="H3013" s="52">
        <f>H3012-G3013</f>
        <v/>
      </c>
      <c r="I3013" s="568" t="n"/>
      <c r="J3013" s="568" t="n"/>
      <c r="K3013" s="568" t="n"/>
      <c r="L3013" s="568" t="n"/>
    </row>
    <row r="3014">
      <c r="A3014" s="568" t="n">
        <v>45503</v>
      </c>
      <c r="B3014" s="392" t="n">
        <v>11234</v>
      </c>
      <c r="C3014" s="392" t="n">
        <v>80</v>
      </c>
      <c r="D3014" s="392" t="n"/>
      <c r="E3014" s="392" t="n"/>
      <c r="F3014" s="392" t="n"/>
      <c r="G3014" s="392" t="n">
        <v>30</v>
      </c>
      <c r="H3014" s="52">
        <f>H3013-G3014</f>
        <v/>
      </c>
      <c r="I3014" s="568" t="n"/>
      <c r="J3014" s="568" t="n"/>
      <c r="K3014" s="568" t="n"/>
      <c r="L3014" s="568" t="n"/>
    </row>
    <row r="3015">
      <c r="A3015" s="568" t="n">
        <v>45503</v>
      </c>
      <c r="B3015" s="392" t="n">
        <v>11236</v>
      </c>
      <c r="C3015" s="392" t="n">
        <v>82</v>
      </c>
      <c r="D3015" s="392" t="n"/>
      <c r="E3015" s="392" t="n"/>
      <c r="F3015" s="392" t="n"/>
      <c r="G3015" s="392" t="n">
        <v>20</v>
      </c>
      <c r="H3015" s="52">
        <f>H3014-G3015</f>
        <v/>
      </c>
      <c r="I3015" s="568" t="n"/>
      <c r="J3015" s="568" t="n"/>
      <c r="K3015" s="568" t="n"/>
      <c r="L3015" s="568" t="n"/>
    </row>
    <row r="3016" ht="15.75" customHeight="1" s="436" thickBot="1">
      <c r="A3016" s="414" t="n"/>
      <c r="H3016" s="171" t="n"/>
      <c r="I3016" s="414" t="n"/>
      <c r="J3016" s="414" t="n"/>
      <c r="K3016" s="414" t="n"/>
      <c r="L3016" s="414" t="n"/>
    </row>
    <row r="3017" ht="21.75" customHeight="1" s="436" thickBot="1">
      <c r="A3017" s="757" t="inlineStr">
        <is>
          <t>Agosto</t>
        </is>
      </c>
      <c r="B3017" s="697" t="n"/>
      <c r="C3017" s="697" t="n"/>
      <c r="D3017" s="697" t="n"/>
      <c r="E3017" s="697" t="n"/>
      <c r="F3017" s="697" t="n"/>
      <c r="G3017" s="697" t="n"/>
      <c r="H3017" s="697" t="n"/>
      <c r="I3017" s="697" t="n"/>
      <c r="J3017" s="697" t="n"/>
      <c r="K3017" s="697" t="n"/>
      <c r="L3017" s="698" t="n"/>
    </row>
    <row r="3018" ht="21.75" customHeight="1" s="436" thickBot="1">
      <c r="A3018" s="699" t="inlineStr">
        <is>
          <t xml:space="preserve">021 - DENISE FURTADO DE SOUZA - ME </t>
        </is>
      </c>
      <c r="B3018" s="697" t="n"/>
      <c r="C3018" s="697" t="n"/>
      <c r="D3018" s="697" t="n"/>
      <c r="E3018" s="697" t="n"/>
      <c r="F3018" s="697" t="n"/>
      <c r="G3018" s="697" t="n"/>
      <c r="H3018" s="697" t="n"/>
      <c r="I3018" s="697" t="n"/>
      <c r="J3018" s="697" t="n"/>
      <c r="K3018" s="697" t="n"/>
      <c r="L3018" s="698" t="n"/>
    </row>
    <row r="3019" ht="24" customHeight="1" s="436" thickBot="1">
      <c r="A3019" s="759" t="inlineStr">
        <is>
          <t xml:space="preserve">  PRÉ MISTURA - 25 KG</t>
        </is>
      </c>
      <c r="B3019" s="697" t="n"/>
      <c r="C3019" s="697" t="n"/>
      <c r="D3019" s="697" t="n"/>
      <c r="E3019" s="697" t="n"/>
      <c r="F3019" s="697" t="n"/>
      <c r="G3019" s="697" t="n"/>
      <c r="H3019" s="697" t="n"/>
      <c r="I3019" s="697" t="n"/>
      <c r="J3019" s="697" t="n"/>
      <c r="K3019" s="697" t="n"/>
      <c r="L3019" s="698" t="n"/>
    </row>
    <row r="3020">
      <c r="A3020" s="3" t="inlineStr">
        <is>
          <t>DATA</t>
        </is>
      </c>
      <c r="B3020" s="3" t="inlineStr">
        <is>
          <t>N.F.</t>
        </is>
      </c>
      <c r="C3020" s="3" t="inlineStr">
        <is>
          <t>TIPO</t>
        </is>
      </c>
      <c r="D3020" s="3" t="inlineStr">
        <is>
          <t>PREÇO UNITÁRIO</t>
        </is>
      </c>
      <c r="E3020" s="736" t="n"/>
      <c r="F3020" s="3" t="inlineStr">
        <is>
          <t>QUANTIDADE / KG</t>
        </is>
      </c>
      <c r="G3020" s="737" t="n"/>
      <c r="H3020" s="736" t="n"/>
      <c r="I3020" s="631" t="inlineStr">
        <is>
          <t>PREÇO</t>
        </is>
      </c>
      <c r="J3020" s="631" t="inlineStr">
        <is>
          <t>VALORES</t>
        </is>
      </c>
      <c r="K3020" s="737" t="n"/>
      <c r="L3020" s="736" t="n"/>
    </row>
    <row r="3021" ht="15.75" customHeight="1" s="436" thickBot="1">
      <c r="A3021" s="704" t="n"/>
      <c r="B3021" s="704" t="n"/>
      <c r="C3021" s="704" t="n"/>
      <c r="D3021" s="703" t="n"/>
      <c r="E3021" s="701" t="n"/>
      <c r="F3021" s="705" t="n"/>
      <c r="G3021" s="706" t="n"/>
      <c r="H3021" s="707" t="n"/>
      <c r="I3021" s="704" t="n"/>
      <c r="J3021" s="703" t="n"/>
      <c r="L3021" s="701" t="n"/>
    </row>
    <row r="3022" ht="15.75" customHeight="1" s="436" thickBot="1">
      <c r="A3022" s="704" t="n"/>
      <c r="B3022" s="704" t="n"/>
      <c r="C3022" s="704" t="n"/>
      <c r="D3022" s="705" t="n"/>
      <c r="E3022" s="707" t="n"/>
      <c r="F3022" s="3" t="inlineStr">
        <is>
          <t>ENTRADA</t>
        </is>
      </c>
      <c r="G3022" s="3" t="inlineStr">
        <is>
          <t>SAÍDA</t>
        </is>
      </c>
      <c r="H3022" s="640" t="n"/>
      <c r="I3022" s="633" t="inlineStr">
        <is>
          <t>MÉDIO</t>
        </is>
      </c>
      <c r="J3022" s="739" t="inlineStr">
        <is>
          <t>SALDO EM 30/12/2017</t>
        </is>
      </c>
      <c r="K3022" s="707" t="n"/>
      <c r="L3022" s="17" t="n"/>
    </row>
    <row r="3023" ht="15.75" customHeight="1" s="436" thickBot="1">
      <c r="A3023" s="695" t="n"/>
      <c r="B3023" s="695" t="n"/>
      <c r="C3023" s="695" t="n"/>
      <c r="D3023" s="3" t="inlineStr">
        <is>
          <t>C/ICMS</t>
        </is>
      </c>
      <c r="E3023" s="3" t="inlineStr">
        <is>
          <t>S/ICMS</t>
        </is>
      </c>
      <c r="F3023" s="695" t="n"/>
      <c r="G3023" s="695" t="n"/>
      <c r="H3023" s="361" t="inlineStr">
        <is>
          <t>Saldo em 31/07/2024</t>
        </is>
      </c>
      <c r="I3023" s="695" t="n"/>
      <c r="J3023" s="645" t="inlineStr">
        <is>
          <t>ENTRADA</t>
        </is>
      </c>
      <c r="K3023" s="633" t="inlineStr">
        <is>
          <t>SAÍDA / CMV</t>
        </is>
      </c>
      <c r="L3023" s="633" t="inlineStr">
        <is>
          <t>SALDO</t>
        </is>
      </c>
    </row>
    <row r="3024">
      <c r="A3024" s="568" t="n"/>
      <c r="B3024" s="392" t="n"/>
      <c r="C3024" s="392" t="n"/>
      <c r="D3024" s="392" t="n"/>
      <c r="E3024" s="392" t="n"/>
      <c r="F3024" s="392" t="n"/>
      <c r="G3024" s="392" t="n"/>
      <c r="H3024" s="52" t="n">
        <v>1532</v>
      </c>
      <c r="I3024" s="568" t="n"/>
      <c r="J3024" s="568" t="n"/>
      <c r="K3024" s="568" t="n"/>
      <c r="L3024" s="392" t="n"/>
    </row>
    <row r="3025">
      <c r="A3025" s="568" t="n">
        <v>45510</v>
      </c>
      <c r="B3025" s="392" t="n">
        <v>11248</v>
      </c>
      <c r="C3025" s="392" t="n">
        <v>80</v>
      </c>
      <c r="D3025" s="392" t="n"/>
      <c r="E3025" s="392" t="n"/>
      <c r="F3025" s="392" t="n"/>
      <c r="G3025" s="392" t="n">
        <v>20</v>
      </c>
      <c r="H3025" s="52">
        <f>H3024-G3025</f>
        <v/>
      </c>
      <c r="I3025" s="568" t="n"/>
      <c r="J3025" s="568" t="n"/>
      <c r="K3025" s="568" t="n"/>
      <c r="L3025" s="568" t="n"/>
    </row>
    <row r="3026">
      <c r="A3026" s="568" t="n">
        <v>45510</v>
      </c>
      <c r="B3026" s="392" t="n">
        <v>11249</v>
      </c>
      <c r="C3026" s="392" t="n">
        <v>85.79000000000001</v>
      </c>
      <c r="D3026" s="392" t="n"/>
      <c r="E3026" s="392" t="n"/>
      <c r="F3026" s="392" t="n"/>
      <c r="G3026" s="392" t="n">
        <v>38</v>
      </c>
      <c r="H3026" s="52">
        <f>H3025-G3026</f>
        <v/>
      </c>
      <c r="I3026" s="568" t="n"/>
      <c r="J3026" s="568" t="n"/>
      <c r="K3026" s="568" t="n"/>
      <c r="L3026" s="568" t="n"/>
    </row>
    <row r="3027">
      <c r="A3027" s="568" t="n">
        <v>45510</v>
      </c>
      <c r="B3027" s="392" t="n">
        <v>11250</v>
      </c>
      <c r="C3027" s="392" t="n">
        <v>81.67</v>
      </c>
      <c r="D3027" s="392" t="n"/>
      <c r="E3027" s="392" t="n"/>
      <c r="F3027" s="392" t="n"/>
      <c r="G3027" s="392" t="n">
        <v>30</v>
      </c>
      <c r="H3027" s="52">
        <f>H3026-G3027</f>
        <v/>
      </c>
      <c r="I3027" s="568" t="n"/>
      <c r="J3027" s="568" t="n"/>
      <c r="K3027" s="568" t="n"/>
      <c r="L3027" s="568" t="n"/>
    </row>
    <row r="3028">
      <c r="A3028" s="568" t="n">
        <v>45510</v>
      </c>
      <c r="B3028" s="392" t="n">
        <v>11252</v>
      </c>
      <c r="C3028" s="392" t="n">
        <v>87.59999999999999</v>
      </c>
      <c r="D3028" s="392" t="n"/>
      <c r="E3028" s="392" t="n"/>
      <c r="F3028" s="392" t="n"/>
      <c r="G3028" s="392" t="n">
        <v>50</v>
      </c>
      <c r="H3028" s="52">
        <f>H3027-G3028</f>
        <v/>
      </c>
      <c r="I3028" s="568" t="n"/>
      <c r="J3028" s="568" t="n"/>
      <c r="K3028" s="568" t="n"/>
      <c r="L3028" s="568" t="n"/>
    </row>
    <row r="3029">
      <c r="A3029" s="568" t="n">
        <v>45510</v>
      </c>
      <c r="B3029" s="392" t="n">
        <v>11254</v>
      </c>
      <c r="C3029" s="392" t="n">
        <v>82</v>
      </c>
      <c r="D3029" s="392" t="n"/>
      <c r="E3029" s="392" t="n"/>
      <c r="F3029" s="392" t="n"/>
      <c r="G3029" s="392" t="n">
        <v>20</v>
      </c>
      <c r="H3029" s="52">
        <f>H3028-G3029</f>
        <v/>
      </c>
      <c r="I3029" s="568" t="n"/>
      <c r="J3029" s="568" t="n"/>
      <c r="K3029" s="568" t="n"/>
      <c r="L3029" s="568" t="n"/>
    </row>
    <row r="3030">
      <c r="A3030" s="568" t="n">
        <v>45511</v>
      </c>
      <c r="B3030" s="392" t="n">
        <v>11255</v>
      </c>
      <c r="C3030" s="392" t="n">
        <v>87</v>
      </c>
      <c r="D3030" s="392" t="n"/>
      <c r="E3030" s="392" t="n"/>
      <c r="F3030" s="392" t="n"/>
      <c r="G3030" s="392" t="n">
        <v>50</v>
      </c>
      <c r="H3030" s="52">
        <f>H3029-G3030</f>
        <v/>
      </c>
      <c r="I3030" s="568" t="n"/>
      <c r="J3030" s="568" t="n"/>
      <c r="K3030" s="568" t="n"/>
      <c r="L3030" s="568" t="n"/>
    </row>
    <row r="3031">
      <c r="A3031" s="568" t="n">
        <v>45511</v>
      </c>
      <c r="B3031" s="392" t="n">
        <v>11256</v>
      </c>
      <c r="C3031" s="392" t="n">
        <v>83.28</v>
      </c>
      <c r="D3031" s="392" t="n"/>
      <c r="E3031" s="392" t="n"/>
      <c r="F3031" s="392" t="n"/>
      <c r="G3031" s="392" t="n">
        <v>50</v>
      </c>
      <c r="H3031" s="52">
        <f>H3030-G3031</f>
        <v/>
      </c>
      <c r="I3031" s="568" t="n"/>
      <c r="J3031" s="568" t="n"/>
      <c r="K3031" s="568" t="n"/>
      <c r="L3031" s="568" t="n"/>
    </row>
    <row r="3032">
      <c r="A3032" s="568" t="n">
        <v>45517</v>
      </c>
      <c r="B3032" s="392" t="n">
        <v>11258</v>
      </c>
      <c r="C3032" s="392" t="n">
        <v>82</v>
      </c>
      <c r="D3032" s="392" t="n"/>
      <c r="E3032" s="392" t="n"/>
      <c r="F3032" s="392" t="n"/>
      <c r="G3032" s="392" t="n">
        <v>5</v>
      </c>
      <c r="H3032" s="52">
        <f>H3031-G3032</f>
        <v/>
      </c>
      <c r="I3032" s="568" t="n"/>
      <c r="J3032" s="568" t="n"/>
      <c r="K3032" s="568" t="n"/>
      <c r="L3032" s="568" t="n"/>
    </row>
    <row r="3033">
      <c r="A3033" s="568" t="n">
        <v>45517</v>
      </c>
      <c r="B3033" s="392" t="n">
        <v>11260</v>
      </c>
      <c r="C3033" s="392" t="n">
        <v>80</v>
      </c>
      <c r="D3033" s="392" t="n"/>
      <c r="E3033" s="392" t="n"/>
      <c r="F3033" s="392" t="n"/>
      <c r="G3033" s="392" t="n">
        <v>50</v>
      </c>
      <c r="H3033" s="52">
        <f>H3032-G3033</f>
        <v/>
      </c>
      <c r="I3033" s="568" t="n"/>
      <c r="J3033" s="568" t="n"/>
      <c r="K3033" s="568" t="n"/>
      <c r="L3033" s="568" t="n"/>
    </row>
    <row r="3034">
      <c r="A3034" s="568" t="n">
        <v>45517</v>
      </c>
      <c r="B3034" s="392" t="n">
        <v>11265</v>
      </c>
      <c r="C3034" s="392" t="n">
        <v>82</v>
      </c>
      <c r="D3034" s="392" t="n"/>
      <c r="E3034" s="392" t="n"/>
      <c r="F3034" s="392" t="n"/>
      <c r="G3034" s="392" t="n">
        <v>25</v>
      </c>
      <c r="H3034" s="52">
        <f>H3033-G3034</f>
        <v/>
      </c>
      <c r="I3034" s="568" t="n"/>
      <c r="J3034" s="568" t="n"/>
      <c r="K3034" s="568" t="n"/>
      <c r="L3034" s="568" t="n"/>
    </row>
    <row r="3035">
      <c r="A3035" s="568" t="n">
        <v>45524</v>
      </c>
      <c r="B3035" s="392" t="n">
        <v>11279</v>
      </c>
      <c r="C3035" s="392" t="n">
        <v>82</v>
      </c>
      <c r="D3035" s="392" t="n"/>
      <c r="E3035" s="392" t="n"/>
      <c r="F3035" s="392" t="n"/>
      <c r="G3035" s="392" t="n">
        <v>10</v>
      </c>
      <c r="H3035" s="52">
        <f>H3034-G3035</f>
        <v/>
      </c>
      <c r="I3035" s="568" t="n"/>
      <c r="J3035" s="568" t="n"/>
      <c r="K3035" s="568" t="n"/>
      <c r="L3035" s="568" t="n"/>
    </row>
    <row r="3036">
      <c r="A3036" s="568" t="n">
        <v>45530</v>
      </c>
      <c r="B3036" s="392" t="n">
        <v>11287</v>
      </c>
      <c r="C3036" s="392" t="n">
        <v>80.67</v>
      </c>
      <c r="D3036" s="392" t="n"/>
      <c r="E3036" s="392" t="n"/>
      <c r="F3036" s="392" t="n"/>
      <c r="G3036" s="392" t="n">
        <v>30</v>
      </c>
      <c r="H3036" s="52">
        <f>H3035-G3036</f>
        <v/>
      </c>
      <c r="I3036" s="568" t="n"/>
      <c r="J3036" s="568" t="n"/>
      <c r="K3036" s="568" t="n"/>
      <c r="L3036" s="568" t="n"/>
    </row>
    <row r="3037">
      <c r="A3037" s="568" t="n">
        <v>45530</v>
      </c>
      <c r="B3037" s="392" t="n">
        <v>11289</v>
      </c>
      <c r="C3037" s="392" t="n">
        <v>82</v>
      </c>
      <c r="D3037" s="392" t="n"/>
      <c r="E3037" s="392" t="n"/>
      <c r="F3037" s="392" t="n"/>
      <c r="G3037" s="392" t="n">
        <v>30</v>
      </c>
      <c r="H3037" s="52">
        <f>H3036-G3037</f>
        <v/>
      </c>
      <c r="I3037" s="568" t="n"/>
      <c r="J3037" s="568" t="n"/>
      <c r="K3037" s="568" t="n"/>
      <c r="L3037" s="568" t="n"/>
    </row>
    <row r="3038">
      <c r="A3038" s="568" t="n">
        <v>45530</v>
      </c>
      <c r="B3038" s="392" t="n">
        <v>11291</v>
      </c>
      <c r="C3038" s="392" t="n">
        <v>87.5</v>
      </c>
      <c r="D3038" s="392" t="n"/>
      <c r="E3038" s="392" t="n"/>
      <c r="F3038" s="392" t="n"/>
      <c r="G3038" s="392" t="n">
        <v>60</v>
      </c>
      <c r="H3038" s="52">
        <f>H3037-G3038</f>
        <v/>
      </c>
      <c r="I3038" s="568" t="n"/>
      <c r="J3038" s="568" t="n"/>
      <c r="K3038" s="568" t="n"/>
      <c r="L3038" s="568" t="n"/>
    </row>
    <row r="3039" ht="15.75" customHeight="1" s="436" thickBot="1">
      <c r="A3039" s="414" t="n"/>
      <c r="H3039" s="171" t="n"/>
      <c r="I3039" s="414" t="n"/>
      <c r="J3039" s="414" t="n"/>
      <c r="K3039" s="414" t="n"/>
      <c r="L3039" s="414" t="n"/>
    </row>
    <row r="3040" ht="21.75" customHeight="1" s="436" thickBot="1">
      <c r="A3040" s="757" t="inlineStr">
        <is>
          <t>Setembro</t>
        </is>
      </c>
      <c r="B3040" s="697" t="n"/>
      <c r="C3040" s="697" t="n"/>
      <c r="D3040" s="697" t="n"/>
      <c r="E3040" s="697" t="n"/>
      <c r="F3040" s="697" t="n"/>
      <c r="G3040" s="697" t="n"/>
      <c r="H3040" s="697" t="n"/>
      <c r="I3040" s="697" t="n"/>
      <c r="J3040" s="697" t="n"/>
      <c r="K3040" s="697" t="n"/>
      <c r="L3040" s="698" t="n"/>
    </row>
    <row r="3041" ht="21.75" customHeight="1" s="436" thickBot="1">
      <c r="A3041" s="699" t="inlineStr">
        <is>
          <t xml:space="preserve">021 - DENISE FURTADO DE SOUZA - ME </t>
        </is>
      </c>
      <c r="B3041" s="697" t="n"/>
      <c r="C3041" s="697" t="n"/>
      <c r="D3041" s="697" t="n"/>
      <c r="E3041" s="697" t="n"/>
      <c r="F3041" s="697" t="n"/>
      <c r="G3041" s="697" t="n"/>
      <c r="H3041" s="697" t="n"/>
      <c r="I3041" s="697" t="n"/>
      <c r="J3041" s="697" t="n"/>
      <c r="K3041" s="697" t="n"/>
      <c r="L3041" s="698" t="n"/>
    </row>
    <row r="3042" ht="24" customHeight="1" s="436" thickBot="1">
      <c r="A3042" s="759" t="inlineStr">
        <is>
          <t xml:space="preserve">  PRÉ MISTURA - 25 KG</t>
        </is>
      </c>
      <c r="B3042" s="697" t="n"/>
      <c r="C3042" s="697" t="n"/>
      <c r="D3042" s="697" t="n"/>
      <c r="E3042" s="697" t="n"/>
      <c r="F3042" s="697" t="n"/>
      <c r="G3042" s="697" t="n"/>
      <c r="H3042" s="697" t="n"/>
      <c r="I3042" s="697" t="n"/>
      <c r="J3042" s="697" t="n"/>
      <c r="K3042" s="697" t="n"/>
      <c r="L3042" s="698" t="n"/>
    </row>
    <row r="3043">
      <c r="A3043" s="3" t="inlineStr">
        <is>
          <t>DATA</t>
        </is>
      </c>
      <c r="B3043" s="3" t="inlineStr">
        <is>
          <t>N.F.</t>
        </is>
      </c>
      <c r="C3043" s="3" t="inlineStr">
        <is>
          <t>TIPO</t>
        </is>
      </c>
      <c r="D3043" s="3" t="inlineStr">
        <is>
          <t>PREÇO UNITÁRIO</t>
        </is>
      </c>
      <c r="E3043" s="736" t="n"/>
      <c r="F3043" s="3" t="inlineStr">
        <is>
          <t>QUANTIDADE / KG</t>
        </is>
      </c>
      <c r="G3043" s="737" t="n"/>
      <c r="H3043" s="736" t="n"/>
      <c r="I3043" s="631" t="inlineStr">
        <is>
          <t>PREÇO</t>
        </is>
      </c>
      <c r="J3043" s="631" t="inlineStr">
        <is>
          <t>VALORES</t>
        </is>
      </c>
      <c r="K3043" s="737" t="n"/>
      <c r="L3043" s="736" t="n"/>
    </row>
    <row r="3044" ht="15.75" customHeight="1" s="436" thickBot="1">
      <c r="A3044" s="704" t="n"/>
      <c r="B3044" s="704" t="n"/>
      <c r="C3044" s="704" t="n"/>
      <c r="D3044" s="703" t="n"/>
      <c r="E3044" s="701" t="n"/>
      <c r="F3044" s="705" t="n"/>
      <c r="G3044" s="706" t="n"/>
      <c r="H3044" s="707" t="n"/>
      <c r="I3044" s="704" t="n"/>
      <c r="J3044" s="703" t="n"/>
      <c r="L3044" s="701" t="n"/>
    </row>
    <row r="3045" ht="15.75" customHeight="1" s="436" thickBot="1">
      <c r="A3045" s="704" t="n"/>
      <c r="B3045" s="704" t="n"/>
      <c r="C3045" s="704" t="n"/>
      <c r="D3045" s="705" t="n"/>
      <c r="E3045" s="707" t="n"/>
      <c r="F3045" s="3" t="inlineStr">
        <is>
          <t>ENTRADA</t>
        </is>
      </c>
      <c r="G3045" s="3" t="inlineStr">
        <is>
          <t>SAÍDA</t>
        </is>
      </c>
      <c r="H3045" s="640" t="n"/>
      <c r="I3045" s="633" t="inlineStr">
        <is>
          <t>MÉDIO</t>
        </is>
      </c>
      <c r="J3045" s="739" t="inlineStr">
        <is>
          <t>SALDO EM 30/12/2017</t>
        </is>
      </c>
      <c r="K3045" s="707" t="n"/>
      <c r="L3045" s="17" t="n"/>
    </row>
    <row r="3046" ht="15.75" customHeight="1" s="436" thickBot="1">
      <c r="A3046" s="695" t="n"/>
      <c r="B3046" s="695" t="n"/>
      <c r="C3046" s="695" t="n"/>
      <c r="D3046" s="3" t="inlineStr">
        <is>
          <t>C/ICMS</t>
        </is>
      </c>
      <c r="E3046" s="3" t="inlineStr">
        <is>
          <t>S/ICMS</t>
        </is>
      </c>
      <c r="F3046" s="695" t="n"/>
      <c r="G3046" s="695" t="n"/>
      <c r="H3046" s="361" t="inlineStr">
        <is>
          <t>Saldo em 31/08/2024</t>
        </is>
      </c>
      <c r="I3046" s="695" t="n"/>
      <c r="J3046" s="645" t="inlineStr">
        <is>
          <t>ENTRADA</t>
        </is>
      </c>
      <c r="K3046" s="633" t="inlineStr">
        <is>
          <t>SAÍDA / CMV</t>
        </is>
      </c>
      <c r="L3046" s="633" t="inlineStr">
        <is>
          <t>SALDO</t>
        </is>
      </c>
    </row>
    <row r="3047">
      <c r="A3047" s="568" t="n"/>
      <c r="B3047" s="392" t="n"/>
      <c r="C3047" s="392" t="n"/>
      <c r="D3047" s="392" t="n"/>
      <c r="E3047" s="392" t="n"/>
      <c r="F3047" s="392" t="n"/>
      <c r="G3047" s="392" t="n"/>
      <c r="H3047" s="52" t="n">
        <v>1064</v>
      </c>
      <c r="I3047" s="568" t="n"/>
      <c r="J3047" s="568" t="n"/>
      <c r="K3047" s="568" t="n"/>
      <c r="L3047" s="392" t="n"/>
    </row>
    <row r="3048">
      <c r="A3048" s="304" t="n">
        <v>45538</v>
      </c>
      <c r="B3048" s="401" t="n">
        <v>271901</v>
      </c>
      <c r="C3048" s="401" t="n"/>
      <c r="D3048" s="401" t="n"/>
      <c r="E3048" s="401" t="n"/>
      <c r="F3048" s="401" t="n">
        <v>150</v>
      </c>
      <c r="G3048" s="401" t="n"/>
      <c r="H3048" s="277" t="n">
        <v>1214</v>
      </c>
      <c r="I3048" s="568" t="n"/>
      <c r="J3048" s="568" t="n"/>
      <c r="K3048" s="568" t="n"/>
      <c r="L3048" s="392" t="n"/>
    </row>
    <row r="3049">
      <c r="A3049" s="304" t="n">
        <v>45538</v>
      </c>
      <c r="B3049" s="401" t="n">
        <v>271901</v>
      </c>
      <c r="C3049" s="401" t="n"/>
      <c r="D3049" s="401" t="n"/>
      <c r="E3049" s="401" t="n"/>
      <c r="F3049" s="401" t="n">
        <v>238</v>
      </c>
      <c r="G3049" s="401" t="n"/>
      <c r="H3049" s="277" t="n">
        <v>1452</v>
      </c>
      <c r="I3049" s="568" t="n"/>
      <c r="J3049" s="568" t="n"/>
      <c r="K3049" s="568" t="n"/>
      <c r="L3049" s="392" t="n"/>
    </row>
    <row r="3050">
      <c r="A3050" s="568" t="n">
        <v>45539</v>
      </c>
      <c r="B3050" s="392" t="n">
        <v>11305</v>
      </c>
      <c r="C3050" s="392" t="n">
        <v>82</v>
      </c>
      <c r="D3050" s="392" t="n"/>
      <c r="E3050" s="392" t="n"/>
      <c r="F3050" s="392" t="n"/>
      <c r="G3050" s="392" t="n">
        <v>10</v>
      </c>
      <c r="H3050" s="52">
        <f>H3049-G3050</f>
        <v/>
      </c>
      <c r="I3050" s="568" t="n"/>
      <c r="J3050" s="568" t="n"/>
      <c r="K3050" s="568" t="n"/>
      <c r="L3050" s="568" t="n"/>
    </row>
    <row r="3051">
      <c r="A3051" s="568" t="n">
        <v>45539</v>
      </c>
      <c r="B3051" s="392" t="n">
        <v>11307</v>
      </c>
      <c r="C3051" s="392" t="n">
        <v>78</v>
      </c>
      <c r="D3051" s="392" t="n"/>
      <c r="E3051" s="392" t="n"/>
      <c r="F3051" s="392" t="n"/>
      <c r="G3051" s="392" t="n">
        <v>30</v>
      </c>
      <c r="H3051" s="52">
        <f>H3050-G3051</f>
        <v/>
      </c>
      <c r="I3051" s="568" t="n"/>
      <c r="J3051" s="568" t="n"/>
      <c r="K3051" s="568" t="n"/>
      <c r="L3051" s="568" t="n"/>
    </row>
    <row r="3052">
      <c r="A3052" s="568" t="n">
        <v>45539</v>
      </c>
      <c r="B3052" s="392" t="n">
        <v>11309</v>
      </c>
      <c r="C3052" s="392" t="n">
        <v>81</v>
      </c>
      <c r="D3052" s="392" t="n"/>
      <c r="E3052" s="392" t="n"/>
      <c r="F3052" s="392" t="n"/>
      <c r="G3052" s="392" t="n">
        <v>20</v>
      </c>
      <c r="H3052" s="52">
        <f>H3051-G3052</f>
        <v/>
      </c>
      <c r="I3052" s="568" t="n"/>
      <c r="J3052" s="568" t="n"/>
      <c r="K3052" s="568" t="n"/>
      <c r="L3052" s="568" t="n"/>
    </row>
    <row r="3053">
      <c r="A3053" s="568" t="n">
        <v>45539</v>
      </c>
      <c r="B3053" s="392" t="n">
        <v>11312</v>
      </c>
      <c r="C3053" s="392" t="n">
        <v>84</v>
      </c>
      <c r="D3053" s="392" t="n"/>
      <c r="E3053" s="392" t="n"/>
      <c r="F3053" s="392" t="n"/>
      <c r="G3053" s="392" t="n">
        <v>10</v>
      </c>
      <c r="H3053" s="52">
        <f>H3052-G3053</f>
        <v/>
      </c>
      <c r="I3053" s="568" t="n"/>
      <c r="J3053" s="568" t="n"/>
      <c r="K3053" s="568" t="n"/>
      <c r="L3053" s="568" t="n"/>
    </row>
    <row r="3054">
      <c r="A3054" s="568" t="n">
        <v>45539</v>
      </c>
      <c r="B3054" s="392" t="n">
        <v>11313</v>
      </c>
      <c r="C3054" s="392" t="n">
        <v>84.67</v>
      </c>
      <c r="D3054" s="392" t="n"/>
      <c r="E3054" s="392" t="n"/>
      <c r="F3054" s="392" t="n"/>
      <c r="G3054" s="392" t="n">
        <v>30</v>
      </c>
      <c r="H3054" s="52">
        <f>H3053-G3054</f>
        <v/>
      </c>
      <c r="I3054" s="568" t="n"/>
      <c r="J3054" s="568" t="n"/>
      <c r="K3054" s="568" t="n"/>
      <c r="L3054" s="568" t="n"/>
    </row>
    <row r="3055">
      <c r="A3055" s="568" t="n">
        <v>45539</v>
      </c>
      <c r="B3055" s="392" t="n">
        <v>11314</v>
      </c>
      <c r="C3055" s="392" t="n">
        <v>78</v>
      </c>
      <c r="D3055" s="392" t="n"/>
      <c r="E3055" s="392" t="n"/>
      <c r="F3055" s="392" t="n"/>
      <c r="G3055" s="392" t="n">
        <v>50</v>
      </c>
      <c r="H3055" s="52">
        <f>H3054-G3055</f>
        <v/>
      </c>
      <c r="I3055" s="568" t="n"/>
      <c r="J3055" s="568" t="n"/>
      <c r="K3055" s="568" t="n"/>
      <c r="L3055" s="568" t="n"/>
    </row>
    <row r="3056">
      <c r="A3056" s="568" t="n">
        <v>45544</v>
      </c>
      <c r="B3056" s="392" t="n">
        <v>11325</v>
      </c>
      <c r="C3056" s="392" t="n">
        <v>82.34</v>
      </c>
      <c r="D3056" s="392" t="n"/>
      <c r="E3056" s="392" t="n"/>
      <c r="F3056" s="392" t="n"/>
      <c r="G3056" s="392" t="n">
        <v>25</v>
      </c>
      <c r="H3056" s="52">
        <f>H3055-G3056</f>
        <v/>
      </c>
      <c r="I3056" s="568" t="n"/>
      <c r="J3056" s="568" t="n"/>
      <c r="K3056" s="568" t="n"/>
      <c r="L3056" s="568" t="n"/>
    </row>
    <row r="3057">
      <c r="A3057" s="568" t="n">
        <v>45544</v>
      </c>
      <c r="B3057" s="392" t="n">
        <v>11326</v>
      </c>
      <c r="C3057" s="392" t="n">
        <v>78</v>
      </c>
      <c r="D3057" s="392" t="n"/>
      <c r="E3057" s="392" t="n"/>
      <c r="F3057" s="392" t="n"/>
      <c r="G3057" s="392" t="n">
        <v>10</v>
      </c>
      <c r="H3057" s="52">
        <f>H3056-G3057</f>
        <v/>
      </c>
      <c r="I3057" s="568" t="n"/>
      <c r="J3057" s="568" t="n"/>
      <c r="K3057" s="568" t="n"/>
      <c r="L3057" s="568" t="n"/>
    </row>
    <row r="3058">
      <c r="A3058" s="568" t="n">
        <v>45545</v>
      </c>
      <c r="B3058" s="392" t="n">
        <v>11328</v>
      </c>
      <c r="C3058" s="392" t="n">
        <v>81</v>
      </c>
      <c r="D3058" s="392" t="n"/>
      <c r="E3058" s="392" t="n"/>
      <c r="F3058" s="392" t="n"/>
      <c r="G3058" s="392" t="n">
        <v>20</v>
      </c>
      <c r="H3058" s="52">
        <f>H3057-G3058</f>
        <v/>
      </c>
      <c r="I3058" s="568" t="n"/>
      <c r="J3058" s="568" t="n"/>
      <c r="K3058" s="568" t="n"/>
      <c r="L3058" s="568" t="n"/>
    </row>
    <row r="3059">
      <c r="A3059" s="568" t="n">
        <v>45546</v>
      </c>
      <c r="B3059" s="392" t="n">
        <v>11332</v>
      </c>
      <c r="C3059" s="392" t="n">
        <v>85</v>
      </c>
      <c r="D3059" s="392" t="n"/>
      <c r="E3059" s="392" t="n"/>
      <c r="F3059" s="392" t="n"/>
      <c r="G3059" s="392" t="n">
        <v>50</v>
      </c>
      <c r="H3059" s="52">
        <f>H3058-G3059</f>
        <v/>
      </c>
      <c r="I3059" s="568" t="n"/>
      <c r="J3059" s="568" t="n"/>
      <c r="K3059" s="568" t="n"/>
      <c r="L3059" s="568" t="n"/>
    </row>
    <row r="3060">
      <c r="A3060" s="568" t="n">
        <v>45552</v>
      </c>
      <c r="B3060" s="392" t="n">
        <v>11337</v>
      </c>
      <c r="C3060" s="392" t="n">
        <v>87</v>
      </c>
      <c r="D3060" s="392" t="n"/>
      <c r="E3060" s="392" t="n"/>
      <c r="F3060" s="392" t="n"/>
      <c r="G3060" s="392" t="n">
        <v>60</v>
      </c>
      <c r="H3060" s="52">
        <f>H3059-G3060</f>
        <v/>
      </c>
      <c r="I3060" s="568" t="n"/>
      <c r="J3060" s="568" t="n"/>
      <c r="K3060" s="568" t="n"/>
      <c r="L3060" s="568" t="n"/>
    </row>
    <row r="3061">
      <c r="A3061" s="568" t="n">
        <v>45552</v>
      </c>
      <c r="B3061" s="392" t="n">
        <v>11342</v>
      </c>
      <c r="C3061" s="392" t="n">
        <v>87</v>
      </c>
      <c r="D3061" s="392" t="n"/>
      <c r="E3061" s="392" t="n"/>
      <c r="F3061" s="392" t="n"/>
      <c r="G3061" s="392" t="n">
        <v>10</v>
      </c>
      <c r="H3061" s="52">
        <f>H3060-G3061</f>
        <v/>
      </c>
      <c r="I3061" s="568" t="n"/>
      <c r="J3061" s="568" t="n"/>
      <c r="K3061" s="568" t="n"/>
      <c r="L3061" s="568" t="n"/>
    </row>
    <row r="3062">
      <c r="A3062" s="568" t="n">
        <v>45552</v>
      </c>
      <c r="B3062" s="392" t="n">
        <v>11344</v>
      </c>
      <c r="C3062" s="392" t="n">
        <v>85</v>
      </c>
      <c r="D3062" s="392" t="n"/>
      <c r="E3062" s="392" t="n"/>
      <c r="F3062" s="392" t="n"/>
      <c r="G3062" s="392" t="n">
        <v>50</v>
      </c>
      <c r="H3062" s="52">
        <f>H3061-G3062</f>
        <v/>
      </c>
      <c r="I3062" s="568" t="n"/>
      <c r="J3062" s="568" t="n"/>
      <c r="K3062" s="568" t="n"/>
      <c r="L3062" s="568" t="n"/>
    </row>
    <row r="3063">
      <c r="A3063" s="568" t="n">
        <v>45558</v>
      </c>
      <c r="B3063" s="392" t="n">
        <v>11347</v>
      </c>
      <c r="C3063" s="392" t="n">
        <v>84.8</v>
      </c>
      <c r="D3063" s="392" t="n"/>
      <c r="E3063" s="392" t="n"/>
      <c r="F3063" s="392" t="n"/>
      <c r="G3063" s="392" t="n">
        <v>50</v>
      </c>
      <c r="H3063" s="52">
        <f>H3062-G3063</f>
        <v/>
      </c>
      <c r="I3063" s="568" t="n"/>
      <c r="J3063" s="568" t="n"/>
      <c r="K3063" s="568" t="n"/>
      <c r="L3063" s="568" t="n"/>
    </row>
    <row r="3064">
      <c r="A3064" s="568" t="n">
        <v>45559</v>
      </c>
      <c r="B3064" s="392" t="n">
        <v>11348</v>
      </c>
      <c r="C3064" s="392" t="n">
        <v>82.12</v>
      </c>
      <c r="D3064" s="392" t="n"/>
      <c r="E3064" s="392" t="n"/>
      <c r="F3064" s="392" t="n"/>
      <c r="G3064" s="392" t="n">
        <v>18</v>
      </c>
      <c r="H3064" s="52">
        <f>H3063-G3064</f>
        <v/>
      </c>
      <c r="I3064" s="568" t="n"/>
      <c r="J3064" s="568" t="n"/>
      <c r="K3064" s="568" t="n"/>
      <c r="L3064" s="568" t="n"/>
    </row>
    <row r="3065">
      <c r="A3065" s="568" t="n">
        <v>45559</v>
      </c>
      <c r="B3065" s="392" t="n">
        <v>11351</v>
      </c>
      <c r="C3065" s="392" t="n">
        <v>84</v>
      </c>
      <c r="D3065" s="392" t="n"/>
      <c r="E3065" s="392" t="n"/>
      <c r="F3065" s="392" t="n"/>
      <c r="G3065" s="392" t="n">
        <v>10</v>
      </c>
      <c r="H3065" s="52">
        <f>H3064-G3065</f>
        <v/>
      </c>
      <c r="I3065" s="568" t="n"/>
      <c r="J3065" s="568" t="n"/>
      <c r="K3065" s="568" t="n"/>
      <c r="L3065" s="568" t="n"/>
    </row>
    <row r="3066">
      <c r="A3066" s="568" t="n">
        <v>45559</v>
      </c>
      <c r="B3066" s="392" t="n">
        <v>11354</v>
      </c>
      <c r="C3066" s="392" t="n">
        <v>82</v>
      </c>
      <c r="D3066" s="392" t="n"/>
      <c r="E3066" s="392" t="n"/>
      <c r="F3066" s="392" t="n"/>
      <c r="G3066" s="392" t="n">
        <v>30</v>
      </c>
      <c r="H3066" s="52">
        <f>H3065-G3066</f>
        <v/>
      </c>
      <c r="I3066" s="568" t="n"/>
      <c r="J3066" s="568" t="n"/>
      <c r="K3066" s="568" t="n"/>
      <c r="L3066" s="568" t="n"/>
    </row>
    <row r="3067">
      <c r="A3067" s="568" t="n">
        <v>45559</v>
      </c>
      <c r="B3067" s="392" t="n">
        <v>11360</v>
      </c>
      <c r="C3067" s="392" t="n">
        <v>82.34</v>
      </c>
      <c r="D3067" s="392" t="n"/>
      <c r="E3067" s="392" t="n"/>
      <c r="F3067" s="392" t="n"/>
      <c r="G3067" s="392" t="n">
        <v>30</v>
      </c>
      <c r="H3067" s="52">
        <f>H3066-G3067</f>
        <v/>
      </c>
      <c r="I3067" s="568" t="n"/>
      <c r="J3067" s="568" t="n"/>
      <c r="K3067" s="568" t="n"/>
      <c r="L3067" s="568" t="n"/>
    </row>
    <row r="3068">
      <c r="A3068" s="568" t="n">
        <v>45559</v>
      </c>
      <c r="B3068" s="392" t="n">
        <v>11361</v>
      </c>
      <c r="C3068" s="392" t="n">
        <v>78</v>
      </c>
      <c r="D3068" s="392" t="n"/>
      <c r="E3068" s="392" t="n"/>
      <c r="F3068" s="392" t="n"/>
      <c r="G3068" s="392" t="n">
        <v>10</v>
      </c>
      <c r="H3068" s="52">
        <f>H3067-G3068</f>
        <v/>
      </c>
      <c r="I3068" s="568" t="n"/>
      <c r="J3068" s="568" t="n"/>
      <c r="K3068" s="568" t="n"/>
      <c r="L3068" s="568" t="n"/>
    </row>
    <row r="3069">
      <c r="A3069" s="304" t="n">
        <v>45559</v>
      </c>
      <c r="B3069" s="401" t="n">
        <v>272970</v>
      </c>
      <c r="C3069" s="401" t="n"/>
      <c r="D3069" s="401" t="n"/>
      <c r="E3069" s="401" t="n"/>
      <c r="F3069" s="401" t="n">
        <v>250</v>
      </c>
      <c r="G3069" s="401" t="n"/>
      <c r="H3069" s="277" t="n">
        <v>1179</v>
      </c>
      <c r="I3069" s="568" t="n"/>
      <c r="J3069" s="568" t="n"/>
      <c r="K3069" s="568" t="n"/>
      <c r="L3069" s="568" t="n"/>
    </row>
    <row r="3070">
      <c r="A3070" s="304" t="n">
        <v>45559</v>
      </c>
      <c r="B3070" s="401" t="n">
        <v>272970</v>
      </c>
      <c r="C3070" s="401" t="n"/>
      <c r="D3070" s="401" t="n"/>
      <c r="E3070" s="401" t="n"/>
      <c r="F3070" s="401" t="n">
        <v>238</v>
      </c>
      <c r="G3070" s="401" t="n"/>
      <c r="H3070" s="277" t="n">
        <v>1417</v>
      </c>
      <c r="I3070" s="568" t="n"/>
      <c r="J3070" s="568" t="n"/>
      <c r="K3070" s="568" t="n"/>
      <c r="L3070" s="568" t="n"/>
    </row>
    <row r="3071" ht="15.75" customHeight="1" s="436" thickBot="1">
      <c r="A3071" s="414" t="n"/>
      <c r="H3071" s="171" t="n"/>
      <c r="I3071" s="414" t="n"/>
      <c r="J3071" s="414" t="n"/>
      <c r="K3071" s="414" t="n"/>
      <c r="L3071" s="414" t="n"/>
    </row>
    <row r="3072" ht="21.75" customHeight="1" s="436" thickBot="1">
      <c r="A3072" s="757" t="inlineStr">
        <is>
          <t>Outubro</t>
        </is>
      </c>
      <c r="B3072" s="697" t="n"/>
      <c r="C3072" s="697" t="n"/>
      <c r="D3072" s="697" t="n"/>
      <c r="E3072" s="697" t="n"/>
      <c r="F3072" s="697" t="n"/>
      <c r="G3072" s="697" t="n"/>
      <c r="H3072" s="697" t="n"/>
      <c r="I3072" s="697" t="n"/>
      <c r="J3072" s="697" t="n"/>
      <c r="K3072" s="697" t="n"/>
      <c r="L3072" s="698" t="n"/>
    </row>
    <row r="3073" ht="21.75" customHeight="1" s="436" thickBot="1">
      <c r="A3073" s="699" t="inlineStr">
        <is>
          <t xml:space="preserve">021 - DENISE FURTADO DE SOUZA - ME </t>
        </is>
      </c>
      <c r="B3073" s="697" t="n"/>
      <c r="C3073" s="697" t="n"/>
      <c r="D3073" s="697" t="n"/>
      <c r="E3073" s="697" t="n"/>
      <c r="F3073" s="697" t="n"/>
      <c r="G3073" s="697" t="n"/>
      <c r="H3073" s="697" t="n"/>
      <c r="I3073" s="697" t="n"/>
      <c r="J3073" s="697" t="n"/>
      <c r="K3073" s="697" t="n"/>
      <c r="L3073" s="698" t="n"/>
    </row>
    <row r="3074" ht="24" customHeight="1" s="436" thickBot="1">
      <c r="A3074" s="759" t="inlineStr">
        <is>
          <t xml:space="preserve">  PRÉ MISTURA - 25 KG</t>
        </is>
      </c>
      <c r="B3074" s="697" t="n"/>
      <c r="C3074" s="697" t="n"/>
      <c r="D3074" s="697" t="n"/>
      <c r="E3074" s="697" t="n"/>
      <c r="F3074" s="697" t="n"/>
      <c r="G3074" s="697" t="n"/>
      <c r="H3074" s="697" t="n"/>
      <c r="I3074" s="697" t="n"/>
      <c r="J3074" s="697" t="n"/>
      <c r="K3074" s="697" t="n"/>
      <c r="L3074" s="698" t="n"/>
    </row>
    <row r="3075">
      <c r="A3075" s="3" t="inlineStr">
        <is>
          <t>DATA</t>
        </is>
      </c>
      <c r="B3075" s="3" t="inlineStr">
        <is>
          <t>N.F.</t>
        </is>
      </c>
      <c r="C3075" s="3" t="inlineStr">
        <is>
          <t>TIPO</t>
        </is>
      </c>
      <c r="D3075" s="3" t="inlineStr">
        <is>
          <t>PREÇO UNITÁRIO</t>
        </is>
      </c>
      <c r="E3075" s="736" t="n"/>
      <c r="F3075" s="3" t="inlineStr">
        <is>
          <t>QUANTIDADE / KG</t>
        </is>
      </c>
      <c r="G3075" s="737" t="n"/>
      <c r="H3075" s="736" t="n"/>
      <c r="I3075" s="631" t="inlineStr">
        <is>
          <t>PREÇO</t>
        </is>
      </c>
      <c r="J3075" s="631" t="inlineStr">
        <is>
          <t>VALORES</t>
        </is>
      </c>
      <c r="K3075" s="737" t="n"/>
      <c r="L3075" s="736" t="n"/>
    </row>
    <row r="3076" ht="15.75" customHeight="1" s="436" thickBot="1">
      <c r="A3076" s="704" t="n"/>
      <c r="B3076" s="704" t="n"/>
      <c r="C3076" s="704" t="n"/>
      <c r="D3076" s="703" t="n"/>
      <c r="E3076" s="701" t="n"/>
      <c r="F3076" s="705" t="n"/>
      <c r="G3076" s="706" t="n"/>
      <c r="H3076" s="707" t="n"/>
      <c r="I3076" s="704" t="n"/>
      <c r="J3076" s="703" t="n"/>
      <c r="L3076" s="701" t="n"/>
    </row>
    <row r="3077" ht="15.75" customHeight="1" s="436" thickBot="1">
      <c r="A3077" s="704" t="n"/>
      <c r="B3077" s="704" t="n"/>
      <c r="C3077" s="704" t="n"/>
      <c r="D3077" s="705" t="n"/>
      <c r="E3077" s="707" t="n"/>
      <c r="F3077" s="3" t="inlineStr">
        <is>
          <t>ENTRADA</t>
        </is>
      </c>
      <c r="G3077" s="3" t="inlineStr">
        <is>
          <t>SAÍDA</t>
        </is>
      </c>
      <c r="H3077" s="640" t="n"/>
      <c r="I3077" s="633" t="inlineStr">
        <is>
          <t>MÉDIO</t>
        </is>
      </c>
      <c r="J3077" s="739" t="inlineStr">
        <is>
          <t>SALDO EM 30/12/2017</t>
        </is>
      </c>
      <c r="K3077" s="707" t="n"/>
      <c r="L3077" s="17" t="n"/>
    </row>
    <row r="3078" ht="15.75" customHeight="1" s="436" thickBot="1">
      <c r="A3078" s="695" t="n"/>
      <c r="B3078" s="695" t="n"/>
      <c r="C3078" s="695" t="n"/>
      <c r="D3078" s="3" t="inlineStr">
        <is>
          <t>C/ICMS</t>
        </is>
      </c>
      <c r="E3078" s="3" t="inlineStr">
        <is>
          <t>S/ICMS</t>
        </is>
      </c>
      <c r="F3078" s="695" t="n"/>
      <c r="G3078" s="695" t="n"/>
      <c r="H3078" s="361" t="inlineStr">
        <is>
          <t>Saldo em 30/09/2024</t>
        </is>
      </c>
      <c r="I3078" s="695" t="n"/>
      <c r="J3078" s="645" t="inlineStr">
        <is>
          <t>ENTRADA</t>
        </is>
      </c>
      <c r="K3078" s="633" t="inlineStr">
        <is>
          <t>SAÍDA / CMV</t>
        </is>
      </c>
      <c r="L3078" s="633" t="inlineStr">
        <is>
          <t>SALDO</t>
        </is>
      </c>
    </row>
    <row r="3079">
      <c r="A3079" s="568" t="n"/>
      <c r="B3079" s="392" t="n"/>
      <c r="C3079" s="392" t="n"/>
      <c r="D3079" s="392" t="n"/>
      <c r="E3079" s="392" t="n"/>
      <c r="F3079" s="392" t="n"/>
      <c r="G3079" s="392" t="n"/>
      <c r="H3079" s="52" t="n">
        <v>1417</v>
      </c>
      <c r="I3079" s="568" t="n"/>
      <c r="J3079" s="568" t="n"/>
      <c r="K3079" s="568" t="n"/>
      <c r="L3079" s="392" t="n"/>
    </row>
    <row r="3080">
      <c r="A3080" s="568" t="n">
        <v>45566</v>
      </c>
      <c r="B3080" s="392" t="n">
        <v>11367</v>
      </c>
      <c r="C3080" s="392" t="n">
        <v>92</v>
      </c>
      <c r="D3080" s="392" t="n"/>
      <c r="E3080" s="392" t="n"/>
      <c r="F3080" s="392" t="n"/>
      <c r="G3080" s="392" t="n">
        <v>30</v>
      </c>
      <c r="H3080" s="52">
        <f>H3079-G3080</f>
        <v/>
      </c>
      <c r="I3080" s="568" t="n"/>
      <c r="J3080" s="568" t="n"/>
      <c r="K3080" s="568" t="n"/>
      <c r="L3080" s="568" t="n"/>
    </row>
    <row r="3081">
      <c r="A3081" s="568" t="n">
        <v>45566</v>
      </c>
      <c r="B3081" s="392" t="n">
        <v>11371</v>
      </c>
      <c r="C3081" s="392" t="n">
        <v>82</v>
      </c>
      <c r="D3081" s="392" t="n"/>
      <c r="E3081" s="392" t="n"/>
      <c r="F3081" s="392" t="n"/>
      <c r="G3081" s="392" t="n">
        <v>20</v>
      </c>
      <c r="H3081" s="52">
        <f>H3080-G3081</f>
        <v/>
      </c>
      <c r="I3081" s="568" t="n"/>
      <c r="J3081" s="568" t="n"/>
      <c r="K3081" s="568" t="n"/>
      <c r="L3081" s="568" t="n"/>
    </row>
    <row r="3082">
      <c r="A3082" s="568" t="n">
        <v>45566</v>
      </c>
      <c r="B3082" s="392" t="n">
        <v>11373</v>
      </c>
      <c r="C3082" s="392" t="n">
        <v>78</v>
      </c>
      <c r="D3082" s="392" t="n"/>
      <c r="E3082" s="392" t="n"/>
      <c r="F3082" s="392" t="n"/>
      <c r="G3082" s="392" t="n">
        <v>50</v>
      </c>
      <c r="H3082" s="52">
        <f>H3081-G3082</f>
        <v/>
      </c>
      <c r="I3082" s="568" t="n"/>
      <c r="J3082" s="568" t="n"/>
      <c r="K3082" s="568" t="n"/>
      <c r="L3082" s="568" t="n"/>
    </row>
    <row r="3083">
      <c r="A3083" s="568" t="n">
        <v>45566</v>
      </c>
      <c r="B3083" s="392" t="n">
        <v>11376</v>
      </c>
      <c r="C3083" s="392" t="n">
        <v>78</v>
      </c>
      <c r="D3083" s="392" t="n"/>
      <c r="E3083" s="392" t="n"/>
      <c r="F3083" s="392" t="n"/>
      <c r="G3083" s="392" t="n">
        <v>10</v>
      </c>
      <c r="H3083" s="52">
        <f>H3082-G3083</f>
        <v/>
      </c>
      <c r="I3083" s="568" t="n"/>
      <c r="J3083" s="568" t="n"/>
      <c r="K3083" s="568" t="n"/>
      <c r="L3083" s="568" t="n"/>
    </row>
    <row r="3084">
      <c r="A3084" s="304" t="n">
        <v>45572</v>
      </c>
      <c r="B3084" s="401" t="n">
        <v>273800</v>
      </c>
      <c r="C3084" s="401" t="n">
        <v>70.7</v>
      </c>
      <c r="D3084" s="401" t="n"/>
      <c r="E3084" s="401" t="n"/>
      <c r="F3084" s="401" t="n">
        <v>250</v>
      </c>
      <c r="G3084" s="401" t="n"/>
      <c r="H3084" s="277" t="n">
        <v>1557</v>
      </c>
      <c r="I3084" s="568" t="n"/>
      <c r="J3084" s="568" t="n"/>
      <c r="K3084" s="568" t="n"/>
      <c r="L3084" s="568" t="n"/>
    </row>
    <row r="3085">
      <c r="A3085" s="304" t="n">
        <v>45572</v>
      </c>
      <c r="B3085" s="401" t="n">
        <v>273800</v>
      </c>
      <c r="C3085" s="401" t="n">
        <v>62</v>
      </c>
      <c r="D3085" s="401" t="n"/>
      <c r="E3085" s="401" t="n"/>
      <c r="F3085" s="401" t="n">
        <v>150</v>
      </c>
      <c r="G3085" s="401" t="n"/>
      <c r="H3085" s="277" t="n">
        <v>1707</v>
      </c>
      <c r="I3085" s="568" t="n"/>
      <c r="J3085" s="568" t="n"/>
      <c r="K3085" s="568" t="n"/>
      <c r="L3085" s="568" t="n"/>
    </row>
    <row r="3086">
      <c r="A3086" s="568" t="n">
        <v>45573</v>
      </c>
      <c r="B3086" s="392" t="n">
        <v>11382</v>
      </c>
      <c r="C3086" s="392" t="n">
        <v>84.8</v>
      </c>
      <c r="D3086" s="392" t="n"/>
      <c r="E3086" s="392" t="n"/>
      <c r="F3086" s="392" t="n"/>
      <c r="G3086" s="392" t="n">
        <v>50</v>
      </c>
      <c r="H3086" s="52">
        <f>H3085-G3086</f>
        <v/>
      </c>
      <c r="I3086" s="568" t="n"/>
      <c r="J3086" s="568" t="n"/>
      <c r="K3086" s="568" t="n"/>
      <c r="L3086" s="568" t="n"/>
    </row>
    <row r="3087">
      <c r="A3087" s="568" t="n">
        <v>45573</v>
      </c>
      <c r="B3087" s="392" t="n">
        <v>11386</v>
      </c>
      <c r="C3087" s="392" t="n">
        <v>84</v>
      </c>
      <c r="D3087" s="392" t="n"/>
      <c r="E3087" s="392" t="n"/>
      <c r="F3087" s="392" t="n"/>
      <c r="G3087" s="392" t="n">
        <v>10</v>
      </c>
      <c r="H3087" s="52">
        <f>H3086-G3087</f>
        <v/>
      </c>
      <c r="I3087" s="568" t="n"/>
      <c r="J3087" s="568" t="n"/>
      <c r="K3087" s="568" t="n"/>
      <c r="L3087" s="568" t="n"/>
    </row>
    <row r="3088">
      <c r="A3088" s="568" t="n">
        <v>45573</v>
      </c>
      <c r="B3088" s="392" t="n">
        <v>11388</v>
      </c>
      <c r="C3088" s="392" t="n">
        <v>78</v>
      </c>
      <c r="D3088" s="392" t="n"/>
      <c r="E3088" s="392" t="n"/>
      <c r="F3088" s="392" t="n"/>
      <c r="G3088" s="392" t="n">
        <v>20</v>
      </c>
      <c r="H3088" s="52">
        <f>H3087-G3088</f>
        <v/>
      </c>
      <c r="I3088" s="568" t="n"/>
      <c r="J3088" s="568" t="n"/>
      <c r="K3088" s="568" t="n"/>
      <c r="L3088" s="568" t="n"/>
    </row>
    <row r="3089">
      <c r="A3089" s="568" t="n">
        <v>45574</v>
      </c>
      <c r="B3089" s="392" t="n">
        <v>11395</v>
      </c>
      <c r="C3089" s="392" t="n">
        <v>81.67</v>
      </c>
      <c r="D3089" s="392" t="n"/>
      <c r="E3089" s="392" t="n"/>
      <c r="F3089" s="392" t="n"/>
      <c r="G3089" s="392" t="n">
        <v>30</v>
      </c>
      <c r="H3089" s="52">
        <f>H3088-G3089</f>
        <v/>
      </c>
      <c r="I3089" s="568" t="n"/>
      <c r="J3089" s="568" t="n"/>
      <c r="K3089" s="568" t="n"/>
      <c r="L3089" s="568" t="n"/>
    </row>
    <row r="3090">
      <c r="A3090" s="568" t="n">
        <v>45579</v>
      </c>
      <c r="B3090" s="392" t="n">
        <v>11399</v>
      </c>
      <c r="C3090" s="392" t="n">
        <v>71</v>
      </c>
      <c r="D3090" s="392" t="n"/>
      <c r="E3090" s="392" t="n"/>
      <c r="F3090" s="392" t="n"/>
      <c r="G3090" s="392" t="n">
        <v>50</v>
      </c>
      <c r="H3090" s="52">
        <f>H3089-G3090</f>
        <v/>
      </c>
      <c r="I3090" s="568" t="n"/>
      <c r="J3090" s="568" t="n"/>
      <c r="K3090" s="568" t="n"/>
      <c r="L3090" s="568" t="n"/>
    </row>
    <row r="3091">
      <c r="A3091" s="568" t="n">
        <v>45580</v>
      </c>
      <c r="B3091" s="392" t="n">
        <v>11405</v>
      </c>
      <c r="C3091" s="392" t="n">
        <v>78</v>
      </c>
      <c r="D3091" s="392" t="n"/>
      <c r="E3091" s="392" t="n"/>
      <c r="F3091" s="392" t="n"/>
      <c r="G3091" s="392" t="n">
        <v>10</v>
      </c>
      <c r="H3091" s="52">
        <f>H3090-G3091</f>
        <v/>
      </c>
      <c r="I3091" s="568" t="n"/>
      <c r="J3091" s="568" t="n"/>
      <c r="K3091" s="568" t="n"/>
      <c r="L3091" s="568" t="n"/>
    </row>
    <row r="3092">
      <c r="A3092" s="568" t="n">
        <v>45580</v>
      </c>
      <c r="B3092" s="392" t="n">
        <v>11406</v>
      </c>
      <c r="C3092" s="392" t="n">
        <v>82.67</v>
      </c>
      <c r="D3092" s="392" t="n"/>
      <c r="E3092" s="392" t="n"/>
      <c r="F3092" s="392" t="n"/>
      <c r="G3092" s="392" t="n">
        <v>15</v>
      </c>
      <c r="H3092" s="52">
        <f>H3091-G3092</f>
        <v/>
      </c>
      <c r="I3092" s="568" t="n"/>
      <c r="J3092" s="568" t="n"/>
      <c r="K3092" s="568" t="n"/>
      <c r="L3092" s="568" t="n"/>
    </row>
    <row r="3093">
      <c r="A3093" s="568" t="n">
        <v>45580</v>
      </c>
      <c r="B3093" s="392" t="n">
        <v>11407</v>
      </c>
      <c r="C3093" s="392" t="n">
        <v>85.40000000000001</v>
      </c>
      <c r="D3093" s="392" t="n"/>
      <c r="E3093" s="392" t="n"/>
      <c r="F3093" s="392" t="n"/>
      <c r="G3093" s="392" t="n">
        <v>50</v>
      </c>
      <c r="H3093" s="52">
        <f>H3092-G3093</f>
        <v/>
      </c>
      <c r="I3093" s="568" t="n"/>
      <c r="J3093" s="568" t="n"/>
      <c r="K3093" s="568" t="n"/>
      <c r="L3093" s="568" t="n"/>
    </row>
    <row r="3094">
      <c r="A3094" s="568" t="n">
        <v>45581</v>
      </c>
      <c r="B3094" s="392" t="n">
        <v>11412</v>
      </c>
      <c r="C3094" s="392" t="n">
        <v>84.8</v>
      </c>
      <c r="D3094" s="392" t="n"/>
      <c r="E3094" s="392" t="n"/>
      <c r="F3094" s="392" t="n"/>
      <c r="G3094" s="392" t="n">
        <v>50</v>
      </c>
      <c r="H3094" s="52">
        <f>H3093-G3094</f>
        <v/>
      </c>
      <c r="I3094" s="568" t="n"/>
      <c r="J3094" s="568" t="n"/>
      <c r="K3094" s="568" t="n"/>
      <c r="L3094" s="568" t="n"/>
    </row>
    <row r="3095">
      <c r="A3095" s="304" t="n">
        <v>45590</v>
      </c>
      <c r="B3095" s="401" t="n">
        <v>275051</v>
      </c>
      <c r="C3095" s="401" t="n">
        <v>69</v>
      </c>
      <c r="D3095" s="401" t="n"/>
      <c r="E3095" s="401" t="n"/>
      <c r="F3095" s="401" t="n">
        <v>300</v>
      </c>
      <c r="G3095" s="401" t="n"/>
      <c r="H3095" s="277" t="n">
        <v>1722</v>
      </c>
      <c r="I3095" s="568" t="n"/>
      <c r="J3095" s="568" t="n"/>
      <c r="K3095" s="568" t="n"/>
      <c r="L3095" s="568" t="n"/>
    </row>
    <row r="3096">
      <c r="A3096" s="304" t="n">
        <v>45590</v>
      </c>
      <c r="B3096" s="401" t="n">
        <v>275051</v>
      </c>
      <c r="C3096" s="401" t="n">
        <v>61.5</v>
      </c>
      <c r="D3096" s="401" t="n"/>
      <c r="E3096" s="401" t="n"/>
      <c r="F3096" s="401" t="n">
        <v>100</v>
      </c>
      <c r="G3096" s="401" t="n"/>
      <c r="H3096" s="277" t="n">
        <v>1822</v>
      </c>
      <c r="I3096" s="568" t="n"/>
      <c r="J3096" s="568" t="n"/>
      <c r="K3096" s="568" t="n"/>
      <c r="L3096" s="568" t="n"/>
    </row>
    <row r="3097">
      <c r="A3097" s="568" t="n">
        <v>45594</v>
      </c>
      <c r="B3097" s="392" t="n">
        <v>11432</v>
      </c>
      <c r="C3097" s="392" t="n">
        <v>71</v>
      </c>
      <c r="D3097" s="392" t="n"/>
      <c r="E3097" s="392" t="n"/>
      <c r="F3097" s="392" t="n"/>
      <c r="G3097" s="392" t="n">
        <v>50</v>
      </c>
      <c r="H3097" s="52">
        <f>H3096-G3097</f>
        <v/>
      </c>
      <c r="I3097" s="568" t="n"/>
      <c r="J3097" s="568" t="n"/>
      <c r="K3097" s="568" t="n"/>
      <c r="L3097" s="568" t="n"/>
    </row>
    <row r="3098">
      <c r="A3098" s="568" t="n">
        <v>45594</v>
      </c>
      <c r="B3098" s="392" t="n">
        <v>11435</v>
      </c>
      <c r="C3098" s="392" t="n">
        <v>78</v>
      </c>
      <c r="D3098" s="392" t="n"/>
      <c r="E3098" s="392" t="n"/>
      <c r="F3098" s="392" t="n"/>
      <c r="G3098" s="392" t="n">
        <v>30</v>
      </c>
      <c r="H3098" s="52">
        <f>H3097-G3098</f>
        <v/>
      </c>
      <c r="I3098" s="568" t="n"/>
      <c r="J3098" s="568" t="n"/>
      <c r="K3098" s="568" t="n"/>
      <c r="L3098" s="568" t="n"/>
    </row>
    <row r="3099">
      <c r="A3099" s="568" t="n">
        <v>45594</v>
      </c>
      <c r="B3099" s="392" t="n">
        <v>11436</v>
      </c>
      <c r="C3099" s="392" t="n">
        <v>78</v>
      </c>
      <c r="D3099" s="392" t="n"/>
      <c r="E3099" s="392" t="n"/>
      <c r="F3099" s="392" t="n"/>
      <c r="G3099" s="392" t="n">
        <v>20</v>
      </c>
      <c r="H3099" s="52">
        <f>H3098-G3099</f>
        <v/>
      </c>
      <c r="I3099" s="568" t="n"/>
      <c r="J3099" s="568" t="n"/>
      <c r="K3099" s="568" t="n"/>
      <c r="L3099" s="568" t="n"/>
    </row>
    <row r="3100">
      <c r="A3100" s="568" t="n">
        <v>45594</v>
      </c>
      <c r="B3100" s="392" t="n">
        <v>11437</v>
      </c>
      <c r="C3100" s="392" t="n">
        <v>80</v>
      </c>
      <c r="D3100" s="392" t="n"/>
      <c r="E3100" s="392" t="n"/>
      <c r="F3100" s="392" t="n"/>
      <c r="G3100" s="392" t="n">
        <v>10</v>
      </c>
      <c r="H3100" s="52">
        <f>H3099-G3100</f>
        <v/>
      </c>
      <c r="I3100" s="568" t="n"/>
      <c r="J3100" s="568" t="n"/>
      <c r="K3100" s="568" t="n"/>
      <c r="L3100" s="568" t="n"/>
    </row>
    <row r="3101">
      <c r="A3101" s="568" t="n">
        <v>45594</v>
      </c>
      <c r="B3101" s="392" t="n">
        <v>11438</v>
      </c>
      <c r="C3101" s="392" t="n">
        <v>84</v>
      </c>
      <c r="D3101" s="392" t="n"/>
      <c r="E3101" s="392" t="n"/>
      <c r="F3101" s="392" t="n"/>
      <c r="G3101" s="392" t="n">
        <v>15</v>
      </c>
      <c r="H3101" s="52">
        <f>H3100-G3101</f>
        <v/>
      </c>
      <c r="I3101" s="568" t="n"/>
      <c r="J3101" s="568" t="n"/>
      <c r="K3101" s="568" t="n"/>
      <c r="L3101" s="568" t="n"/>
    </row>
    <row r="3102">
      <c r="A3102" s="568" t="n">
        <v>45594</v>
      </c>
      <c r="B3102" s="392" t="n">
        <v>11442</v>
      </c>
      <c r="C3102" s="392" t="n">
        <v>86</v>
      </c>
      <c r="D3102" s="392" t="n"/>
      <c r="E3102" s="392" t="n"/>
      <c r="F3102" s="392" t="n"/>
      <c r="G3102" s="392" t="n">
        <v>50</v>
      </c>
      <c r="H3102" s="52">
        <f>H3101-G3102</f>
        <v/>
      </c>
      <c r="I3102" s="568" t="n"/>
      <c r="J3102" s="568" t="n"/>
      <c r="K3102" s="568" t="n"/>
      <c r="L3102" s="568" t="n"/>
    </row>
    <row r="3103">
      <c r="A3103" s="568" t="n">
        <v>45594</v>
      </c>
      <c r="B3103" s="392" t="n">
        <v>11445</v>
      </c>
      <c r="C3103" s="392" t="n">
        <v>82</v>
      </c>
      <c r="D3103" s="392" t="n"/>
      <c r="E3103" s="392" t="n"/>
      <c r="F3103" s="392" t="n"/>
      <c r="G3103" s="392" t="n">
        <v>30</v>
      </c>
      <c r="H3103" s="52">
        <f>H3102-G3103</f>
        <v/>
      </c>
      <c r="I3103" s="568" t="n"/>
      <c r="J3103" s="568" t="n"/>
      <c r="K3103" s="568" t="n"/>
      <c r="L3103" s="568" t="n"/>
    </row>
    <row r="3104">
      <c r="A3104" s="568" t="n">
        <v>45595</v>
      </c>
      <c r="B3104" s="392" t="n">
        <v>11447</v>
      </c>
      <c r="C3104" s="392" t="n">
        <v>84</v>
      </c>
      <c r="D3104" s="392" t="n"/>
      <c r="E3104" s="392" t="n"/>
      <c r="F3104" s="392" t="n"/>
      <c r="G3104" s="392" t="n">
        <v>10</v>
      </c>
      <c r="H3104" s="52">
        <f>H3103-G3104</f>
        <v/>
      </c>
      <c r="I3104" s="568" t="n"/>
      <c r="J3104" s="568" t="n"/>
      <c r="K3104" s="568" t="n"/>
      <c r="L3104" s="568" t="n"/>
    </row>
    <row r="3105" ht="15.75" customHeight="1" s="436" thickBot="1">
      <c r="A3105" s="414" t="n"/>
      <c r="H3105" s="171" t="n"/>
      <c r="I3105" s="414" t="n"/>
      <c r="J3105" s="414" t="n"/>
      <c r="K3105" s="414" t="n"/>
      <c r="L3105" s="414" t="n"/>
    </row>
    <row r="3106" ht="21.75" customHeight="1" s="436" thickBot="1">
      <c r="A3106" s="757" t="inlineStr">
        <is>
          <t>Novembro</t>
        </is>
      </c>
      <c r="B3106" s="697" t="n"/>
      <c r="C3106" s="697" t="n"/>
      <c r="D3106" s="697" t="n"/>
      <c r="E3106" s="697" t="n"/>
      <c r="F3106" s="697" t="n"/>
      <c r="G3106" s="697" t="n"/>
      <c r="H3106" s="697" t="n"/>
      <c r="I3106" s="697" t="n"/>
      <c r="J3106" s="697" t="n"/>
      <c r="K3106" s="697" t="n"/>
      <c r="L3106" s="698" t="n"/>
    </row>
    <row r="3107" ht="21.75" customHeight="1" s="436" thickBot="1">
      <c r="A3107" s="699" t="inlineStr">
        <is>
          <t xml:space="preserve">021 - DENISE FURTADO DE SOUZA - ME </t>
        </is>
      </c>
      <c r="B3107" s="697" t="n"/>
      <c r="C3107" s="697" t="n"/>
      <c r="D3107" s="697" t="n"/>
      <c r="E3107" s="697" t="n"/>
      <c r="F3107" s="697" t="n"/>
      <c r="G3107" s="697" t="n"/>
      <c r="H3107" s="697" t="n"/>
      <c r="I3107" s="697" t="n"/>
      <c r="J3107" s="697" t="n"/>
      <c r="K3107" s="697" t="n"/>
      <c r="L3107" s="698" t="n"/>
    </row>
    <row r="3108" ht="24" customHeight="1" s="436" thickBot="1">
      <c r="A3108" s="759" t="inlineStr">
        <is>
          <t xml:space="preserve">  PRÉ MISTURA - 25 KG</t>
        </is>
      </c>
      <c r="B3108" s="697" t="n"/>
      <c r="C3108" s="697" t="n"/>
      <c r="D3108" s="697" t="n"/>
      <c r="E3108" s="697" t="n"/>
      <c r="F3108" s="697" t="n"/>
      <c r="G3108" s="697" t="n"/>
      <c r="H3108" s="697" t="n"/>
      <c r="I3108" s="697" t="n"/>
      <c r="J3108" s="697" t="n"/>
      <c r="K3108" s="697" t="n"/>
      <c r="L3108" s="698" t="n"/>
    </row>
    <row r="3109">
      <c r="A3109" s="3" t="inlineStr">
        <is>
          <t>DATA</t>
        </is>
      </c>
      <c r="B3109" s="3" t="inlineStr">
        <is>
          <t>N.F.</t>
        </is>
      </c>
      <c r="C3109" s="3" t="inlineStr">
        <is>
          <t>TIPO</t>
        </is>
      </c>
      <c r="D3109" s="3" t="inlineStr">
        <is>
          <t>PREÇO UNITÁRIO</t>
        </is>
      </c>
      <c r="E3109" s="736" t="n"/>
      <c r="F3109" s="3" t="inlineStr">
        <is>
          <t>QUANTIDADE / KG</t>
        </is>
      </c>
      <c r="G3109" s="737" t="n"/>
      <c r="H3109" s="736" t="n"/>
      <c r="I3109" s="631" t="inlineStr">
        <is>
          <t>PREÇO</t>
        </is>
      </c>
      <c r="J3109" s="631" t="inlineStr">
        <is>
          <t>VALORES</t>
        </is>
      </c>
      <c r="K3109" s="737" t="n"/>
      <c r="L3109" s="736" t="n"/>
    </row>
    <row r="3110" ht="15.75" customHeight="1" s="436" thickBot="1">
      <c r="A3110" s="704" t="n"/>
      <c r="B3110" s="704" t="n"/>
      <c r="C3110" s="704" t="n"/>
      <c r="D3110" s="703" t="n"/>
      <c r="E3110" s="701" t="n"/>
      <c r="F3110" s="705" t="n"/>
      <c r="G3110" s="706" t="n"/>
      <c r="H3110" s="707" t="n"/>
      <c r="I3110" s="704" t="n"/>
      <c r="J3110" s="703" t="n"/>
      <c r="L3110" s="701" t="n"/>
    </row>
    <row r="3111" ht="15.75" customHeight="1" s="436" thickBot="1">
      <c r="A3111" s="704" t="n"/>
      <c r="B3111" s="704" t="n"/>
      <c r="C3111" s="704" t="n"/>
      <c r="D3111" s="705" t="n"/>
      <c r="E3111" s="707" t="n"/>
      <c r="F3111" s="3" t="inlineStr">
        <is>
          <t>ENTRADA</t>
        </is>
      </c>
      <c r="G3111" s="3" t="inlineStr">
        <is>
          <t>SAÍDA</t>
        </is>
      </c>
      <c r="H3111" s="640" t="n"/>
      <c r="I3111" s="633" t="inlineStr">
        <is>
          <t>MÉDIO</t>
        </is>
      </c>
      <c r="J3111" s="739" t="inlineStr">
        <is>
          <t>SALDO EM 30/12/2017</t>
        </is>
      </c>
      <c r="K3111" s="707" t="n"/>
      <c r="L3111" s="17" t="n"/>
    </row>
    <row r="3112" ht="15.75" customHeight="1" s="436" thickBot="1">
      <c r="A3112" s="695" t="n"/>
      <c r="B3112" s="695" t="n"/>
      <c r="C3112" s="695" t="n"/>
      <c r="D3112" s="3" t="inlineStr">
        <is>
          <t>C/ICMS</t>
        </is>
      </c>
      <c r="E3112" s="3" t="inlineStr">
        <is>
          <t>S/ICMS</t>
        </is>
      </c>
      <c r="F3112" s="695" t="n"/>
      <c r="G3112" s="695" t="n"/>
      <c r="H3112" s="361" t="inlineStr">
        <is>
          <t>Saldo em 31/10/2024</t>
        </is>
      </c>
      <c r="I3112" s="695" t="n"/>
      <c r="J3112" s="645" t="inlineStr">
        <is>
          <t>ENTRADA</t>
        </is>
      </c>
      <c r="K3112" s="633" t="inlineStr">
        <is>
          <t>SAÍDA / CMV</t>
        </is>
      </c>
      <c r="L3112" s="633" t="inlineStr">
        <is>
          <t>SALDO</t>
        </is>
      </c>
    </row>
    <row r="3113">
      <c r="A3113" s="568" t="n"/>
      <c r="B3113" s="392" t="n"/>
      <c r="C3113" s="392" t="n"/>
      <c r="D3113" s="392" t="n"/>
      <c r="E3113" s="392" t="n"/>
      <c r="F3113" s="392" t="n"/>
      <c r="G3113" s="392" t="n"/>
      <c r="H3113" s="52" t="n">
        <v>1607</v>
      </c>
      <c r="I3113" s="568" t="n"/>
      <c r="J3113" s="568" t="n"/>
      <c r="K3113" s="568" t="n"/>
      <c r="L3113" s="392" t="n"/>
    </row>
    <row r="3114">
      <c r="A3114" s="568" t="n">
        <v>45601</v>
      </c>
      <c r="B3114" s="392" t="n">
        <v>11456</v>
      </c>
      <c r="C3114" s="392" t="n">
        <v>78</v>
      </c>
      <c r="D3114" s="392" t="n"/>
      <c r="E3114" s="392" t="n"/>
      <c r="F3114" s="392" t="n"/>
      <c r="G3114" s="392" t="n">
        <v>10</v>
      </c>
      <c r="H3114" s="52">
        <f>H3113-G3114</f>
        <v/>
      </c>
      <c r="I3114" s="568" t="n"/>
      <c r="J3114" s="568" t="n"/>
      <c r="K3114" s="568" t="n"/>
      <c r="L3114" s="568" t="n"/>
    </row>
    <row r="3115">
      <c r="A3115" s="568" t="n">
        <v>45601</v>
      </c>
      <c r="B3115" s="392" t="n">
        <v>11457</v>
      </c>
      <c r="C3115" s="392" t="n">
        <v>84</v>
      </c>
      <c r="D3115" s="392" t="n"/>
      <c r="E3115" s="392" t="n"/>
      <c r="F3115" s="392" t="n"/>
      <c r="G3115" s="392" t="n">
        <v>10</v>
      </c>
      <c r="H3115" s="52">
        <f>H3114-G3115</f>
        <v/>
      </c>
      <c r="I3115" s="568" t="n"/>
      <c r="J3115" s="568" t="n"/>
      <c r="K3115" s="568" t="n"/>
      <c r="L3115" s="568" t="n"/>
    </row>
    <row r="3116">
      <c r="A3116" s="568" t="n">
        <v>45601</v>
      </c>
      <c r="B3116" s="392" t="n">
        <v>11458</v>
      </c>
      <c r="C3116" s="392" t="n">
        <v>84</v>
      </c>
      <c r="D3116" s="392" t="n"/>
      <c r="E3116" s="392" t="n"/>
      <c r="F3116" s="392" t="n"/>
      <c r="G3116" s="392" t="n">
        <v>20</v>
      </c>
      <c r="H3116" s="52">
        <f>H3115-G3116</f>
        <v/>
      </c>
      <c r="I3116" s="568" t="n"/>
      <c r="J3116" s="568" t="n"/>
      <c r="K3116" s="568" t="n"/>
      <c r="L3116" s="568" t="n"/>
    </row>
    <row r="3117">
      <c r="A3117" s="568" t="n">
        <v>45601</v>
      </c>
      <c r="B3117" s="392" t="n">
        <v>11459</v>
      </c>
      <c r="C3117" s="392" t="n">
        <v>87.5</v>
      </c>
      <c r="D3117" s="392" t="n"/>
      <c r="E3117" s="392" t="n"/>
      <c r="F3117" s="392" t="n"/>
      <c r="G3117" s="392" t="n">
        <v>20</v>
      </c>
      <c r="H3117" s="52">
        <f>H3116-G3117</f>
        <v/>
      </c>
      <c r="I3117" s="568" t="n"/>
      <c r="J3117" s="568" t="n"/>
      <c r="K3117" s="568" t="n"/>
      <c r="L3117" s="568" t="n"/>
    </row>
    <row r="3118">
      <c r="A3118" s="568" t="n">
        <v>45602</v>
      </c>
      <c r="B3118" s="392" t="n">
        <v>11460</v>
      </c>
      <c r="C3118" s="392" t="n">
        <v>78</v>
      </c>
      <c r="D3118" s="392" t="n"/>
      <c r="E3118" s="392" t="n"/>
      <c r="F3118" s="392" t="n"/>
      <c r="G3118" s="392" t="n">
        <v>50</v>
      </c>
      <c r="H3118" s="52">
        <f>H3117-G3118</f>
        <v/>
      </c>
      <c r="I3118" s="568" t="n"/>
      <c r="J3118" s="568" t="n"/>
      <c r="K3118" s="568" t="n"/>
      <c r="L3118" s="568" t="n"/>
    </row>
    <row r="3119">
      <c r="A3119" s="568" t="n">
        <v>45608</v>
      </c>
      <c r="B3119" s="392" t="n">
        <v>11465</v>
      </c>
      <c r="C3119" s="392" t="n">
        <v>83.59999999999999</v>
      </c>
      <c r="D3119" s="392" t="n"/>
      <c r="E3119" s="392" t="n"/>
      <c r="F3119" s="392" t="n"/>
      <c r="G3119" s="392" t="n">
        <v>25</v>
      </c>
      <c r="H3119" s="52">
        <f>H3118-G3119</f>
        <v/>
      </c>
      <c r="I3119" s="568" t="n"/>
      <c r="J3119" s="568" t="n"/>
      <c r="K3119" s="568" t="n"/>
      <c r="L3119" s="568" t="n"/>
    </row>
    <row r="3120">
      <c r="A3120" s="568" t="n">
        <v>45608</v>
      </c>
      <c r="B3120" s="392" t="n">
        <v>11467</v>
      </c>
      <c r="C3120" s="392" t="n">
        <v>84</v>
      </c>
      <c r="D3120" s="392" t="n"/>
      <c r="E3120" s="392" t="n"/>
      <c r="F3120" s="392" t="n"/>
      <c r="G3120" s="392" t="n">
        <v>10</v>
      </c>
      <c r="H3120" s="52">
        <f>H3119-G3120</f>
        <v/>
      </c>
      <c r="I3120" s="568" t="n"/>
      <c r="J3120" s="568" t="n"/>
      <c r="K3120" s="568" t="n"/>
      <c r="L3120" s="568" t="n"/>
    </row>
    <row r="3121">
      <c r="A3121" s="568" t="n">
        <v>45608</v>
      </c>
      <c r="B3121" s="392" t="n">
        <v>11468</v>
      </c>
      <c r="C3121" s="392" t="n">
        <v>78</v>
      </c>
      <c r="D3121" s="392" t="n"/>
      <c r="E3121" s="392" t="n"/>
      <c r="F3121" s="392" t="n"/>
      <c r="G3121" s="392" t="n">
        <v>30</v>
      </c>
      <c r="H3121" s="52">
        <f>H3120-G3121</f>
        <v/>
      </c>
      <c r="I3121" s="568" t="n"/>
      <c r="J3121" s="568" t="n"/>
      <c r="K3121" s="568" t="n"/>
      <c r="L3121" s="568" t="n"/>
    </row>
    <row r="3122">
      <c r="A3122" s="568" t="n">
        <v>45608</v>
      </c>
      <c r="B3122" s="392" t="n">
        <v>11469</v>
      </c>
      <c r="C3122" s="392" t="n">
        <v>81.67</v>
      </c>
      <c r="D3122" s="392" t="n"/>
      <c r="E3122" s="392" t="n"/>
      <c r="F3122" s="392" t="n"/>
      <c r="G3122" s="392" t="n">
        <v>30</v>
      </c>
      <c r="H3122" s="52">
        <f>H3121-G3122</f>
        <v/>
      </c>
      <c r="I3122" s="568" t="n"/>
      <c r="J3122" s="568" t="n"/>
      <c r="K3122" s="568" t="n"/>
      <c r="L3122" s="568" t="n"/>
    </row>
    <row r="3123">
      <c r="A3123" s="568" t="n">
        <v>45608</v>
      </c>
      <c r="B3123" s="392" t="n">
        <v>11470</v>
      </c>
      <c r="C3123" s="392" t="n">
        <v>84.8</v>
      </c>
      <c r="D3123" s="392" t="n"/>
      <c r="E3123" s="392" t="n"/>
      <c r="F3123" s="392" t="n"/>
      <c r="G3123" s="392" t="n">
        <v>50</v>
      </c>
      <c r="H3123" s="52">
        <f>H3122-G3123</f>
        <v/>
      </c>
      <c r="I3123" s="568" t="n"/>
      <c r="J3123" s="568" t="n"/>
      <c r="K3123" s="568" t="n"/>
      <c r="L3123" s="568" t="n"/>
    </row>
    <row r="3124">
      <c r="A3124" s="568" t="n">
        <v>45608</v>
      </c>
      <c r="B3124" s="392" t="n">
        <v>11475</v>
      </c>
      <c r="C3124" s="392" t="n">
        <v>86</v>
      </c>
      <c r="D3124" s="392" t="n"/>
      <c r="E3124" s="392" t="n"/>
      <c r="F3124" s="392" t="n"/>
      <c r="G3124" s="392" t="n">
        <v>50</v>
      </c>
      <c r="H3124" s="52">
        <f>H3123-G3124</f>
        <v/>
      </c>
      <c r="I3124" s="568" t="n"/>
      <c r="J3124" s="568" t="n"/>
      <c r="K3124" s="568" t="n"/>
      <c r="L3124" s="568" t="n"/>
    </row>
    <row r="3125">
      <c r="A3125" s="568" t="n">
        <v>45608</v>
      </c>
      <c r="B3125" s="392" t="n">
        <v>11476</v>
      </c>
      <c r="C3125" s="392" t="n">
        <v>82</v>
      </c>
      <c r="D3125" s="392" t="n"/>
      <c r="E3125" s="392" t="n"/>
      <c r="F3125" s="392" t="n"/>
      <c r="G3125" s="392" t="n">
        <v>30</v>
      </c>
      <c r="H3125" s="52">
        <f>H3124-G3125</f>
        <v/>
      </c>
      <c r="I3125" s="568" t="n"/>
      <c r="J3125" s="568" t="n"/>
      <c r="K3125" s="568" t="n"/>
      <c r="L3125" s="568" t="n"/>
    </row>
    <row r="3126">
      <c r="A3126" s="568" t="n">
        <v>45609</v>
      </c>
      <c r="B3126" s="392" t="n">
        <v>11477</v>
      </c>
      <c r="C3126" s="392" t="n">
        <v>88</v>
      </c>
      <c r="D3126" s="392" t="n"/>
      <c r="E3126" s="392" t="n"/>
      <c r="F3126" s="392" t="n"/>
      <c r="G3126" s="392" t="n">
        <v>30</v>
      </c>
      <c r="H3126" s="52">
        <f>H3125-G3126</f>
        <v/>
      </c>
      <c r="I3126" s="568" t="n"/>
      <c r="J3126" s="568" t="n"/>
      <c r="K3126" s="568" t="n"/>
      <c r="L3126" s="568" t="n"/>
    </row>
    <row r="3127">
      <c r="A3127" s="304" t="n">
        <v>45616</v>
      </c>
      <c r="B3127" s="401" t="n">
        <v>27661</v>
      </c>
      <c r="C3127" s="401" t="n">
        <v>68.5</v>
      </c>
      <c r="D3127" s="401" t="n"/>
      <c r="E3127" s="401" t="n"/>
      <c r="F3127" s="401" t="n">
        <v>200</v>
      </c>
      <c r="G3127" s="401" t="n"/>
      <c r="H3127" s="277" t="n">
        <v>1442</v>
      </c>
      <c r="I3127" s="568" t="n"/>
      <c r="J3127" s="568" t="n"/>
      <c r="K3127" s="568" t="n"/>
      <c r="L3127" s="568" t="n"/>
    </row>
    <row r="3128">
      <c r="A3128" s="304" t="n">
        <v>45616</v>
      </c>
      <c r="B3128" s="401" t="n">
        <v>27661</v>
      </c>
      <c r="C3128" s="401" t="n">
        <v>61.5</v>
      </c>
      <c r="D3128" s="401" t="n"/>
      <c r="E3128" s="401" t="n"/>
      <c r="F3128" s="401" t="n">
        <v>300</v>
      </c>
      <c r="G3128" s="401" t="n"/>
      <c r="H3128" s="277" t="n">
        <v>1742</v>
      </c>
      <c r="I3128" s="568" t="n"/>
      <c r="J3128" s="568" t="n"/>
      <c r="K3128" s="568" t="n"/>
      <c r="L3128" s="568" t="n"/>
    </row>
    <row r="3129">
      <c r="A3129" s="568" t="n">
        <v>45616</v>
      </c>
      <c r="B3129" s="392" t="n">
        <v>11483</v>
      </c>
      <c r="C3129" s="392" t="n">
        <v>71</v>
      </c>
      <c r="D3129" s="392" t="n"/>
      <c r="E3129" s="392" t="n"/>
      <c r="F3129" s="392" t="n"/>
      <c r="G3129" s="392" t="n">
        <v>50</v>
      </c>
      <c r="H3129" s="52">
        <f>H3128-G3129</f>
        <v/>
      </c>
      <c r="I3129" s="568" t="n"/>
      <c r="J3129" s="568" t="n"/>
      <c r="K3129" s="568" t="n"/>
      <c r="L3129" s="568" t="n"/>
    </row>
    <row r="3130">
      <c r="A3130" s="568" t="n">
        <v>45616</v>
      </c>
      <c r="B3130" s="392" t="n">
        <v>11487</v>
      </c>
      <c r="C3130" s="392" t="n">
        <v>84.8</v>
      </c>
      <c r="D3130" s="392" t="n"/>
      <c r="E3130" s="392" t="n"/>
      <c r="F3130" s="392" t="n"/>
      <c r="G3130" s="392" t="n">
        <v>50</v>
      </c>
      <c r="H3130" s="52">
        <f>H3129-G3130</f>
        <v/>
      </c>
      <c r="I3130" s="568" t="n"/>
      <c r="J3130" s="568" t="n"/>
      <c r="K3130" s="568" t="n"/>
      <c r="L3130" s="568" t="n"/>
    </row>
    <row r="3131">
      <c r="A3131" s="568" t="n">
        <v>45617</v>
      </c>
      <c r="B3131" s="392" t="n">
        <v>11488</v>
      </c>
      <c r="C3131" s="392" t="n">
        <v>85</v>
      </c>
      <c r="D3131" s="392" t="n"/>
      <c r="E3131" s="392" t="n"/>
      <c r="F3131" s="392" t="n"/>
      <c r="G3131" s="392" t="n">
        <v>10</v>
      </c>
      <c r="H3131" s="52">
        <f>H3130-G3131</f>
        <v/>
      </c>
      <c r="I3131" s="568" t="n"/>
      <c r="J3131" s="568" t="n"/>
      <c r="K3131" s="568" t="n"/>
      <c r="L3131" s="568" t="n"/>
    </row>
    <row r="3132">
      <c r="A3132" s="568" t="n">
        <v>45617</v>
      </c>
      <c r="B3132" s="392" t="n">
        <v>11489</v>
      </c>
      <c r="C3132" s="392" t="n">
        <v>80.7</v>
      </c>
      <c r="D3132" s="392" t="n"/>
      <c r="E3132" s="392" t="n"/>
      <c r="F3132" s="392" t="n"/>
      <c r="G3132" s="392" t="n">
        <v>20</v>
      </c>
      <c r="H3132" s="52">
        <f>H3131-G3132</f>
        <v/>
      </c>
      <c r="I3132" s="568" t="n"/>
      <c r="J3132" s="568" t="n"/>
      <c r="K3132" s="568" t="n"/>
      <c r="L3132" s="568" t="n"/>
    </row>
    <row r="3133">
      <c r="A3133" s="568" t="n">
        <v>45621</v>
      </c>
      <c r="B3133" s="392" t="n">
        <v>11491</v>
      </c>
      <c r="C3133" s="392" t="n">
        <v>78</v>
      </c>
      <c r="D3133" s="392" t="n"/>
      <c r="E3133" s="392" t="n"/>
      <c r="F3133" s="392" t="n"/>
      <c r="G3133" s="392" t="n">
        <v>10</v>
      </c>
      <c r="H3133" s="52">
        <f>H3132-G3133</f>
        <v/>
      </c>
      <c r="I3133" s="568" t="n"/>
      <c r="J3133" s="568" t="n"/>
      <c r="K3133" s="568" t="n"/>
      <c r="L3133" s="568" t="n"/>
    </row>
    <row r="3134">
      <c r="A3134" s="568" t="n">
        <v>45621</v>
      </c>
      <c r="B3134" s="392" t="n">
        <v>11492</v>
      </c>
      <c r="C3134" s="392" t="n">
        <v>84</v>
      </c>
      <c r="D3134" s="392" t="n"/>
      <c r="E3134" s="392" t="n"/>
      <c r="F3134" s="392" t="n"/>
      <c r="G3134" s="392" t="n">
        <v>10</v>
      </c>
      <c r="H3134" s="52">
        <f>H3133-G3134</f>
        <v/>
      </c>
      <c r="I3134" s="568" t="n"/>
      <c r="J3134" s="568" t="n"/>
      <c r="K3134" s="568" t="n"/>
      <c r="L3134" s="568" t="n"/>
    </row>
    <row r="3135">
      <c r="A3135" s="568" t="n">
        <v>45621</v>
      </c>
      <c r="B3135" s="392" t="n">
        <v>11493</v>
      </c>
      <c r="C3135" s="392" t="n">
        <v>78</v>
      </c>
      <c r="D3135" s="392" t="n"/>
      <c r="E3135" s="392" t="n"/>
      <c r="F3135" s="392" t="n"/>
      <c r="G3135" s="392" t="n">
        <v>40</v>
      </c>
      <c r="H3135" s="52">
        <f>H3134-G3135</f>
        <v/>
      </c>
      <c r="I3135" s="568" t="n"/>
      <c r="J3135" s="568" t="n"/>
      <c r="K3135" s="568" t="n"/>
      <c r="L3135" s="568" t="n"/>
    </row>
    <row r="3136">
      <c r="A3136" s="568" t="n">
        <v>45621</v>
      </c>
      <c r="B3136" s="392" t="n">
        <v>11494</v>
      </c>
      <c r="C3136" s="392" t="n">
        <v>87</v>
      </c>
      <c r="D3136" s="392" t="n"/>
      <c r="E3136" s="392" t="n"/>
      <c r="F3136" s="392" t="n"/>
      <c r="G3136" s="392" t="n">
        <v>70</v>
      </c>
      <c r="H3136" s="52">
        <f>H3135-G3136</f>
        <v/>
      </c>
      <c r="I3136" s="568" t="n"/>
      <c r="J3136" s="568" t="n"/>
      <c r="K3136" s="568" t="n"/>
      <c r="L3136" s="568" t="n"/>
    </row>
    <row r="3137">
      <c r="A3137" s="568" t="n">
        <v>45621</v>
      </c>
      <c r="B3137" s="392" t="n">
        <v>11495</v>
      </c>
      <c r="C3137" s="392" t="n">
        <v>84</v>
      </c>
      <c r="D3137" s="392" t="n"/>
      <c r="E3137" s="392" t="n"/>
      <c r="F3137" s="392" t="n"/>
      <c r="G3137" s="392" t="n">
        <v>20</v>
      </c>
      <c r="H3137" s="52">
        <f>H3136-G3137</f>
        <v/>
      </c>
      <c r="I3137" s="568" t="n"/>
      <c r="J3137" s="568" t="n"/>
      <c r="K3137" s="568" t="n"/>
      <c r="L3137" s="568" t="n"/>
    </row>
    <row r="3138">
      <c r="A3138" s="568" t="n">
        <v>45621</v>
      </c>
      <c r="B3138" s="392" t="n">
        <v>11496</v>
      </c>
      <c r="C3138" s="392" t="n">
        <v>82</v>
      </c>
      <c r="D3138" s="392" t="n"/>
      <c r="E3138" s="392" t="n"/>
      <c r="F3138" s="392" t="n"/>
      <c r="G3138" s="392" t="n">
        <v>30</v>
      </c>
      <c r="H3138" s="52">
        <f>H3137-G3138</f>
        <v/>
      </c>
      <c r="I3138" s="568" t="n"/>
      <c r="J3138" s="568" t="n"/>
      <c r="K3138" s="568" t="n"/>
      <c r="L3138" s="568" t="n"/>
    </row>
    <row r="3139">
      <c r="A3139" s="568" t="n">
        <v>45622</v>
      </c>
      <c r="B3139" s="392" t="n">
        <v>11501</v>
      </c>
      <c r="C3139" s="392" t="n">
        <v>84</v>
      </c>
      <c r="D3139" s="392" t="n"/>
      <c r="E3139" s="392" t="n"/>
      <c r="F3139" s="392" t="n"/>
      <c r="G3139" s="392" t="n">
        <v>50</v>
      </c>
      <c r="H3139" s="52">
        <f>H3138-G3139</f>
        <v/>
      </c>
      <c r="I3139" s="568" t="n"/>
      <c r="J3139" s="568" t="n"/>
      <c r="K3139" s="568" t="n"/>
      <c r="L3139" s="568" t="n"/>
    </row>
    <row r="3140" ht="15.75" customHeight="1" s="436" thickBot="1">
      <c r="A3140" s="414" t="n"/>
      <c r="H3140" s="171" t="n"/>
      <c r="I3140" s="414" t="n"/>
      <c r="J3140" s="414" t="n"/>
      <c r="K3140" s="414" t="n"/>
      <c r="L3140" s="414" t="n"/>
    </row>
    <row r="3141" ht="21.75" customHeight="1" s="436" thickBot="1">
      <c r="A3141" s="757" t="inlineStr">
        <is>
          <t>Dezembro</t>
        </is>
      </c>
      <c r="B3141" s="697" t="n"/>
      <c r="C3141" s="697" t="n"/>
      <c r="D3141" s="697" t="n"/>
      <c r="E3141" s="697" t="n"/>
      <c r="F3141" s="697" t="n"/>
      <c r="G3141" s="697" t="n"/>
      <c r="H3141" s="697" t="n"/>
      <c r="I3141" s="697" t="n"/>
      <c r="J3141" s="697" t="n"/>
      <c r="K3141" s="697" t="n"/>
      <c r="L3141" s="698" t="n"/>
    </row>
    <row r="3142" ht="21.75" customHeight="1" s="436" thickBot="1">
      <c r="A3142" s="699" t="inlineStr">
        <is>
          <t xml:space="preserve">021 - DENISE FURTADO DE SOUZA - ME </t>
        </is>
      </c>
      <c r="B3142" s="697" t="n"/>
      <c r="C3142" s="697" t="n"/>
      <c r="D3142" s="697" t="n"/>
      <c r="E3142" s="697" t="n"/>
      <c r="F3142" s="697" t="n"/>
      <c r="G3142" s="697" t="n"/>
      <c r="H3142" s="697" t="n"/>
      <c r="I3142" s="697" t="n"/>
      <c r="J3142" s="697" t="n"/>
      <c r="K3142" s="697" t="n"/>
      <c r="L3142" s="698" t="n"/>
    </row>
    <row r="3143" ht="24" customHeight="1" s="436" thickBot="1">
      <c r="A3143" s="759" t="inlineStr">
        <is>
          <t xml:space="preserve">  PRÉ MISTURA - 25 KG</t>
        </is>
      </c>
      <c r="B3143" s="697" t="n"/>
      <c r="C3143" s="697" t="n"/>
      <c r="D3143" s="697" t="n"/>
      <c r="E3143" s="697" t="n"/>
      <c r="F3143" s="697" t="n"/>
      <c r="G3143" s="697" t="n"/>
      <c r="H3143" s="697" t="n"/>
      <c r="I3143" s="697" t="n"/>
      <c r="J3143" s="697" t="n"/>
      <c r="K3143" s="697" t="n"/>
      <c r="L3143" s="698" t="n"/>
    </row>
    <row r="3144">
      <c r="A3144" s="3" t="inlineStr">
        <is>
          <t>DATA</t>
        </is>
      </c>
      <c r="B3144" s="3" t="inlineStr">
        <is>
          <t>N.F.</t>
        </is>
      </c>
      <c r="C3144" s="3" t="inlineStr">
        <is>
          <t>TIPO</t>
        </is>
      </c>
      <c r="D3144" s="3" t="inlineStr">
        <is>
          <t>PREÇO UNITÁRIO</t>
        </is>
      </c>
      <c r="E3144" s="736" t="n"/>
      <c r="F3144" s="3" t="inlineStr">
        <is>
          <t>QUANTIDADE / KG</t>
        </is>
      </c>
      <c r="G3144" s="737" t="n"/>
      <c r="H3144" s="736" t="n"/>
      <c r="I3144" s="631" t="inlineStr">
        <is>
          <t>PREÇO</t>
        </is>
      </c>
      <c r="J3144" s="631" t="inlineStr">
        <is>
          <t>VALORES</t>
        </is>
      </c>
      <c r="K3144" s="737" t="n"/>
      <c r="L3144" s="736" t="n"/>
    </row>
    <row r="3145" ht="15.75" customHeight="1" s="436" thickBot="1">
      <c r="A3145" s="704" t="n"/>
      <c r="B3145" s="704" t="n"/>
      <c r="C3145" s="704" t="n"/>
      <c r="D3145" s="703" t="n"/>
      <c r="E3145" s="701" t="n"/>
      <c r="F3145" s="705" t="n"/>
      <c r="G3145" s="706" t="n"/>
      <c r="H3145" s="707" t="n"/>
      <c r="I3145" s="704" t="n"/>
      <c r="J3145" s="703" t="n"/>
      <c r="L3145" s="701" t="n"/>
    </row>
    <row r="3146" ht="15.75" customHeight="1" s="436" thickBot="1">
      <c r="A3146" s="704" t="n"/>
      <c r="B3146" s="704" t="n"/>
      <c r="C3146" s="704" t="n"/>
      <c r="D3146" s="705" t="n"/>
      <c r="E3146" s="707" t="n"/>
      <c r="F3146" s="3" t="inlineStr">
        <is>
          <t>ENTRADA</t>
        </is>
      </c>
      <c r="G3146" s="3" t="inlineStr">
        <is>
          <t>SAÍDA</t>
        </is>
      </c>
      <c r="H3146" s="640" t="n"/>
      <c r="I3146" s="633" t="inlineStr">
        <is>
          <t>MÉDIO</t>
        </is>
      </c>
      <c r="J3146" s="739" t="inlineStr">
        <is>
          <t>SALDO EM 30/12/2017</t>
        </is>
      </c>
      <c r="K3146" s="707" t="n"/>
      <c r="L3146" s="17" t="n"/>
    </row>
    <row r="3147" ht="15.75" customHeight="1" s="436" thickBot="1">
      <c r="A3147" s="695" t="n"/>
      <c r="B3147" s="695" t="n"/>
      <c r="C3147" s="695" t="n"/>
      <c r="D3147" s="3" t="inlineStr">
        <is>
          <t>C/ICMS</t>
        </is>
      </c>
      <c r="E3147" s="3" t="inlineStr">
        <is>
          <t>S/ICMS</t>
        </is>
      </c>
      <c r="F3147" s="695" t="n"/>
      <c r="G3147" s="695" t="n"/>
      <c r="H3147" s="361" t="inlineStr">
        <is>
          <t>Saldo em 30/11/2024</t>
        </is>
      </c>
      <c r="I3147" s="695" t="n"/>
      <c r="J3147" s="645" t="inlineStr">
        <is>
          <t>ENTRADA</t>
        </is>
      </c>
      <c r="K3147" s="633" t="inlineStr">
        <is>
          <t>SAÍDA / CMV</t>
        </is>
      </c>
      <c r="L3147" s="633" t="inlineStr">
        <is>
          <t>SALDO</t>
        </is>
      </c>
    </row>
    <row r="3148">
      <c r="A3148" s="568" t="n"/>
      <c r="B3148" s="392" t="n"/>
      <c r="C3148" s="392" t="n"/>
      <c r="D3148" s="392" t="n"/>
      <c r="E3148" s="392" t="n"/>
      <c r="F3148" s="392" t="n"/>
      <c r="G3148" s="392" t="n"/>
      <c r="H3148" s="52" t="n">
        <v>1382</v>
      </c>
      <c r="I3148" s="568" t="n"/>
      <c r="J3148" s="568" t="n"/>
      <c r="K3148" s="568" t="n"/>
      <c r="L3148" s="392" t="n"/>
    </row>
    <row r="3149">
      <c r="A3149" s="568" t="n">
        <v>45628</v>
      </c>
      <c r="B3149" s="392" t="n">
        <v>11506</v>
      </c>
      <c r="C3149" s="392" t="n">
        <v>82</v>
      </c>
      <c r="D3149" s="392" t="n"/>
      <c r="E3149" s="392" t="n"/>
      <c r="F3149" s="392" t="n"/>
      <c r="G3149" s="392" t="n">
        <v>50</v>
      </c>
      <c r="H3149" s="52">
        <f>H3148-G3149</f>
        <v/>
      </c>
      <c r="I3149" s="568" t="n"/>
      <c r="J3149" s="568" t="n"/>
      <c r="K3149" s="568" t="n"/>
      <c r="L3149" s="568" t="n"/>
    </row>
    <row r="3150">
      <c r="A3150" s="568" t="n">
        <v>45629</v>
      </c>
      <c r="B3150" s="392" t="n">
        <v>11510</v>
      </c>
      <c r="C3150" s="392" t="n">
        <v>71</v>
      </c>
      <c r="D3150" s="392" t="n"/>
      <c r="E3150" s="392" t="n"/>
      <c r="F3150" s="392" t="n"/>
      <c r="G3150" s="392" t="n">
        <v>100</v>
      </c>
      <c r="H3150" s="52">
        <f>H3149-G3150</f>
        <v/>
      </c>
      <c r="I3150" s="568" t="n"/>
      <c r="J3150" s="568" t="n"/>
      <c r="K3150" s="568" t="n"/>
      <c r="L3150" s="568" t="n"/>
    </row>
    <row r="3151">
      <c r="A3151" s="568" t="n">
        <v>45629</v>
      </c>
      <c r="B3151" s="392" t="n">
        <v>11518</v>
      </c>
      <c r="C3151" s="392" t="n">
        <v>86</v>
      </c>
      <c r="D3151" s="392" t="n"/>
      <c r="E3151" s="392" t="n"/>
      <c r="F3151" s="392" t="n"/>
      <c r="G3151" s="392" t="n">
        <v>50</v>
      </c>
      <c r="H3151" s="52">
        <f>H3150-G3151</f>
        <v/>
      </c>
      <c r="I3151" s="568" t="n"/>
      <c r="J3151" s="568" t="n"/>
      <c r="K3151" s="568" t="n"/>
      <c r="L3151" s="568" t="n"/>
    </row>
    <row r="3152">
      <c r="A3152" s="568" t="n">
        <v>45629</v>
      </c>
      <c r="B3152" s="392" t="n">
        <v>11519</v>
      </c>
      <c r="C3152" s="392" t="n">
        <v>85</v>
      </c>
      <c r="D3152" s="392" t="n"/>
      <c r="E3152" s="392" t="n"/>
      <c r="F3152" s="392" t="n"/>
      <c r="G3152" s="392" t="n">
        <v>30</v>
      </c>
      <c r="H3152" s="52">
        <f>H3151-G3152</f>
        <v/>
      </c>
      <c r="I3152" s="568" t="n"/>
      <c r="J3152" s="568" t="n"/>
      <c r="K3152" s="568" t="n"/>
      <c r="L3152" s="568" t="n"/>
    </row>
    <row r="3153">
      <c r="A3153" s="304" t="n">
        <v>45998</v>
      </c>
      <c r="B3153" s="401" t="n">
        <v>277798</v>
      </c>
      <c r="C3153" s="401" t="n">
        <v>68.5</v>
      </c>
      <c r="D3153" s="401" t="n"/>
      <c r="E3153" s="401" t="n"/>
      <c r="F3153" s="401" t="n">
        <v>200</v>
      </c>
      <c r="G3153" s="401" t="n"/>
      <c r="H3153" s="277" t="n">
        <v>1352</v>
      </c>
      <c r="I3153" s="568" t="n"/>
      <c r="J3153" s="568" t="n"/>
      <c r="K3153" s="568" t="n"/>
      <c r="L3153" s="568" t="n"/>
    </row>
    <row r="3154">
      <c r="A3154" s="304" t="n">
        <v>45998</v>
      </c>
      <c r="B3154" s="401" t="n">
        <v>277798</v>
      </c>
      <c r="C3154" s="401" t="n">
        <v>61.5</v>
      </c>
      <c r="D3154" s="401" t="n"/>
      <c r="E3154" s="401" t="n"/>
      <c r="F3154" s="401" t="n">
        <v>300</v>
      </c>
      <c r="G3154" s="401" t="n"/>
      <c r="H3154" s="277" t="n">
        <v>1652</v>
      </c>
      <c r="I3154" s="568" t="n"/>
      <c r="J3154" s="568" t="n"/>
      <c r="K3154" s="568" t="n"/>
      <c r="L3154" s="568" t="n"/>
    </row>
    <row r="3155">
      <c r="A3155" s="568" t="n">
        <v>45635</v>
      </c>
      <c r="B3155" s="392" t="n">
        <v>11520</v>
      </c>
      <c r="C3155" s="392" t="n">
        <v>84</v>
      </c>
      <c r="D3155" s="392" t="n"/>
      <c r="E3155" s="392" t="n"/>
      <c r="F3155" s="392" t="n"/>
      <c r="G3155" s="392" t="n">
        <v>15</v>
      </c>
      <c r="H3155" s="52">
        <f>H3154-G3155</f>
        <v/>
      </c>
      <c r="I3155" s="568" t="n"/>
      <c r="J3155" s="568" t="n"/>
      <c r="K3155" s="568" t="n"/>
      <c r="L3155" s="568" t="n"/>
    </row>
    <row r="3156">
      <c r="A3156" s="568" t="n">
        <v>45638</v>
      </c>
      <c r="B3156" s="392" t="n">
        <v>11526</v>
      </c>
      <c r="C3156" s="392" t="n">
        <v>87.5</v>
      </c>
      <c r="D3156" s="392" t="n"/>
      <c r="E3156" s="392" t="n"/>
      <c r="F3156" s="392" t="n"/>
      <c r="G3156" s="392" t="n">
        <v>40</v>
      </c>
      <c r="H3156" s="52">
        <f>H3155-G3156</f>
        <v/>
      </c>
      <c r="I3156" s="568" t="n"/>
      <c r="J3156" s="568" t="n"/>
      <c r="K3156" s="568" t="n"/>
      <c r="L3156" s="568" t="n"/>
    </row>
    <row r="3157">
      <c r="A3157" s="568" t="n">
        <v>45638</v>
      </c>
      <c r="B3157" s="392" t="n">
        <v>11533</v>
      </c>
      <c r="C3157" s="392" t="n">
        <v>78</v>
      </c>
      <c r="D3157" s="392" t="n"/>
      <c r="E3157" s="392" t="n"/>
      <c r="F3157" s="392" t="n"/>
      <c r="G3157" s="392" t="n">
        <v>12</v>
      </c>
      <c r="H3157" s="52">
        <f>H3156-G3157</f>
        <v/>
      </c>
      <c r="I3157" s="568" t="n"/>
      <c r="J3157" s="568" t="n"/>
      <c r="K3157" s="568" t="n"/>
      <c r="L3157" s="568" t="n"/>
    </row>
    <row r="3158">
      <c r="A3158" s="568" t="n">
        <v>45638</v>
      </c>
      <c r="B3158" s="392" t="n">
        <v>11535</v>
      </c>
      <c r="C3158" s="392" t="n">
        <v>75</v>
      </c>
      <c r="D3158" s="392" t="n"/>
      <c r="E3158" s="392" t="n"/>
      <c r="F3158" s="392" t="n"/>
      <c r="G3158" s="392" t="n">
        <v>86</v>
      </c>
      <c r="H3158" s="52">
        <f>H3157-G3158</f>
        <v/>
      </c>
      <c r="I3158" s="568" t="n"/>
      <c r="J3158" s="568" t="n"/>
      <c r="K3158" s="568" t="n"/>
      <c r="L3158" s="568" t="n"/>
    </row>
    <row r="3159">
      <c r="A3159" s="568" t="n">
        <v>45638</v>
      </c>
      <c r="B3159" s="392" t="n">
        <v>11539</v>
      </c>
      <c r="C3159" s="392" t="n">
        <v>84</v>
      </c>
      <c r="D3159" s="392" t="n"/>
      <c r="E3159" s="392" t="n"/>
      <c r="F3159" s="392" t="n"/>
      <c r="G3159" s="392" t="n">
        <v>15</v>
      </c>
      <c r="H3159" s="52">
        <f>H3158-G3159</f>
        <v/>
      </c>
      <c r="I3159" s="568" t="n"/>
      <c r="J3159" s="568" t="n"/>
      <c r="K3159" s="568" t="n"/>
      <c r="L3159" s="568" t="n"/>
    </row>
    <row r="3160">
      <c r="A3160" s="568" t="n">
        <v>45638</v>
      </c>
      <c r="B3160" s="392" t="n">
        <v>11540</v>
      </c>
      <c r="C3160" s="392" t="n">
        <v>84</v>
      </c>
      <c r="D3160" s="392" t="n"/>
      <c r="E3160" s="392" t="n"/>
      <c r="F3160" s="392" t="n"/>
      <c r="G3160" s="392" t="n">
        <v>20</v>
      </c>
      <c r="H3160" s="52">
        <f>H3159-G3160</f>
        <v/>
      </c>
      <c r="I3160" s="568" t="n"/>
      <c r="J3160" s="568" t="n"/>
      <c r="K3160" s="568" t="n"/>
      <c r="L3160" s="568" t="n"/>
    </row>
    <row r="3161">
      <c r="A3161" s="568" t="n">
        <v>45638</v>
      </c>
      <c r="B3161" s="392" t="n">
        <v>11543</v>
      </c>
      <c r="C3161" s="392" t="n">
        <v>87</v>
      </c>
      <c r="D3161" s="392" t="n"/>
      <c r="E3161" s="392" t="n"/>
      <c r="F3161" s="392" t="n"/>
      <c r="G3161" s="392" t="n">
        <v>140</v>
      </c>
      <c r="H3161" s="52">
        <f>H3160-G3161</f>
        <v/>
      </c>
      <c r="I3161" s="568" t="n"/>
      <c r="J3161" s="568" t="n"/>
      <c r="K3161" s="568" t="n"/>
      <c r="L3161" s="568" t="n"/>
    </row>
    <row r="3162">
      <c r="A3162" s="568" t="n">
        <v>45638</v>
      </c>
      <c r="B3162" s="392" t="n">
        <v>11544</v>
      </c>
      <c r="C3162" s="392" t="n">
        <v>78</v>
      </c>
      <c r="D3162" s="392" t="n"/>
      <c r="E3162" s="392" t="n"/>
      <c r="F3162" s="392" t="n"/>
      <c r="G3162" s="392" t="n">
        <v>50</v>
      </c>
      <c r="H3162" s="52">
        <f>H3161-G3162</f>
        <v/>
      </c>
      <c r="I3162" s="568" t="n"/>
      <c r="J3162" s="568" t="n"/>
      <c r="K3162" s="568" t="n"/>
      <c r="L3162" s="568" t="n"/>
    </row>
    <row r="3163">
      <c r="A3163" s="568" t="n">
        <v>45638</v>
      </c>
      <c r="B3163" s="392" t="n">
        <v>11549</v>
      </c>
      <c r="C3163" s="392" t="n">
        <v>83.38</v>
      </c>
      <c r="D3163" s="392" t="n"/>
      <c r="E3163" s="392" t="n"/>
      <c r="F3163" s="392" t="n"/>
      <c r="G3163" s="392" t="n">
        <v>80</v>
      </c>
      <c r="H3163" s="52">
        <f>H3162-G3163</f>
        <v/>
      </c>
      <c r="I3163" s="568" t="n"/>
      <c r="J3163" s="568" t="n"/>
      <c r="K3163" s="568" t="n"/>
      <c r="L3163" s="568" t="n"/>
    </row>
    <row r="3164" ht="15.75" customHeight="1" s="436" thickBot="1">
      <c r="A3164" s="414" t="n"/>
      <c r="H3164" s="171" t="n"/>
      <c r="I3164" s="414" t="n"/>
      <c r="J3164" s="414" t="n"/>
      <c r="K3164" s="414" t="n"/>
      <c r="L3164" s="414" t="n"/>
    </row>
    <row r="3165" ht="21.75" customHeight="1" s="436" thickBot="1">
      <c r="A3165" s="757" t="inlineStr">
        <is>
          <t>Janeiro</t>
        </is>
      </c>
      <c r="B3165" s="697" t="n"/>
      <c r="C3165" s="697" t="n"/>
      <c r="D3165" s="697" t="n"/>
      <c r="E3165" s="697" t="n"/>
      <c r="F3165" s="697" t="n"/>
      <c r="G3165" s="697" t="n"/>
      <c r="H3165" s="697" t="n"/>
      <c r="I3165" s="697" t="n"/>
      <c r="J3165" s="697" t="n"/>
      <c r="K3165" s="697" t="n"/>
      <c r="L3165" s="698" t="n"/>
    </row>
    <row r="3166" ht="21.75" customHeight="1" s="436" thickBot="1">
      <c r="A3166" s="699" t="inlineStr">
        <is>
          <t xml:space="preserve">021 - DENISE FURTADO DE SOUZA - ME </t>
        </is>
      </c>
      <c r="B3166" s="697" t="n"/>
      <c r="C3166" s="697" t="n"/>
      <c r="D3166" s="697" t="n"/>
      <c r="E3166" s="697" t="n"/>
      <c r="F3166" s="697" t="n"/>
      <c r="G3166" s="697" t="n"/>
      <c r="H3166" s="697" t="n"/>
      <c r="I3166" s="697" t="n"/>
      <c r="J3166" s="697" t="n"/>
      <c r="K3166" s="697" t="n"/>
      <c r="L3166" s="698" t="n"/>
    </row>
    <row r="3167" ht="24" customHeight="1" s="436" thickBot="1">
      <c r="A3167" s="759" t="inlineStr">
        <is>
          <t xml:space="preserve">  PRÉ MISTURA - 25 KG</t>
        </is>
      </c>
      <c r="B3167" s="697" t="n"/>
      <c r="C3167" s="697" t="n"/>
      <c r="D3167" s="697" t="n"/>
      <c r="E3167" s="697" t="n"/>
      <c r="F3167" s="697" t="n"/>
      <c r="G3167" s="697" t="n"/>
      <c r="H3167" s="697" t="n"/>
      <c r="I3167" s="697" t="n"/>
      <c r="J3167" s="697" t="n"/>
      <c r="K3167" s="697" t="n"/>
      <c r="L3167" s="698" t="n"/>
    </row>
    <row r="3168">
      <c r="A3168" s="3" t="inlineStr">
        <is>
          <t>DATA</t>
        </is>
      </c>
      <c r="B3168" s="3" t="inlineStr">
        <is>
          <t>N.F.</t>
        </is>
      </c>
      <c r="C3168" s="3" t="inlineStr">
        <is>
          <t>TIPO</t>
        </is>
      </c>
      <c r="D3168" s="3" t="inlineStr">
        <is>
          <t>PREÇO UNITÁRIO</t>
        </is>
      </c>
      <c r="E3168" s="736" t="n"/>
      <c r="F3168" s="3" t="inlineStr">
        <is>
          <t>QUANTIDADE / KG</t>
        </is>
      </c>
      <c r="G3168" s="737" t="n"/>
      <c r="H3168" s="736" t="n"/>
      <c r="I3168" s="631" t="inlineStr">
        <is>
          <t>PREÇO</t>
        </is>
      </c>
      <c r="J3168" s="631" t="inlineStr">
        <is>
          <t>VALORES</t>
        </is>
      </c>
      <c r="K3168" s="737" t="n"/>
      <c r="L3168" s="736" t="n"/>
    </row>
    <row r="3169" ht="15.75" customHeight="1" s="436" thickBot="1">
      <c r="A3169" s="704" t="n"/>
      <c r="B3169" s="704" t="n"/>
      <c r="C3169" s="704" t="n"/>
      <c r="D3169" s="703" t="n"/>
      <c r="E3169" s="701" t="n"/>
      <c r="F3169" s="705" t="n"/>
      <c r="G3169" s="706" t="n"/>
      <c r="H3169" s="707" t="n"/>
      <c r="I3169" s="704" t="n"/>
      <c r="J3169" s="703" t="n"/>
      <c r="L3169" s="701" t="n"/>
    </row>
    <row r="3170" ht="15.75" customHeight="1" s="436" thickBot="1">
      <c r="A3170" s="704" t="n"/>
      <c r="B3170" s="704" t="n"/>
      <c r="C3170" s="704" t="n"/>
      <c r="D3170" s="705" t="n"/>
      <c r="E3170" s="707" t="n"/>
      <c r="F3170" s="3" t="inlineStr">
        <is>
          <t>ENTRADA</t>
        </is>
      </c>
      <c r="G3170" s="3" t="inlineStr">
        <is>
          <t>SAÍDA</t>
        </is>
      </c>
      <c r="H3170" s="640" t="n"/>
      <c r="I3170" s="633" t="inlineStr">
        <is>
          <t>MÉDIO</t>
        </is>
      </c>
      <c r="J3170" s="739" t="inlineStr">
        <is>
          <t>SALDO EM 30/12/2017</t>
        </is>
      </c>
      <c r="K3170" s="707" t="n"/>
      <c r="L3170" s="17" t="n"/>
    </row>
    <row r="3171" ht="15.75" customHeight="1" s="436" thickBot="1">
      <c r="A3171" s="695" t="n"/>
      <c r="B3171" s="695" t="n"/>
      <c r="C3171" s="695" t="n"/>
      <c r="D3171" s="3" t="inlineStr">
        <is>
          <t>C/ICMS</t>
        </is>
      </c>
      <c r="E3171" s="3" t="inlineStr">
        <is>
          <t>S/ICMS</t>
        </is>
      </c>
      <c r="F3171" s="695" t="n"/>
      <c r="G3171" s="695" t="n"/>
      <c r="H3171" s="361" t="inlineStr">
        <is>
          <t>Saldo em 31/12/2024</t>
        </is>
      </c>
      <c r="I3171" s="695" t="n"/>
      <c r="J3171" s="645" t="inlineStr">
        <is>
          <t>ENTRADA</t>
        </is>
      </c>
      <c r="K3171" s="633" t="inlineStr">
        <is>
          <t>SAÍDA / CMV</t>
        </is>
      </c>
      <c r="L3171" s="633" t="inlineStr">
        <is>
          <t>SALDO</t>
        </is>
      </c>
    </row>
    <row r="3172">
      <c r="A3172" s="568" t="n"/>
      <c r="B3172" s="392" t="n"/>
      <c r="C3172" s="392" t="n"/>
      <c r="D3172" s="392" t="n"/>
      <c r="E3172" s="392" t="n"/>
      <c r="F3172" s="392" t="n"/>
      <c r="G3172" s="392" t="n"/>
      <c r="H3172" s="52" t="n">
        <v>1194</v>
      </c>
      <c r="I3172" s="568" t="n"/>
      <c r="J3172" s="568" t="n"/>
      <c r="K3172" s="568" t="n"/>
      <c r="L3172" s="392" t="n"/>
    </row>
    <row r="3173">
      <c r="A3173" s="568" t="n">
        <v>45659</v>
      </c>
      <c r="B3173" s="392" t="n">
        <v>11552</v>
      </c>
      <c r="C3173" s="392" t="n">
        <v>84.86</v>
      </c>
      <c r="D3173" s="392" t="n"/>
      <c r="E3173" s="392" t="n"/>
      <c r="F3173" s="392" t="n"/>
      <c r="G3173" s="392" t="n">
        <v>50</v>
      </c>
      <c r="H3173" s="52">
        <f>H3172-G3173</f>
        <v/>
      </c>
      <c r="I3173" s="568" t="n"/>
      <c r="J3173" s="568" t="n"/>
      <c r="K3173" s="568" t="n"/>
      <c r="L3173" s="568" t="n"/>
    </row>
    <row r="3174">
      <c r="A3174" s="568" t="n">
        <v>45659</v>
      </c>
      <c r="B3174" s="392" t="n">
        <v>11553</v>
      </c>
      <c r="C3174" s="392" t="n">
        <v>80</v>
      </c>
      <c r="D3174" s="392" t="n"/>
      <c r="E3174" s="392" t="n"/>
      <c r="F3174" s="392" t="n"/>
      <c r="G3174" s="392" t="n">
        <v>20</v>
      </c>
      <c r="H3174" s="52">
        <f>H3173-G3174</f>
        <v/>
      </c>
      <c r="I3174" s="568" t="n"/>
      <c r="J3174" s="568" t="n"/>
      <c r="K3174" s="568" t="n"/>
      <c r="L3174" s="568" t="n"/>
    </row>
    <row r="3175">
      <c r="A3175" s="568" t="n">
        <v>45659</v>
      </c>
      <c r="B3175" s="392" t="n">
        <v>11554</v>
      </c>
      <c r="C3175" s="392" t="n">
        <v>71</v>
      </c>
      <c r="D3175" s="392" t="n"/>
      <c r="E3175" s="392" t="n"/>
      <c r="F3175" s="392" t="n"/>
      <c r="G3175" s="392" t="n">
        <v>100</v>
      </c>
      <c r="H3175" s="52">
        <f>H3174-G3175</f>
        <v/>
      </c>
      <c r="I3175" s="568" t="n"/>
      <c r="J3175" s="568" t="n"/>
      <c r="K3175" s="568" t="n"/>
      <c r="L3175" s="568" t="n"/>
    </row>
    <row r="3176">
      <c r="A3176" s="568" t="n">
        <v>45664</v>
      </c>
      <c r="B3176" s="392" t="n">
        <v>11560</v>
      </c>
      <c r="C3176" s="392" t="n">
        <v>85</v>
      </c>
      <c r="D3176" s="392" t="n"/>
      <c r="E3176" s="392" t="n"/>
      <c r="F3176" s="392" t="n"/>
      <c r="G3176" s="392" t="n">
        <v>40</v>
      </c>
      <c r="H3176" s="52">
        <f>H3175-G3176</f>
        <v/>
      </c>
      <c r="I3176" s="568" t="n"/>
      <c r="J3176" s="568" t="n"/>
      <c r="K3176" s="568" t="n"/>
      <c r="L3176" s="568" t="n"/>
    </row>
    <row r="3177">
      <c r="A3177" s="568" t="n">
        <v>45664</v>
      </c>
      <c r="B3177" s="392" t="n">
        <v>11561</v>
      </c>
      <c r="C3177" s="392" t="n">
        <v>84</v>
      </c>
      <c r="D3177" s="392" t="n"/>
      <c r="E3177" s="392" t="n"/>
      <c r="F3177" s="392" t="n"/>
      <c r="G3177" s="392" t="n">
        <v>20</v>
      </c>
      <c r="H3177" s="52">
        <f>H3176-G3177</f>
        <v/>
      </c>
      <c r="I3177" s="568" t="n"/>
      <c r="J3177" s="568" t="n"/>
      <c r="K3177" s="568" t="n"/>
      <c r="L3177" s="568" t="n"/>
    </row>
    <row r="3178">
      <c r="A3178" s="568" t="n">
        <v>45664</v>
      </c>
      <c r="B3178" s="392" t="n">
        <v>11562</v>
      </c>
      <c r="C3178" s="392" t="n">
        <v>85</v>
      </c>
      <c r="D3178" s="392" t="n"/>
      <c r="E3178" s="392" t="n"/>
      <c r="F3178" s="392" t="n"/>
      <c r="G3178" s="392" t="n">
        <v>10</v>
      </c>
      <c r="H3178" s="52">
        <f>H3177-G3178</f>
        <v/>
      </c>
      <c r="I3178" s="568" t="n"/>
      <c r="J3178" s="568" t="n"/>
      <c r="K3178" s="568" t="n"/>
      <c r="L3178" s="568" t="n"/>
    </row>
    <row r="3179">
      <c r="A3179" s="568" t="n">
        <v>45664</v>
      </c>
      <c r="B3179" s="392" t="n">
        <v>115564</v>
      </c>
      <c r="C3179" s="392" t="n">
        <v>80</v>
      </c>
      <c r="D3179" s="392" t="n"/>
      <c r="E3179" s="392" t="n"/>
      <c r="F3179" s="392" t="n"/>
      <c r="G3179" s="392" t="n">
        <v>51</v>
      </c>
      <c r="H3179" s="52">
        <f>H3178-G3179</f>
        <v/>
      </c>
      <c r="I3179" s="568" t="n"/>
      <c r="J3179" s="568" t="n"/>
      <c r="K3179" s="568" t="n"/>
      <c r="L3179" s="568" t="n"/>
    </row>
    <row r="3180">
      <c r="A3180" s="568" t="n">
        <v>45664</v>
      </c>
      <c r="B3180" s="392" t="n">
        <v>115565</v>
      </c>
      <c r="C3180" s="392" t="n">
        <v>83.3</v>
      </c>
      <c r="D3180" s="392" t="n"/>
      <c r="E3180" s="392" t="n"/>
      <c r="F3180" s="392" t="n"/>
      <c r="G3180" s="392" t="n">
        <v>15</v>
      </c>
      <c r="H3180" s="52">
        <f>H3179-G3180</f>
        <v/>
      </c>
      <c r="I3180" s="568" t="n"/>
      <c r="J3180" s="568" t="n"/>
      <c r="K3180" s="568" t="n"/>
      <c r="L3180" s="568" t="n"/>
    </row>
    <row r="3181">
      <c r="A3181" s="568" t="n">
        <v>45664</v>
      </c>
      <c r="B3181" s="392" t="n">
        <v>11568</v>
      </c>
      <c r="C3181" s="392" t="n">
        <v>85</v>
      </c>
      <c r="D3181" s="392" t="n"/>
      <c r="E3181" s="392" t="n"/>
      <c r="F3181" s="392" t="n"/>
      <c r="G3181" s="392" t="n">
        <v>10</v>
      </c>
      <c r="H3181" s="52">
        <f>H3180-G3181</f>
        <v/>
      </c>
      <c r="I3181" s="568" t="n"/>
      <c r="J3181" s="568" t="n"/>
      <c r="K3181" s="568" t="n"/>
      <c r="L3181" s="568" t="n"/>
    </row>
    <row r="3182">
      <c r="A3182" s="568" t="n">
        <v>45664</v>
      </c>
      <c r="B3182" s="392" t="n">
        <v>11569</v>
      </c>
      <c r="C3182" s="392" t="n">
        <v>84.8</v>
      </c>
      <c r="D3182" s="392" t="n"/>
      <c r="E3182" s="392" t="n"/>
      <c r="F3182" s="392" t="n"/>
      <c r="G3182" s="392" t="n">
        <v>50</v>
      </c>
      <c r="H3182" s="52">
        <f>H3181-G3182</f>
        <v/>
      </c>
      <c r="I3182" s="568" t="n"/>
      <c r="J3182" s="568" t="n"/>
      <c r="K3182" s="568" t="n"/>
      <c r="L3182" s="568" t="n"/>
    </row>
    <row r="3183">
      <c r="A3183" s="568" t="n">
        <v>45665</v>
      </c>
      <c r="B3183" s="392" t="n">
        <v>11572</v>
      </c>
      <c r="C3183" s="392" t="n">
        <v>82</v>
      </c>
      <c r="D3183" s="392" t="n"/>
      <c r="E3183" s="392" t="n"/>
      <c r="F3183" s="392" t="n"/>
      <c r="G3183" s="392" t="n">
        <v>40</v>
      </c>
      <c r="H3183" s="52">
        <f>H3182-G3183</f>
        <v/>
      </c>
      <c r="I3183" s="568" t="n"/>
      <c r="J3183" s="568" t="n"/>
      <c r="K3183" s="568" t="n"/>
      <c r="L3183" s="568" t="n"/>
    </row>
    <row r="3184">
      <c r="A3184" s="304" t="n">
        <v>45666</v>
      </c>
      <c r="B3184" s="401" t="n">
        <v>279524</v>
      </c>
      <c r="C3184" s="401" t="n">
        <v>65</v>
      </c>
      <c r="D3184" s="401" t="n"/>
      <c r="E3184" s="401" t="n"/>
      <c r="F3184" s="401" t="n">
        <v>580</v>
      </c>
      <c r="G3184" s="401" t="n"/>
      <c r="H3184" s="277" t="n">
        <v>1368</v>
      </c>
      <c r="I3184" s="568" t="n"/>
      <c r="J3184" s="568" t="n"/>
      <c r="K3184" s="568" t="n"/>
      <c r="L3184" s="568" t="n"/>
    </row>
    <row r="3185">
      <c r="A3185" s="568" t="n">
        <v>45666</v>
      </c>
      <c r="B3185" s="392" t="n">
        <v>11574</v>
      </c>
      <c r="C3185" s="392" t="n">
        <v>85</v>
      </c>
      <c r="D3185" s="392" t="n"/>
      <c r="E3185" s="392" t="n"/>
      <c r="F3185" s="392" t="n"/>
      <c r="G3185" s="392" t="n">
        <v>20</v>
      </c>
      <c r="H3185" s="52">
        <f>H3184-G3185</f>
        <v/>
      </c>
      <c r="I3185" s="568" t="n"/>
      <c r="J3185" s="568" t="n"/>
      <c r="K3185" s="568" t="n"/>
      <c r="L3185" s="568" t="n"/>
    </row>
    <row r="3186">
      <c r="A3186" s="568" t="n">
        <v>45666</v>
      </c>
      <c r="B3186" s="392" t="n">
        <v>11575</v>
      </c>
      <c r="C3186" s="392" t="n">
        <v>85</v>
      </c>
      <c r="D3186" s="392" t="n"/>
      <c r="E3186" s="392" t="n"/>
      <c r="F3186" s="392" t="n"/>
      <c r="G3186" s="392" t="n">
        <v>20</v>
      </c>
      <c r="H3186" s="52">
        <f>H3185-G3186</f>
        <v/>
      </c>
      <c r="I3186" s="568" t="n"/>
      <c r="J3186" s="568" t="n"/>
      <c r="K3186" s="568" t="n"/>
      <c r="L3186" s="568" t="n"/>
    </row>
    <row r="3187">
      <c r="A3187" s="568" t="n">
        <v>45666</v>
      </c>
      <c r="B3187" s="392" t="n">
        <v>11576</v>
      </c>
      <c r="C3187" s="392" t="n">
        <v>85</v>
      </c>
      <c r="D3187" s="392" t="n"/>
      <c r="E3187" s="392" t="n"/>
      <c r="F3187" s="392" t="n"/>
      <c r="G3187" s="392" t="n">
        <v>20</v>
      </c>
      <c r="H3187" s="52">
        <f>H3186-G3187</f>
        <v/>
      </c>
      <c r="I3187" s="568" t="n"/>
      <c r="J3187" s="568" t="n"/>
      <c r="K3187" s="568" t="n"/>
      <c r="L3187" s="568" t="n"/>
    </row>
    <row r="3188">
      <c r="A3188" s="568" t="n">
        <v>45666</v>
      </c>
      <c r="B3188" s="392" t="n">
        <v>11577</v>
      </c>
      <c r="C3188" s="392" t="n">
        <v>78</v>
      </c>
      <c r="D3188" s="392" t="n"/>
      <c r="E3188" s="392" t="n"/>
      <c r="F3188" s="392" t="n"/>
      <c r="G3188" s="392" t="n">
        <v>10</v>
      </c>
      <c r="H3188" s="52">
        <f>H3187-G3188</f>
        <v/>
      </c>
      <c r="I3188" s="568" t="n"/>
      <c r="J3188" s="568" t="n"/>
      <c r="K3188" s="568" t="n"/>
      <c r="L3188" s="568" t="n"/>
    </row>
    <row r="3189">
      <c r="A3189" s="304" t="n">
        <v>45672</v>
      </c>
      <c r="B3189" s="401" t="n">
        <v>279833</v>
      </c>
      <c r="C3189" s="401" t="n">
        <v>66</v>
      </c>
      <c r="D3189" s="401" t="n"/>
      <c r="E3189" s="401" t="n"/>
      <c r="F3189" s="401" t="n">
        <v>580</v>
      </c>
      <c r="G3189" s="401" t="n"/>
      <c r="H3189" s="277" t="n">
        <v>1878</v>
      </c>
      <c r="I3189" s="568" t="n"/>
      <c r="J3189" s="568" t="n"/>
      <c r="K3189" s="568" t="n"/>
      <c r="L3189" s="568" t="n"/>
    </row>
    <row r="3190">
      <c r="A3190" s="568" t="n">
        <v>45672</v>
      </c>
      <c r="B3190" s="392" t="n">
        <v>11580</v>
      </c>
      <c r="C3190" s="392" t="n">
        <v>83</v>
      </c>
      <c r="D3190" s="392" t="n"/>
      <c r="E3190" s="392" t="n"/>
      <c r="F3190" s="392" t="n"/>
      <c r="G3190" s="392" t="n">
        <v>40</v>
      </c>
      <c r="H3190" s="52">
        <f>H3189-G3190</f>
        <v/>
      </c>
      <c r="I3190" s="568" t="n"/>
      <c r="J3190" s="568" t="n"/>
      <c r="K3190" s="568" t="n"/>
      <c r="L3190" s="568" t="n"/>
    </row>
    <row r="3191">
      <c r="A3191" s="568" t="n">
        <v>45672</v>
      </c>
      <c r="B3191" s="392" t="n">
        <v>11582</v>
      </c>
      <c r="C3191" s="392" t="n">
        <v>85</v>
      </c>
      <c r="D3191" s="392" t="n"/>
      <c r="E3191" s="392" t="n"/>
      <c r="F3191" s="392" t="n"/>
      <c r="G3191" s="392" t="n">
        <v>60</v>
      </c>
      <c r="H3191" s="52">
        <f>H3190-G3191</f>
        <v/>
      </c>
      <c r="I3191" s="568" t="n"/>
      <c r="J3191" s="568" t="n"/>
      <c r="K3191" s="568" t="n"/>
      <c r="L3191" s="568" t="n"/>
    </row>
    <row r="3192">
      <c r="A3192" s="568" t="n">
        <v>45672</v>
      </c>
      <c r="B3192" s="392" t="n">
        <v>11583</v>
      </c>
      <c r="C3192" s="392" t="n">
        <v>78</v>
      </c>
      <c r="D3192" s="392" t="n"/>
      <c r="E3192" s="392" t="n"/>
      <c r="F3192" s="392" t="n"/>
      <c r="G3192" s="392" t="n">
        <v>20</v>
      </c>
      <c r="H3192" s="52">
        <f>H3191-G3192</f>
        <v/>
      </c>
      <c r="I3192" s="568" t="n"/>
      <c r="J3192" s="568" t="n"/>
      <c r="K3192" s="568" t="n"/>
      <c r="L3192" s="568" t="n"/>
    </row>
    <row r="3193">
      <c r="A3193" s="568" t="n">
        <v>45672</v>
      </c>
      <c r="B3193" s="392" t="n">
        <v>11586</v>
      </c>
      <c r="C3193" s="392" t="n">
        <v>85</v>
      </c>
      <c r="D3193" s="392" t="n"/>
      <c r="E3193" s="392" t="n"/>
      <c r="F3193" s="392" t="n"/>
      <c r="G3193" s="392" t="n">
        <v>10</v>
      </c>
      <c r="H3193" s="52">
        <f>H3192-G3193</f>
        <v/>
      </c>
      <c r="I3193" s="568" t="n"/>
      <c r="J3193" s="568" t="n"/>
      <c r="K3193" s="568" t="n"/>
      <c r="L3193" s="568" t="n"/>
    </row>
    <row r="3194">
      <c r="A3194" s="568" t="n">
        <v>45674</v>
      </c>
      <c r="B3194" s="392" t="n">
        <v>11588</v>
      </c>
      <c r="C3194" s="392" t="n">
        <v>73</v>
      </c>
      <c r="D3194" s="392" t="n"/>
      <c r="E3194" s="392" t="n"/>
      <c r="F3194" s="392" t="n"/>
      <c r="G3194" s="392" t="n">
        <v>50</v>
      </c>
      <c r="H3194" s="52">
        <f>H3193-G3194</f>
        <v/>
      </c>
      <c r="I3194" s="568" t="n"/>
      <c r="J3194" s="568" t="n"/>
      <c r="K3194" s="568" t="n"/>
      <c r="L3194" s="568" t="n"/>
    </row>
    <row r="3195">
      <c r="A3195" s="568" t="n">
        <v>45678</v>
      </c>
      <c r="B3195" s="392" t="n">
        <v>11593</v>
      </c>
      <c r="C3195" s="392" t="n">
        <v>89</v>
      </c>
      <c r="D3195" s="392" t="n"/>
      <c r="E3195" s="392" t="n"/>
      <c r="F3195" s="392" t="n"/>
      <c r="G3195" s="392" t="n">
        <v>50</v>
      </c>
      <c r="H3195" s="52">
        <f>H3194-G3195</f>
        <v/>
      </c>
      <c r="I3195" s="568" t="n"/>
      <c r="J3195" s="568" t="n"/>
      <c r="K3195" s="568" t="n"/>
      <c r="L3195" s="568" t="n"/>
    </row>
    <row r="3196">
      <c r="A3196" s="568" t="n">
        <v>45678</v>
      </c>
      <c r="B3196" s="392" t="n">
        <v>11594</v>
      </c>
      <c r="C3196" s="392" t="n">
        <v>89</v>
      </c>
      <c r="D3196" s="392" t="n"/>
      <c r="E3196" s="392" t="n"/>
      <c r="F3196" s="392" t="n"/>
      <c r="G3196" s="392" t="n">
        <v>15</v>
      </c>
      <c r="H3196" s="52">
        <f>H3195-G3196</f>
        <v/>
      </c>
      <c r="I3196" s="568" t="n"/>
      <c r="J3196" s="568" t="n"/>
      <c r="K3196" s="568" t="n"/>
      <c r="L3196" s="568" t="n"/>
    </row>
    <row r="3197">
      <c r="A3197" s="568" t="n">
        <v>45678</v>
      </c>
      <c r="B3197" s="392" t="n">
        <v>11595</v>
      </c>
      <c r="C3197" s="392" t="n">
        <v>83.33</v>
      </c>
      <c r="D3197" s="392" t="n"/>
      <c r="E3197" s="392" t="n"/>
      <c r="F3197" s="392" t="n"/>
      <c r="G3197" s="392" t="n">
        <v>30</v>
      </c>
      <c r="H3197" s="52">
        <f>H3196-G3197</f>
        <v/>
      </c>
      <c r="I3197" s="568" t="n"/>
      <c r="J3197" s="568" t="n"/>
      <c r="K3197" s="568" t="n"/>
      <c r="L3197" s="568" t="n"/>
    </row>
    <row r="3198">
      <c r="A3198" s="568" t="n">
        <v>45678</v>
      </c>
      <c r="B3198" s="392" t="n">
        <v>11596</v>
      </c>
      <c r="C3198" s="392" t="n">
        <v>80</v>
      </c>
      <c r="D3198" s="392" t="n"/>
      <c r="E3198" s="392" t="n"/>
      <c r="F3198" s="392" t="n"/>
      <c r="G3198" s="392" t="n">
        <v>20</v>
      </c>
      <c r="H3198" s="52">
        <f>H3197-G3198</f>
        <v/>
      </c>
      <c r="I3198" s="568" t="n"/>
      <c r="J3198" s="568" t="n"/>
      <c r="K3198" s="568" t="n"/>
      <c r="L3198" s="568" t="n"/>
    </row>
    <row r="3199">
      <c r="A3199" s="568" t="n">
        <v>45678</v>
      </c>
      <c r="B3199" s="392" t="n">
        <v>11598</v>
      </c>
      <c r="C3199" s="392" t="n">
        <v>86</v>
      </c>
      <c r="D3199" s="392" t="n"/>
      <c r="E3199" s="392" t="n"/>
      <c r="F3199" s="392" t="n"/>
      <c r="G3199" s="392" t="n">
        <v>50</v>
      </c>
      <c r="H3199" s="52">
        <f>H3198-G3199</f>
        <v/>
      </c>
      <c r="I3199" s="568" t="n"/>
      <c r="J3199" s="568" t="n"/>
      <c r="K3199" s="568" t="n"/>
      <c r="L3199" s="568" t="n"/>
    </row>
    <row r="3200">
      <c r="A3200" s="568" t="n">
        <v>45678</v>
      </c>
      <c r="B3200" s="392" t="n">
        <v>11602</v>
      </c>
      <c r="C3200" s="392" t="n">
        <v>73</v>
      </c>
      <c r="D3200" s="392" t="n"/>
      <c r="E3200" s="392" t="n"/>
      <c r="F3200" s="392" t="n"/>
      <c r="G3200" s="392" t="n">
        <v>50</v>
      </c>
      <c r="H3200" s="52">
        <f>H3199-G3200</f>
        <v/>
      </c>
      <c r="I3200" s="568" t="n"/>
      <c r="J3200" s="568" t="n"/>
      <c r="K3200" s="568" t="n"/>
      <c r="L3200" s="568" t="n"/>
    </row>
    <row r="3201">
      <c r="A3201" s="568" t="n">
        <v>45680</v>
      </c>
      <c r="B3201" s="392" t="n">
        <v>11606</v>
      </c>
      <c r="C3201" s="392" t="n">
        <v>85.3</v>
      </c>
      <c r="D3201" s="392" t="n"/>
      <c r="E3201" s="392" t="n"/>
      <c r="F3201" s="392" t="n"/>
      <c r="G3201" s="392" t="n">
        <v>50</v>
      </c>
      <c r="H3201" s="52">
        <f>H3200-G3201</f>
        <v/>
      </c>
      <c r="I3201" s="568" t="n"/>
      <c r="J3201" s="568" t="n"/>
      <c r="K3201" s="568" t="n"/>
      <c r="L3201" s="568" t="n"/>
    </row>
    <row r="3202">
      <c r="A3202" s="568" t="n">
        <v>45680</v>
      </c>
      <c r="B3202" s="392" t="n">
        <v>11608</v>
      </c>
      <c r="C3202" s="392" t="n">
        <v>85</v>
      </c>
      <c r="D3202" s="392" t="n"/>
      <c r="E3202" s="392" t="n"/>
      <c r="F3202" s="392" t="n"/>
      <c r="G3202" s="392" t="n">
        <v>20</v>
      </c>
      <c r="H3202" s="52">
        <f>H3201-G3202</f>
        <v/>
      </c>
      <c r="I3202" s="568" t="n"/>
      <c r="J3202" s="568" t="n"/>
      <c r="K3202" s="568" t="n"/>
      <c r="L3202" s="568" t="n"/>
    </row>
    <row r="3203">
      <c r="A3203" s="568" t="n">
        <v>45680</v>
      </c>
      <c r="B3203" s="392" t="n">
        <v>11610</v>
      </c>
      <c r="C3203" s="392" t="n">
        <v>87</v>
      </c>
      <c r="D3203" s="392" t="n"/>
      <c r="E3203" s="392" t="n"/>
      <c r="F3203" s="392" t="n"/>
      <c r="G3203" s="392" t="n">
        <v>20</v>
      </c>
      <c r="H3203" s="52">
        <f>H3202-G3203</f>
        <v/>
      </c>
      <c r="I3203" s="568" t="n"/>
      <c r="J3203" s="568" t="n"/>
      <c r="K3203" s="568" t="n"/>
      <c r="L3203" s="568" t="n"/>
    </row>
    <row r="3204">
      <c r="A3204" s="568" t="n">
        <v>45680</v>
      </c>
      <c r="B3204" s="392" t="n">
        <v>11611</v>
      </c>
      <c r="C3204" s="392" t="n">
        <v>81</v>
      </c>
      <c r="D3204" s="392" t="n"/>
      <c r="E3204" s="392" t="n"/>
      <c r="F3204" s="392" t="n"/>
      <c r="G3204" s="392" t="n">
        <v>130</v>
      </c>
      <c r="H3204" s="52">
        <f>H3203-G3204</f>
        <v/>
      </c>
      <c r="I3204" s="568" t="n"/>
      <c r="J3204" s="568" t="n"/>
      <c r="K3204" s="568" t="n"/>
      <c r="L3204" s="568" t="n"/>
    </row>
    <row r="3205">
      <c r="A3205" s="568" t="n">
        <v>45682</v>
      </c>
      <c r="B3205" s="392" t="n">
        <v>11612</v>
      </c>
      <c r="C3205" s="392" t="n">
        <v>85</v>
      </c>
      <c r="D3205" s="392" t="n"/>
      <c r="E3205" s="392" t="n"/>
      <c r="F3205" s="392" t="n"/>
      <c r="G3205" s="392" t="n">
        <v>10</v>
      </c>
      <c r="H3205" s="52">
        <f>H3204-G3205</f>
        <v/>
      </c>
      <c r="I3205" s="568" t="n"/>
      <c r="J3205" s="568" t="n"/>
      <c r="K3205" s="568" t="n"/>
      <c r="L3205" s="568" t="n"/>
    </row>
    <row r="3206">
      <c r="A3206" s="568" t="n">
        <v>45686</v>
      </c>
      <c r="B3206" s="392" t="n">
        <v>11617</v>
      </c>
      <c r="C3206" s="392" t="n">
        <v>81</v>
      </c>
      <c r="D3206" s="392" t="n"/>
      <c r="E3206" s="392" t="n"/>
      <c r="F3206" s="392" t="n"/>
      <c r="G3206" s="392" t="n">
        <v>51</v>
      </c>
      <c r="H3206" s="52">
        <f>H3205-G3206</f>
        <v/>
      </c>
      <c r="I3206" s="568" t="n"/>
      <c r="J3206" s="568" t="n"/>
      <c r="K3206" s="568" t="n"/>
      <c r="L3206" s="568" t="n"/>
    </row>
    <row r="3207">
      <c r="A3207" s="568" t="n">
        <v>45686</v>
      </c>
      <c r="B3207" s="392" t="n">
        <v>11618</v>
      </c>
      <c r="C3207" s="392" t="n">
        <v>83.33</v>
      </c>
      <c r="D3207" s="392" t="n"/>
      <c r="E3207" s="392" t="n"/>
      <c r="F3207" s="392" t="n"/>
      <c r="G3207" s="392" t="n">
        <v>30</v>
      </c>
      <c r="H3207" s="52">
        <f>H3206-G3207</f>
        <v/>
      </c>
      <c r="I3207" s="568" t="n"/>
      <c r="J3207" s="568" t="n"/>
      <c r="K3207" s="568" t="n"/>
      <c r="L3207" s="568" t="n"/>
    </row>
    <row r="3208">
      <c r="A3208" s="568" t="n">
        <v>45686</v>
      </c>
      <c r="B3208" s="392" t="n">
        <v>11619</v>
      </c>
      <c r="C3208" s="392" t="n">
        <v>83.63</v>
      </c>
      <c r="D3208" s="392" t="n"/>
      <c r="E3208" s="392" t="n"/>
      <c r="F3208" s="392" t="n"/>
      <c r="G3208" s="392" t="n">
        <v>36</v>
      </c>
      <c r="H3208" s="52">
        <f>H3207-G3208</f>
        <v/>
      </c>
      <c r="I3208" s="568" t="n"/>
      <c r="J3208" s="568" t="n"/>
      <c r="K3208" s="568" t="n"/>
      <c r="L3208" s="568" t="n"/>
    </row>
    <row r="3209" ht="15.75" customHeight="1" s="436" thickBot="1">
      <c r="A3209" s="414" t="n"/>
      <c r="H3209" s="171" t="n"/>
      <c r="I3209" s="414" t="n"/>
      <c r="J3209" s="414" t="n"/>
      <c r="K3209" s="414" t="n"/>
      <c r="L3209" s="414" t="n"/>
    </row>
    <row r="3210" ht="21.75" customHeight="1" s="436" thickBot="1">
      <c r="A3210" s="757" t="inlineStr">
        <is>
          <t>Fevereiro</t>
        </is>
      </c>
      <c r="B3210" s="697" t="n"/>
      <c r="C3210" s="697" t="n"/>
      <c r="D3210" s="697" t="n"/>
      <c r="E3210" s="697" t="n"/>
      <c r="F3210" s="697" t="n"/>
      <c r="G3210" s="697" t="n"/>
      <c r="H3210" s="697" t="n"/>
      <c r="I3210" s="697" t="n"/>
      <c r="J3210" s="697" t="n"/>
      <c r="K3210" s="697" t="n"/>
      <c r="L3210" s="698" t="n"/>
    </row>
    <row r="3211" ht="21.75" customHeight="1" s="436" thickBot="1">
      <c r="A3211" s="699" t="inlineStr">
        <is>
          <t xml:space="preserve">021 - DENISE FURTADO DE SOUZA - ME </t>
        </is>
      </c>
      <c r="B3211" s="697" t="n"/>
      <c r="C3211" s="697" t="n"/>
      <c r="D3211" s="697" t="n"/>
      <c r="E3211" s="697" t="n"/>
      <c r="F3211" s="697" t="n"/>
      <c r="G3211" s="697" t="n"/>
      <c r="H3211" s="697" t="n"/>
      <c r="I3211" s="697" t="n"/>
      <c r="J3211" s="697" t="n"/>
      <c r="K3211" s="697" t="n"/>
      <c r="L3211" s="698" t="n"/>
    </row>
    <row r="3212" ht="24" customHeight="1" s="436" thickBot="1">
      <c r="A3212" s="759" t="inlineStr">
        <is>
          <t xml:space="preserve">  PRÉ MISTURA - 25 KG</t>
        </is>
      </c>
      <c r="B3212" s="697" t="n"/>
      <c r="C3212" s="697" t="n"/>
      <c r="D3212" s="697" t="n"/>
      <c r="E3212" s="697" t="n"/>
      <c r="F3212" s="697" t="n"/>
      <c r="G3212" s="697" t="n"/>
      <c r="H3212" s="697" t="n"/>
      <c r="I3212" s="697" t="n"/>
      <c r="J3212" s="697" t="n"/>
      <c r="K3212" s="697" t="n"/>
      <c r="L3212" s="698" t="n"/>
    </row>
    <row r="3213">
      <c r="A3213" s="3" t="inlineStr">
        <is>
          <t>DATA</t>
        </is>
      </c>
      <c r="B3213" s="3" t="inlineStr">
        <is>
          <t>N.F.</t>
        </is>
      </c>
      <c r="C3213" s="3" t="inlineStr">
        <is>
          <t>TIPO</t>
        </is>
      </c>
      <c r="D3213" s="3" t="inlineStr">
        <is>
          <t>PREÇO UNITÁRIO</t>
        </is>
      </c>
      <c r="E3213" s="736" t="n"/>
      <c r="F3213" s="3" t="inlineStr">
        <is>
          <t>QUANTIDADE / KG</t>
        </is>
      </c>
      <c r="G3213" s="737" t="n"/>
      <c r="H3213" s="736" t="n"/>
      <c r="I3213" s="631" t="inlineStr">
        <is>
          <t>PREÇO</t>
        </is>
      </c>
      <c r="J3213" s="631" t="inlineStr">
        <is>
          <t>VALORES</t>
        </is>
      </c>
      <c r="K3213" s="737" t="n"/>
      <c r="L3213" s="736" t="n"/>
    </row>
    <row r="3214" ht="15.75" customHeight="1" s="436" thickBot="1">
      <c r="A3214" s="704" t="n"/>
      <c r="B3214" s="704" t="n"/>
      <c r="C3214" s="704" t="n"/>
      <c r="D3214" s="703" t="n"/>
      <c r="E3214" s="701" t="n"/>
      <c r="F3214" s="705" t="n"/>
      <c r="G3214" s="706" t="n"/>
      <c r="H3214" s="707" t="n"/>
      <c r="I3214" s="704" t="n"/>
      <c r="J3214" s="703" t="n"/>
      <c r="L3214" s="701" t="n"/>
    </row>
    <row r="3215" ht="15.75" customHeight="1" s="436" thickBot="1">
      <c r="A3215" s="704" t="n"/>
      <c r="B3215" s="704" t="n"/>
      <c r="C3215" s="704" t="n"/>
      <c r="D3215" s="705" t="n"/>
      <c r="E3215" s="707" t="n"/>
      <c r="F3215" s="3" t="inlineStr">
        <is>
          <t>ENTRADA</t>
        </is>
      </c>
      <c r="G3215" s="3" t="inlineStr">
        <is>
          <t>SAÍDA</t>
        </is>
      </c>
      <c r="H3215" s="640" t="n"/>
      <c r="I3215" s="633" t="inlineStr">
        <is>
          <t>MÉDIO</t>
        </is>
      </c>
      <c r="J3215" s="739" t="inlineStr">
        <is>
          <t>SALDO EM 30/12/2017</t>
        </is>
      </c>
      <c r="K3215" s="707" t="n"/>
      <c r="L3215" s="17" t="n"/>
    </row>
    <row r="3216" ht="15.75" customHeight="1" s="436" thickBot="1">
      <c r="A3216" s="695" t="n"/>
      <c r="B3216" s="695" t="n"/>
      <c r="C3216" s="695" t="n"/>
      <c r="D3216" s="3" t="inlineStr">
        <is>
          <t>C/ICMS</t>
        </is>
      </c>
      <c r="E3216" s="3" t="inlineStr">
        <is>
          <t>S/ICMS</t>
        </is>
      </c>
      <c r="F3216" s="695" t="n"/>
      <c r="G3216" s="695" t="n"/>
      <c r="H3216" s="361" t="inlineStr">
        <is>
          <t>Saldo em 31/01/2024</t>
        </is>
      </c>
      <c r="I3216" s="695" t="n"/>
      <c r="J3216" s="645" t="inlineStr">
        <is>
          <t>ENTRADA</t>
        </is>
      </c>
      <c r="K3216" s="633" t="inlineStr">
        <is>
          <t>SAÍDA / CMV</t>
        </is>
      </c>
      <c r="L3216" s="633" t="inlineStr">
        <is>
          <t>SALDO</t>
        </is>
      </c>
    </row>
    <row r="3217">
      <c r="A3217" s="568" t="n"/>
      <c r="B3217" s="392" t="n"/>
      <c r="C3217" s="392" t="n"/>
      <c r="D3217" s="392" t="n"/>
      <c r="E3217" s="392" t="n"/>
      <c r="F3217" s="392" t="n"/>
      <c r="G3217" s="392" t="n"/>
      <c r="H3217" s="52" t="n">
        <v>1136</v>
      </c>
      <c r="I3217" s="568" t="n"/>
      <c r="J3217" s="568" t="n"/>
      <c r="K3217" s="568" t="n"/>
      <c r="L3217" s="392" t="n"/>
    </row>
    <row r="3218">
      <c r="A3218" s="568" t="n">
        <v>45691</v>
      </c>
      <c r="B3218" s="392" t="n">
        <v>11621</v>
      </c>
      <c r="C3218" s="392" t="n">
        <v>86.40000000000001</v>
      </c>
      <c r="D3218" s="392" t="n"/>
      <c r="E3218" s="392" t="n"/>
      <c r="F3218" s="392" t="n"/>
      <c r="G3218" s="392" t="n">
        <v>50</v>
      </c>
      <c r="H3218" s="52">
        <f>H3217-G3218</f>
        <v/>
      </c>
      <c r="I3218" s="568" t="n"/>
      <c r="J3218" s="568" t="n"/>
      <c r="K3218" s="568" t="n"/>
      <c r="L3218" s="568" t="n"/>
    </row>
    <row r="3219">
      <c r="A3219" s="568" t="n">
        <v>45691</v>
      </c>
      <c r="B3219" s="392" t="n">
        <v>11623</v>
      </c>
      <c r="C3219" s="392" t="n">
        <v>82</v>
      </c>
      <c r="D3219" s="392" t="n"/>
      <c r="E3219" s="392" t="n"/>
      <c r="F3219" s="392" t="n"/>
      <c r="G3219" s="392" t="n">
        <v>20</v>
      </c>
      <c r="H3219" s="52">
        <f>H3218-G3219</f>
        <v/>
      </c>
      <c r="I3219" s="568" t="n"/>
      <c r="J3219" s="568" t="n"/>
      <c r="K3219" s="568" t="n"/>
      <c r="L3219" s="568" t="n"/>
    </row>
    <row r="3220">
      <c r="A3220" s="568" t="n">
        <v>45692</v>
      </c>
      <c r="B3220" s="392" t="n">
        <v>11624</v>
      </c>
      <c r="C3220" s="392" t="n">
        <v>85</v>
      </c>
      <c r="D3220" s="392" t="n"/>
      <c r="E3220" s="392" t="n"/>
      <c r="F3220" s="392" t="n"/>
      <c r="G3220" s="392" t="n">
        <v>10</v>
      </c>
      <c r="H3220" s="52">
        <f>H3219-G3220</f>
        <v/>
      </c>
      <c r="I3220" s="568" t="n"/>
      <c r="J3220" s="568" t="n"/>
      <c r="K3220" s="568" t="n"/>
      <c r="L3220" s="568" t="n"/>
    </row>
    <row r="3221">
      <c r="A3221" s="568" t="n">
        <v>45692</v>
      </c>
      <c r="B3221" s="392" t="n">
        <v>11625</v>
      </c>
      <c r="C3221" s="392" t="n">
        <v>85.08</v>
      </c>
      <c r="D3221" s="392" t="n"/>
      <c r="E3221" s="392" t="n"/>
      <c r="F3221" s="392" t="n"/>
      <c r="G3221" s="392" t="n">
        <v>50</v>
      </c>
      <c r="H3221" s="52">
        <f>H3220-G3221</f>
        <v/>
      </c>
      <c r="I3221" s="568" t="n"/>
      <c r="J3221" s="568" t="n"/>
      <c r="K3221" s="568" t="n"/>
      <c r="L3221" s="568" t="n"/>
    </row>
    <row r="3222">
      <c r="A3222" s="568" t="n">
        <v>45692</v>
      </c>
      <c r="B3222" s="392" t="n">
        <v>11629</v>
      </c>
      <c r="C3222" s="392" t="n">
        <v>80</v>
      </c>
      <c r="D3222" s="392" t="n"/>
      <c r="E3222" s="392" t="n"/>
      <c r="F3222" s="392" t="n"/>
      <c r="G3222" s="392" t="n">
        <v>10</v>
      </c>
      <c r="H3222" s="52">
        <f>H3221-G3222</f>
        <v/>
      </c>
      <c r="I3222" s="568" t="n"/>
      <c r="J3222" s="568" t="n"/>
      <c r="K3222" s="568" t="n"/>
      <c r="L3222" s="568" t="n"/>
    </row>
    <row r="3223">
      <c r="A3223" s="568" t="n">
        <v>45692</v>
      </c>
      <c r="B3223" s="392" t="n">
        <v>11631</v>
      </c>
      <c r="C3223" s="392" t="n">
        <v>85</v>
      </c>
      <c r="D3223" s="392" t="n"/>
      <c r="E3223" s="392" t="n"/>
      <c r="F3223" s="392" t="n"/>
      <c r="G3223" s="392" t="n">
        <v>10</v>
      </c>
      <c r="H3223" s="52">
        <f>H3222-G3223</f>
        <v/>
      </c>
      <c r="I3223" s="568" t="n"/>
      <c r="J3223" s="568" t="n"/>
      <c r="K3223" s="568" t="n"/>
      <c r="L3223" s="568" t="n"/>
    </row>
    <row r="3224">
      <c r="A3224" s="304" t="n">
        <v>45694</v>
      </c>
      <c r="B3224" s="401" t="n">
        <v>281088</v>
      </c>
      <c r="C3224" s="401" t="n">
        <v>70.5</v>
      </c>
      <c r="D3224" s="401" t="n"/>
      <c r="E3224" s="401" t="n"/>
      <c r="F3224" s="401" t="n">
        <v>200</v>
      </c>
      <c r="G3224" s="401" t="n"/>
      <c r="H3224" s="277" t="n">
        <v>1186</v>
      </c>
      <c r="I3224" s="568" t="n"/>
      <c r="J3224" s="568" t="n"/>
      <c r="K3224" s="568" t="n"/>
      <c r="L3224" s="568" t="n"/>
    </row>
    <row r="3225">
      <c r="A3225" s="568" t="n">
        <v>45697</v>
      </c>
      <c r="B3225" s="392" t="n">
        <v>11635</v>
      </c>
      <c r="C3225" s="392" t="n">
        <v>114</v>
      </c>
      <c r="D3225" s="392" t="n"/>
      <c r="E3225" s="392" t="n"/>
      <c r="F3225" s="392" t="n"/>
      <c r="G3225" s="392" t="n">
        <v>73</v>
      </c>
      <c r="H3225" s="52">
        <f>H3224-G3225</f>
        <v/>
      </c>
      <c r="I3225" s="568" t="n"/>
      <c r="J3225" s="568" t="n"/>
      <c r="K3225" s="568" t="n"/>
      <c r="L3225" s="568" t="n"/>
    </row>
    <row r="3226">
      <c r="A3226" s="568" t="n">
        <v>45698</v>
      </c>
      <c r="B3226" s="392" t="n">
        <v>11638</v>
      </c>
      <c r="C3226" s="392" t="n">
        <v>86.40000000000001</v>
      </c>
      <c r="D3226" s="392" t="n"/>
      <c r="E3226" s="392" t="n"/>
      <c r="F3226" s="392" t="n"/>
      <c r="G3226" s="392" t="n">
        <v>25</v>
      </c>
      <c r="H3226" s="52">
        <f>H3225-G3226</f>
        <v/>
      </c>
      <c r="I3226" s="568" t="n"/>
      <c r="J3226" s="568" t="n"/>
      <c r="K3226" s="568" t="n"/>
      <c r="L3226" s="568" t="n"/>
    </row>
    <row r="3227">
      <c r="A3227" s="568" t="n">
        <v>45700</v>
      </c>
      <c r="B3227" s="392" t="n">
        <v>11644</v>
      </c>
      <c r="C3227" s="392" t="n">
        <v>85</v>
      </c>
      <c r="D3227" s="392" t="n"/>
      <c r="E3227" s="392" t="n"/>
      <c r="F3227" s="392" t="n"/>
      <c r="G3227" s="392" t="n">
        <v>60</v>
      </c>
      <c r="H3227" s="52">
        <f>H3226-G3227</f>
        <v/>
      </c>
      <c r="I3227" s="568" t="n"/>
      <c r="J3227" s="568" t="n"/>
      <c r="K3227" s="568" t="n"/>
      <c r="L3227" s="568" t="n"/>
    </row>
    <row r="3228">
      <c r="A3228" s="568" t="n">
        <v>45700</v>
      </c>
      <c r="B3228" s="392" t="n">
        <v>11646</v>
      </c>
      <c r="C3228" s="392" t="n">
        <v>85.8</v>
      </c>
      <c r="D3228" s="392" t="n"/>
      <c r="E3228" s="392" t="n"/>
      <c r="F3228" s="392" t="n"/>
      <c r="G3228" s="392" t="n">
        <v>50</v>
      </c>
      <c r="H3228" s="52">
        <f>H3227-G3228</f>
        <v/>
      </c>
      <c r="I3228" s="568" t="n"/>
      <c r="J3228" s="568" t="n"/>
      <c r="K3228" s="568" t="n"/>
      <c r="L3228" s="568" t="n"/>
    </row>
    <row r="3229">
      <c r="A3229" s="568" t="n">
        <v>45700</v>
      </c>
      <c r="B3229" s="392" t="n">
        <v>11647</v>
      </c>
      <c r="C3229" s="392" t="n">
        <v>85</v>
      </c>
      <c r="D3229" s="392" t="n"/>
      <c r="E3229" s="392" t="n"/>
      <c r="F3229" s="392" t="n"/>
      <c r="G3229" s="392" t="n">
        <v>10</v>
      </c>
      <c r="H3229" s="52">
        <f>H3228-G3229</f>
        <v/>
      </c>
      <c r="I3229" s="568" t="n"/>
      <c r="J3229" s="568" t="n"/>
      <c r="K3229" s="568" t="n"/>
      <c r="L3229" s="568" t="n"/>
    </row>
    <row r="3230">
      <c r="A3230" s="568" t="n">
        <v>45700</v>
      </c>
      <c r="B3230" s="392" t="n">
        <v>11648</v>
      </c>
      <c r="C3230" s="392" t="n">
        <v>78</v>
      </c>
      <c r="D3230" s="392" t="n"/>
      <c r="E3230" s="392" t="n"/>
      <c r="F3230" s="392" t="n"/>
      <c r="G3230" s="392" t="n">
        <v>10</v>
      </c>
      <c r="H3230" s="52">
        <f>H3229-G3230</f>
        <v/>
      </c>
      <c r="I3230" s="568" t="n"/>
      <c r="J3230" s="568" t="n"/>
      <c r="K3230" s="568" t="n"/>
      <c r="L3230" s="568" t="n"/>
    </row>
    <row r="3231">
      <c r="A3231" s="304" t="n">
        <v>45705</v>
      </c>
      <c r="B3231" s="401" t="n">
        <v>281520</v>
      </c>
      <c r="C3231" s="401" t="n">
        <v>61.5</v>
      </c>
      <c r="D3231" s="401" t="n"/>
      <c r="E3231" s="401" t="n"/>
      <c r="F3231" s="401" t="n">
        <v>1280</v>
      </c>
      <c r="G3231" s="401" t="n"/>
      <c r="H3231" s="277" t="n">
        <v>2238</v>
      </c>
      <c r="I3231" s="568" t="n"/>
      <c r="J3231" s="568" t="n"/>
      <c r="K3231" s="568" t="n"/>
      <c r="L3231" s="568" t="n"/>
    </row>
    <row r="3232">
      <c r="A3232" s="568" t="n">
        <v>45705</v>
      </c>
      <c r="B3232" s="392" t="n">
        <v>11651</v>
      </c>
      <c r="C3232" s="392" t="n">
        <v>86.40000000000001</v>
      </c>
      <c r="D3232" s="392" t="n"/>
      <c r="E3232" s="392" t="n"/>
      <c r="F3232" s="392" t="n"/>
      <c r="G3232" s="392" t="n">
        <v>50</v>
      </c>
      <c r="H3232" s="52">
        <f>H3231-G3232</f>
        <v/>
      </c>
      <c r="I3232" s="568" t="n"/>
      <c r="J3232" s="568" t="n"/>
      <c r="K3232" s="568" t="n"/>
      <c r="L3232" s="568" t="n"/>
    </row>
    <row r="3233">
      <c r="A3233" s="568" t="n">
        <v>45707</v>
      </c>
      <c r="B3233" s="392" t="n">
        <v>11655</v>
      </c>
      <c r="C3233" s="392" t="n">
        <v>80</v>
      </c>
      <c r="D3233" s="392" t="n"/>
      <c r="E3233" s="392" t="n"/>
      <c r="F3233" s="392" t="n"/>
      <c r="G3233" s="392" t="n">
        <v>20</v>
      </c>
      <c r="H3233" s="52">
        <f>H3232-G3233</f>
        <v/>
      </c>
      <c r="I3233" s="568" t="n"/>
      <c r="J3233" s="568" t="n"/>
      <c r="K3233" s="568" t="n"/>
      <c r="L3233" s="568" t="n"/>
    </row>
    <row r="3234">
      <c r="A3234" s="568" t="n">
        <v>45707</v>
      </c>
      <c r="B3234" s="392" t="n">
        <v>11657</v>
      </c>
      <c r="C3234" s="392" t="n">
        <v>81.5</v>
      </c>
      <c r="D3234" s="392" t="n"/>
      <c r="E3234" s="392" t="n"/>
      <c r="F3234" s="392" t="n"/>
      <c r="G3234" s="392" t="n">
        <v>20</v>
      </c>
      <c r="H3234" s="52">
        <f>H3233-G3234</f>
        <v/>
      </c>
      <c r="I3234" s="568" t="n"/>
      <c r="J3234" s="568" t="n"/>
      <c r="K3234" s="568" t="n"/>
      <c r="L3234" s="568" t="n"/>
    </row>
    <row r="3235">
      <c r="A3235" s="568" t="n">
        <v>45707</v>
      </c>
      <c r="B3235" s="392" t="n">
        <v>11661</v>
      </c>
      <c r="C3235" s="392" t="n">
        <v>85.75</v>
      </c>
      <c r="D3235" s="392" t="n"/>
      <c r="E3235" s="392" t="n"/>
      <c r="F3235" s="392" t="n"/>
      <c r="G3235" s="392" t="n">
        <v>40</v>
      </c>
      <c r="H3235" s="52">
        <f>H3234-G3235</f>
        <v/>
      </c>
      <c r="I3235" s="568" t="n"/>
      <c r="J3235" s="568" t="n"/>
      <c r="K3235" s="568" t="n"/>
      <c r="L3235" s="568" t="n"/>
    </row>
    <row r="3236">
      <c r="A3236" s="568" t="n">
        <v>45707</v>
      </c>
      <c r="B3236" s="392" t="n">
        <v>11662</v>
      </c>
      <c r="C3236" s="392" t="n">
        <v>80</v>
      </c>
      <c r="D3236" s="392" t="n"/>
      <c r="E3236" s="392" t="n"/>
      <c r="F3236" s="392" t="n"/>
      <c r="G3236" s="392" t="n">
        <v>10</v>
      </c>
      <c r="H3236" s="52">
        <f>H3235-G3236</f>
        <v/>
      </c>
      <c r="I3236" s="568" t="n"/>
      <c r="J3236" s="568" t="n"/>
      <c r="K3236" s="568" t="n"/>
      <c r="L3236" s="568" t="n"/>
    </row>
    <row r="3237">
      <c r="A3237" s="568" t="n">
        <v>45712</v>
      </c>
      <c r="B3237" s="392" t="n">
        <v>11665</v>
      </c>
      <c r="C3237" s="392" t="n">
        <v>85</v>
      </c>
      <c r="D3237" s="392" t="n"/>
      <c r="E3237" s="392" t="n"/>
      <c r="F3237" s="392" t="n"/>
      <c r="G3237" s="392" t="n">
        <v>10</v>
      </c>
      <c r="H3237" s="52">
        <f>H3236-G3237</f>
        <v/>
      </c>
      <c r="I3237" s="568" t="n"/>
      <c r="J3237" s="568" t="n"/>
      <c r="K3237" s="568" t="n"/>
      <c r="L3237" s="568" t="n"/>
    </row>
    <row r="3238">
      <c r="A3238" s="568" t="n">
        <v>45712</v>
      </c>
      <c r="B3238" s="392" t="n">
        <v>11669</v>
      </c>
      <c r="C3238" s="392" t="n">
        <v>81.5</v>
      </c>
      <c r="D3238" s="392" t="n"/>
      <c r="E3238" s="392" t="n"/>
      <c r="F3238" s="392" t="n"/>
      <c r="G3238" s="392" t="n">
        <v>50</v>
      </c>
      <c r="H3238" s="52">
        <f>H3237-G3238</f>
        <v/>
      </c>
      <c r="I3238" s="568" t="n"/>
      <c r="J3238" s="568" t="n"/>
      <c r="K3238" s="568" t="n"/>
      <c r="L3238" s="568" t="n"/>
    </row>
    <row r="3239">
      <c r="A3239" s="568" t="n">
        <v>45713</v>
      </c>
      <c r="B3239" s="392" t="n">
        <v>11672</v>
      </c>
      <c r="C3239" s="392" t="n">
        <v>80</v>
      </c>
      <c r="D3239" s="392" t="n"/>
      <c r="E3239" s="392" t="n"/>
      <c r="F3239" s="392" t="n"/>
      <c r="G3239" s="392" t="n">
        <v>10</v>
      </c>
      <c r="H3239" s="52">
        <f>H3238-G3239</f>
        <v/>
      </c>
      <c r="I3239" s="568" t="n"/>
      <c r="J3239" s="568" t="n"/>
      <c r="K3239" s="568" t="n"/>
      <c r="L3239" s="568" t="n"/>
    </row>
    <row r="3240">
      <c r="A3240" s="568" t="n">
        <v>45713</v>
      </c>
      <c r="B3240" s="392" t="n">
        <v>11674</v>
      </c>
      <c r="C3240" s="392" t="n">
        <v>84.38</v>
      </c>
      <c r="D3240" s="392" t="n"/>
      <c r="E3240" s="392" t="n"/>
      <c r="F3240" s="392" t="n"/>
      <c r="G3240" s="392" t="n">
        <v>40</v>
      </c>
      <c r="H3240" s="52">
        <f>H3239-G3240</f>
        <v/>
      </c>
      <c r="I3240" s="568" t="n"/>
      <c r="J3240" s="568" t="n"/>
      <c r="K3240" s="568" t="n"/>
      <c r="L3240" s="568" t="n"/>
    </row>
    <row r="3241" ht="15.75" customHeight="1" s="436" thickBot="1">
      <c r="A3241" s="414" t="n"/>
      <c r="H3241" s="171" t="n"/>
      <c r="I3241" s="414" t="n"/>
      <c r="J3241" s="414" t="n"/>
      <c r="K3241" s="414" t="n"/>
      <c r="L3241" s="414" t="n"/>
    </row>
    <row r="3242" ht="21.75" customHeight="1" s="436" thickBot="1">
      <c r="A3242" s="757" t="inlineStr">
        <is>
          <t>Março</t>
        </is>
      </c>
      <c r="B3242" s="697" t="n"/>
      <c r="C3242" s="697" t="n"/>
      <c r="D3242" s="697" t="n"/>
      <c r="E3242" s="697" t="n"/>
      <c r="F3242" s="697" t="n"/>
      <c r="G3242" s="697" t="n"/>
      <c r="H3242" s="697" t="n"/>
      <c r="I3242" s="697" t="n"/>
      <c r="J3242" s="697" t="n"/>
      <c r="K3242" s="697" t="n"/>
      <c r="L3242" s="698" t="n"/>
    </row>
    <row r="3243" ht="21.75" customHeight="1" s="436" thickBot="1">
      <c r="A3243" s="699" t="inlineStr">
        <is>
          <t xml:space="preserve">021 - DENISE FURTADO DE SOUZA - ME </t>
        </is>
      </c>
      <c r="B3243" s="697" t="n"/>
      <c r="C3243" s="697" t="n"/>
      <c r="D3243" s="697" t="n"/>
      <c r="E3243" s="697" t="n"/>
      <c r="F3243" s="697" t="n"/>
      <c r="G3243" s="697" t="n"/>
      <c r="H3243" s="697" t="n"/>
      <c r="I3243" s="697" t="n"/>
      <c r="J3243" s="697" t="n"/>
      <c r="K3243" s="697" t="n"/>
      <c r="L3243" s="698" t="n"/>
    </row>
    <row r="3244" ht="24" customHeight="1" s="436" thickBot="1">
      <c r="A3244" s="759" t="inlineStr">
        <is>
          <t xml:space="preserve">  PRÉ MISTURA - 25 KG</t>
        </is>
      </c>
      <c r="B3244" s="697" t="n"/>
      <c r="C3244" s="697" t="n"/>
      <c r="D3244" s="697" t="n"/>
      <c r="E3244" s="697" t="n"/>
      <c r="F3244" s="697" t="n"/>
      <c r="G3244" s="697" t="n"/>
      <c r="H3244" s="697" t="n"/>
      <c r="I3244" s="697" t="n"/>
      <c r="J3244" s="697" t="n"/>
      <c r="K3244" s="697" t="n"/>
      <c r="L3244" s="698" t="n"/>
    </row>
    <row r="3245">
      <c r="A3245" s="3" t="inlineStr">
        <is>
          <t>DATA</t>
        </is>
      </c>
      <c r="B3245" s="3" t="inlineStr">
        <is>
          <t>N.F.</t>
        </is>
      </c>
      <c r="C3245" s="3" t="inlineStr">
        <is>
          <t>TIPO</t>
        </is>
      </c>
      <c r="D3245" s="3" t="inlineStr">
        <is>
          <t>PREÇO UNITÁRIO</t>
        </is>
      </c>
      <c r="E3245" s="736" t="n"/>
      <c r="F3245" s="3" t="inlineStr">
        <is>
          <t>QUANTIDADE / KG</t>
        </is>
      </c>
      <c r="G3245" s="737" t="n"/>
      <c r="H3245" s="736" t="n"/>
      <c r="I3245" s="631" t="inlineStr">
        <is>
          <t>PREÇO</t>
        </is>
      </c>
      <c r="J3245" s="631" t="inlineStr">
        <is>
          <t>VALORES</t>
        </is>
      </c>
      <c r="K3245" s="737" t="n"/>
      <c r="L3245" s="736" t="n"/>
    </row>
    <row r="3246" ht="15.75" customHeight="1" s="436" thickBot="1">
      <c r="A3246" s="704" t="n"/>
      <c r="B3246" s="704" t="n"/>
      <c r="C3246" s="704" t="n"/>
      <c r="D3246" s="703" t="n"/>
      <c r="E3246" s="701" t="n"/>
      <c r="F3246" s="705" t="n"/>
      <c r="G3246" s="706" t="n"/>
      <c r="H3246" s="707" t="n"/>
      <c r="I3246" s="704" t="n"/>
      <c r="J3246" s="703" t="n"/>
      <c r="L3246" s="701" t="n"/>
    </row>
    <row r="3247" ht="15.75" customHeight="1" s="436" thickBot="1">
      <c r="A3247" s="704" t="n"/>
      <c r="B3247" s="704" t="n"/>
      <c r="C3247" s="704" t="n"/>
      <c r="D3247" s="705" t="n"/>
      <c r="E3247" s="707" t="n"/>
      <c r="F3247" s="3" t="inlineStr">
        <is>
          <t>ENTRADA</t>
        </is>
      </c>
      <c r="G3247" s="3" t="inlineStr">
        <is>
          <t>SAÍDA</t>
        </is>
      </c>
      <c r="H3247" s="640" t="n"/>
      <c r="I3247" s="633" t="inlineStr">
        <is>
          <t>MÉDIO</t>
        </is>
      </c>
      <c r="J3247" s="739" t="inlineStr">
        <is>
          <t>SALDO EM 30/12/2017</t>
        </is>
      </c>
      <c r="K3247" s="707" t="n"/>
      <c r="L3247" s="17" t="n"/>
    </row>
    <row r="3248" ht="15.75" customHeight="1" s="436" thickBot="1">
      <c r="A3248" s="695" t="n"/>
      <c r="B3248" s="695" t="n"/>
      <c r="C3248" s="695" t="n"/>
      <c r="D3248" s="3" t="inlineStr">
        <is>
          <t>C/ICMS</t>
        </is>
      </c>
      <c r="E3248" s="3" t="inlineStr">
        <is>
          <t>S/ICMS</t>
        </is>
      </c>
      <c r="F3248" s="695" t="n"/>
      <c r="G3248" s="695" t="n"/>
      <c r="H3248" s="361" t="inlineStr">
        <is>
          <t>Saldo em 28/02/2024</t>
        </is>
      </c>
      <c r="I3248" s="695" t="n"/>
      <c r="J3248" s="645" t="inlineStr">
        <is>
          <t>ENTRADA</t>
        </is>
      </c>
      <c r="K3248" s="633" t="inlineStr">
        <is>
          <t>SAÍDA / CMV</t>
        </is>
      </c>
      <c r="L3248" s="633" t="inlineStr">
        <is>
          <t>SALDO</t>
        </is>
      </c>
    </row>
    <row r="3249">
      <c r="A3249" s="568" t="n"/>
      <c r="B3249" s="392" t="n"/>
      <c r="C3249" s="392" t="n"/>
      <c r="D3249" s="392" t="n"/>
      <c r="E3249" s="392" t="n"/>
      <c r="F3249" s="392" t="n"/>
      <c r="G3249" s="392" t="n"/>
      <c r="H3249" s="52" t="n">
        <v>1988</v>
      </c>
      <c r="I3249" s="568" t="n"/>
      <c r="J3249" s="568" t="n"/>
      <c r="K3249" s="568" t="n"/>
      <c r="L3249" s="392" t="n"/>
    </row>
    <row r="3250">
      <c r="A3250" s="568" t="n">
        <v>45721</v>
      </c>
      <c r="B3250" s="392" t="n">
        <v>11677</v>
      </c>
      <c r="C3250" s="392" t="n">
        <v>73</v>
      </c>
      <c r="D3250" s="392" t="n"/>
      <c r="E3250" s="392" t="n"/>
      <c r="F3250" s="392" t="n"/>
      <c r="G3250" s="392" t="n">
        <v>10</v>
      </c>
      <c r="H3250" s="52">
        <f>H3249-G3250</f>
        <v/>
      </c>
      <c r="I3250" s="568" t="n"/>
      <c r="J3250" s="568" t="n"/>
      <c r="K3250" s="568" t="n"/>
      <c r="L3250" s="568" t="n"/>
    </row>
    <row r="3251">
      <c r="A3251" s="568" t="n">
        <v>45721</v>
      </c>
      <c r="B3251" s="392" t="n">
        <v>11679</v>
      </c>
      <c r="C3251" s="392" t="n">
        <v>80</v>
      </c>
      <c r="D3251" s="392" t="n"/>
      <c r="E3251" s="392" t="n"/>
      <c r="F3251" s="392" t="n"/>
      <c r="G3251" s="392" t="n">
        <v>20</v>
      </c>
      <c r="H3251" s="52">
        <f>H3250-G3251</f>
        <v/>
      </c>
      <c r="I3251" s="568" t="n"/>
      <c r="J3251" s="568" t="n"/>
      <c r="K3251" s="568" t="n"/>
      <c r="L3251" s="568" t="n"/>
    </row>
    <row r="3252">
      <c r="A3252" s="568" t="n">
        <v>45721</v>
      </c>
      <c r="B3252" s="392" t="n">
        <v>11681</v>
      </c>
      <c r="C3252" s="392" t="n">
        <v>84</v>
      </c>
      <c r="D3252" s="392" t="n"/>
      <c r="E3252" s="392" t="n"/>
      <c r="F3252" s="392" t="n"/>
      <c r="G3252" s="392" t="n">
        <v>30</v>
      </c>
      <c r="H3252" s="52">
        <f>H3251-G3252</f>
        <v/>
      </c>
      <c r="I3252" s="568" t="n"/>
      <c r="J3252" s="568" t="n"/>
      <c r="K3252" s="568" t="n"/>
      <c r="L3252" s="568" t="n"/>
    </row>
    <row r="3253">
      <c r="A3253" s="568" t="n">
        <v>45721</v>
      </c>
      <c r="B3253" s="392" t="n">
        <v>11686</v>
      </c>
      <c r="C3253" s="392" t="n">
        <v>85</v>
      </c>
      <c r="D3253" s="392" t="n"/>
      <c r="E3253" s="392" t="n"/>
      <c r="F3253" s="392" t="n"/>
      <c r="G3253" s="392" t="n">
        <v>10</v>
      </c>
      <c r="H3253" s="52">
        <f>H3252-G3253</f>
        <v/>
      </c>
      <c r="I3253" s="568" t="n"/>
      <c r="J3253" s="568" t="n"/>
      <c r="K3253" s="568" t="n"/>
      <c r="L3253" s="568" t="n"/>
    </row>
    <row r="3254">
      <c r="A3254" s="568" t="n">
        <v>45722</v>
      </c>
      <c r="B3254" s="392" t="n">
        <v>11687</v>
      </c>
      <c r="C3254" s="392" t="n">
        <v>85</v>
      </c>
      <c r="D3254" s="392" t="n"/>
      <c r="E3254" s="392" t="n"/>
      <c r="F3254" s="392" t="n"/>
      <c r="G3254" s="392" t="n">
        <v>20</v>
      </c>
      <c r="H3254" s="52">
        <f>H3253-G3254</f>
        <v/>
      </c>
      <c r="I3254" s="568" t="n"/>
      <c r="J3254" s="568" t="n"/>
      <c r="K3254" s="568" t="n"/>
      <c r="L3254" s="568" t="n"/>
    </row>
    <row r="3255">
      <c r="A3255" s="568" t="n">
        <v>45728</v>
      </c>
      <c r="B3255" s="392" t="n">
        <v>11695</v>
      </c>
      <c r="C3255" s="392" t="n">
        <v>80</v>
      </c>
      <c r="D3255" s="392" t="n"/>
      <c r="E3255" s="392" t="n"/>
      <c r="F3255" s="392" t="n"/>
      <c r="G3255" s="392" t="n">
        <v>10</v>
      </c>
      <c r="H3255" s="52">
        <f>H3254-G3255</f>
        <v/>
      </c>
      <c r="I3255" s="568" t="n"/>
      <c r="J3255" s="568" t="n"/>
      <c r="K3255" s="568" t="n"/>
      <c r="L3255" s="568" t="n"/>
    </row>
    <row r="3256">
      <c r="A3256" s="568" t="n">
        <v>45728</v>
      </c>
      <c r="B3256" s="392" t="n">
        <v>11696</v>
      </c>
      <c r="C3256" s="392" t="n">
        <v>80</v>
      </c>
      <c r="D3256" s="392" t="n"/>
      <c r="E3256" s="392" t="n"/>
      <c r="F3256" s="392" t="n"/>
      <c r="G3256" s="392" t="n">
        <v>20</v>
      </c>
      <c r="H3256" s="52">
        <f>H3255-G3256</f>
        <v/>
      </c>
      <c r="I3256" s="568" t="n"/>
      <c r="J3256" s="568" t="n"/>
      <c r="K3256" s="568" t="n"/>
      <c r="L3256" s="568" t="n"/>
    </row>
    <row r="3257">
      <c r="A3257" s="568" t="n">
        <v>45728</v>
      </c>
      <c r="B3257" s="392" t="n">
        <v>11697</v>
      </c>
      <c r="C3257" s="392" t="n">
        <v>87</v>
      </c>
      <c r="D3257" s="392" t="n"/>
      <c r="E3257" s="392" t="n"/>
      <c r="F3257" s="392" t="n"/>
      <c r="G3257" s="392" t="n">
        <v>10</v>
      </c>
      <c r="H3257" s="52">
        <f>H3256-G3257</f>
        <v/>
      </c>
      <c r="I3257" s="568" t="n"/>
      <c r="J3257" s="568" t="n"/>
      <c r="K3257" s="568" t="n"/>
      <c r="L3257" s="568" t="n"/>
    </row>
    <row r="3258">
      <c r="A3258" s="568" t="n">
        <v>45728</v>
      </c>
      <c r="B3258" s="392" t="n">
        <v>11698</v>
      </c>
      <c r="C3258" s="392" t="n">
        <v>79</v>
      </c>
      <c r="D3258" s="392" t="n"/>
      <c r="E3258" s="392" t="n"/>
      <c r="F3258" s="392" t="n"/>
      <c r="G3258" s="392" t="n">
        <v>20</v>
      </c>
      <c r="H3258" s="52">
        <f>H3257-G3258</f>
        <v/>
      </c>
      <c r="I3258" s="568" t="n"/>
      <c r="J3258" s="568" t="n"/>
      <c r="K3258" s="568" t="n"/>
      <c r="L3258" s="568" t="n"/>
    </row>
    <row r="3259">
      <c r="A3259" s="568" t="n">
        <v>45728</v>
      </c>
      <c r="B3259" s="392" t="n">
        <v>11699</v>
      </c>
      <c r="C3259" s="392" t="n">
        <v>85</v>
      </c>
      <c r="D3259" s="392" t="n"/>
      <c r="E3259" s="392" t="n"/>
      <c r="F3259" s="392" t="n"/>
      <c r="G3259" s="392" t="n">
        <v>20</v>
      </c>
      <c r="H3259" s="52">
        <f>H3258-G3259</f>
        <v/>
      </c>
      <c r="I3259" s="568" t="n"/>
      <c r="J3259" s="568" t="n"/>
      <c r="K3259" s="568" t="n"/>
      <c r="L3259" s="568" t="n"/>
    </row>
    <row r="3260">
      <c r="A3260" s="304" t="n">
        <v>45734</v>
      </c>
      <c r="B3260" s="401" t="n">
        <v>283076</v>
      </c>
      <c r="C3260" s="401" t="n"/>
      <c r="D3260" s="401" t="n"/>
      <c r="E3260" s="401" t="n"/>
      <c r="F3260" s="401" t="n">
        <v>380</v>
      </c>
      <c r="G3260" s="401" t="n"/>
      <c r="H3260" s="277" t="n">
        <v>2198</v>
      </c>
      <c r="I3260" s="568" t="n"/>
      <c r="J3260" s="568" t="n"/>
      <c r="K3260" s="568" t="n"/>
      <c r="L3260" s="568" t="n"/>
    </row>
    <row r="3261">
      <c r="A3261" s="568" t="n">
        <v>45734</v>
      </c>
      <c r="B3261" s="392" t="n">
        <v>11703</v>
      </c>
      <c r="C3261" s="392" t="n">
        <v>89.8</v>
      </c>
      <c r="D3261" s="392" t="n"/>
      <c r="E3261" s="392" t="n"/>
      <c r="F3261" s="392" t="n"/>
      <c r="G3261" s="392" t="n">
        <v>25</v>
      </c>
      <c r="H3261" s="52">
        <f>H3260-G3261</f>
        <v/>
      </c>
      <c r="I3261" s="568" t="n"/>
      <c r="J3261" s="568" t="n"/>
      <c r="K3261" s="568" t="n"/>
      <c r="L3261" s="568" t="n"/>
    </row>
    <row r="3262">
      <c r="A3262" s="568" t="n">
        <v>45734</v>
      </c>
      <c r="B3262" s="392" t="n">
        <v>11708</v>
      </c>
      <c r="C3262" s="392" t="n">
        <v>80</v>
      </c>
      <c r="D3262" s="392" t="n"/>
      <c r="E3262" s="392" t="n"/>
      <c r="F3262" s="392" t="n"/>
      <c r="G3262" s="392" t="n">
        <v>20</v>
      </c>
      <c r="H3262" s="52">
        <f>H3261-G3262</f>
        <v/>
      </c>
      <c r="I3262" s="568" t="n"/>
      <c r="J3262" s="568" t="n"/>
      <c r="K3262" s="568" t="n"/>
      <c r="L3262" s="568" t="n"/>
    </row>
    <row r="3263">
      <c r="A3263" s="568" t="n">
        <v>45734</v>
      </c>
      <c r="B3263" s="392" t="n">
        <v>11710</v>
      </c>
      <c r="C3263" s="392" t="n">
        <v>79</v>
      </c>
      <c r="D3263" s="392" t="n"/>
      <c r="E3263" s="392" t="n"/>
      <c r="F3263" s="392" t="n"/>
      <c r="G3263" s="392" t="n">
        <v>10</v>
      </c>
      <c r="H3263" s="52">
        <f>H3262-G3263</f>
        <v/>
      </c>
      <c r="I3263" s="568" t="n"/>
      <c r="J3263" s="568" t="n"/>
      <c r="K3263" s="568" t="n"/>
      <c r="L3263" s="568" t="n"/>
    </row>
    <row r="3264">
      <c r="A3264" s="568" t="n">
        <v>45734</v>
      </c>
      <c r="B3264" s="392" t="n">
        <v>11711</v>
      </c>
      <c r="C3264" s="392" t="n">
        <v>83</v>
      </c>
      <c r="D3264" s="392" t="n"/>
      <c r="E3264" s="392" t="n"/>
      <c r="F3264" s="392" t="n"/>
      <c r="G3264" s="392" t="n">
        <v>50</v>
      </c>
      <c r="H3264" s="52">
        <f>H3263-G3264</f>
        <v/>
      </c>
      <c r="I3264" s="568" t="n"/>
      <c r="J3264" s="568" t="n"/>
      <c r="K3264" s="568" t="n"/>
      <c r="L3264" s="568" t="n"/>
    </row>
    <row r="3265">
      <c r="A3265" s="568" t="n">
        <v>45735</v>
      </c>
      <c r="B3265" s="392" t="n">
        <v>11712</v>
      </c>
      <c r="C3265" s="392" t="n">
        <v>87</v>
      </c>
      <c r="D3265" s="392" t="n"/>
      <c r="E3265" s="392" t="n"/>
      <c r="F3265" s="392" t="n"/>
      <c r="G3265" s="392" t="n">
        <v>40</v>
      </c>
      <c r="H3265" s="52">
        <f>H3264-G3265</f>
        <v/>
      </c>
      <c r="I3265" s="568" t="n"/>
      <c r="J3265" s="568" t="n"/>
      <c r="K3265" s="568" t="n"/>
      <c r="L3265" s="568" t="n"/>
    </row>
    <row r="3266">
      <c r="A3266" s="568" t="n">
        <v>45735</v>
      </c>
      <c r="B3266" s="392" t="n">
        <v>11717</v>
      </c>
      <c r="C3266" s="392" t="n">
        <v>82.90000000000001</v>
      </c>
      <c r="D3266" s="392" t="n"/>
      <c r="E3266" s="392" t="n"/>
      <c r="F3266" s="392" t="n"/>
      <c r="G3266" s="392" t="n">
        <v>20</v>
      </c>
      <c r="H3266" s="52">
        <f>H3265-G3266</f>
        <v/>
      </c>
      <c r="I3266" s="568" t="n"/>
      <c r="J3266" s="568" t="n"/>
      <c r="K3266" s="568" t="n"/>
      <c r="L3266" s="568" t="n"/>
    </row>
    <row r="3267">
      <c r="A3267" s="568" t="n">
        <v>45735</v>
      </c>
      <c r="B3267" s="392" t="n">
        <v>11718</v>
      </c>
      <c r="C3267" s="392" t="n">
        <v>86.12</v>
      </c>
      <c r="D3267" s="392" t="n"/>
      <c r="E3267" s="392" t="n"/>
      <c r="F3267" s="392" t="n"/>
      <c r="G3267" s="392" t="n">
        <v>50</v>
      </c>
      <c r="H3267" s="52">
        <f>H3266-G3267</f>
        <v/>
      </c>
      <c r="I3267" s="568" t="n"/>
      <c r="J3267" s="568" t="n"/>
      <c r="K3267" s="568" t="n"/>
      <c r="L3267" s="568" t="n"/>
    </row>
    <row r="3268">
      <c r="A3268" s="568" t="n">
        <v>45735</v>
      </c>
      <c r="B3268" s="392" t="n">
        <v>11721</v>
      </c>
      <c r="C3268" s="392" t="n">
        <v>79</v>
      </c>
      <c r="D3268" s="392" t="n"/>
      <c r="E3268" s="392" t="n"/>
      <c r="F3268" s="392" t="n"/>
      <c r="G3268" s="392" t="n">
        <v>30</v>
      </c>
      <c r="H3268" s="52">
        <f>H3267-G3268</f>
        <v/>
      </c>
      <c r="I3268" s="568" t="n"/>
      <c r="J3268" s="568" t="n"/>
      <c r="K3268" s="568" t="n"/>
      <c r="L3268" s="568" t="n"/>
    </row>
    <row r="3269">
      <c r="A3269" s="568" t="n">
        <v>45740</v>
      </c>
      <c r="B3269" s="392" t="n">
        <v>11724</v>
      </c>
      <c r="C3269" s="392" t="n">
        <v>87</v>
      </c>
      <c r="D3269" s="392" t="n"/>
      <c r="E3269" s="392" t="n"/>
      <c r="F3269" s="392" t="n"/>
      <c r="G3269" s="392" t="n">
        <v>10</v>
      </c>
      <c r="H3269" s="52">
        <f>H3268-G3269</f>
        <v/>
      </c>
      <c r="I3269" s="568" t="n"/>
      <c r="J3269" s="568" t="n"/>
      <c r="K3269" s="568" t="n"/>
      <c r="L3269" s="568" t="n"/>
    </row>
    <row r="3270">
      <c r="A3270" s="568" t="n">
        <v>45740</v>
      </c>
      <c r="B3270" s="392" t="n">
        <v>11725</v>
      </c>
      <c r="C3270" s="392" t="n">
        <v>75</v>
      </c>
      <c r="D3270" s="392" t="n"/>
      <c r="E3270" s="392" t="n"/>
      <c r="F3270" s="392" t="n"/>
      <c r="G3270" s="392" t="n">
        <v>5</v>
      </c>
      <c r="H3270" s="52" t="n">
        <v>1561</v>
      </c>
      <c r="I3270" s="568" t="n"/>
      <c r="J3270" s="568" t="n"/>
      <c r="K3270" s="568" t="n"/>
      <c r="L3270" s="568" t="n"/>
    </row>
    <row r="3271">
      <c r="A3271" s="568" t="n">
        <v>45740</v>
      </c>
      <c r="B3271" s="392" t="n">
        <v>11729</v>
      </c>
      <c r="C3271" s="392" t="n">
        <v>87.75</v>
      </c>
      <c r="D3271" s="392" t="n"/>
      <c r="E3271" s="392" t="n"/>
      <c r="F3271" s="392" t="n"/>
      <c r="G3271" s="392" t="n">
        <v>100</v>
      </c>
      <c r="H3271" s="52">
        <f>H3270-G3271</f>
        <v/>
      </c>
      <c r="I3271" s="568" t="n"/>
      <c r="J3271" s="568" t="n"/>
      <c r="K3271" s="568" t="n"/>
      <c r="L3271" s="568" t="n"/>
    </row>
    <row r="3272">
      <c r="A3272" s="568" t="n">
        <v>45740</v>
      </c>
      <c r="B3272" s="392" t="n">
        <v>11730</v>
      </c>
      <c r="C3272" s="392" t="n">
        <v>88</v>
      </c>
      <c r="D3272" s="392" t="n"/>
      <c r="E3272" s="392" t="n"/>
      <c r="F3272" s="392" t="n"/>
      <c r="G3272" s="392" t="n">
        <v>30</v>
      </c>
      <c r="H3272" s="52">
        <f>H3271-G3272</f>
        <v/>
      </c>
      <c r="I3272" s="568" t="n"/>
      <c r="J3272" s="568" t="n"/>
      <c r="K3272" s="568" t="n"/>
      <c r="L3272" s="568" t="n"/>
    </row>
    <row r="3273">
      <c r="A3273" s="568" t="n">
        <v>45742</v>
      </c>
      <c r="B3273" s="392" t="n">
        <v>11731</v>
      </c>
      <c r="C3273" s="392" t="n">
        <v>86.15000000000001</v>
      </c>
      <c r="D3273" s="392" t="n"/>
      <c r="E3273" s="392" t="n"/>
      <c r="F3273" s="392" t="n"/>
      <c r="G3273" s="392" t="n">
        <v>50</v>
      </c>
      <c r="H3273" s="52">
        <f>H3272-G3273</f>
        <v/>
      </c>
      <c r="I3273" s="568" t="n"/>
      <c r="J3273" s="568" t="n"/>
      <c r="K3273" s="568" t="n"/>
      <c r="L3273" s="568" t="n"/>
    </row>
    <row r="3274">
      <c r="A3274" s="568" t="n">
        <v>45742</v>
      </c>
      <c r="B3274" s="392" t="n">
        <v>11733</v>
      </c>
      <c r="C3274" s="392" t="n">
        <v>80</v>
      </c>
      <c r="D3274" s="392" t="n"/>
      <c r="E3274" s="392" t="n"/>
      <c r="F3274" s="392" t="n"/>
      <c r="G3274" s="392" t="n">
        <v>10</v>
      </c>
      <c r="H3274" s="52">
        <f>H3273-G3274</f>
        <v/>
      </c>
      <c r="I3274" s="568" t="n"/>
      <c r="J3274" s="568" t="n"/>
      <c r="K3274" s="568" t="n"/>
      <c r="L3274" s="568" t="n"/>
    </row>
    <row r="3275">
      <c r="A3275" s="568" t="n">
        <v>45742</v>
      </c>
      <c r="B3275" s="392" t="n">
        <v>11734</v>
      </c>
      <c r="C3275" s="392" t="n">
        <v>87</v>
      </c>
      <c r="D3275" s="392" t="n"/>
      <c r="E3275" s="392" t="n"/>
      <c r="F3275" s="392" t="n"/>
      <c r="G3275" s="392" t="n">
        <v>20</v>
      </c>
      <c r="H3275" s="52">
        <f>H3274-G3275</f>
        <v/>
      </c>
      <c r="I3275" s="568" t="n"/>
      <c r="J3275" s="568" t="n"/>
      <c r="K3275" s="568" t="n"/>
      <c r="L3275" s="568" t="n"/>
    </row>
    <row r="3276">
      <c r="A3276" s="568" t="n">
        <v>45742</v>
      </c>
      <c r="B3276" s="392" t="n">
        <v>11735</v>
      </c>
      <c r="C3276" s="392" t="n">
        <v>89</v>
      </c>
      <c r="D3276" s="392" t="n"/>
      <c r="E3276" s="392" t="n"/>
      <c r="F3276" s="392" t="n"/>
      <c r="G3276" s="392" t="n">
        <v>30</v>
      </c>
      <c r="H3276" s="52">
        <f>H3275-G3276</f>
        <v/>
      </c>
      <c r="I3276" s="568" t="n"/>
      <c r="J3276" s="568" t="n"/>
      <c r="K3276" s="568" t="n"/>
      <c r="L3276" s="568" t="n"/>
    </row>
    <row r="3277">
      <c r="A3277" s="568" t="n">
        <v>45743</v>
      </c>
      <c r="B3277" s="392" t="n">
        <v>11737</v>
      </c>
      <c r="C3277" s="392" t="n">
        <v>75</v>
      </c>
      <c r="D3277" s="392" t="n"/>
      <c r="E3277" s="392" t="n"/>
      <c r="F3277" s="392" t="n"/>
      <c r="G3277" s="392" t="n">
        <v>120</v>
      </c>
      <c r="H3277" s="52">
        <f>H3276-G3277</f>
        <v/>
      </c>
      <c r="I3277" s="568" t="n"/>
      <c r="J3277" s="568" t="n"/>
      <c r="K3277" s="568" t="n"/>
      <c r="L3277" s="568" t="n"/>
    </row>
    <row r="3278">
      <c r="A3278" s="568" t="n">
        <v>45747</v>
      </c>
      <c r="B3278" s="392" t="n">
        <v>11741</v>
      </c>
      <c r="C3278" s="392" t="n">
        <v>83</v>
      </c>
      <c r="D3278" s="392" t="n"/>
      <c r="E3278" s="392" t="n"/>
      <c r="F3278" s="392" t="n"/>
      <c r="G3278" s="392" t="n">
        <v>30</v>
      </c>
      <c r="H3278" s="52">
        <f>H3277-G3278</f>
        <v/>
      </c>
      <c r="I3278" s="568" t="n"/>
      <c r="J3278" s="568" t="n"/>
      <c r="K3278" s="568" t="n"/>
      <c r="L3278" s="568" t="n"/>
    </row>
    <row r="3279">
      <c r="A3279" s="568" t="n">
        <v>45747</v>
      </c>
      <c r="B3279" s="392" t="n">
        <v>11747</v>
      </c>
      <c r="C3279" s="392" t="n">
        <v>80</v>
      </c>
      <c r="D3279" s="392" t="n"/>
      <c r="E3279" s="392" t="n"/>
      <c r="F3279" s="392" t="n"/>
      <c r="G3279" s="392" t="n">
        <v>20</v>
      </c>
      <c r="H3279" s="52">
        <f>H3278-G3279</f>
        <v/>
      </c>
      <c r="I3279" s="568" t="n"/>
      <c r="J3279" s="568" t="n"/>
      <c r="K3279" s="568" t="n"/>
      <c r="L3279" s="568" t="n"/>
    </row>
    <row r="3280">
      <c r="A3280" s="304" t="n">
        <v>45747</v>
      </c>
      <c r="B3280" s="401" t="n">
        <v>283870</v>
      </c>
      <c r="C3280" s="401" t="n">
        <v>72.5</v>
      </c>
      <c r="D3280" s="401" t="n"/>
      <c r="E3280" s="401" t="n"/>
      <c r="F3280" s="401" t="n">
        <v>480</v>
      </c>
      <c r="G3280" s="401" t="n"/>
      <c r="H3280" s="277" t="n">
        <v>1631</v>
      </c>
      <c r="I3280" s="568" t="n"/>
      <c r="J3280" s="568" t="n"/>
      <c r="K3280" s="568" t="n"/>
      <c r="L3280" s="568" t="n"/>
    </row>
    <row r="3281">
      <c r="A3281" s="568" t="n">
        <v>45747</v>
      </c>
      <c r="B3281" s="392" t="n">
        <v>11748</v>
      </c>
      <c r="C3281" s="392" t="n">
        <v>83</v>
      </c>
      <c r="D3281" s="392" t="n"/>
      <c r="E3281" s="392" t="n"/>
      <c r="F3281" s="392" t="n"/>
      <c r="G3281" s="392" t="n">
        <v>50</v>
      </c>
      <c r="H3281" s="52">
        <f>H3280-G3281</f>
        <v/>
      </c>
      <c r="I3281" s="568" t="n"/>
      <c r="J3281" s="568" t="n"/>
      <c r="K3281" s="568" t="n"/>
      <c r="L3281" s="568" t="n"/>
    </row>
    <row r="3282" ht="15.75" customHeight="1" s="436" thickBot="1">
      <c r="A3282" s="414" t="n"/>
      <c r="H3282" s="171" t="n"/>
      <c r="I3282" s="414" t="n"/>
      <c r="J3282" s="414" t="n"/>
      <c r="K3282" s="414" t="n"/>
      <c r="L3282" s="414" t="n"/>
    </row>
    <row r="3283" ht="21.75" customHeight="1" s="436" thickBot="1">
      <c r="A3283" s="757" t="inlineStr">
        <is>
          <t>Abril</t>
        </is>
      </c>
      <c r="B3283" s="697" t="n"/>
      <c r="C3283" s="697" t="n"/>
      <c r="D3283" s="697" t="n"/>
      <c r="E3283" s="697" t="n"/>
      <c r="F3283" s="697" t="n"/>
      <c r="G3283" s="697" t="n"/>
      <c r="H3283" s="697" t="n"/>
      <c r="I3283" s="697" t="n"/>
      <c r="J3283" s="697" t="n"/>
      <c r="K3283" s="697" t="n"/>
      <c r="L3283" s="698" t="n"/>
    </row>
    <row r="3284" ht="21.75" customHeight="1" s="436" thickBot="1">
      <c r="A3284" s="699" t="inlineStr">
        <is>
          <t xml:space="preserve">021 - DENISE FURTADO DE SOUZA - ME </t>
        </is>
      </c>
      <c r="B3284" s="697" t="n"/>
      <c r="C3284" s="697" t="n"/>
      <c r="D3284" s="697" t="n"/>
      <c r="E3284" s="697" t="n"/>
      <c r="F3284" s="697" t="n"/>
      <c r="G3284" s="697" t="n"/>
      <c r="H3284" s="697" t="n"/>
      <c r="I3284" s="697" t="n"/>
      <c r="J3284" s="697" t="n"/>
      <c r="K3284" s="697" t="n"/>
      <c r="L3284" s="698" t="n"/>
    </row>
    <row r="3285" ht="24" customHeight="1" s="436" thickBot="1">
      <c r="A3285" s="759" t="inlineStr">
        <is>
          <t xml:space="preserve">  PRÉ MISTURA - 25 KG</t>
        </is>
      </c>
      <c r="B3285" s="697" t="n"/>
      <c r="C3285" s="697" t="n"/>
      <c r="D3285" s="697" t="n"/>
      <c r="E3285" s="697" t="n"/>
      <c r="F3285" s="697" t="n"/>
      <c r="G3285" s="697" t="n"/>
      <c r="H3285" s="697" t="n"/>
      <c r="I3285" s="697" t="n"/>
      <c r="J3285" s="697" t="n"/>
      <c r="K3285" s="697" t="n"/>
      <c r="L3285" s="698" t="n"/>
    </row>
    <row r="3286">
      <c r="A3286" s="3" t="inlineStr">
        <is>
          <t>DATA</t>
        </is>
      </c>
      <c r="B3286" s="3" t="inlineStr">
        <is>
          <t>N.F.</t>
        </is>
      </c>
      <c r="C3286" s="3" t="inlineStr">
        <is>
          <t>TIPO</t>
        </is>
      </c>
      <c r="D3286" s="3" t="inlineStr">
        <is>
          <t>PREÇO UNITÁRIO</t>
        </is>
      </c>
      <c r="E3286" s="736" t="n"/>
      <c r="F3286" s="3" t="inlineStr">
        <is>
          <t>QUANTIDADE / KG</t>
        </is>
      </c>
      <c r="G3286" s="737" t="n"/>
      <c r="H3286" s="736" t="n"/>
      <c r="I3286" s="631" t="inlineStr">
        <is>
          <t>PREÇO</t>
        </is>
      </c>
      <c r="J3286" s="631" t="inlineStr">
        <is>
          <t>VALORES</t>
        </is>
      </c>
      <c r="K3286" s="737" t="n"/>
      <c r="L3286" s="736" t="n"/>
    </row>
    <row r="3287" ht="15.75" customHeight="1" s="436" thickBot="1">
      <c r="A3287" s="704" t="n"/>
      <c r="B3287" s="704" t="n"/>
      <c r="C3287" s="704" t="n"/>
      <c r="D3287" s="703" t="n"/>
      <c r="E3287" s="701" t="n"/>
      <c r="F3287" s="705" t="n"/>
      <c r="G3287" s="706" t="n"/>
      <c r="H3287" s="707" t="n"/>
      <c r="I3287" s="704" t="n"/>
      <c r="J3287" s="703" t="n"/>
      <c r="L3287" s="701" t="n"/>
    </row>
    <row r="3288" ht="15.75" customHeight="1" s="436" thickBot="1">
      <c r="A3288" s="704" t="n"/>
      <c r="B3288" s="704" t="n"/>
      <c r="C3288" s="704" t="n"/>
      <c r="D3288" s="705" t="n"/>
      <c r="E3288" s="707" t="n"/>
      <c r="F3288" s="3" t="inlineStr">
        <is>
          <t>ENTRADA</t>
        </is>
      </c>
      <c r="G3288" s="3" t="inlineStr">
        <is>
          <t>SAÍDA</t>
        </is>
      </c>
      <c r="H3288" s="640" t="n"/>
      <c r="I3288" s="633" t="inlineStr">
        <is>
          <t>MÉDIO</t>
        </is>
      </c>
      <c r="J3288" s="739" t="inlineStr">
        <is>
          <t>SALDO EM 30/12/2017</t>
        </is>
      </c>
      <c r="K3288" s="707" t="n"/>
      <c r="L3288" s="17" t="n"/>
    </row>
    <row r="3289" ht="15.75" customHeight="1" s="436" thickBot="1">
      <c r="A3289" s="695" t="n"/>
      <c r="B3289" s="695" t="n"/>
      <c r="C3289" s="695" t="n"/>
      <c r="D3289" s="3" t="inlineStr">
        <is>
          <t>C/ICMS</t>
        </is>
      </c>
      <c r="E3289" s="3" t="inlineStr">
        <is>
          <t>S/ICMS</t>
        </is>
      </c>
      <c r="F3289" s="695" t="n"/>
      <c r="G3289" s="695" t="n"/>
      <c r="H3289" s="361" t="inlineStr">
        <is>
          <t>Saldo em 31/03/2024</t>
        </is>
      </c>
      <c r="I3289" s="695" t="n"/>
      <c r="J3289" s="645" t="inlineStr">
        <is>
          <t>ENTRADA</t>
        </is>
      </c>
      <c r="K3289" s="633" t="inlineStr">
        <is>
          <t>SAÍDA / CMV</t>
        </is>
      </c>
      <c r="L3289" s="633" t="inlineStr">
        <is>
          <t>SALDO</t>
        </is>
      </c>
    </row>
    <row r="3290">
      <c r="A3290" s="568" t="n"/>
      <c r="B3290" s="392" t="n"/>
      <c r="C3290" s="392" t="n"/>
      <c r="D3290" s="392" t="n"/>
      <c r="E3290" s="392" t="n"/>
      <c r="F3290" s="392" t="n"/>
      <c r="G3290" s="392" t="n"/>
      <c r="H3290" s="52" t="n">
        <v>1581</v>
      </c>
      <c r="I3290" s="568" t="n"/>
      <c r="J3290" s="568" t="n"/>
      <c r="K3290" s="568" t="n"/>
      <c r="L3290" s="392" t="n"/>
    </row>
    <row r="3291">
      <c r="A3291" s="568" t="n">
        <v>45748</v>
      </c>
      <c r="B3291" s="392" t="n">
        <v>11750</v>
      </c>
      <c r="C3291" s="392" t="n">
        <v>87.78</v>
      </c>
      <c r="D3291" s="392" t="n"/>
      <c r="E3291" s="392" t="n"/>
      <c r="F3291" s="392" t="n"/>
      <c r="G3291" s="392" t="n">
        <v>45</v>
      </c>
      <c r="H3291" s="52">
        <f>H3290-G3291</f>
        <v/>
      </c>
      <c r="I3291" s="568" t="n"/>
      <c r="J3291" s="568" t="n"/>
      <c r="K3291" s="568" t="n"/>
      <c r="L3291" s="568" t="n"/>
    </row>
    <row r="3292">
      <c r="A3292" s="568" t="n">
        <v>45748</v>
      </c>
      <c r="B3292" s="392" t="n">
        <v>11752</v>
      </c>
      <c r="C3292" s="392" t="n">
        <v>80</v>
      </c>
      <c r="D3292" s="392" t="n"/>
      <c r="E3292" s="392" t="n"/>
      <c r="F3292" s="392" t="n"/>
      <c r="G3292" s="392" t="n">
        <v>10</v>
      </c>
      <c r="H3292" s="52">
        <f>H3291-G3292</f>
        <v/>
      </c>
      <c r="I3292" s="568" t="n"/>
      <c r="J3292" s="568" t="n"/>
      <c r="K3292" s="568" t="n"/>
      <c r="L3292" s="568" t="n"/>
    </row>
    <row r="3293">
      <c r="A3293" s="568" t="n">
        <v>45748</v>
      </c>
      <c r="B3293" s="392" t="n">
        <v>11753</v>
      </c>
      <c r="C3293" s="392" t="n">
        <v>80</v>
      </c>
      <c r="D3293" s="392" t="n"/>
      <c r="E3293" s="392" t="n"/>
      <c r="F3293" s="392" t="n"/>
      <c r="G3293" s="392" t="n">
        <v>20</v>
      </c>
      <c r="H3293" s="52">
        <f>H3292-G3293</f>
        <v/>
      </c>
      <c r="I3293" s="568" t="n"/>
      <c r="J3293" s="568" t="n"/>
      <c r="K3293" s="568" t="n"/>
      <c r="L3293" s="568" t="n"/>
    </row>
    <row r="3294">
      <c r="A3294" s="568" t="n">
        <v>45756</v>
      </c>
      <c r="B3294" s="392" t="n">
        <v>11763</v>
      </c>
      <c r="C3294" s="392" t="n">
        <v>85</v>
      </c>
      <c r="D3294" s="392" t="n"/>
      <c r="E3294" s="392" t="n"/>
      <c r="F3294" s="392" t="n"/>
      <c r="G3294" s="392" t="n">
        <v>85</v>
      </c>
      <c r="H3294" s="52">
        <f>H3293-G3294</f>
        <v/>
      </c>
      <c r="I3294" s="568" t="n"/>
      <c r="J3294" s="568" t="n"/>
      <c r="K3294" s="568" t="n"/>
      <c r="L3294" s="568" t="n"/>
    </row>
    <row r="3295">
      <c r="A3295" s="568" t="n">
        <v>45756</v>
      </c>
      <c r="B3295" s="392" t="n">
        <v>11764</v>
      </c>
      <c r="C3295" s="392" t="n">
        <v>81.25</v>
      </c>
      <c r="D3295" s="392" t="n"/>
      <c r="E3295" s="392" t="n"/>
      <c r="F3295" s="392" t="n"/>
      <c r="G3295" s="392" t="n">
        <v>20</v>
      </c>
      <c r="H3295" s="52">
        <f>H3294-G3295</f>
        <v/>
      </c>
      <c r="I3295" s="568" t="n"/>
      <c r="J3295" s="568" t="n"/>
      <c r="K3295" s="568" t="n"/>
      <c r="L3295" s="568" t="n"/>
    </row>
    <row r="3296">
      <c r="A3296" s="568" t="n">
        <v>45756</v>
      </c>
      <c r="B3296" s="392" t="n">
        <v>11766</v>
      </c>
      <c r="C3296" s="392" t="n">
        <v>82</v>
      </c>
      <c r="D3296" s="392" t="n"/>
      <c r="E3296" s="392" t="n"/>
      <c r="F3296" s="392" t="n"/>
      <c r="G3296" s="392" t="n">
        <v>50</v>
      </c>
      <c r="H3296" s="52">
        <f>H3295-G3296</f>
        <v/>
      </c>
      <c r="I3296" s="568" t="n"/>
      <c r="J3296" s="568" t="n"/>
      <c r="K3296" s="568" t="n"/>
      <c r="L3296" s="568" t="n"/>
    </row>
    <row r="3297">
      <c r="A3297" s="568" t="n">
        <v>45756</v>
      </c>
      <c r="B3297" s="392" t="n">
        <v>11768</v>
      </c>
      <c r="C3297" s="392" t="n">
        <v>81</v>
      </c>
      <c r="D3297" s="392" t="n"/>
      <c r="E3297" s="392" t="n"/>
      <c r="F3297" s="392" t="n"/>
      <c r="G3297" s="392" t="n">
        <v>50</v>
      </c>
      <c r="H3297" s="52">
        <f>H3296-G3297</f>
        <v/>
      </c>
      <c r="I3297" s="568" t="n"/>
      <c r="J3297" s="568" t="n"/>
      <c r="K3297" s="568" t="n"/>
      <c r="L3297" s="568" t="n"/>
    </row>
    <row r="3298">
      <c r="A3298" s="568" t="n">
        <v>45756</v>
      </c>
      <c r="B3298" s="392" t="n">
        <v>11769</v>
      </c>
      <c r="C3298" s="392" t="n">
        <v>80</v>
      </c>
      <c r="D3298" s="392" t="n"/>
      <c r="E3298" s="392" t="n"/>
      <c r="F3298" s="392" t="n"/>
      <c r="G3298" s="392" t="n">
        <v>10</v>
      </c>
      <c r="H3298" s="52">
        <f>H3297-G3298</f>
        <v/>
      </c>
      <c r="I3298" s="568" t="n"/>
      <c r="J3298" s="568" t="n"/>
      <c r="K3298" s="568" t="n"/>
      <c r="L3298" s="568" t="n"/>
    </row>
    <row r="3299">
      <c r="A3299" s="568" t="n">
        <v>45756</v>
      </c>
      <c r="B3299" s="392" t="n">
        <v>11770</v>
      </c>
      <c r="C3299" s="392" t="n">
        <v>75</v>
      </c>
      <c r="D3299" s="392" t="n"/>
      <c r="E3299" s="392" t="n"/>
      <c r="F3299" s="392" t="n"/>
      <c r="G3299" s="392" t="n">
        <v>15</v>
      </c>
      <c r="H3299" s="52">
        <f>H3298-G3299</f>
        <v/>
      </c>
      <c r="I3299" s="568" t="n"/>
      <c r="J3299" s="568" t="n"/>
      <c r="K3299" s="568" t="n"/>
      <c r="L3299" s="568" t="n"/>
    </row>
    <row r="3300">
      <c r="A3300" s="568" t="n">
        <v>45762</v>
      </c>
      <c r="B3300" s="392" t="n">
        <v>11775</v>
      </c>
      <c r="C3300" s="392" t="n">
        <v>84.54000000000001</v>
      </c>
      <c r="D3300" s="392" t="n"/>
      <c r="E3300" s="392" t="n"/>
      <c r="F3300" s="392" t="n"/>
      <c r="G3300" s="392" t="n">
        <v>15</v>
      </c>
      <c r="H3300" s="52">
        <f>H3299-G3300</f>
        <v/>
      </c>
      <c r="I3300" s="568" t="n"/>
      <c r="J3300" s="568" t="n"/>
      <c r="K3300" s="568" t="n"/>
      <c r="L3300" s="568" t="n"/>
    </row>
    <row r="3301">
      <c r="A3301" s="568" t="n">
        <v>45762</v>
      </c>
      <c r="B3301" s="392" t="n">
        <v>11778</v>
      </c>
      <c r="C3301" s="392" t="n">
        <v>87.78</v>
      </c>
      <c r="D3301" s="392" t="n"/>
      <c r="E3301" s="392" t="n"/>
      <c r="F3301" s="392" t="n"/>
      <c r="G3301" s="392" t="n">
        <v>45</v>
      </c>
      <c r="H3301" s="52">
        <f>H3300-G3301</f>
        <v/>
      </c>
      <c r="I3301" s="568" t="n"/>
      <c r="J3301" s="568" t="n"/>
      <c r="K3301" s="568" t="n"/>
      <c r="L3301" s="568" t="n"/>
    </row>
    <row r="3302">
      <c r="A3302" s="568" t="n">
        <v>45762</v>
      </c>
      <c r="B3302" s="392" t="n">
        <v>11782</v>
      </c>
      <c r="C3302" s="392" t="n">
        <v>80</v>
      </c>
      <c r="D3302" s="392" t="n"/>
      <c r="E3302" s="392" t="n"/>
      <c r="F3302" s="392" t="n"/>
      <c r="G3302" s="392" t="n">
        <v>20</v>
      </c>
      <c r="H3302" s="52">
        <f>H3301-G3302</f>
        <v/>
      </c>
      <c r="I3302" s="568" t="n"/>
      <c r="J3302" s="568" t="n"/>
      <c r="K3302" s="568" t="n"/>
      <c r="L3302" s="568" t="n"/>
    </row>
    <row r="3303">
      <c r="A3303" s="568" t="n">
        <v>45762</v>
      </c>
      <c r="B3303" s="392" t="n">
        <v>11787</v>
      </c>
      <c r="C3303" s="392" t="n">
        <v>86.90000000000001</v>
      </c>
      <c r="D3303" s="392" t="n"/>
      <c r="E3303" s="392" t="n"/>
      <c r="F3303" s="392" t="n"/>
      <c r="G3303" s="392" t="n">
        <v>40</v>
      </c>
      <c r="H3303" s="52">
        <f>H3302-G3303</f>
        <v/>
      </c>
      <c r="I3303" s="568" t="n"/>
      <c r="J3303" s="568" t="n"/>
      <c r="K3303" s="568" t="n"/>
      <c r="L3303" s="568" t="n"/>
    </row>
    <row r="3304">
      <c r="A3304" s="568" t="n">
        <v>45762</v>
      </c>
      <c r="B3304" s="392" t="n">
        <v>11788</v>
      </c>
      <c r="C3304" s="392" t="n">
        <v>85</v>
      </c>
      <c r="D3304" s="392" t="n"/>
      <c r="E3304" s="392" t="n"/>
      <c r="F3304" s="392" t="n"/>
      <c r="G3304" s="392" t="n">
        <v>10</v>
      </c>
      <c r="H3304" s="52">
        <f>H3303-G3304</f>
        <v/>
      </c>
      <c r="I3304" s="568" t="n"/>
      <c r="J3304" s="568" t="n"/>
      <c r="K3304" s="568" t="n"/>
      <c r="L3304" s="568" t="n"/>
    </row>
    <row r="3305">
      <c r="A3305" s="568" t="n">
        <v>45763</v>
      </c>
      <c r="B3305" s="392" t="n">
        <v>11789</v>
      </c>
      <c r="C3305" s="392" t="n">
        <v>82.90000000000001</v>
      </c>
      <c r="D3305" s="392" t="n"/>
      <c r="E3305" s="392" t="n"/>
      <c r="F3305" s="392" t="n"/>
      <c r="G3305" s="392" t="n">
        <v>20</v>
      </c>
      <c r="H3305" s="52">
        <f>H3304-G3305</f>
        <v/>
      </c>
      <c r="I3305" s="568" t="n"/>
      <c r="J3305" s="568" t="n"/>
      <c r="K3305" s="568" t="n"/>
      <c r="L3305" s="568" t="n"/>
    </row>
    <row r="3306">
      <c r="A3306" s="568" t="n">
        <v>45763</v>
      </c>
      <c r="B3306" s="392" t="n">
        <v>11790</v>
      </c>
      <c r="C3306" s="392" t="n">
        <v>80</v>
      </c>
      <c r="D3306" s="392" t="n"/>
      <c r="E3306" s="392" t="n"/>
      <c r="F3306" s="392" t="n"/>
      <c r="G3306" s="392" t="n">
        <v>20</v>
      </c>
      <c r="H3306" s="52">
        <f>H3305-G3306</f>
        <v/>
      </c>
      <c r="I3306" s="568" t="n"/>
      <c r="J3306" s="568" t="n"/>
      <c r="K3306" s="568" t="n"/>
      <c r="L3306" s="568" t="n"/>
    </row>
    <row r="3307">
      <c r="A3307" s="568" t="n">
        <v>45768</v>
      </c>
      <c r="B3307" s="392" t="n">
        <v>11791</v>
      </c>
      <c r="C3307" s="392" t="n">
        <v>81</v>
      </c>
      <c r="D3307" s="392" t="n"/>
      <c r="E3307" s="392" t="n"/>
      <c r="F3307" s="392" t="n"/>
      <c r="G3307" s="392" t="n">
        <v>50</v>
      </c>
      <c r="H3307" s="52">
        <f>H3306-G3307</f>
        <v/>
      </c>
      <c r="I3307" s="568" t="n"/>
      <c r="J3307" s="568" t="n"/>
      <c r="K3307" s="568" t="n"/>
      <c r="L3307" s="568" t="n"/>
    </row>
    <row r="3308">
      <c r="A3308" s="568" t="n">
        <v>45768</v>
      </c>
      <c r="B3308" s="392" t="n">
        <v>11792</v>
      </c>
      <c r="C3308" s="392" t="n">
        <v>85</v>
      </c>
      <c r="D3308" s="392" t="n"/>
      <c r="E3308" s="392" t="n"/>
      <c r="F3308" s="392" t="n"/>
      <c r="G3308" s="392" t="n">
        <v>10</v>
      </c>
      <c r="H3308" s="52">
        <f>H3307-G3308</f>
        <v/>
      </c>
      <c r="I3308" s="568" t="n"/>
      <c r="J3308" s="568" t="n"/>
      <c r="K3308" s="568" t="n"/>
      <c r="L3308" s="568" t="n"/>
    </row>
    <row r="3309">
      <c r="A3309" s="568" t="n">
        <v>45769</v>
      </c>
      <c r="B3309" s="392" t="n">
        <v>11793</v>
      </c>
      <c r="C3309" s="392" t="n">
        <v>75</v>
      </c>
      <c r="D3309" s="392" t="n"/>
      <c r="E3309" s="392" t="n"/>
      <c r="F3309" s="392" t="n"/>
      <c r="G3309" s="392" t="n">
        <v>100</v>
      </c>
      <c r="H3309" s="52">
        <f>H3308-G3309</f>
        <v/>
      </c>
      <c r="I3309" s="568" t="n"/>
      <c r="J3309" s="568" t="n"/>
      <c r="K3309" s="568" t="n"/>
      <c r="L3309" s="568" t="n"/>
    </row>
    <row r="3310">
      <c r="A3310" s="568" t="n">
        <v>45769</v>
      </c>
      <c r="B3310" s="392" t="n">
        <v>11795</v>
      </c>
      <c r="C3310" s="392" t="n">
        <v>80</v>
      </c>
      <c r="D3310" s="392" t="n"/>
      <c r="E3310" s="392" t="n"/>
      <c r="F3310" s="392" t="n"/>
      <c r="G3310" s="392" t="n">
        <v>10</v>
      </c>
      <c r="H3310" s="52">
        <f>H3309-G3310</f>
        <v/>
      </c>
      <c r="I3310" s="568" t="n"/>
      <c r="J3310" s="568" t="n"/>
      <c r="K3310" s="568" t="n"/>
      <c r="L3310" s="568" t="n"/>
    </row>
    <row r="3311">
      <c r="A3311" s="568" t="n">
        <v>45770</v>
      </c>
      <c r="B3311" s="392" t="n">
        <v>11801</v>
      </c>
      <c r="C3311" s="392" t="n">
        <v>86.06</v>
      </c>
      <c r="D3311" s="392" t="n"/>
      <c r="E3311" s="392" t="n"/>
      <c r="F3311" s="392" t="n"/>
      <c r="G3311" s="392" t="n">
        <v>15</v>
      </c>
      <c r="H3311" s="52">
        <f>H3310-G3311</f>
        <v/>
      </c>
      <c r="I3311" s="568" t="n"/>
      <c r="J3311" s="568" t="n"/>
      <c r="K3311" s="568" t="n"/>
      <c r="L3311" s="568" t="n"/>
    </row>
    <row r="3312">
      <c r="A3312" s="568" t="n">
        <v>45770</v>
      </c>
      <c r="B3312" s="392" t="n">
        <v>11802</v>
      </c>
      <c r="C3312" s="392" t="n">
        <v>80</v>
      </c>
      <c r="D3312" s="392" t="n"/>
      <c r="E3312" s="392" t="n"/>
      <c r="F3312" s="392" t="n"/>
      <c r="G3312" s="392" t="n">
        <v>20</v>
      </c>
      <c r="H3312" s="52">
        <f>H3311-G3312</f>
        <v/>
      </c>
      <c r="I3312" s="568" t="n"/>
      <c r="J3312" s="568" t="n"/>
      <c r="K3312" s="568" t="n"/>
      <c r="L3312" s="568" t="n"/>
    </row>
    <row r="3313">
      <c r="A3313" s="568" t="n">
        <v>45770</v>
      </c>
      <c r="B3313" s="392" t="n">
        <v>11803</v>
      </c>
      <c r="C3313" s="392" t="n">
        <v>80</v>
      </c>
      <c r="D3313" s="392" t="n"/>
      <c r="E3313" s="392" t="n"/>
      <c r="F3313" s="392" t="n"/>
      <c r="G3313" s="392" t="n">
        <v>20</v>
      </c>
      <c r="H3313" s="52">
        <f>H3312-G3313</f>
        <v/>
      </c>
      <c r="I3313" s="568" t="n"/>
      <c r="J3313" s="568" t="n"/>
      <c r="K3313" s="568" t="n"/>
      <c r="L3313" s="568" t="n"/>
    </row>
    <row r="3314">
      <c r="A3314" s="568" t="n">
        <v>45774</v>
      </c>
      <c r="B3314" s="392" t="n">
        <v>11805</v>
      </c>
      <c r="C3314" s="392" t="n">
        <v>87.7</v>
      </c>
      <c r="D3314" s="392" t="n"/>
      <c r="E3314" s="392" t="n"/>
      <c r="F3314" s="392" t="n"/>
      <c r="G3314" s="392" t="n">
        <v>50</v>
      </c>
      <c r="H3314" s="52">
        <f>H3313-G3314</f>
        <v/>
      </c>
      <c r="I3314" s="568" t="n"/>
      <c r="J3314" s="568" t="n"/>
      <c r="K3314" s="568" t="n"/>
      <c r="L3314" s="568" t="n"/>
    </row>
    <row r="3315">
      <c r="A3315" s="568" t="n">
        <v>45775</v>
      </c>
      <c r="B3315" s="392" t="n">
        <v>11809</v>
      </c>
      <c r="C3315" s="392" t="n">
        <v>82</v>
      </c>
      <c r="D3315" s="392" t="n"/>
      <c r="E3315" s="392" t="n"/>
      <c r="F3315" s="392" t="n"/>
      <c r="G3315" s="392" t="n">
        <v>10</v>
      </c>
      <c r="H3315" s="52">
        <f>H3314-G3315</f>
        <v/>
      </c>
      <c r="I3315" s="568" t="n"/>
      <c r="J3315" s="568" t="n"/>
      <c r="K3315" s="568" t="n"/>
      <c r="L3315" s="568" t="n"/>
    </row>
    <row r="3316">
      <c r="A3316" s="568" t="n">
        <v>45775</v>
      </c>
      <c r="B3316" s="392" t="n">
        <v>11812</v>
      </c>
      <c r="C3316" s="392" t="n">
        <v>88.40000000000001</v>
      </c>
      <c r="D3316" s="392" t="n"/>
      <c r="E3316" s="392" t="n"/>
      <c r="F3316" s="392" t="n"/>
      <c r="G3316" s="392" t="n">
        <v>50</v>
      </c>
      <c r="H3316" s="52">
        <f>H3315-G3316</f>
        <v/>
      </c>
      <c r="I3316" s="568" t="n"/>
      <c r="J3316" s="568" t="n"/>
      <c r="K3316" s="568" t="n"/>
      <c r="L3316" s="568" t="n"/>
    </row>
    <row r="3317">
      <c r="A3317" s="568" t="n">
        <v>45775</v>
      </c>
      <c r="B3317" s="392" t="n">
        <v>11813</v>
      </c>
      <c r="C3317" s="392" t="n">
        <v>85</v>
      </c>
      <c r="D3317" s="392" t="n"/>
      <c r="E3317" s="392" t="n"/>
      <c r="F3317" s="392" t="n"/>
      <c r="G3317" s="392" t="n">
        <v>30</v>
      </c>
      <c r="H3317" s="52">
        <f>H3316-G3317</f>
        <v/>
      </c>
      <c r="I3317" s="568" t="n"/>
      <c r="J3317" s="568" t="n"/>
      <c r="K3317" s="568" t="n"/>
      <c r="L3317" s="568" t="n"/>
    </row>
    <row r="3318">
      <c r="A3318" s="568" t="n">
        <v>45776</v>
      </c>
      <c r="B3318" s="392" t="n">
        <v>11815</v>
      </c>
      <c r="C3318" s="392" t="n">
        <v>83</v>
      </c>
      <c r="D3318" s="392" t="n"/>
      <c r="E3318" s="392" t="n"/>
      <c r="F3318" s="392" t="n"/>
      <c r="G3318" s="392" t="n">
        <v>80</v>
      </c>
      <c r="H3318" s="52">
        <f>H3317-G3318</f>
        <v/>
      </c>
      <c r="I3318" s="568" t="n"/>
      <c r="J3318" s="568" t="n"/>
      <c r="K3318" s="568" t="n"/>
      <c r="L3318" s="568" t="n"/>
    </row>
    <row r="3319">
      <c r="A3319" s="568" t="n">
        <v>45776</v>
      </c>
      <c r="B3319" s="392" t="n">
        <v>11816</v>
      </c>
      <c r="C3319" s="392" t="n">
        <v>83</v>
      </c>
      <c r="D3319" s="392" t="n"/>
      <c r="E3319" s="392" t="n"/>
      <c r="F3319" s="392" t="n"/>
      <c r="G3319" s="392" t="n">
        <v>50</v>
      </c>
      <c r="H3319" s="52">
        <f>H3318-G3319</f>
        <v/>
      </c>
      <c r="I3319" s="568" t="n"/>
      <c r="J3319" s="568" t="n"/>
      <c r="K3319" s="568" t="n"/>
      <c r="L3319" s="568" t="n"/>
    </row>
    <row r="3320">
      <c r="A3320" s="568" t="n">
        <v>45776</v>
      </c>
      <c r="B3320" s="392" t="n">
        <v>11819</v>
      </c>
      <c r="C3320" s="392" t="n">
        <v>87</v>
      </c>
      <c r="D3320" s="392" t="n"/>
      <c r="E3320" s="392" t="n"/>
      <c r="F3320" s="392" t="n"/>
      <c r="G3320" s="392" t="n">
        <v>100</v>
      </c>
      <c r="H3320" s="52">
        <f>H3319-G3320</f>
        <v/>
      </c>
      <c r="I3320" s="568" t="n"/>
      <c r="J3320" s="568" t="n"/>
      <c r="K3320" s="568" t="n"/>
      <c r="L3320" s="568" t="n"/>
    </row>
    <row r="3321">
      <c r="A3321" s="568" t="n">
        <v>45776</v>
      </c>
      <c r="B3321" s="392" t="n">
        <v>11820</v>
      </c>
      <c r="C3321" s="392" t="n">
        <v>80</v>
      </c>
      <c r="D3321" s="392" t="n"/>
      <c r="E3321" s="392" t="n"/>
      <c r="F3321" s="392" t="n"/>
      <c r="G3321" s="392" t="n">
        <v>20</v>
      </c>
      <c r="H3321" s="52">
        <f>H3320-G3321</f>
        <v/>
      </c>
      <c r="I3321" s="568" t="n"/>
      <c r="J3321" s="568" t="n"/>
      <c r="K3321" s="568" t="n"/>
      <c r="L3321" s="568" t="n"/>
    </row>
    <row r="3322">
      <c r="A3322" s="568" t="n">
        <v>45776</v>
      </c>
      <c r="B3322" s="392" t="n">
        <v>11821</v>
      </c>
      <c r="C3322" s="392" t="n">
        <v>87</v>
      </c>
      <c r="D3322" s="392" t="n"/>
      <c r="E3322" s="392" t="n"/>
      <c r="F3322" s="392" t="n"/>
      <c r="G3322" s="392" t="n">
        <v>20</v>
      </c>
      <c r="H3322" s="52">
        <f>H3321-G3322</f>
        <v/>
      </c>
      <c r="I3322" s="568" t="n"/>
      <c r="J3322" s="568" t="n"/>
      <c r="K3322" s="568" t="n"/>
      <c r="L3322" s="568" t="n"/>
    </row>
    <row r="3323">
      <c r="A3323" s="568" t="n">
        <v>45776</v>
      </c>
      <c r="B3323" s="392" t="n">
        <v>11822</v>
      </c>
      <c r="C3323" s="392" t="n">
        <v>85</v>
      </c>
      <c r="D3323" s="392" t="n"/>
      <c r="E3323" s="392" t="n"/>
      <c r="F3323" s="392" t="n"/>
      <c r="G3323" s="392" t="n">
        <v>10</v>
      </c>
      <c r="H3323" s="52">
        <f>H3322-G3323</f>
        <v/>
      </c>
      <c r="I3323" s="568" t="n"/>
      <c r="J3323" s="568" t="n"/>
      <c r="K3323" s="568" t="n"/>
      <c r="L3323" s="568" t="n"/>
    </row>
    <row r="3324">
      <c r="A3324" s="304" t="n">
        <v>45777</v>
      </c>
      <c r="B3324" s="401" t="n">
        <v>8485</v>
      </c>
      <c r="C3324" s="401" t="n">
        <v>64.59999999999999</v>
      </c>
      <c r="D3324" s="401" t="n"/>
      <c r="E3324" s="401" t="n"/>
      <c r="F3324" s="401" t="n">
        <v>600</v>
      </c>
      <c r="G3324" s="401" t="n"/>
      <c r="H3324" s="277" t="n">
        <v>1061</v>
      </c>
      <c r="I3324" s="568" t="n"/>
      <c r="J3324" s="568" t="n"/>
      <c r="K3324" s="568" t="n"/>
      <c r="L3324" s="568" t="n"/>
    </row>
    <row r="3325" ht="15.75" customHeight="1" s="436" thickBot="1">
      <c r="A3325" s="414" t="n"/>
      <c r="H3325" s="171" t="n"/>
      <c r="I3325" s="414" t="n"/>
      <c r="J3325" s="414" t="n"/>
      <c r="K3325" s="414" t="n"/>
      <c r="L3325" s="414" t="n"/>
    </row>
    <row r="3326" ht="21.75" customHeight="1" s="436" thickBot="1">
      <c r="A3326" s="757" t="inlineStr">
        <is>
          <t>Abril</t>
        </is>
      </c>
      <c r="B3326" s="697" t="n"/>
      <c r="C3326" s="697" t="n"/>
      <c r="D3326" s="697" t="n"/>
      <c r="E3326" s="697" t="n"/>
      <c r="F3326" s="697" t="n"/>
      <c r="G3326" s="697" t="n"/>
      <c r="H3326" s="697" t="n"/>
      <c r="I3326" s="697" t="n"/>
      <c r="J3326" s="697" t="n"/>
      <c r="K3326" s="697" t="n"/>
      <c r="L3326" s="698" t="n"/>
    </row>
    <row r="3327" ht="21.75" customHeight="1" s="436" thickBot="1">
      <c r="A3327" s="699" t="inlineStr">
        <is>
          <t xml:space="preserve">021 - DENISE FURTADO DE SOUZA - ME </t>
        </is>
      </c>
      <c r="B3327" s="697" t="n"/>
      <c r="C3327" s="697" t="n"/>
      <c r="D3327" s="697" t="n"/>
      <c r="E3327" s="697" t="n"/>
      <c r="F3327" s="697" t="n"/>
      <c r="G3327" s="697" t="n"/>
      <c r="H3327" s="697" t="n"/>
      <c r="I3327" s="697" t="n"/>
      <c r="J3327" s="697" t="n"/>
      <c r="K3327" s="697" t="n"/>
      <c r="L3327" s="698" t="n"/>
    </row>
    <row r="3328" ht="24" customHeight="1" s="436" thickBot="1">
      <c r="A3328" s="759" t="inlineStr">
        <is>
          <t xml:space="preserve">  PRÉ MISTURA - 25 KG</t>
        </is>
      </c>
      <c r="B3328" s="697" t="n"/>
      <c r="C3328" s="697" t="n"/>
      <c r="D3328" s="697" t="n"/>
      <c r="E3328" s="697" t="n"/>
      <c r="F3328" s="697" t="n"/>
      <c r="G3328" s="697" t="n"/>
      <c r="H3328" s="697" t="n"/>
      <c r="I3328" s="697" t="n"/>
      <c r="J3328" s="697" t="n"/>
      <c r="K3328" s="697" t="n"/>
      <c r="L3328" s="698" t="n"/>
    </row>
    <row r="3329">
      <c r="A3329" s="3" t="inlineStr">
        <is>
          <t>DATA</t>
        </is>
      </c>
      <c r="B3329" s="3" t="inlineStr">
        <is>
          <t>N.F.</t>
        </is>
      </c>
      <c r="C3329" s="3" t="inlineStr">
        <is>
          <t>TIPO</t>
        </is>
      </c>
      <c r="D3329" s="3" t="inlineStr">
        <is>
          <t>PREÇO UNITÁRIO</t>
        </is>
      </c>
      <c r="E3329" s="736" t="n"/>
      <c r="F3329" s="3" t="inlineStr">
        <is>
          <t>QUANTIDADE / KG</t>
        </is>
      </c>
      <c r="G3329" s="737" t="n"/>
      <c r="H3329" s="736" t="n"/>
      <c r="I3329" s="631" t="inlineStr">
        <is>
          <t>PREÇO</t>
        </is>
      </c>
      <c r="J3329" s="631" t="inlineStr">
        <is>
          <t>VALORES</t>
        </is>
      </c>
      <c r="K3329" s="737" t="n"/>
      <c r="L3329" s="736" t="n"/>
    </row>
    <row r="3330" ht="15.75" customHeight="1" s="436" thickBot="1">
      <c r="A3330" s="704" t="n"/>
      <c r="B3330" s="704" t="n"/>
      <c r="C3330" s="704" t="n"/>
      <c r="D3330" s="703" t="n"/>
      <c r="E3330" s="701" t="n"/>
      <c r="F3330" s="705" t="n"/>
      <c r="G3330" s="706" t="n"/>
      <c r="H3330" s="707" t="n"/>
      <c r="I3330" s="704" t="n"/>
      <c r="J3330" s="703" t="n"/>
      <c r="L3330" s="701" t="n"/>
    </row>
    <row r="3331" ht="15.75" customHeight="1" s="436" thickBot="1">
      <c r="A3331" s="704" t="n"/>
      <c r="B3331" s="704" t="n"/>
      <c r="C3331" s="704" t="n"/>
      <c r="D3331" s="705" t="n"/>
      <c r="E3331" s="707" t="n"/>
      <c r="F3331" s="3" t="inlineStr">
        <is>
          <t>ENTRADA</t>
        </is>
      </c>
      <c r="G3331" s="3" t="inlineStr">
        <is>
          <t>SAÍDA</t>
        </is>
      </c>
      <c r="H3331" s="640" t="n"/>
      <c r="I3331" s="633" t="inlineStr">
        <is>
          <t>MÉDIO</t>
        </is>
      </c>
      <c r="J3331" s="739" t="inlineStr">
        <is>
          <t>SALDO EM 30/12/2017</t>
        </is>
      </c>
      <c r="K3331" s="707" t="n"/>
      <c r="L3331" s="17" t="n"/>
    </row>
    <row r="3332" ht="15.75" customHeight="1" s="436" thickBot="1">
      <c r="A3332" s="695" t="n"/>
      <c r="B3332" s="695" t="n"/>
      <c r="C3332" s="695" t="n"/>
      <c r="D3332" s="3" t="inlineStr">
        <is>
          <t>C/ICMS</t>
        </is>
      </c>
      <c r="E3332" s="3" t="inlineStr">
        <is>
          <t>S/ICMS</t>
        </is>
      </c>
      <c r="F3332" s="695" t="n"/>
      <c r="G3332" s="695" t="n"/>
      <c r="H3332" s="361" t="inlineStr">
        <is>
          <t>Saldo em 30/03/2024</t>
        </is>
      </c>
      <c r="I3332" s="695" t="n"/>
      <c r="J3332" s="645" t="inlineStr">
        <is>
          <t>ENTRADA</t>
        </is>
      </c>
      <c r="K3332" s="633" t="inlineStr">
        <is>
          <t>SAÍDA / CMV</t>
        </is>
      </c>
      <c r="L3332" s="633" t="inlineStr">
        <is>
          <t>SALDO</t>
        </is>
      </c>
    </row>
    <row r="3333">
      <c r="A3333" s="568" t="n"/>
      <c r="B3333" s="392" t="n"/>
      <c r="C3333" s="392" t="n"/>
      <c r="D3333" s="392" t="n"/>
      <c r="E3333" s="392" t="n"/>
      <c r="F3333" s="392" t="n"/>
      <c r="G3333" s="392" t="n"/>
      <c r="H3333" s="52" t="n">
        <v>1061</v>
      </c>
      <c r="I3333" s="568" t="n"/>
      <c r="J3333" s="568" t="n"/>
      <c r="K3333" s="568" t="n"/>
      <c r="L3333" s="392" t="n"/>
    </row>
    <row r="3334">
      <c r="A3334" s="568" t="n">
        <v>45782</v>
      </c>
      <c r="B3334" s="392" t="n">
        <v>11826</v>
      </c>
      <c r="C3334" s="392" t="n">
        <v>84.34</v>
      </c>
      <c r="D3334" s="392" t="n"/>
      <c r="E3334" s="392" t="n"/>
      <c r="F3334" s="392" t="n"/>
      <c r="G3334" s="392" t="n">
        <v>15</v>
      </c>
      <c r="H3334" s="52">
        <f>H3333-G3334</f>
        <v/>
      </c>
      <c r="I3334" s="568" t="n"/>
      <c r="J3334" s="568" t="n"/>
      <c r="K3334" s="568" t="n"/>
      <c r="L3334" s="568" t="n"/>
    </row>
    <row r="3335">
      <c r="A3335" s="568" t="n">
        <v>45783</v>
      </c>
      <c r="B3335" s="392" t="n">
        <v>11828</v>
      </c>
      <c r="C3335" s="392" t="n">
        <v>81</v>
      </c>
      <c r="D3335" s="392" t="n"/>
      <c r="E3335" s="392" t="n"/>
      <c r="F3335" s="392" t="n"/>
      <c r="G3335" s="392" t="n">
        <v>30</v>
      </c>
      <c r="H3335" s="52">
        <f>H3334-G3335</f>
        <v/>
      </c>
      <c r="I3335" s="568" t="n"/>
      <c r="J3335" s="568" t="n"/>
      <c r="K3335" s="568" t="n"/>
      <c r="L3335" s="568" t="n"/>
    </row>
    <row r="3336">
      <c r="A3336" s="568" t="n">
        <v>45783</v>
      </c>
      <c r="B3336" s="392" t="n">
        <v>11829</v>
      </c>
      <c r="C3336" s="392" t="n">
        <v>82</v>
      </c>
      <c r="D3336" s="392" t="n"/>
      <c r="E3336" s="392" t="n"/>
      <c r="F3336" s="392" t="n"/>
      <c r="G3336" s="392" t="n">
        <v>10</v>
      </c>
      <c r="H3336" s="52">
        <f>H3335-G3336</f>
        <v/>
      </c>
      <c r="I3336" s="568" t="n"/>
      <c r="J3336" s="568" t="n"/>
      <c r="K3336" s="568" t="n"/>
      <c r="L3336" s="568" t="n"/>
    </row>
    <row r="3337">
      <c r="A3337" s="568" t="n">
        <v>45784</v>
      </c>
      <c r="B3337" s="392" t="n">
        <v>11833</v>
      </c>
      <c r="C3337" s="392" t="n">
        <v>82</v>
      </c>
      <c r="D3337" s="392" t="n"/>
      <c r="E3337" s="392" t="n"/>
      <c r="F3337" s="392" t="n"/>
      <c r="G3337" s="392" t="n">
        <v>20</v>
      </c>
      <c r="H3337" s="52">
        <f>H3336-G3337</f>
        <v/>
      </c>
      <c r="I3337" s="568" t="n"/>
      <c r="J3337" s="568" t="n"/>
      <c r="K3337" s="568" t="n"/>
      <c r="L3337" s="568" t="n"/>
    </row>
    <row r="3338">
      <c r="A3338" s="568" t="n">
        <v>45784</v>
      </c>
      <c r="B3338" s="392" t="n">
        <v>11836</v>
      </c>
      <c r="C3338" s="392" t="n">
        <v>80</v>
      </c>
      <c r="D3338" s="392" t="n"/>
      <c r="E3338" s="392" t="n"/>
      <c r="F3338" s="392" t="n"/>
      <c r="G3338" s="392" t="n">
        <v>10</v>
      </c>
      <c r="H3338" s="52">
        <f>H3337-G3338</f>
        <v/>
      </c>
      <c r="I3338" s="568" t="n"/>
      <c r="J3338" s="568" t="n"/>
      <c r="K3338" s="568" t="n"/>
      <c r="L3338" s="568" t="n"/>
    </row>
    <row r="3339">
      <c r="A3339" s="568" t="n">
        <v>45784</v>
      </c>
      <c r="B3339" s="392" t="n">
        <v>11837</v>
      </c>
      <c r="C3339" s="392" t="n">
        <v>82</v>
      </c>
      <c r="D3339" s="392" t="n"/>
      <c r="E3339" s="392" t="n"/>
      <c r="F3339" s="392" t="n"/>
      <c r="G3339" s="392" t="n">
        <v>20</v>
      </c>
      <c r="H3339" s="52">
        <f>H3338-G3339</f>
        <v/>
      </c>
      <c r="I3339" s="568" t="n"/>
      <c r="J3339" s="568" t="n"/>
      <c r="K3339" s="568" t="n"/>
      <c r="L3339" s="568" t="n"/>
    </row>
    <row r="3340">
      <c r="A3340" s="568" t="n">
        <v>45784</v>
      </c>
      <c r="B3340" s="392" t="n">
        <v>11838</v>
      </c>
      <c r="C3340" s="392" t="n">
        <v>83.2</v>
      </c>
      <c r="D3340" s="392" t="n"/>
      <c r="E3340" s="392" t="n"/>
      <c r="F3340" s="392" t="n"/>
      <c r="G3340" s="392" t="n">
        <v>10</v>
      </c>
      <c r="H3340" s="52">
        <f>H3339-G3340</f>
        <v/>
      </c>
      <c r="I3340" s="568" t="n"/>
      <c r="J3340" s="568" t="n"/>
      <c r="K3340" s="568" t="n"/>
      <c r="L3340" s="568" t="n"/>
    </row>
    <row r="3341">
      <c r="A3341" s="568" t="n">
        <v>45784</v>
      </c>
      <c r="B3341" s="392" t="n">
        <v>11839</v>
      </c>
      <c r="C3341" s="392" t="n">
        <v>87.40000000000001</v>
      </c>
      <c r="D3341" s="392" t="n"/>
      <c r="E3341" s="392" t="n"/>
      <c r="F3341" s="392" t="n"/>
      <c r="G3341" s="392" t="n">
        <v>51</v>
      </c>
      <c r="H3341" s="52">
        <f>H3340-G3341</f>
        <v/>
      </c>
      <c r="I3341" s="568" t="n"/>
      <c r="J3341" s="568" t="n"/>
      <c r="K3341" s="568" t="n"/>
      <c r="L3341" s="568" t="n"/>
    </row>
    <row r="3342">
      <c r="A3342" s="304" t="n">
        <v>45785</v>
      </c>
      <c r="B3342" s="401" t="n">
        <v>285967</v>
      </c>
      <c r="C3342" s="401" t="n">
        <v>72.5</v>
      </c>
      <c r="D3342" s="401" t="n"/>
      <c r="E3342" s="401" t="n"/>
      <c r="F3342" s="401" t="n">
        <v>480</v>
      </c>
      <c r="G3342" s="401" t="n"/>
      <c r="H3342" s="277" t="n">
        <v>1375</v>
      </c>
      <c r="I3342" s="568" t="n"/>
      <c r="J3342" s="568" t="n"/>
      <c r="K3342" s="568" t="n"/>
      <c r="L3342" s="568" t="n"/>
    </row>
    <row r="3343">
      <c r="A3343" s="304" t="n">
        <v>45785</v>
      </c>
      <c r="B3343" s="401" t="n">
        <v>285967</v>
      </c>
      <c r="C3343" s="401" t="n">
        <v>67.5</v>
      </c>
      <c r="D3343" s="401" t="n"/>
      <c r="E3343" s="401" t="n"/>
      <c r="F3343" s="401" t="n">
        <v>400</v>
      </c>
      <c r="G3343" s="401" t="n"/>
      <c r="H3343" s="277" t="n">
        <v>1775</v>
      </c>
      <c r="I3343" s="568" t="n"/>
      <c r="J3343" s="568" t="n"/>
      <c r="K3343" s="568" t="n"/>
      <c r="L3343" s="568" t="n"/>
    </row>
    <row r="3344">
      <c r="A3344" s="568" t="n">
        <v>45789</v>
      </c>
      <c r="B3344" s="392" t="n">
        <v>11843</v>
      </c>
      <c r="C3344" s="392" t="n">
        <v>82</v>
      </c>
      <c r="D3344" s="392" t="n"/>
      <c r="E3344" s="392" t="n"/>
      <c r="F3344" s="392" t="n"/>
      <c r="G3344" s="392" t="n">
        <v>12</v>
      </c>
      <c r="H3344" s="52">
        <f>H3343-G3344</f>
        <v/>
      </c>
      <c r="I3344" s="568" t="n"/>
      <c r="J3344" s="568" t="n"/>
      <c r="K3344" s="568" t="n"/>
      <c r="L3344" s="568" t="n"/>
    </row>
    <row r="3345">
      <c r="A3345" s="568" t="n">
        <v>45789</v>
      </c>
      <c r="B3345" s="392" t="n">
        <v>11844</v>
      </c>
      <c r="C3345" s="392" t="n">
        <v>88.67</v>
      </c>
      <c r="D3345" s="392" t="n"/>
      <c r="E3345" s="392" t="n"/>
      <c r="F3345" s="392" t="n"/>
      <c r="G3345" s="392" t="n">
        <v>35</v>
      </c>
      <c r="H3345" s="52">
        <f>H3344-G3345</f>
        <v/>
      </c>
      <c r="I3345" s="568" t="n"/>
      <c r="J3345" s="568" t="n"/>
      <c r="K3345" s="568" t="n"/>
      <c r="L3345" s="568" t="n"/>
    </row>
    <row r="3346">
      <c r="A3346" s="568" t="n">
        <v>45789</v>
      </c>
      <c r="B3346" s="392" t="n">
        <v>11846</v>
      </c>
      <c r="C3346" s="392" t="n">
        <v>84</v>
      </c>
      <c r="D3346" s="392" t="n"/>
      <c r="E3346" s="392" t="n"/>
      <c r="F3346" s="392" t="n"/>
      <c r="G3346" s="392" t="n">
        <v>100</v>
      </c>
      <c r="H3346" s="52">
        <f>H3345-G3346</f>
        <v/>
      </c>
      <c r="I3346" s="568" t="n"/>
      <c r="J3346" s="568" t="n"/>
      <c r="K3346" s="568" t="n"/>
      <c r="L3346" s="568" t="n"/>
    </row>
    <row r="3347">
      <c r="A3347" s="568" t="n">
        <v>45789</v>
      </c>
      <c r="B3347" s="392" t="n">
        <v>11848</v>
      </c>
      <c r="C3347" s="392" t="n">
        <v>79</v>
      </c>
      <c r="D3347" s="392" t="n"/>
      <c r="E3347" s="392" t="n"/>
      <c r="F3347" s="392" t="n"/>
      <c r="G3347" s="392" t="n">
        <v>120</v>
      </c>
      <c r="H3347" s="52">
        <f>H3346-G3347</f>
        <v/>
      </c>
      <c r="I3347" s="568" t="n"/>
      <c r="J3347" s="568" t="n"/>
      <c r="K3347" s="568" t="n"/>
      <c r="L3347" s="568" t="n"/>
    </row>
    <row r="3348">
      <c r="A3348" s="568" t="n">
        <v>45789</v>
      </c>
      <c r="B3348" s="392" t="n">
        <v>11852</v>
      </c>
      <c r="C3348" s="392" t="n">
        <v>84</v>
      </c>
      <c r="D3348" s="392" t="n"/>
      <c r="E3348" s="392" t="n"/>
      <c r="F3348" s="392" t="n"/>
      <c r="G3348" s="392" t="n">
        <v>50</v>
      </c>
      <c r="H3348" s="52">
        <f>H3347-G3348</f>
        <v/>
      </c>
      <c r="I3348" s="568" t="n"/>
      <c r="J3348" s="568" t="n"/>
      <c r="K3348" s="568" t="n"/>
      <c r="L3348" s="568" t="n"/>
    </row>
    <row r="3349">
      <c r="A3349" s="568" t="n">
        <v>45790</v>
      </c>
      <c r="B3349" s="392" t="n">
        <v>11853</v>
      </c>
      <c r="C3349" s="392" t="n">
        <v>85</v>
      </c>
      <c r="D3349" s="392" t="n"/>
      <c r="E3349" s="392" t="n"/>
      <c r="F3349" s="392" t="n"/>
      <c r="G3349" s="392" t="n">
        <v>10</v>
      </c>
      <c r="H3349" s="52">
        <f>H3348-G3349</f>
        <v/>
      </c>
      <c r="I3349" s="568" t="n"/>
      <c r="J3349" s="568" t="n"/>
      <c r="K3349" s="568" t="n"/>
      <c r="L3349" s="568" t="n"/>
    </row>
    <row r="3350">
      <c r="A3350" s="568" t="n">
        <v>45790</v>
      </c>
      <c r="B3350" s="392" t="n">
        <v>11854</v>
      </c>
      <c r="C3350" s="392" t="n">
        <v>87.40000000000001</v>
      </c>
      <c r="D3350" s="392" t="n"/>
      <c r="E3350" s="392" t="n"/>
      <c r="F3350" s="392" t="n"/>
      <c r="G3350" s="392" t="n">
        <v>50</v>
      </c>
      <c r="H3350" s="52">
        <f>H3349-G3350</f>
        <v/>
      </c>
      <c r="I3350" s="568" t="n"/>
      <c r="J3350" s="568" t="n"/>
      <c r="K3350" s="568" t="n"/>
      <c r="L3350" s="568" t="n"/>
    </row>
    <row r="3351">
      <c r="A3351" s="568" t="n">
        <v>45791</v>
      </c>
      <c r="B3351" s="392" t="n">
        <v>11855</v>
      </c>
      <c r="C3351" s="392" t="n">
        <v>82</v>
      </c>
      <c r="D3351" s="392" t="n"/>
      <c r="E3351" s="392" t="n"/>
      <c r="F3351" s="392" t="n"/>
      <c r="G3351" s="392" t="n">
        <v>20</v>
      </c>
      <c r="H3351" s="52">
        <f>H3350-G3351</f>
        <v/>
      </c>
      <c r="I3351" s="568" t="n"/>
      <c r="J3351" s="568" t="n"/>
      <c r="K3351" s="568" t="n"/>
      <c r="L3351" s="568" t="n"/>
    </row>
    <row r="3352">
      <c r="A3352" s="568" t="n">
        <v>45796</v>
      </c>
      <c r="B3352" s="392" t="n">
        <v>11862</v>
      </c>
      <c r="C3352" s="392" t="n">
        <v>82</v>
      </c>
      <c r="D3352" s="392" t="n"/>
      <c r="E3352" s="392" t="n"/>
      <c r="F3352" s="392" t="n"/>
      <c r="G3352" s="392" t="n">
        <v>20</v>
      </c>
      <c r="H3352" s="52">
        <f>H3351-G3352</f>
        <v/>
      </c>
      <c r="I3352" s="568" t="n"/>
      <c r="J3352" s="568" t="n"/>
      <c r="K3352" s="568" t="n"/>
      <c r="L3352" s="568" t="n"/>
    </row>
    <row r="3353">
      <c r="A3353" s="568" t="n">
        <v>45796</v>
      </c>
      <c r="B3353" s="392" t="n">
        <v>11864</v>
      </c>
      <c r="C3353" s="392" t="n">
        <v>82.84</v>
      </c>
      <c r="D3353" s="392" t="n"/>
      <c r="E3353" s="392" t="n"/>
      <c r="F3353" s="392" t="n"/>
      <c r="G3353" s="392" t="n">
        <v>60</v>
      </c>
      <c r="H3353" s="52">
        <f>H3352-G3353</f>
        <v/>
      </c>
      <c r="I3353" s="568" t="n"/>
      <c r="J3353" s="568" t="n"/>
      <c r="K3353" s="568" t="n"/>
      <c r="L3353" s="568" t="n"/>
    </row>
    <row r="3354">
      <c r="A3354" s="568" t="n">
        <v>45798</v>
      </c>
      <c r="B3354" s="392" t="n">
        <v>11865</v>
      </c>
      <c r="C3354" s="392" t="n">
        <v>87</v>
      </c>
      <c r="D3354" s="392" t="n"/>
      <c r="E3354" s="392" t="n"/>
      <c r="F3354" s="392" t="n"/>
      <c r="G3354" s="392" t="n">
        <v>20</v>
      </c>
      <c r="H3354" s="52">
        <f>H3353-G3354</f>
        <v/>
      </c>
      <c r="I3354" s="568" t="n"/>
      <c r="J3354" s="568" t="n"/>
      <c r="K3354" s="568" t="n"/>
      <c r="L3354" s="568" t="n"/>
    </row>
    <row r="3355">
      <c r="A3355" s="568" t="n">
        <v>45798</v>
      </c>
      <c r="B3355" s="392" t="n">
        <v>11866</v>
      </c>
      <c r="C3355" s="392" t="n">
        <v>87.40000000000001</v>
      </c>
      <c r="D3355" s="392" t="n"/>
      <c r="E3355" s="392" t="n"/>
      <c r="F3355" s="392" t="n"/>
      <c r="G3355" s="392" t="n">
        <v>50</v>
      </c>
      <c r="H3355" s="52">
        <f>H3354-G3355</f>
        <v/>
      </c>
      <c r="I3355" s="568" t="n"/>
      <c r="J3355" s="568" t="n"/>
      <c r="K3355" s="568" t="n"/>
      <c r="L3355" s="568" t="n"/>
    </row>
    <row r="3356">
      <c r="A3356" s="568" t="n">
        <v>45798</v>
      </c>
      <c r="B3356" s="392" t="n">
        <v>11867</v>
      </c>
      <c r="C3356" s="392" t="n">
        <v>85</v>
      </c>
      <c r="D3356" s="392" t="n"/>
      <c r="E3356" s="392" t="n"/>
      <c r="F3356" s="392" t="n"/>
      <c r="G3356" s="392" t="n">
        <v>10</v>
      </c>
      <c r="H3356" s="52">
        <f>H3355-G3356</f>
        <v/>
      </c>
      <c r="I3356" s="568" t="n"/>
      <c r="J3356" s="568" t="n"/>
      <c r="K3356" s="568" t="n"/>
      <c r="L3356" s="568" t="n"/>
    </row>
    <row r="3357">
      <c r="A3357" s="568" t="n">
        <v>45798</v>
      </c>
      <c r="B3357" s="392" t="n">
        <v>11868</v>
      </c>
      <c r="C3357" s="392" t="n">
        <v>85</v>
      </c>
      <c r="D3357" s="392" t="n"/>
      <c r="E3357" s="392" t="n"/>
      <c r="F3357" s="392" t="n"/>
      <c r="G3357" s="392" t="n">
        <v>10</v>
      </c>
      <c r="H3357" s="52">
        <f>H3356-G3357</f>
        <v/>
      </c>
      <c r="I3357" s="568" t="n"/>
      <c r="J3357" s="568" t="n"/>
      <c r="K3357" s="568" t="n"/>
      <c r="L3357" s="568" t="n"/>
    </row>
    <row r="3358">
      <c r="A3358" s="568" t="n">
        <v>45798</v>
      </c>
      <c r="B3358" s="392" t="n">
        <v>11870</v>
      </c>
      <c r="C3358" s="392" t="n">
        <v>87</v>
      </c>
      <c r="D3358" s="392" t="n"/>
      <c r="E3358" s="392" t="n"/>
      <c r="F3358" s="392" t="n"/>
      <c r="G3358" s="392" t="n">
        <v>15</v>
      </c>
      <c r="H3358" s="52">
        <f>H3357-G3358</f>
        <v/>
      </c>
      <c r="I3358" s="568" t="n"/>
      <c r="J3358" s="568" t="n"/>
      <c r="K3358" s="568" t="n"/>
      <c r="L3358" s="568" t="n"/>
    </row>
    <row r="3359">
      <c r="A3359" s="568" t="n">
        <v>45799</v>
      </c>
      <c r="B3359" s="392" t="n">
        <v>11873</v>
      </c>
      <c r="C3359" s="392" t="n">
        <v>87</v>
      </c>
      <c r="D3359" s="392" t="n"/>
      <c r="E3359" s="392" t="n"/>
      <c r="F3359" s="392" t="n"/>
      <c r="G3359" s="392" t="n">
        <v>60</v>
      </c>
      <c r="H3359" s="52">
        <f>H3358-G3359</f>
        <v/>
      </c>
      <c r="I3359" s="568" t="n"/>
      <c r="J3359" s="568" t="n"/>
      <c r="K3359" s="568" t="n"/>
      <c r="L3359" s="568" t="n"/>
    </row>
    <row r="3360">
      <c r="A3360" s="568" t="n">
        <v>45803</v>
      </c>
      <c r="B3360" s="392" t="n">
        <v>11875</v>
      </c>
      <c r="C3360" s="392" t="n">
        <v>87</v>
      </c>
      <c r="D3360" s="392" t="n"/>
      <c r="E3360" s="392" t="n"/>
      <c r="F3360" s="392" t="n"/>
      <c r="G3360" s="392" t="n">
        <v>15</v>
      </c>
      <c r="H3360" s="52">
        <f>H3359-G3360</f>
        <v/>
      </c>
      <c r="I3360" s="568" t="n"/>
      <c r="J3360" s="568" t="n"/>
      <c r="K3360" s="568" t="n"/>
      <c r="L3360" s="568" t="n"/>
    </row>
    <row r="3361">
      <c r="A3361" s="568" t="n">
        <v>45803</v>
      </c>
      <c r="B3361" s="392" t="n">
        <v>11876</v>
      </c>
      <c r="C3361" s="392" t="n">
        <v>82.75</v>
      </c>
      <c r="D3361" s="392" t="n"/>
      <c r="E3361" s="392" t="n"/>
      <c r="F3361" s="392" t="n"/>
      <c r="G3361" s="392" t="n">
        <v>20</v>
      </c>
      <c r="H3361" s="52">
        <f>H3360-G3361</f>
        <v/>
      </c>
      <c r="I3361" s="568" t="n"/>
      <c r="J3361" s="568" t="n"/>
      <c r="K3361" s="568" t="n"/>
      <c r="L3361" s="568" t="n"/>
    </row>
    <row r="3362">
      <c r="A3362" s="568" t="n">
        <v>45803</v>
      </c>
      <c r="B3362" s="392" t="n">
        <v>11881</v>
      </c>
      <c r="C3362" s="392" t="n">
        <v>82</v>
      </c>
      <c r="D3362" s="392" t="n"/>
      <c r="E3362" s="392" t="n"/>
      <c r="F3362" s="392" t="n"/>
      <c r="G3362" s="392" t="n">
        <v>20</v>
      </c>
      <c r="H3362" s="52">
        <f>H3361-G3362</f>
        <v/>
      </c>
      <c r="I3362" s="568" t="n"/>
      <c r="J3362" s="568" t="n"/>
      <c r="K3362" s="568" t="n"/>
      <c r="L3362" s="568" t="n"/>
    </row>
    <row r="3363">
      <c r="A3363" s="568" t="n">
        <v>45804</v>
      </c>
      <c r="B3363" s="392" t="n">
        <v>11883</v>
      </c>
      <c r="C3363" s="392" t="n">
        <v>83.72</v>
      </c>
      <c r="D3363" s="392" t="n"/>
      <c r="E3363" s="392" t="n"/>
      <c r="F3363" s="392" t="n"/>
      <c r="G3363" s="392" t="n">
        <v>70</v>
      </c>
      <c r="H3363" s="52">
        <f>H3362-G3363</f>
        <v/>
      </c>
      <c r="I3363" s="568" t="n"/>
      <c r="J3363" s="568" t="n"/>
      <c r="K3363" s="568" t="n"/>
      <c r="L3363" s="568" t="n"/>
    </row>
    <row r="3364">
      <c r="A3364" s="568" t="n">
        <v>45805</v>
      </c>
      <c r="B3364" s="392" t="n">
        <v>11884</v>
      </c>
      <c r="C3364" s="392" t="n">
        <v>85</v>
      </c>
      <c r="D3364" s="392" t="n"/>
      <c r="E3364" s="392" t="n"/>
      <c r="F3364" s="392" t="n"/>
      <c r="G3364" s="392" t="n">
        <v>10</v>
      </c>
      <c r="H3364" s="52">
        <f>H3363-G3364</f>
        <v/>
      </c>
      <c r="I3364" s="568" t="n"/>
      <c r="J3364" s="568" t="n"/>
      <c r="K3364" s="568" t="n"/>
      <c r="L3364" s="568" t="n"/>
    </row>
    <row r="3365">
      <c r="A3365" s="568" t="n">
        <v>45805</v>
      </c>
      <c r="B3365" s="392" t="n">
        <v>11888</v>
      </c>
      <c r="C3365" s="392" t="n">
        <v>87.40000000000001</v>
      </c>
      <c r="D3365" s="392" t="n"/>
      <c r="E3365" s="392" t="n"/>
      <c r="F3365" s="392" t="n"/>
      <c r="G3365" s="392" t="n">
        <v>50</v>
      </c>
      <c r="H3365" s="52">
        <f>H3364-G3365</f>
        <v/>
      </c>
      <c r="I3365" s="568" t="n"/>
      <c r="J3365" s="568" t="n"/>
      <c r="K3365" s="568" t="n"/>
      <c r="L3365" s="568" t="n"/>
    </row>
    <row r="3366">
      <c r="A3366" s="304" t="n">
        <v>45805</v>
      </c>
      <c r="B3366" s="401" t="n">
        <v>287209</v>
      </c>
      <c r="C3366" s="401" t="n">
        <v>72.5</v>
      </c>
      <c r="D3366" s="401" t="n"/>
      <c r="E3366" s="401" t="n"/>
      <c r="F3366" s="401" t="n">
        <v>280</v>
      </c>
      <c r="G3366" s="401" t="n"/>
      <c r="H3366" s="277" t="n">
        <v>1228</v>
      </c>
      <c r="I3366" s="568" t="n"/>
      <c r="J3366" s="568" t="n"/>
      <c r="K3366" s="568" t="n"/>
      <c r="L3366" s="568" t="n"/>
    </row>
    <row r="3367">
      <c r="A3367" s="304" t="n">
        <v>45805</v>
      </c>
      <c r="B3367" s="401" t="n">
        <v>287209</v>
      </c>
      <c r="C3367" s="401" t="n">
        <v>67.5</v>
      </c>
      <c r="D3367" s="401" t="n"/>
      <c r="E3367" s="401" t="n"/>
      <c r="F3367" s="401" t="n">
        <v>300</v>
      </c>
      <c r="G3367" s="401" t="n"/>
      <c r="H3367" s="277" t="n">
        <v>1528</v>
      </c>
      <c r="I3367" s="568" t="n"/>
      <c r="J3367" s="568" t="n"/>
      <c r="K3367" s="568" t="n"/>
      <c r="L3367" s="568" t="n"/>
    </row>
    <row r="3368">
      <c r="A3368" s="568" t="n"/>
      <c r="B3368" s="392" t="n"/>
      <c r="C3368" s="392" t="n"/>
      <c r="D3368" s="392" t="n"/>
      <c r="E3368" s="392" t="n"/>
      <c r="F3368" s="392" t="n"/>
      <c r="G3368" s="392" t="n"/>
      <c r="H3368" s="52" t="n"/>
      <c r="I3368" s="568" t="n"/>
      <c r="J3368" s="568" t="n"/>
      <c r="K3368" s="568" t="n"/>
      <c r="L3368" s="568" t="n"/>
    </row>
    <row r="3369">
      <c r="A3369" s="568" t="n"/>
      <c r="B3369" s="392" t="n"/>
      <c r="C3369" s="392" t="n"/>
      <c r="D3369" s="392" t="n"/>
      <c r="E3369" s="392" t="n"/>
      <c r="F3369" s="392" t="n"/>
      <c r="G3369" s="392" t="n"/>
      <c r="H3369" s="52" t="n"/>
      <c r="I3369" s="568" t="n"/>
      <c r="J3369" s="568" t="n"/>
      <c r="K3369" s="568" t="n"/>
      <c r="L3369" s="568" t="n"/>
    </row>
    <row r="3370" ht="15.75" customHeight="1" s="436" thickBot="1">
      <c r="A3370" s="414" t="n"/>
      <c r="H3370" s="171" t="n"/>
      <c r="I3370" s="414" t="n"/>
      <c r="J3370" s="414" t="n"/>
      <c r="K3370" s="414" t="n"/>
      <c r="L3370" s="414" t="n"/>
    </row>
    <row r="3371" ht="21.75" customHeight="1" s="436" thickBot="1">
      <c r="A3371" s="757" t="inlineStr">
        <is>
          <t>Junho</t>
        </is>
      </c>
      <c r="B3371" s="697" t="n"/>
      <c r="C3371" s="697" t="n"/>
      <c r="D3371" s="697" t="n"/>
      <c r="E3371" s="697" t="n"/>
      <c r="F3371" s="697" t="n"/>
      <c r="G3371" s="697" t="n"/>
      <c r="H3371" s="697" t="n"/>
      <c r="I3371" s="697" t="n"/>
      <c r="J3371" s="697" t="n"/>
      <c r="K3371" s="697" t="n"/>
      <c r="L3371" s="698" t="n"/>
    </row>
    <row r="3372" ht="21.75" customHeight="1" s="436" thickBot="1">
      <c r="A3372" s="699" t="inlineStr">
        <is>
          <t xml:space="preserve">021 - DENISE FURTADO DE SOUZA - ME </t>
        </is>
      </c>
      <c r="B3372" s="697" t="n"/>
      <c r="C3372" s="697" t="n"/>
      <c r="D3372" s="697" t="n"/>
      <c r="E3372" s="697" t="n"/>
      <c r="F3372" s="697" t="n"/>
      <c r="G3372" s="697" t="n"/>
      <c r="H3372" s="697" t="n"/>
      <c r="I3372" s="697" t="n"/>
      <c r="J3372" s="697" t="n"/>
      <c r="K3372" s="697" t="n"/>
      <c r="L3372" s="698" t="n"/>
    </row>
    <row r="3373" ht="24" customHeight="1" s="436" thickBot="1">
      <c r="A3373" s="759" t="inlineStr">
        <is>
          <t xml:space="preserve">  PRÉ MISTURA - 25 KG</t>
        </is>
      </c>
      <c r="B3373" s="697" t="n"/>
      <c r="C3373" s="697" t="n"/>
      <c r="D3373" s="697" t="n"/>
      <c r="E3373" s="697" t="n"/>
      <c r="F3373" s="697" t="n"/>
      <c r="G3373" s="697" t="n"/>
      <c r="H3373" s="697" t="n"/>
      <c r="I3373" s="697" t="n"/>
      <c r="J3373" s="697" t="n"/>
      <c r="K3373" s="697" t="n"/>
      <c r="L3373" s="698" t="n"/>
    </row>
    <row r="3374">
      <c r="A3374" s="3" t="inlineStr">
        <is>
          <t>DATA</t>
        </is>
      </c>
      <c r="B3374" s="3" t="inlineStr">
        <is>
          <t>N.F.</t>
        </is>
      </c>
      <c r="C3374" s="3" t="inlineStr">
        <is>
          <t>TIPO</t>
        </is>
      </c>
      <c r="D3374" s="3" t="inlineStr">
        <is>
          <t>PREÇO UNITÁRIO</t>
        </is>
      </c>
      <c r="E3374" s="736" t="n"/>
      <c r="F3374" s="3" t="inlineStr">
        <is>
          <t>QUANTIDADE / KG</t>
        </is>
      </c>
      <c r="G3374" s="737" t="n"/>
      <c r="H3374" s="736" t="n"/>
      <c r="I3374" s="631" t="inlineStr">
        <is>
          <t>PREÇO</t>
        </is>
      </c>
      <c r="J3374" s="631" t="inlineStr">
        <is>
          <t>VALORES</t>
        </is>
      </c>
      <c r="K3374" s="737" t="n"/>
      <c r="L3374" s="736" t="n"/>
    </row>
    <row r="3375" ht="15.75" customHeight="1" s="436" thickBot="1">
      <c r="A3375" s="704" t="n"/>
      <c r="B3375" s="704" t="n"/>
      <c r="C3375" s="704" t="n"/>
      <c r="D3375" s="703" t="n"/>
      <c r="E3375" s="701" t="n"/>
      <c r="F3375" s="705" t="n"/>
      <c r="G3375" s="706" t="n"/>
      <c r="H3375" s="707" t="n"/>
      <c r="I3375" s="704" t="n"/>
      <c r="J3375" s="703" t="n"/>
      <c r="L3375" s="701" t="n"/>
    </row>
    <row r="3376" ht="15.75" customHeight="1" s="436" thickBot="1">
      <c r="A3376" s="704" t="n"/>
      <c r="B3376" s="704" t="n"/>
      <c r="C3376" s="704" t="n"/>
      <c r="D3376" s="705" t="n"/>
      <c r="E3376" s="707" t="n"/>
      <c r="F3376" s="3" t="inlineStr">
        <is>
          <t>ENTRADA</t>
        </is>
      </c>
      <c r="G3376" s="3" t="inlineStr">
        <is>
          <t>SAÍDA</t>
        </is>
      </c>
      <c r="H3376" s="640" t="n"/>
      <c r="I3376" s="633" t="inlineStr">
        <is>
          <t>MÉDIO</t>
        </is>
      </c>
      <c r="J3376" s="739" t="inlineStr">
        <is>
          <t>SALDO EM 30/12/2017</t>
        </is>
      </c>
      <c r="K3376" s="707" t="n"/>
      <c r="L3376" s="17" t="n"/>
    </row>
    <row r="3377" ht="15.75" customHeight="1" s="436" thickBot="1">
      <c r="A3377" s="695" t="n"/>
      <c r="B3377" s="695" t="n"/>
      <c r="C3377" s="695" t="n"/>
      <c r="D3377" s="3" t="inlineStr">
        <is>
          <t>C/ICMS</t>
        </is>
      </c>
      <c r="E3377" s="3" t="inlineStr">
        <is>
          <t>S/ICMS</t>
        </is>
      </c>
      <c r="F3377" s="695" t="n"/>
      <c r="G3377" s="695" t="n"/>
      <c r="H3377" s="361" t="inlineStr">
        <is>
          <t>Saldo em 31/04/2024</t>
        </is>
      </c>
      <c r="I3377" s="695" t="n"/>
      <c r="J3377" s="645" t="inlineStr">
        <is>
          <t>ENTRADA</t>
        </is>
      </c>
      <c r="K3377" s="633" t="inlineStr">
        <is>
          <t>SAÍDA / CMV</t>
        </is>
      </c>
      <c r="L3377" s="633" t="inlineStr">
        <is>
          <t>SALDO</t>
        </is>
      </c>
    </row>
    <row r="3378">
      <c r="A3378" s="568" t="n"/>
      <c r="B3378" s="392" t="n"/>
      <c r="C3378" s="392" t="n"/>
      <c r="D3378" s="392" t="n"/>
      <c r="E3378" s="392" t="n"/>
      <c r="F3378" s="392" t="n"/>
      <c r="G3378" s="392" t="n"/>
      <c r="H3378" s="52" t="n">
        <v>1528</v>
      </c>
      <c r="I3378" s="568" t="n"/>
      <c r="J3378" s="568" t="n"/>
      <c r="K3378" s="568" t="n"/>
      <c r="L3378" s="392" t="n"/>
    </row>
    <row r="3379">
      <c r="A3379" s="568" t="n">
        <v>45810</v>
      </c>
      <c r="B3379" s="392" t="n">
        <v>11892</v>
      </c>
      <c r="C3379" s="392" t="n">
        <v>79</v>
      </c>
      <c r="D3379" s="392" t="n"/>
      <c r="E3379" s="392" t="n"/>
      <c r="F3379" s="392" t="n"/>
      <c r="G3379" s="392" t="n">
        <v>100</v>
      </c>
      <c r="H3379" s="52">
        <f>H3378-G3379</f>
        <v/>
      </c>
      <c r="I3379" s="568" t="n"/>
      <c r="J3379" s="568" t="n"/>
      <c r="K3379" s="568" t="n"/>
      <c r="L3379" s="568" t="n"/>
    </row>
    <row r="3380">
      <c r="A3380" s="568" t="n">
        <v>45810</v>
      </c>
      <c r="B3380" s="392" t="n">
        <v>11895</v>
      </c>
      <c r="C3380" s="392" t="n">
        <v>85</v>
      </c>
      <c r="D3380" s="392" t="n"/>
      <c r="E3380" s="392" t="n"/>
      <c r="F3380" s="392" t="n"/>
      <c r="G3380" s="392" t="n">
        <v>30</v>
      </c>
      <c r="H3380" s="52">
        <f>H3379-G3380</f>
        <v/>
      </c>
      <c r="I3380" s="568" t="n"/>
      <c r="J3380" s="568" t="n"/>
      <c r="K3380" s="562" t="n"/>
      <c r="L3380" s="568" t="n"/>
    </row>
    <row r="3381">
      <c r="A3381" s="568" t="n">
        <v>45812</v>
      </c>
      <c r="B3381" s="392" t="n">
        <v>11897</v>
      </c>
      <c r="C3381" s="392" t="n">
        <v>87</v>
      </c>
      <c r="D3381" s="392" t="n"/>
      <c r="E3381" s="392" t="n"/>
      <c r="F3381" s="392" t="n"/>
      <c r="G3381" s="392" t="n">
        <v>20</v>
      </c>
      <c r="H3381" s="52">
        <f>H3380-G3381</f>
        <v/>
      </c>
      <c r="I3381" s="568" t="n"/>
      <c r="J3381" s="568" t="n"/>
      <c r="K3381" s="568" t="n"/>
      <c r="L3381" s="568" t="n"/>
    </row>
    <row r="3382">
      <c r="A3382" s="568" t="n">
        <v>45812</v>
      </c>
      <c r="B3382" s="392" t="n">
        <v>11899</v>
      </c>
      <c r="C3382" s="392" t="n">
        <v>80</v>
      </c>
      <c r="D3382" s="392" t="n"/>
      <c r="E3382" s="392" t="n"/>
      <c r="F3382" s="392" t="n"/>
      <c r="G3382" s="392" t="n">
        <v>20</v>
      </c>
      <c r="H3382" s="52">
        <f>H3381-G3382</f>
        <v/>
      </c>
      <c r="I3382" s="568" t="n"/>
      <c r="J3382" s="568" t="n"/>
      <c r="K3382" s="568" t="n"/>
      <c r="L3382" s="568" t="n"/>
    </row>
    <row r="3383">
      <c r="A3383" s="568" t="n">
        <v>45812</v>
      </c>
      <c r="B3383" s="392" t="n">
        <v>11900</v>
      </c>
      <c r="C3383" s="392" t="n">
        <v>80</v>
      </c>
      <c r="D3383" s="392" t="n"/>
      <c r="E3383" s="392" t="n"/>
      <c r="F3383" s="392" t="n"/>
      <c r="G3383" s="392" t="n">
        <v>10</v>
      </c>
      <c r="H3383" s="52">
        <f>H3382-G3383</f>
        <v/>
      </c>
      <c r="I3383" s="568" t="n"/>
      <c r="J3383" s="568" t="n"/>
      <c r="K3383" s="568" t="n"/>
      <c r="L3383" s="568" t="n"/>
    </row>
    <row r="3384">
      <c r="A3384" s="568" t="n">
        <v>45812</v>
      </c>
      <c r="B3384" s="392" t="n">
        <v>11901</v>
      </c>
      <c r="C3384" s="392" t="n">
        <v>82</v>
      </c>
      <c r="D3384" s="392" t="n"/>
      <c r="E3384" s="392" t="n"/>
      <c r="F3384" s="392" t="n"/>
      <c r="G3384" s="392" t="n">
        <v>30</v>
      </c>
      <c r="H3384" s="52">
        <f>H3383-G3384</f>
        <v/>
      </c>
      <c r="I3384" s="568" t="n"/>
      <c r="J3384" s="568" t="n"/>
      <c r="K3384" s="568" t="n"/>
      <c r="L3384" s="568" t="n"/>
    </row>
    <row r="3385">
      <c r="A3385" s="568" t="n">
        <v>45812</v>
      </c>
      <c r="B3385" s="392" t="n">
        <v>11903</v>
      </c>
      <c r="C3385" s="392" t="n">
        <v>84.31999999999999</v>
      </c>
      <c r="D3385" s="392" t="n"/>
      <c r="E3385" s="392" t="n"/>
      <c r="F3385" s="392" t="n"/>
      <c r="G3385" s="392" t="n">
        <v>32</v>
      </c>
      <c r="H3385" s="52">
        <f>H3384-G3385</f>
        <v/>
      </c>
      <c r="I3385" s="568" t="n"/>
      <c r="J3385" s="568" t="n"/>
      <c r="K3385" s="568" t="n"/>
      <c r="L3385" s="568" t="n"/>
    </row>
    <row r="3386" ht="17.25" customHeight="1" s="436">
      <c r="A3386" s="568" t="n">
        <v>45812</v>
      </c>
      <c r="B3386" s="392" t="n">
        <v>11904</v>
      </c>
      <c r="C3386" s="392" t="n">
        <v>79</v>
      </c>
      <c r="D3386" s="392" t="n"/>
      <c r="E3386" s="392" t="n"/>
      <c r="F3386" s="392" t="n"/>
      <c r="G3386" s="392" t="n">
        <v>25</v>
      </c>
      <c r="H3386" s="561">
        <f>H3385-G3386</f>
        <v/>
      </c>
      <c r="I3386" s="568" t="n"/>
      <c r="J3386" s="568" t="n"/>
      <c r="K3386" s="568" t="n"/>
      <c r="L3386" s="568" t="n"/>
    </row>
    <row r="3387" ht="17.25" customHeight="1" s="436">
      <c r="A3387" s="304" t="n">
        <v>45814</v>
      </c>
      <c r="B3387" s="401" t="n">
        <v>96633</v>
      </c>
      <c r="C3387" s="401" t="n">
        <v>70.90000000000001</v>
      </c>
      <c r="D3387" s="401" t="n"/>
      <c r="E3387" s="401" t="n"/>
      <c r="F3387" s="401" t="n">
        <v>750</v>
      </c>
      <c r="G3387" s="401" t="n"/>
      <c r="H3387" s="567" t="n">
        <v>2011</v>
      </c>
      <c r="I3387" s="568" t="n"/>
      <c r="J3387" s="568" t="n"/>
      <c r="K3387" s="568" t="n"/>
      <c r="L3387" s="568" t="n"/>
    </row>
    <row r="3388" ht="17.25" customHeight="1" s="436">
      <c r="A3388" s="304" t="n">
        <v>45814</v>
      </c>
      <c r="B3388" s="401" t="n">
        <v>39084</v>
      </c>
      <c r="C3388" s="401" t="n">
        <v>78.90000000000001</v>
      </c>
      <c r="D3388" s="401" t="n"/>
      <c r="E3388" s="401" t="n"/>
      <c r="F3388" s="401" t="n">
        <v>750</v>
      </c>
      <c r="G3388" s="401" t="n"/>
      <c r="H3388" s="567" t="n">
        <v>2761</v>
      </c>
      <c r="I3388" s="568" t="n"/>
      <c r="J3388" s="568" t="n"/>
      <c r="K3388" s="568" t="n"/>
      <c r="L3388" s="568" t="n"/>
    </row>
    <row r="3389">
      <c r="A3389" s="568" t="n">
        <v>45817</v>
      </c>
      <c r="B3389" s="392" t="n">
        <v>11906</v>
      </c>
      <c r="C3389" s="392" t="n">
        <v>85</v>
      </c>
      <c r="D3389" s="392" t="n"/>
      <c r="E3389" s="392" t="n"/>
      <c r="F3389" s="392" t="n"/>
      <c r="G3389" s="392" t="n">
        <v>10</v>
      </c>
      <c r="H3389" s="52">
        <f>H3388-G3389</f>
        <v/>
      </c>
      <c r="I3389" s="568" t="n"/>
      <c r="J3389" s="568" t="n"/>
      <c r="K3389" s="568" t="n"/>
      <c r="L3389" s="568" t="n"/>
    </row>
    <row r="3390">
      <c r="A3390" s="568" t="n">
        <v>45818</v>
      </c>
      <c r="B3390" s="392" t="n">
        <v>11912</v>
      </c>
      <c r="C3390" s="392" t="n">
        <v>81.3</v>
      </c>
      <c r="D3390" s="392" t="n"/>
      <c r="E3390" s="392" t="n"/>
      <c r="F3390" s="392" t="n"/>
      <c r="G3390" s="392" t="n">
        <v>30</v>
      </c>
      <c r="H3390" s="52">
        <f>H3389-G3390</f>
        <v/>
      </c>
      <c r="I3390" s="568" t="n"/>
      <c r="J3390" s="568" t="n"/>
      <c r="K3390" s="568" t="n"/>
      <c r="L3390" s="568" t="n"/>
    </row>
    <row r="3391">
      <c r="A3391" s="568" t="n">
        <v>45818</v>
      </c>
      <c r="B3391" s="392" t="n">
        <v>11913</v>
      </c>
      <c r="C3391" s="392" t="n">
        <v>82.5</v>
      </c>
      <c r="D3391" s="392" t="n"/>
      <c r="E3391" s="392" t="n"/>
      <c r="F3391" s="392" t="n"/>
      <c r="G3391" s="392" t="n">
        <v>60</v>
      </c>
      <c r="H3391" s="52">
        <f>H3390-G3391</f>
        <v/>
      </c>
      <c r="I3391" s="568" t="n"/>
      <c r="J3391" s="568" t="n"/>
      <c r="K3391" s="568" t="n"/>
      <c r="L3391" s="568" t="n"/>
    </row>
    <row r="3392">
      <c r="A3392" s="568" t="n">
        <v>45818</v>
      </c>
      <c r="B3392" s="392" t="n">
        <v>11914</v>
      </c>
      <c r="C3392" s="392" t="n">
        <v>83.5</v>
      </c>
      <c r="D3392" s="392" t="n"/>
      <c r="E3392" s="392" t="n"/>
      <c r="F3392" s="392" t="n"/>
      <c r="G3392" s="392" t="n">
        <v>10</v>
      </c>
      <c r="H3392" s="52">
        <f>H3391-G3392</f>
        <v/>
      </c>
      <c r="I3392" s="568" t="n"/>
      <c r="J3392" s="568" t="n"/>
      <c r="K3392" s="568" t="n"/>
      <c r="L3392" s="568" t="n"/>
    </row>
    <row r="3393">
      <c r="A3393" s="568" t="n">
        <v>45818</v>
      </c>
      <c r="B3393" s="392" t="n">
        <v>11915</v>
      </c>
      <c r="C3393" s="392" t="n">
        <v>79</v>
      </c>
      <c r="D3393" s="392" t="n"/>
      <c r="E3393" s="392" t="n"/>
      <c r="F3393" s="392" t="n"/>
      <c r="G3393" s="392" t="n">
        <v>20</v>
      </c>
      <c r="H3393" s="52">
        <f>H3392-G3393</f>
        <v/>
      </c>
      <c r="I3393" s="568" t="n"/>
      <c r="J3393" s="568" t="n"/>
      <c r="K3393" s="568" t="n"/>
      <c r="L3393" s="568" t="n"/>
    </row>
    <row r="3394">
      <c r="A3394" s="568" t="n">
        <v>45818</v>
      </c>
      <c r="B3394" s="392" t="n">
        <v>11916</v>
      </c>
      <c r="C3394" s="392" t="n">
        <v>87</v>
      </c>
      <c r="D3394" s="392" t="n"/>
      <c r="E3394" s="392" t="n"/>
      <c r="F3394" s="392" t="n"/>
      <c r="G3394" s="392" t="n">
        <v>20</v>
      </c>
      <c r="H3394" s="52">
        <f>H3393-G3394</f>
        <v/>
      </c>
      <c r="I3394" s="568" t="n"/>
      <c r="J3394" s="568" t="n"/>
      <c r="K3394" s="568" t="n"/>
      <c r="L3394" s="568" t="n"/>
    </row>
    <row r="3395">
      <c r="A3395" s="568" t="n">
        <v>45823</v>
      </c>
      <c r="B3395" s="392" t="n">
        <v>11920</v>
      </c>
      <c r="C3395" s="392" t="n">
        <v>87</v>
      </c>
      <c r="D3395" s="392" t="n"/>
      <c r="E3395" s="392" t="n"/>
      <c r="F3395" s="392" t="n"/>
      <c r="G3395" s="392" t="n">
        <v>20</v>
      </c>
      <c r="H3395" s="52">
        <f>H3394-G3395</f>
        <v/>
      </c>
      <c r="I3395" s="568" t="n"/>
      <c r="J3395" s="568" t="n"/>
      <c r="K3395" s="568" t="n"/>
      <c r="L3395" s="568" t="n"/>
    </row>
    <row r="3396">
      <c r="A3396" s="568" t="n">
        <v>45824</v>
      </c>
      <c r="B3396" s="392" t="n">
        <v>11922</v>
      </c>
      <c r="C3396" s="392" t="n">
        <v>85.73</v>
      </c>
      <c r="D3396" s="392" t="n"/>
      <c r="E3396" s="392" t="n"/>
      <c r="F3396" s="392" t="n"/>
      <c r="G3396" s="392" t="n">
        <v>22</v>
      </c>
      <c r="H3396" s="52">
        <f>H3395-G3396</f>
        <v/>
      </c>
      <c r="I3396" s="568" t="n"/>
      <c r="J3396" s="568" t="n"/>
      <c r="K3396" s="568" t="n"/>
      <c r="L3396" s="568" t="n"/>
    </row>
    <row r="3397">
      <c r="A3397" s="568" t="n">
        <v>45824</v>
      </c>
      <c r="B3397" s="392" t="n">
        <v>11923</v>
      </c>
      <c r="C3397" s="392" t="n">
        <v>85.72</v>
      </c>
      <c r="D3397" s="392" t="n"/>
      <c r="E3397" s="392" t="n"/>
      <c r="F3397" s="392" t="n"/>
      <c r="G3397" s="392" t="n">
        <v>50</v>
      </c>
      <c r="H3397" s="52">
        <f>H3396-G3397</f>
        <v/>
      </c>
      <c r="I3397" s="568" t="n"/>
      <c r="J3397" s="568" t="n"/>
      <c r="K3397" s="568" t="n"/>
      <c r="L3397" s="568" t="n"/>
    </row>
    <row r="3398">
      <c r="A3398" s="568" t="n">
        <v>45824</v>
      </c>
      <c r="B3398" s="392" t="n">
        <v>11924</v>
      </c>
      <c r="C3398" s="392" t="n">
        <v>84.40000000000001</v>
      </c>
      <c r="D3398" s="392" t="n"/>
      <c r="E3398" s="392" t="n"/>
      <c r="F3398" s="392" t="n"/>
      <c r="G3398" s="392" t="n">
        <v>50</v>
      </c>
      <c r="H3398" s="52">
        <f>H3397-G3398</f>
        <v/>
      </c>
      <c r="I3398" s="568" t="n"/>
      <c r="J3398" s="568" t="n"/>
      <c r="K3398" s="568" t="n"/>
      <c r="L3398" s="568" t="n"/>
    </row>
    <row r="3399">
      <c r="A3399" s="568" t="n">
        <v>45824</v>
      </c>
      <c r="B3399" s="392" t="n">
        <v>11925</v>
      </c>
      <c r="C3399" s="392" t="n">
        <v>82</v>
      </c>
      <c r="D3399" s="392" t="n"/>
      <c r="E3399" s="392" t="n"/>
      <c r="F3399" s="392" t="n"/>
      <c r="G3399" s="392" t="n">
        <v>20</v>
      </c>
      <c r="H3399" s="52">
        <f>H3398-G3399</f>
        <v/>
      </c>
      <c r="I3399" s="568" t="n"/>
      <c r="J3399" s="568" t="n"/>
      <c r="K3399" s="568" t="n"/>
      <c r="L3399" s="568" t="n"/>
    </row>
    <row r="3400">
      <c r="A3400" s="568" t="n">
        <v>45825</v>
      </c>
      <c r="B3400" s="392" t="n">
        <v>11931</v>
      </c>
      <c r="C3400" s="392" t="n">
        <v>80</v>
      </c>
      <c r="D3400" s="392" t="n"/>
      <c r="E3400" s="392" t="n"/>
      <c r="F3400" s="392" t="n"/>
      <c r="G3400" s="392" t="n">
        <v>10</v>
      </c>
      <c r="H3400" s="52">
        <f>H3399-G3400</f>
        <v/>
      </c>
      <c r="I3400" s="568" t="n"/>
      <c r="J3400" s="568" t="n"/>
      <c r="K3400" s="568" t="n"/>
      <c r="L3400" s="568" t="n"/>
    </row>
    <row r="3401">
      <c r="A3401" s="568" t="n">
        <v>45825</v>
      </c>
      <c r="B3401" s="392" t="n">
        <v>11933</v>
      </c>
      <c r="C3401" s="392" t="n">
        <v>78</v>
      </c>
      <c r="D3401" s="392" t="n"/>
      <c r="E3401" s="392" t="n"/>
      <c r="F3401" s="392" t="n"/>
      <c r="G3401" s="392" t="n">
        <v>10</v>
      </c>
      <c r="H3401" s="52">
        <f>H3400-G3401</f>
        <v/>
      </c>
      <c r="I3401" s="568" t="n"/>
      <c r="J3401" s="568" t="n"/>
      <c r="K3401" s="568" t="n"/>
      <c r="L3401" s="568" t="n"/>
    </row>
    <row r="3402">
      <c r="A3402" s="568" t="n">
        <v>45825</v>
      </c>
      <c r="B3402" s="392" t="n">
        <v>11934</v>
      </c>
      <c r="C3402" s="392" t="n">
        <v>78</v>
      </c>
      <c r="D3402" s="392" t="n"/>
      <c r="E3402" s="392" t="n"/>
      <c r="F3402" s="392" t="n"/>
      <c r="G3402" s="392" t="n">
        <v>20</v>
      </c>
      <c r="H3402" s="52">
        <f>H3401-G3402</f>
        <v/>
      </c>
      <c r="I3402" s="568" t="n"/>
      <c r="J3402" s="568" t="n"/>
      <c r="K3402" s="568" t="n"/>
      <c r="L3402" s="568" t="n"/>
    </row>
    <row r="3403">
      <c r="A3403" s="568" t="n">
        <v>45825</v>
      </c>
      <c r="B3403" s="392" t="n">
        <v>11935</v>
      </c>
      <c r="C3403" s="392" t="n">
        <v>83</v>
      </c>
      <c r="D3403" s="392" t="n"/>
      <c r="E3403" s="392" t="n"/>
      <c r="F3403" s="392" t="n"/>
      <c r="G3403" s="392" t="n">
        <v>15</v>
      </c>
      <c r="H3403" s="52">
        <f>H3402-G3403</f>
        <v/>
      </c>
      <c r="I3403" s="568" t="n"/>
      <c r="J3403" s="568" t="n"/>
      <c r="K3403" s="568" t="n"/>
      <c r="L3403" s="568" t="n"/>
    </row>
    <row r="3404">
      <c r="A3404" s="568" t="n">
        <v>45825</v>
      </c>
      <c r="B3404" s="392" t="n">
        <v>11937</v>
      </c>
      <c r="C3404" s="392" t="n">
        <v>83.67</v>
      </c>
      <c r="D3404" s="392" t="n"/>
      <c r="E3404" s="392" t="n"/>
      <c r="F3404" s="392" t="n"/>
      <c r="G3404" s="392" t="n">
        <v>30</v>
      </c>
      <c r="H3404" s="52">
        <f>H3403-G3404</f>
        <v/>
      </c>
      <c r="I3404" s="568" t="n"/>
      <c r="J3404" s="568" t="n"/>
      <c r="K3404" s="568" t="n"/>
      <c r="L3404" s="568" t="n"/>
    </row>
    <row r="3405">
      <c r="A3405" s="568" t="n">
        <v>45832</v>
      </c>
      <c r="B3405" s="392" t="n">
        <v>11943</v>
      </c>
      <c r="C3405" s="392" t="n">
        <v>87</v>
      </c>
      <c r="D3405" s="392" t="n"/>
      <c r="E3405" s="392" t="n"/>
      <c r="F3405" s="392" t="n"/>
      <c r="G3405" s="392" t="n">
        <v>80</v>
      </c>
      <c r="H3405" s="52">
        <f>H3404-G3405</f>
        <v/>
      </c>
      <c r="I3405" s="568" t="n"/>
      <c r="J3405" s="568" t="n"/>
      <c r="K3405" s="568" t="n"/>
      <c r="L3405" s="568" t="n"/>
    </row>
    <row r="3406">
      <c r="A3406" s="568" t="n">
        <v>45832</v>
      </c>
      <c r="B3406" s="392" t="n">
        <v>11944</v>
      </c>
      <c r="C3406" s="392" t="n">
        <v>86</v>
      </c>
      <c r="D3406" s="392" t="n"/>
      <c r="E3406" s="392" t="n"/>
      <c r="F3406" s="392" t="n"/>
      <c r="G3406" s="392" t="n">
        <v>20</v>
      </c>
      <c r="H3406" s="52">
        <f>H3405-G3406</f>
        <v/>
      </c>
      <c r="I3406" s="568" t="n"/>
      <c r="J3406" s="568" t="n"/>
      <c r="K3406" s="568" t="n"/>
      <c r="L3406" s="568" t="n"/>
    </row>
    <row r="3407">
      <c r="A3407" s="568" t="n">
        <v>45832</v>
      </c>
      <c r="B3407" s="392" t="n">
        <v>11946</v>
      </c>
      <c r="C3407" s="392" t="n">
        <v>82.75</v>
      </c>
      <c r="D3407" s="392" t="n"/>
      <c r="E3407" s="392" t="n"/>
      <c r="F3407" s="392" t="n"/>
      <c r="G3407" s="392" t="n">
        <v>20</v>
      </c>
      <c r="H3407" s="52">
        <f>H3406-G3407</f>
        <v/>
      </c>
      <c r="I3407" s="568" t="n"/>
      <c r="J3407" s="568" t="n"/>
      <c r="K3407" s="568" t="n"/>
      <c r="L3407" s="568" t="n"/>
    </row>
    <row r="3408">
      <c r="A3408" s="568" t="n">
        <v>45832</v>
      </c>
      <c r="B3408" s="392" t="n">
        <v>11947</v>
      </c>
      <c r="C3408" s="392" t="n">
        <v>77</v>
      </c>
      <c r="D3408" s="392" t="n"/>
      <c r="E3408" s="392" t="n"/>
      <c r="F3408" s="392" t="n"/>
      <c r="G3408" s="392" t="n">
        <v>20</v>
      </c>
      <c r="H3408" s="52">
        <f>H3407-G3408</f>
        <v/>
      </c>
      <c r="I3408" s="568" t="n"/>
      <c r="J3408" s="568" t="n"/>
      <c r="K3408" s="568" t="n"/>
      <c r="L3408" s="568" t="n"/>
    </row>
    <row r="3409">
      <c r="A3409" s="568" t="n">
        <v>45832</v>
      </c>
      <c r="B3409" s="392" t="n">
        <v>11948</v>
      </c>
      <c r="C3409" s="392" t="n">
        <v>80</v>
      </c>
      <c r="D3409" s="392" t="n"/>
      <c r="E3409" s="392" t="n"/>
      <c r="F3409" s="392" t="n"/>
      <c r="G3409" s="392" t="n">
        <v>10</v>
      </c>
      <c r="H3409" s="52">
        <f>H3408-G3409</f>
        <v/>
      </c>
      <c r="I3409" s="568" t="n"/>
      <c r="J3409" s="568" t="n"/>
      <c r="K3409" s="568" t="n"/>
      <c r="L3409" s="568" t="n"/>
    </row>
    <row r="3410">
      <c r="A3410" s="568" t="n">
        <v>45832</v>
      </c>
      <c r="B3410" s="392" t="n">
        <v>11949</v>
      </c>
      <c r="C3410" s="392" t="n">
        <v>85.33</v>
      </c>
      <c r="D3410" s="392" t="n"/>
      <c r="E3410" s="392" t="n"/>
      <c r="F3410" s="392" t="n"/>
      <c r="G3410" s="392" t="n">
        <v>50</v>
      </c>
      <c r="H3410" s="52">
        <f>H3409-G3410</f>
        <v/>
      </c>
      <c r="I3410" s="568" t="n"/>
      <c r="J3410" s="568" t="n"/>
      <c r="K3410" s="568" t="n"/>
      <c r="L3410" s="568" t="n"/>
    </row>
    <row r="3411">
      <c r="A3411" s="568" t="n">
        <v>45833</v>
      </c>
      <c r="B3411" s="392" t="n">
        <v>11950</v>
      </c>
      <c r="C3411" s="392" t="n">
        <v>80</v>
      </c>
      <c r="D3411" s="392" t="n"/>
      <c r="E3411" s="392" t="n"/>
      <c r="F3411" s="392" t="n"/>
      <c r="G3411" s="392" t="n">
        <v>300</v>
      </c>
      <c r="H3411" s="52">
        <f>H3410-G3411</f>
        <v/>
      </c>
      <c r="I3411" s="568" t="n"/>
      <c r="J3411" s="568" t="n"/>
      <c r="K3411" s="568" t="n"/>
      <c r="L3411" s="568" t="n"/>
    </row>
    <row r="3412">
      <c r="A3412" s="568" t="n">
        <v>45833</v>
      </c>
      <c r="B3412" s="392" t="n">
        <v>11951</v>
      </c>
      <c r="C3412" s="392" t="n">
        <v>87</v>
      </c>
      <c r="D3412" s="392" t="n"/>
      <c r="E3412" s="392" t="n"/>
      <c r="F3412" s="392" t="n"/>
      <c r="G3412" s="392" t="n">
        <v>20</v>
      </c>
      <c r="H3412" s="52">
        <f>H3411-G3412</f>
        <v/>
      </c>
      <c r="I3412" s="568" t="n"/>
      <c r="J3412" s="568" t="n"/>
      <c r="K3412" s="568" t="n"/>
      <c r="L3412" s="568" t="n"/>
    </row>
    <row r="3413">
      <c r="A3413" s="568" t="n">
        <v>45837</v>
      </c>
      <c r="B3413" s="392" t="n">
        <v>11956</v>
      </c>
      <c r="C3413" s="392" t="n">
        <v>86</v>
      </c>
      <c r="D3413" s="392" t="n"/>
      <c r="E3413" s="392" t="n"/>
      <c r="F3413" s="392" t="n"/>
      <c r="G3413" s="392" t="n">
        <v>20</v>
      </c>
      <c r="H3413" s="52">
        <f>H3412-G3413</f>
        <v/>
      </c>
      <c r="I3413" s="568" t="n"/>
      <c r="J3413" s="568" t="n"/>
      <c r="K3413" s="568" t="n"/>
      <c r="L3413" s="568" t="n"/>
    </row>
    <row r="3414">
      <c r="A3414" s="568" t="n">
        <v>45838</v>
      </c>
      <c r="B3414" s="392" t="n">
        <v>11959</v>
      </c>
      <c r="C3414" s="392" t="n">
        <v>84.40000000000001</v>
      </c>
      <c r="D3414" s="392" t="n"/>
      <c r="E3414" s="392" t="n"/>
      <c r="F3414" s="392" t="n"/>
      <c r="G3414" s="392" t="n">
        <v>50</v>
      </c>
      <c r="H3414" s="52">
        <f>H3413-G3414</f>
        <v/>
      </c>
      <c r="I3414" s="568" t="n"/>
      <c r="J3414" s="568" t="n"/>
      <c r="K3414" s="568" t="n"/>
      <c r="L3414" s="568" t="n"/>
    </row>
    <row r="3415">
      <c r="A3415" s="568" t="n">
        <v>45838</v>
      </c>
      <c r="B3415" s="392" t="n">
        <v>11960</v>
      </c>
      <c r="C3415" s="392" t="n">
        <v>80</v>
      </c>
      <c r="D3415" s="392" t="n"/>
      <c r="E3415" s="392" t="n"/>
      <c r="F3415" s="392" t="n"/>
      <c r="G3415" s="392" t="n">
        <v>30</v>
      </c>
      <c r="H3415" s="52">
        <f>H3414-G3415</f>
        <v/>
      </c>
      <c r="I3415" s="568" t="n"/>
      <c r="J3415" s="568" t="n"/>
      <c r="K3415" s="568" t="n"/>
      <c r="L3415" s="568" t="n"/>
    </row>
    <row r="3416">
      <c r="A3416" s="568" t="n">
        <v>45838</v>
      </c>
      <c r="B3416" s="392" t="n">
        <v>11962</v>
      </c>
      <c r="C3416" s="392" t="n">
        <v>83.66</v>
      </c>
      <c r="D3416" s="392" t="n"/>
      <c r="E3416" s="392" t="n"/>
      <c r="F3416" s="392" t="n"/>
      <c r="G3416" s="392" t="n">
        <v>30</v>
      </c>
      <c r="H3416" s="52">
        <f>H3415-G3416</f>
        <v/>
      </c>
      <c r="I3416" s="568" t="n"/>
      <c r="J3416" s="568" t="n"/>
      <c r="K3416" s="568" t="n"/>
      <c r="L3416" s="568" t="n"/>
    </row>
    <row r="3417">
      <c r="A3417" s="568" t="n">
        <v>45838</v>
      </c>
      <c r="B3417" s="392" t="n">
        <v>11963</v>
      </c>
      <c r="C3417" s="392" t="n">
        <v>78</v>
      </c>
      <c r="D3417" s="392" t="n"/>
      <c r="E3417" s="392" t="n"/>
      <c r="F3417" s="392" t="n"/>
      <c r="G3417" s="392" t="n">
        <v>30</v>
      </c>
      <c r="H3417" s="52">
        <f>H3416-G3417</f>
        <v/>
      </c>
      <c r="I3417" s="568" t="n"/>
      <c r="J3417" s="568" t="n"/>
      <c r="K3417" s="568" t="n"/>
      <c r="L3417" s="568" t="n"/>
    </row>
    <row r="3418">
      <c r="A3418" s="568" t="n">
        <v>45838</v>
      </c>
      <c r="B3418" s="392" t="n">
        <v>11964</v>
      </c>
      <c r="C3418" s="392" t="n">
        <v>85.31999999999999</v>
      </c>
      <c r="D3418" s="392" t="n"/>
      <c r="E3418" s="392" t="n"/>
      <c r="F3418" s="392" t="n"/>
      <c r="G3418" s="392" t="n">
        <v>50</v>
      </c>
      <c r="H3418" s="52">
        <f>H3417-G3418</f>
        <v/>
      </c>
      <c r="I3418" s="568" t="n"/>
      <c r="J3418" s="568" t="n"/>
      <c r="K3418" s="568" t="n"/>
      <c r="L3418" s="568" t="n"/>
    </row>
    <row r="3419" ht="15.75" customHeight="1" s="436" thickBot="1">
      <c r="A3419" s="414" t="n"/>
      <c r="H3419" s="171" t="n"/>
      <c r="I3419" s="414" t="n"/>
      <c r="J3419" s="414" t="n"/>
      <c r="K3419" s="414" t="n"/>
      <c r="L3419" s="414" t="n"/>
    </row>
    <row r="3420" ht="21.75" customHeight="1" s="436" thickBot="1">
      <c r="A3420" s="757" t="inlineStr">
        <is>
          <t>Julho</t>
        </is>
      </c>
      <c r="B3420" s="697" t="n"/>
      <c r="C3420" s="697" t="n"/>
      <c r="D3420" s="697" t="n"/>
      <c r="E3420" s="697" t="n"/>
      <c r="F3420" s="697" t="n"/>
      <c r="G3420" s="697" t="n"/>
      <c r="H3420" s="697" t="n"/>
      <c r="I3420" s="697" t="n"/>
      <c r="J3420" s="697" t="n"/>
      <c r="K3420" s="697" t="n"/>
      <c r="L3420" s="698" t="n"/>
    </row>
    <row r="3421" ht="21.75" customHeight="1" s="436" thickBot="1">
      <c r="A3421" s="699" t="inlineStr">
        <is>
          <t xml:space="preserve">021 - DENISE FURTADO DE SOUZA - ME </t>
        </is>
      </c>
      <c r="B3421" s="697" t="n"/>
      <c r="C3421" s="697" t="n"/>
      <c r="D3421" s="697" t="n"/>
      <c r="E3421" s="697" t="n"/>
      <c r="F3421" s="697" t="n"/>
      <c r="G3421" s="697" t="n"/>
      <c r="H3421" s="697" t="n"/>
      <c r="I3421" s="697" t="n"/>
      <c r="J3421" s="697" t="n"/>
      <c r="K3421" s="697" t="n"/>
      <c r="L3421" s="698" t="n"/>
    </row>
    <row r="3422" ht="24" customHeight="1" s="436" thickBot="1">
      <c r="A3422" s="759" t="inlineStr">
        <is>
          <t xml:space="preserve">  PRÉ MISTURA - 25 KG</t>
        </is>
      </c>
      <c r="B3422" s="697" t="n"/>
      <c r="C3422" s="697" t="n"/>
      <c r="D3422" s="697" t="n"/>
      <c r="E3422" s="697" t="n"/>
      <c r="F3422" s="697" t="n"/>
      <c r="G3422" s="697" t="n"/>
      <c r="H3422" s="697" t="n"/>
      <c r="I3422" s="697" t="n"/>
      <c r="J3422" s="697" t="n"/>
      <c r="K3422" s="697" t="n"/>
      <c r="L3422" s="698" t="n"/>
    </row>
    <row r="3423">
      <c r="A3423" s="3" t="inlineStr">
        <is>
          <t>DATA</t>
        </is>
      </c>
      <c r="B3423" s="3" t="inlineStr">
        <is>
          <t>N.F.</t>
        </is>
      </c>
      <c r="C3423" s="3" t="inlineStr">
        <is>
          <t>TIPO</t>
        </is>
      </c>
      <c r="D3423" s="3" t="inlineStr">
        <is>
          <t>PREÇO UNITÁRIO</t>
        </is>
      </c>
      <c r="E3423" s="736" t="n"/>
      <c r="F3423" s="3" t="inlineStr">
        <is>
          <t>QUANTIDADE / KG</t>
        </is>
      </c>
      <c r="G3423" s="737" t="n"/>
      <c r="H3423" s="736" t="n"/>
      <c r="I3423" s="631" t="inlineStr">
        <is>
          <t>PREÇO</t>
        </is>
      </c>
      <c r="J3423" s="631" t="inlineStr">
        <is>
          <t>VALORES</t>
        </is>
      </c>
      <c r="K3423" s="737" t="n"/>
      <c r="L3423" s="736" t="n"/>
    </row>
    <row r="3424" ht="15.75" customHeight="1" s="436" thickBot="1">
      <c r="A3424" s="704" t="n"/>
      <c r="B3424" s="704" t="n"/>
      <c r="C3424" s="704" t="n"/>
      <c r="D3424" s="703" t="n"/>
      <c r="E3424" s="701" t="n"/>
      <c r="F3424" s="705" t="n"/>
      <c r="G3424" s="706" t="n"/>
      <c r="H3424" s="707" t="n"/>
      <c r="I3424" s="704" t="n"/>
      <c r="J3424" s="703" t="n"/>
      <c r="L3424" s="701" t="n"/>
    </row>
    <row r="3425" ht="15.75" customHeight="1" s="436" thickBot="1">
      <c r="A3425" s="704" t="n"/>
      <c r="B3425" s="704" t="n"/>
      <c r="C3425" s="704" t="n"/>
      <c r="D3425" s="705" t="n"/>
      <c r="E3425" s="707" t="n"/>
      <c r="F3425" s="3" t="inlineStr">
        <is>
          <t>ENTRADA</t>
        </is>
      </c>
      <c r="G3425" s="3" t="inlineStr">
        <is>
          <t>SAÍDA</t>
        </is>
      </c>
      <c r="H3425" s="640" t="n"/>
      <c r="I3425" s="633" t="inlineStr">
        <is>
          <t>MÉDIO</t>
        </is>
      </c>
      <c r="J3425" s="739" t="inlineStr">
        <is>
          <t>SALDO EM 30/12/2017</t>
        </is>
      </c>
      <c r="K3425" s="707" t="n"/>
      <c r="L3425" s="17" t="n"/>
    </row>
    <row r="3426" ht="15.75" customHeight="1" s="436" thickBot="1">
      <c r="A3426" s="695" t="n"/>
      <c r="B3426" s="695" t="n"/>
      <c r="C3426" s="695" t="n"/>
      <c r="D3426" s="3" t="inlineStr">
        <is>
          <t>C/ICMS</t>
        </is>
      </c>
      <c r="E3426" s="3" t="inlineStr">
        <is>
          <t>S/ICMS</t>
        </is>
      </c>
      <c r="F3426" s="695" t="n"/>
      <c r="G3426" s="695" t="n"/>
      <c r="H3426" s="361" t="inlineStr">
        <is>
          <t>Saldo em 30/06/2024</t>
        </is>
      </c>
      <c r="I3426" s="695" t="n"/>
      <c r="J3426" s="645" t="inlineStr">
        <is>
          <t>ENTRADA</t>
        </is>
      </c>
      <c r="K3426" s="633" t="inlineStr">
        <is>
          <t>SAÍDA / CMV</t>
        </is>
      </c>
      <c r="L3426" s="633" t="inlineStr">
        <is>
          <t>SALDO</t>
        </is>
      </c>
    </row>
    <row r="3427">
      <c r="A3427" s="568" t="n"/>
      <c r="B3427" s="392" t="n"/>
      <c r="C3427" s="392" t="n"/>
      <c r="D3427" s="392" t="n"/>
      <c r="E3427" s="392" t="n"/>
      <c r="F3427" s="392" t="n"/>
      <c r="G3427" s="392" t="n"/>
      <c r="H3427" s="52" t="n">
        <v>1634</v>
      </c>
      <c r="I3427" s="568" t="n"/>
      <c r="J3427" s="568" t="n"/>
      <c r="K3427" s="568" t="n"/>
      <c r="L3427" s="392" t="n"/>
    </row>
    <row r="3428">
      <c r="A3428" s="568" t="n">
        <v>45839</v>
      </c>
      <c r="B3428" s="392" t="n">
        <v>11966</v>
      </c>
      <c r="C3428" s="392" t="n">
        <v>85</v>
      </c>
      <c r="D3428" s="392" t="n"/>
      <c r="E3428" s="392" t="n"/>
      <c r="F3428" s="392" t="n"/>
      <c r="G3428" s="392" t="n">
        <v>15</v>
      </c>
      <c r="H3428" s="52">
        <f>H3427-G3428</f>
        <v/>
      </c>
      <c r="I3428" s="568" t="n"/>
      <c r="J3428" s="568" t="n"/>
      <c r="K3428" s="568" t="n"/>
      <c r="L3428" s="568" t="n"/>
    </row>
    <row r="3429">
      <c r="A3429" s="568" t="n">
        <v>45839</v>
      </c>
      <c r="B3429" s="392" t="n">
        <v>11967</v>
      </c>
      <c r="C3429" s="392" t="n">
        <v>80</v>
      </c>
      <c r="D3429" s="392" t="n"/>
      <c r="E3429" s="392" t="n"/>
      <c r="F3429" s="392" t="n"/>
      <c r="G3429" s="392" t="n">
        <v>10</v>
      </c>
      <c r="H3429" s="52">
        <f>H3428-G3429</f>
        <v/>
      </c>
      <c r="I3429" s="568" t="n"/>
      <c r="J3429" s="568" t="n"/>
      <c r="K3429" s="568" t="n"/>
      <c r="L3429" s="568" t="n"/>
    </row>
    <row r="3430">
      <c r="A3430" s="568" t="n">
        <v>45840</v>
      </c>
      <c r="B3430" s="392" t="n">
        <v>11968</v>
      </c>
      <c r="C3430" s="392" t="n">
        <v>81.23</v>
      </c>
      <c r="D3430" s="392" t="n"/>
      <c r="E3430" s="392" t="n"/>
      <c r="F3430" s="392" t="n"/>
      <c r="G3430" s="392" t="n">
        <v>62</v>
      </c>
      <c r="H3430" s="52">
        <f>H3429-G3430</f>
        <v/>
      </c>
      <c r="I3430" s="568" t="n"/>
      <c r="J3430" s="568" t="n"/>
      <c r="K3430" s="568" t="n"/>
      <c r="L3430" s="568" t="n"/>
    </row>
    <row r="3431">
      <c r="A3431" s="568" t="n">
        <v>45840</v>
      </c>
      <c r="B3431" s="392" t="n">
        <v>11972</v>
      </c>
      <c r="C3431" s="392" t="n">
        <v>89.34</v>
      </c>
      <c r="D3431" s="392" t="n"/>
      <c r="E3431" s="392" t="n"/>
      <c r="F3431" s="392" t="n"/>
      <c r="G3431" s="392" t="n">
        <v>30</v>
      </c>
      <c r="H3431" s="52">
        <f>H3430-G3431</f>
        <v/>
      </c>
      <c r="I3431" s="568" t="n"/>
      <c r="J3431" s="568" t="n"/>
      <c r="K3431" s="568" t="n"/>
      <c r="L3431" s="568" t="n"/>
    </row>
    <row r="3432">
      <c r="A3432" s="568" t="n">
        <v>45845</v>
      </c>
      <c r="B3432" s="392" t="n">
        <v>11978</v>
      </c>
      <c r="C3432" s="392" t="n">
        <v>82</v>
      </c>
      <c r="D3432" s="392" t="n"/>
      <c r="E3432" s="392" t="n"/>
      <c r="F3432" s="392" t="n"/>
      <c r="G3432" s="392" t="n">
        <v>20</v>
      </c>
      <c r="H3432" s="52">
        <f>H3431-G3432</f>
        <v/>
      </c>
      <c r="I3432" s="568" t="n"/>
      <c r="J3432" s="568" t="n"/>
      <c r="K3432" s="568" t="n"/>
      <c r="L3432" s="568" t="n"/>
    </row>
    <row r="3433">
      <c r="A3433" s="568" t="n">
        <v>45847</v>
      </c>
      <c r="B3433" s="392" t="n">
        <v>11981</v>
      </c>
      <c r="C3433" s="392" t="n">
        <v>86</v>
      </c>
      <c r="D3433" s="392" t="n"/>
      <c r="E3433" s="392" t="n"/>
      <c r="F3433" s="392" t="n"/>
      <c r="G3433" s="392" t="n">
        <v>20</v>
      </c>
      <c r="H3433" s="52">
        <f>H3432-G3433</f>
        <v/>
      </c>
      <c r="I3433" s="568" t="n"/>
      <c r="J3433" s="568" t="n"/>
      <c r="K3433" s="568" t="n"/>
      <c r="L3433" s="568" t="n"/>
    </row>
    <row r="3434">
      <c r="A3434" s="568" t="n">
        <v>45847</v>
      </c>
      <c r="B3434" s="392" t="n">
        <v>11987</v>
      </c>
      <c r="C3434" s="392" t="n">
        <v>80</v>
      </c>
      <c r="D3434" s="392" t="n"/>
      <c r="E3434" s="392" t="n"/>
      <c r="F3434" s="392" t="n"/>
      <c r="G3434" s="392" t="n">
        <v>10</v>
      </c>
      <c r="H3434" s="52">
        <f>H3433-G3434</f>
        <v/>
      </c>
      <c r="I3434" s="568" t="n"/>
      <c r="J3434" s="568" t="n"/>
      <c r="K3434" s="568" t="n"/>
      <c r="L3434" s="568" t="n"/>
    </row>
    <row r="3435">
      <c r="A3435" s="568" t="n">
        <v>45847</v>
      </c>
      <c r="B3435" s="392" t="n">
        <v>11988</v>
      </c>
      <c r="C3435" s="392" t="n">
        <v>80</v>
      </c>
      <c r="D3435" s="392" t="n"/>
      <c r="E3435" s="392" t="n"/>
      <c r="F3435" s="392" t="n"/>
      <c r="G3435" s="392" t="n">
        <v>30</v>
      </c>
      <c r="H3435" s="52">
        <f>H3434-G3435</f>
        <v/>
      </c>
      <c r="I3435" s="568" t="n"/>
      <c r="J3435" s="568" t="n"/>
      <c r="K3435" s="568" t="n"/>
      <c r="L3435" s="568" t="n"/>
    </row>
    <row r="3436">
      <c r="A3436" s="568" t="n">
        <v>45847</v>
      </c>
      <c r="B3436" s="392" t="n">
        <v>11989</v>
      </c>
      <c r="C3436" s="392" t="n">
        <v>85</v>
      </c>
      <c r="D3436" s="392" t="n"/>
      <c r="E3436" s="392" t="n"/>
      <c r="F3436" s="392" t="n"/>
      <c r="G3436" s="392" t="n">
        <v>10</v>
      </c>
      <c r="H3436" s="52">
        <f>H3435-G3436</f>
        <v/>
      </c>
      <c r="I3436" s="568" t="n"/>
      <c r="J3436" s="568" t="n"/>
      <c r="K3436" s="568" t="n"/>
      <c r="L3436" s="568" t="n"/>
    </row>
    <row r="3437">
      <c r="A3437" s="568" t="n">
        <v>45847</v>
      </c>
      <c r="B3437" s="392" t="n">
        <v>11990</v>
      </c>
      <c r="C3437" s="392" t="n">
        <v>85.31999999999999</v>
      </c>
      <c r="D3437" s="392" t="n"/>
      <c r="E3437" s="392" t="n"/>
      <c r="F3437" s="392" t="n"/>
      <c r="G3437" s="392" t="n">
        <v>50</v>
      </c>
      <c r="H3437" s="52">
        <f>H3436-G3437</f>
        <v/>
      </c>
      <c r="I3437" s="568" t="n"/>
      <c r="J3437" s="568" t="n"/>
      <c r="K3437" s="568" t="n"/>
      <c r="L3437" s="568" t="n"/>
    </row>
    <row r="3438">
      <c r="A3438" s="568" t="n">
        <v>45852</v>
      </c>
      <c r="B3438" s="392" t="n">
        <v>11992</v>
      </c>
      <c r="C3438" s="392" t="n">
        <v>86</v>
      </c>
      <c r="D3438" s="392" t="n"/>
      <c r="E3438" s="392" t="n"/>
      <c r="F3438" s="392" t="n"/>
      <c r="G3438" s="392" t="n">
        <v>20</v>
      </c>
      <c r="H3438" s="52">
        <f>H3437-G3438</f>
        <v/>
      </c>
      <c r="I3438" s="568" t="n"/>
      <c r="J3438" s="568" t="n"/>
      <c r="K3438" s="568" t="n"/>
      <c r="L3438" s="568" t="n"/>
    </row>
    <row r="3439">
      <c r="A3439" s="568" t="n">
        <v>45852</v>
      </c>
      <c r="B3439" s="392" t="n">
        <v>11993</v>
      </c>
      <c r="C3439" s="392" t="n">
        <v>85</v>
      </c>
      <c r="D3439" s="392" t="n"/>
      <c r="E3439" s="392" t="n"/>
      <c r="F3439" s="392" t="n"/>
      <c r="G3439" s="392" t="n">
        <v>20</v>
      </c>
      <c r="H3439" s="52">
        <f>H3438-G3439</f>
        <v/>
      </c>
      <c r="I3439" s="568" t="n"/>
      <c r="J3439" s="568" t="n"/>
      <c r="K3439" s="568" t="n"/>
      <c r="L3439" s="568" t="n"/>
    </row>
    <row r="3440">
      <c r="A3440" s="568" t="n">
        <v>45852</v>
      </c>
      <c r="B3440" s="392" t="n">
        <v>11996</v>
      </c>
      <c r="C3440" s="392" t="n">
        <v>83.67</v>
      </c>
      <c r="D3440" s="392" t="n"/>
      <c r="E3440" s="392" t="n"/>
      <c r="F3440" s="392" t="n"/>
      <c r="G3440" s="392" t="n">
        <v>30</v>
      </c>
      <c r="H3440" s="52">
        <f>H3439-G3440</f>
        <v/>
      </c>
      <c r="I3440" s="568" t="n"/>
      <c r="J3440" s="568" t="n"/>
      <c r="K3440" s="568" t="n"/>
      <c r="L3440" s="568" t="n"/>
    </row>
    <row r="3441">
      <c r="A3441" s="568" t="n">
        <v>45852</v>
      </c>
      <c r="B3441" s="392" t="n">
        <v>11997</v>
      </c>
      <c r="C3441" s="392" t="n">
        <v>87</v>
      </c>
      <c r="D3441" s="392" t="n"/>
      <c r="E3441" s="392" t="n"/>
      <c r="F3441" s="392" t="n"/>
      <c r="G3441" s="392" t="n">
        <v>80</v>
      </c>
      <c r="H3441" s="52">
        <f>H3440-G3441</f>
        <v/>
      </c>
      <c r="I3441" s="568" t="n"/>
      <c r="J3441" s="568" t="n"/>
      <c r="K3441" s="568" t="n"/>
      <c r="L3441" s="568" t="n"/>
    </row>
    <row r="3442">
      <c r="A3442" s="568" t="n">
        <v>45853</v>
      </c>
      <c r="B3442" s="392" t="n">
        <v>11998</v>
      </c>
      <c r="C3442" s="392" t="n">
        <v>80</v>
      </c>
      <c r="D3442" s="392" t="n"/>
      <c r="E3442" s="392" t="n"/>
      <c r="F3442" s="392" t="n"/>
      <c r="G3442" s="392" t="n">
        <v>30</v>
      </c>
      <c r="H3442" s="52">
        <f>H3441-G3442</f>
        <v/>
      </c>
      <c r="I3442" s="568" t="n"/>
      <c r="J3442" s="568" t="n"/>
      <c r="K3442" s="568" t="n"/>
      <c r="L3442" s="568" t="n"/>
    </row>
    <row r="3443">
      <c r="A3443" s="568" t="n">
        <v>45853</v>
      </c>
      <c r="B3443" s="392" t="n">
        <v>12001</v>
      </c>
      <c r="C3443" s="392" t="n">
        <v>79</v>
      </c>
      <c r="D3443" s="392" t="n"/>
      <c r="E3443" s="392" t="n"/>
      <c r="F3443" s="392" t="n"/>
      <c r="G3443" s="392" t="n">
        <v>10</v>
      </c>
      <c r="H3443" s="52">
        <f>H3442-G3443</f>
        <v/>
      </c>
      <c r="I3443" s="568" t="n"/>
      <c r="J3443" s="568" t="n"/>
      <c r="K3443" s="568" t="n"/>
      <c r="L3443" s="568" t="n"/>
    </row>
    <row r="3444">
      <c r="A3444" s="568" t="n">
        <v>45853</v>
      </c>
      <c r="B3444" s="392" t="n">
        <v>12003</v>
      </c>
      <c r="C3444" s="392" t="n">
        <v>85.90000000000001</v>
      </c>
      <c r="D3444" s="392" t="n"/>
      <c r="E3444" s="392" t="n"/>
      <c r="F3444" s="392" t="n"/>
      <c r="G3444" s="392" t="n">
        <v>50</v>
      </c>
      <c r="H3444" s="52">
        <f>H3443-G3444</f>
        <v/>
      </c>
      <c r="I3444" s="568" t="n"/>
      <c r="J3444" s="568" t="n"/>
      <c r="K3444" s="568" t="n"/>
      <c r="L3444" s="568" t="n"/>
    </row>
    <row r="3445">
      <c r="A3445" s="568" t="n">
        <v>45853</v>
      </c>
      <c r="B3445" s="392" t="n">
        <v>12004</v>
      </c>
      <c r="C3445" s="392" t="n">
        <v>87</v>
      </c>
      <c r="D3445" s="392" t="n"/>
      <c r="E3445" s="392" t="n"/>
      <c r="F3445" s="392" t="n"/>
      <c r="G3445" s="392" t="n">
        <v>20</v>
      </c>
      <c r="H3445" s="52">
        <f>H3444-G3445</f>
        <v/>
      </c>
      <c r="I3445" s="568" t="n"/>
      <c r="J3445" s="568" t="n"/>
      <c r="K3445" s="568" t="n"/>
      <c r="L3445" s="568" t="n"/>
    </row>
    <row r="3446">
      <c r="A3446" s="568" t="n">
        <v>45853</v>
      </c>
      <c r="B3446" s="392" t="n">
        <v>12005</v>
      </c>
      <c r="C3446" s="392" t="n">
        <v>79</v>
      </c>
      <c r="D3446" s="392" t="n"/>
      <c r="E3446" s="392" t="n"/>
      <c r="F3446" s="392" t="n"/>
      <c r="G3446" s="392" t="n">
        <v>15</v>
      </c>
      <c r="H3446" s="52">
        <f>H3445-G3446</f>
        <v/>
      </c>
      <c r="I3446" s="568" t="n"/>
      <c r="J3446" s="568" t="n"/>
      <c r="K3446" s="568" t="n"/>
      <c r="L3446" s="568" t="n"/>
    </row>
    <row r="3447">
      <c r="A3447" s="304" t="n">
        <v>45855</v>
      </c>
      <c r="B3447" s="401" t="n">
        <v>290337</v>
      </c>
      <c r="C3447" s="401" t="n"/>
      <c r="D3447" s="401" t="n"/>
      <c r="E3447" s="401" t="n"/>
      <c r="F3447" s="401" t="n">
        <v>338</v>
      </c>
      <c r="G3447" s="401" t="n"/>
      <c r="H3447" s="277" t="n">
        <v>1440</v>
      </c>
      <c r="I3447" s="568" t="n"/>
      <c r="J3447" s="568" t="n"/>
      <c r="K3447" s="568" t="n"/>
      <c r="L3447" s="568" t="n"/>
    </row>
    <row r="3448">
      <c r="A3448" s="568" t="n">
        <v>45855</v>
      </c>
      <c r="B3448" s="392" t="n">
        <v>12009</v>
      </c>
      <c r="C3448" s="392" t="n">
        <v>85.31999999999999</v>
      </c>
      <c r="D3448" s="392" t="n"/>
      <c r="E3448" s="392" t="n"/>
      <c r="F3448" s="392" t="n"/>
      <c r="G3448" s="392" t="n">
        <v>50</v>
      </c>
      <c r="H3448" s="52">
        <f>H3447-G3448</f>
        <v/>
      </c>
      <c r="I3448" s="568" t="n"/>
      <c r="J3448" s="568" t="n"/>
      <c r="K3448" s="568" t="n"/>
      <c r="L3448" s="568" t="n"/>
    </row>
    <row r="3449">
      <c r="A3449" s="568" t="n">
        <v>45855</v>
      </c>
      <c r="B3449" s="392" t="n">
        <v>12010</v>
      </c>
      <c r="C3449" s="392" t="n">
        <v>80</v>
      </c>
      <c r="D3449" s="392" t="n"/>
      <c r="E3449" s="392" t="n"/>
      <c r="F3449" s="392" t="n"/>
      <c r="G3449" s="392" t="n">
        <v>20</v>
      </c>
      <c r="H3449" s="52">
        <f>H3448-G3449</f>
        <v/>
      </c>
      <c r="I3449" s="568" t="n"/>
      <c r="J3449" s="568" t="n"/>
      <c r="K3449" s="568" t="n"/>
      <c r="L3449" s="568" t="n"/>
    </row>
    <row r="3450">
      <c r="A3450" s="568" t="n">
        <v>45855</v>
      </c>
      <c r="B3450" s="392" t="n">
        <v>12011</v>
      </c>
      <c r="C3450" s="392" t="n">
        <v>80</v>
      </c>
      <c r="D3450" s="392" t="n"/>
      <c r="E3450" s="392" t="n"/>
      <c r="F3450" s="392" t="n"/>
      <c r="G3450" s="392" t="n">
        <v>10</v>
      </c>
      <c r="H3450" s="52">
        <f>H3449-G3450</f>
        <v/>
      </c>
      <c r="I3450" s="568" t="n"/>
      <c r="J3450" s="568" t="n"/>
      <c r="K3450" s="568" t="n"/>
      <c r="L3450" s="568" t="n"/>
    </row>
    <row r="3451">
      <c r="A3451" s="568" t="n">
        <v>45860</v>
      </c>
      <c r="B3451" s="392" t="n">
        <v>12020</v>
      </c>
      <c r="C3451" s="392" t="n">
        <v>90</v>
      </c>
      <c r="D3451" s="392" t="n"/>
      <c r="E3451" s="392" t="n"/>
      <c r="F3451" s="392" t="n"/>
      <c r="G3451" s="392" t="n">
        <v>50</v>
      </c>
      <c r="H3451" s="52">
        <f>H3450-G3451</f>
        <v/>
      </c>
      <c r="I3451" s="568" t="n"/>
      <c r="J3451" s="568" t="n"/>
      <c r="K3451" s="568" t="n"/>
      <c r="L3451" s="568" t="n"/>
    </row>
    <row r="3452">
      <c r="A3452" s="568" t="n">
        <v>45860</v>
      </c>
      <c r="B3452" s="392" t="n">
        <v>12021</v>
      </c>
      <c r="C3452" s="392" t="n">
        <v>75</v>
      </c>
      <c r="D3452" s="392" t="n"/>
      <c r="E3452" s="392" t="n"/>
      <c r="F3452" s="392" t="n"/>
      <c r="G3452" s="392" t="n">
        <v>10</v>
      </c>
      <c r="H3452" s="52">
        <f>H3451-G3452</f>
        <v/>
      </c>
      <c r="I3452" s="568" t="n"/>
      <c r="J3452" s="568" t="n"/>
      <c r="K3452" s="568" t="n"/>
      <c r="L3452" s="568" t="n"/>
    </row>
    <row r="3453">
      <c r="A3453" s="568" t="n">
        <v>45860</v>
      </c>
      <c r="B3453" s="392" t="n">
        <v>12022</v>
      </c>
      <c r="C3453" s="392" t="n">
        <v>83.67</v>
      </c>
      <c r="D3453" s="392" t="n"/>
      <c r="E3453" s="392" t="n"/>
      <c r="F3453" s="392" t="n"/>
      <c r="G3453" s="392" t="n">
        <v>30</v>
      </c>
      <c r="H3453" s="52">
        <f>H3452-G3453</f>
        <v/>
      </c>
      <c r="I3453" s="568" t="n"/>
      <c r="J3453" s="568" t="n"/>
      <c r="K3453" s="568" t="n"/>
      <c r="L3453" s="568" t="n"/>
    </row>
    <row r="3454">
      <c r="A3454" s="568" t="n">
        <v>45862</v>
      </c>
      <c r="B3454" s="392" t="n">
        <v>12027</v>
      </c>
      <c r="C3454" s="392" t="n">
        <v>82.75</v>
      </c>
      <c r="D3454" s="392" t="n"/>
      <c r="E3454" s="392" t="n"/>
      <c r="F3454" s="392" t="n"/>
      <c r="G3454" s="392" t="n">
        <v>20</v>
      </c>
      <c r="H3454" s="52">
        <f>H3453-G3454</f>
        <v/>
      </c>
      <c r="I3454" s="568" t="n"/>
      <c r="J3454" s="568" t="n"/>
      <c r="K3454" s="568" t="n"/>
      <c r="L3454" s="568" t="n"/>
    </row>
    <row r="3455">
      <c r="A3455" s="568" t="n">
        <v>45866</v>
      </c>
      <c r="B3455" s="392" t="n">
        <v>12033</v>
      </c>
      <c r="C3455" s="392" t="n">
        <v>77</v>
      </c>
      <c r="D3455" s="392" t="n"/>
      <c r="E3455" s="392" t="n"/>
      <c r="F3455" s="392" t="n"/>
      <c r="G3455" s="392" t="n">
        <v>100</v>
      </c>
      <c r="H3455" s="52">
        <f>H3454-G3455</f>
        <v/>
      </c>
      <c r="I3455" s="568" t="n"/>
      <c r="J3455" s="568" t="n"/>
      <c r="K3455" s="568" t="n"/>
      <c r="L3455" s="568" t="n"/>
    </row>
    <row r="3456">
      <c r="A3456" s="568" t="n">
        <v>45866</v>
      </c>
      <c r="B3456" s="392" t="n">
        <v>12034</v>
      </c>
      <c r="C3456" s="392" t="n">
        <v>86</v>
      </c>
      <c r="D3456" s="392" t="n"/>
      <c r="E3456" s="392" t="n"/>
      <c r="F3456" s="392" t="n"/>
      <c r="G3456" s="392" t="n">
        <v>20</v>
      </c>
      <c r="H3456" s="52">
        <f>H3455-G3456</f>
        <v/>
      </c>
      <c r="I3456" s="568" t="n"/>
      <c r="J3456" s="568" t="n"/>
      <c r="K3456" s="568" t="n"/>
      <c r="L3456" s="568" t="n"/>
    </row>
    <row r="3457">
      <c r="A3457" s="568" t="n">
        <v>45866</v>
      </c>
      <c r="B3457" s="392" t="n">
        <v>12036</v>
      </c>
      <c r="C3457" s="392" t="n">
        <v>82.5</v>
      </c>
      <c r="D3457" s="392" t="n"/>
      <c r="E3457" s="392" t="n"/>
      <c r="F3457" s="392" t="n"/>
      <c r="G3457" s="392" t="n">
        <v>30</v>
      </c>
      <c r="H3457" s="52">
        <f>H3456-G3457</f>
        <v/>
      </c>
      <c r="I3457" s="568" t="n"/>
      <c r="J3457" s="568" t="n"/>
      <c r="K3457" s="568" t="n"/>
      <c r="L3457" s="568" t="n"/>
    </row>
    <row r="3458">
      <c r="A3458" s="568" t="n">
        <v>45866</v>
      </c>
      <c r="B3458" s="392" t="n">
        <v>12039</v>
      </c>
      <c r="C3458" s="392" t="n">
        <v>80</v>
      </c>
      <c r="D3458" s="392" t="n"/>
      <c r="E3458" s="392" t="n"/>
      <c r="F3458" s="392" t="n"/>
      <c r="G3458" s="392" t="n">
        <v>20</v>
      </c>
      <c r="H3458" s="52">
        <f>H3457-G3458</f>
        <v/>
      </c>
      <c r="I3458" s="568" t="n"/>
      <c r="J3458" s="568" t="n"/>
      <c r="K3458" s="568" t="n"/>
      <c r="L3458" s="568" t="n"/>
    </row>
    <row r="3459">
      <c r="A3459" s="568" t="n">
        <v>45868</v>
      </c>
      <c r="B3459" s="392" t="n">
        <v>12041</v>
      </c>
      <c r="C3459" s="392" t="n">
        <v>82</v>
      </c>
      <c r="D3459" s="392" t="n"/>
      <c r="E3459" s="392" t="n"/>
      <c r="F3459" s="392" t="n"/>
      <c r="G3459" s="392" t="n">
        <v>20</v>
      </c>
      <c r="H3459" s="52">
        <f>H3458-G3459</f>
        <v/>
      </c>
      <c r="I3459" s="568" t="n"/>
      <c r="J3459" s="568" t="n"/>
      <c r="K3459" s="568" t="n"/>
      <c r="L3459" s="568" t="n"/>
    </row>
    <row r="3460">
      <c r="A3460" s="568" t="n">
        <v>45868</v>
      </c>
      <c r="B3460" s="392" t="n">
        <v>12042</v>
      </c>
      <c r="C3460" s="392" t="n">
        <v>78</v>
      </c>
      <c r="D3460" s="392" t="n"/>
      <c r="E3460" s="392" t="n"/>
      <c r="F3460" s="392" t="n"/>
      <c r="G3460" s="392" t="n">
        <v>40</v>
      </c>
      <c r="H3460" s="52">
        <f>H3459-G3460</f>
        <v/>
      </c>
      <c r="I3460" s="568" t="n"/>
      <c r="J3460" s="568" t="n"/>
      <c r="K3460" s="568" t="n"/>
      <c r="L3460" s="568" t="n"/>
    </row>
    <row r="3461">
      <c r="A3461" s="568" t="n">
        <v>45868</v>
      </c>
      <c r="B3461" s="392" t="n">
        <v>12043</v>
      </c>
      <c r="C3461" s="392" t="n">
        <v>84.55</v>
      </c>
      <c r="D3461" s="392" t="n"/>
      <c r="E3461" s="392" t="n"/>
      <c r="F3461" s="392" t="n"/>
      <c r="G3461" s="392" t="n">
        <v>11</v>
      </c>
      <c r="H3461" s="52">
        <f>H3460-G3461</f>
        <v/>
      </c>
      <c r="I3461" s="568" t="n"/>
      <c r="J3461" s="568" t="n"/>
      <c r="K3461" s="568" t="n"/>
      <c r="L3461" s="568" t="n"/>
    </row>
    <row r="3462">
      <c r="A3462" s="568" t="n">
        <v>45868</v>
      </c>
      <c r="B3462" s="392" t="n">
        <v>12044</v>
      </c>
      <c r="C3462" s="392" t="n">
        <v>82</v>
      </c>
      <c r="D3462" s="392" t="n"/>
      <c r="E3462" s="392" t="n"/>
      <c r="F3462" s="392" t="n"/>
      <c r="G3462" s="392" t="n">
        <v>10</v>
      </c>
      <c r="H3462" s="52">
        <f>H3461-G3462</f>
        <v/>
      </c>
      <c r="I3462" s="568" t="n"/>
      <c r="J3462" s="568" t="n"/>
      <c r="K3462" s="568" t="n"/>
      <c r="L3462" s="568" t="n"/>
    </row>
    <row r="3463">
      <c r="A3463" s="304" t="n">
        <v>45869</v>
      </c>
      <c r="B3463" s="401" t="n">
        <v>39572</v>
      </c>
      <c r="C3463" s="401" t="n">
        <v>69.90000000000001</v>
      </c>
      <c r="D3463" s="401" t="n"/>
      <c r="E3463" s="401" t="n"/>
      <c r="F3463" s="401" t="n">
        <v>520</v>
      </c>
      <c r="G3463" s="401" t="n"/>
      <c r="H3463" s="277" t="n">
        <v>1519</v>
      </c>
      <c r="I3463" s="568" t="n"/>
      <c r="J3463" s="568" t="n"/>
      <c r="K3463" s="568" t="n"/>
      <c r="L3463" s="568" t="n"/>
    </row>
    <row r="3464">
      <c r="A3464" s="304" t="n">
        <v>45869</v>
      </c>
      <c r="B3464" s="401" t="n">
        <v>97456</v>
      </c>
      <c r="C3464" s="401" t="n">
        <v>64.09999999999999</v>
      </c>
      <c r="D3464" s="401" t="n"/>
      <c r="E3464" s="401" t="n"/>
      <c r="F3464" s="401" t="n">
        <v>780</v>
      </c>
      <c r="G3464" s="401" t="n"/>
      <c r="H3464" s="277" t="n">
        <v>2299</v>
      </c>
      <c r="I3464" s="568" t="n"/>
      <c r="J3464" s="568" t="n"/>
      <c r="K3464" s="568" t="n"/>
      <c r="L3464" s="568" t="n"/>
    </row>
    <row r="3465">
      <c r="A3465" s="568" t="n">
        <v>45869</v>
      </c>
      <c r="B3465" s="392" t="n">
        <v>12045</v>
      </c>
      <c r="C3465" s="392" t="n">
        <v>80</v>
      </c>
      <c r="D3465" s="392" t="n"/>
      <c r="E3465" s="392" t="n"/>
      <c r="F3465" s="392" t="n"/>
      <c r="G3465" s="392" t="n">
        <v>10</v>
      </c>
      <c r="H3465" s="52">
        <f>H3464-G3465</f>
        <v/>
      </c>
      <c r="I3465" s="568" t="n"/>
      <c r="J3465" s="568" t="n"/>
      <c r="K3465" s="568" t="n"/>
      <c r="L3465" s="568" t="n"/>
    </row>
    <row r="3466">
      <c r="A3466" s="568" t="n"/>
      <c r="B3466" s="392" t="n"/>
      <c r="C3466" s="392" t="n"/>
      <c r="D3466" s="392" t="n"/>
      <c r="E3466" s="392" t="n"/>
      <c r="F3466" s="392" t="n"/>
      <c r="G3466" s="392" t="n"/>
      <c r="H3466" s="52">
        <f>H3465-G3466</f>
        <v/>
      </c>
      <c r="I3466" s="568" t="n"/>
      <c r="J3466" s="568" t="n"/>
      <c r="K3466" s="568" t="n"/>
      <c r="L3466" s="568" t="n"/>
    </row>
    <row r="3467" ht="15.75" customHeight="1" s="436" thickBot="1">
      <c r="A3467" s="414" t="n"/>
      <c r="H3467" s="171" t="n"/>
      <c r="I3467" s="414" t="n"/>
      <c r="J3467" s="414" t="n"/>
      <c r="K3467" s="414" t="n"/>
      <c r="L3467" s="414" t="n"/>
    </row>
    <row r="3468" ht="21.75" customHeight="1" s="436" thickBot="1">
      <c r="A3468" s="757" t="inlineStr">
        <is>
          <t>Agosto</t>
        </is>
      </c>
      <c r="B3468" s="697" t="n"/>
      <c r="C3468" s="697" t="n"/>
      <c r="D3468" s="697" t="n"/>
      <c r="E3468" s="697" t="n"/>
      <c r="F3468" s="697" t="n"/>
      <c r="G3468" s="697" t="n"/>
      <c r="H3468" s="697" t="n"/>
      <c r="I3468" s="697" t="n"/>
      <c r="J3468" s="697" t="n"/>
      <c r="K3468" s="697" t="n"/>
      <c r="L3468" s="698" t="n"/>
    </row>
    <row r="3469" ht="21.75" customHeight="1" s="436" thickBot="1">
      <c r="A3469" s="699" t="inlineStr">
        <is>
          <t xml:space="preserve">021 - DENISE FURTADO DE SOUZA - ME </t>
        </is>
      </c>
      <c r="B3469" s="697" t="n"/>
      <c r="C3469" s="697" t="n"/>
      <c r="D3469" s="697" t="n"/>
      <c r="E3469" s="697" t="n"/>
      <c r="F3469" s="697" t="n"/>
      <c r="G3469" s="697" t="n"/>
      <c r="H3469" s="697" t="n"/>
      <c r="I3469" s="697" t="n"/>
      <c r="J3469" s="697" t="n"/>
      <c r="K3469" s="697" t="n"/>
      <c r="L3469" s="698" t="n"/>
    </row>
    <row r="3470" ht="24" customHeight="1" s="436" thickBot="1">
      <c r="A3470" s="759" t="inlineStr">
        <is>
          <t xml:space="preserve">  PRÉ MISTURA - 25 KG</t>
        </is>
      </c>
      <c r="B3470" s="697" t="n"/>
      <c r="C3470" s="697" t="n"/>
      <c r="D3470" s="697" t="n"/>
      <c r="E3470" s="697" t="n"/>
      <c r="F3470" s="697" t="n"/>
      <c r="G3470" s="697" t="n"/>
      <c r="H3470" s="697" t="n"/>
      <c r="I3470" s="697" t="n"/>
      <c r="J3470" s="697" t="n"/>
      <c r="K3470" s="697" t="n"/>
      <c r="L3470" s="698" t="n"/>
    </row>
    <row r="3471">
      <c r="A3471" s="3" t="inlineStr">
        <is>
          <t>DATA</t>
        </is>
      </c>
      <c r="B3471" s="3" t="inlineStr">
        <is>
          <t>N.F.</t>
        </is>
      </c>
      <c r="C3471" s="3" t="inlineStr">
        <is>
          <t>TIPO</t>
        </is>
      </c>
      <c r="D3471" s="3" t="inlineStr">
        <is>
          <t>PREÇO UNITÁRIO</t>
        </is>
      </c>
      <c r="E3471" s="736" t="n"/>
      <c r="F3471" s="3" t="inlineStr">
        <is>
          <t>QUANTIDADE / KG</t>
        </is>
      </c>
      <c r="G3471" s="737" t="n"/>
      <c r="H3471" s="736" t="n"/>
      <c r="I3471" s="631" t="inlineStr">
        <is>
          <t>PREÇO</t>
        </is>
      </c>
      <c r="J3471" s="631" t="inlineStr">
        <is>
          <t>VALORES</t>
        </is>
      </c>
      <c r="K3471" s="737" t="n"/>
      <c r="L3471" s="736" t="n"/>
    </row>
    <row r="3472" ht="15.75" customHeight="1" s="436" thickBot="1">
      <c r="A3472" s="704" t="n"/>
      <c r="B3472" s="704" t="n"/>
      <c r="C3472" s="704" t="n"/>
      <c r="D3472" s="703" t="n"/>
      <c r="E3472" s="701" t="n"/>
      <c r="F3472" s="705" t="n"/>
      <c r="G3472" s="706" t="n"/>
      <c r="H3472" s="707" t="n"/>
      <c r="I3472" s="704" t="n"/>
      <c r="J3472" s="703" t="n"/>
      <c r="L3472" s="701" t="n"/>
    </row>
    <row r="3473" ht="15.75" customHeight="1" s="436" thickBot="1">
      <c r="A3473" s="704" t="n"/>
      <c r="B3473" s="704" t="n"/>
      <c r="C3473" s="704" t="n"/>
      <c r="D3473" s="705" t="n"/>
      <c r="E3473" s="707" t="n"/>
      <c r="F3473" s="3" t="inlineStr">
        <is>
          <t>ENTRADA</t>
        </is>
      </c>
      <c r="G3473" s="3" t="inlineStr">
        <is>
          <t>SAÍDA</t>
        </is>
      </c>
      <c r="H3473" s="640" t="n"/>
      <c r="I3473" s="633" t="inlineStr">
        <is>
          <t>MÉDIO</t>
        </is>
      </c>
      <c r="J3473" s="739" t="inlineStr">
        <is>
          <t>SALDO EM 30/12/2017</t>
        </is>
      </c>
      <c r="K3473" s="707" t="n"/>
      <c r="L3473" s="17" t="n"/>
    </row>
    <row r="3474" ht="15.75" customHeight="1" s="436" thickBot="1">
      <c r="A3474" s="695" t="n"/>
      <c r="B3474" s="695" t="n"/>
      <c r="C3474" s="695" t="n"/>
      <c r="D3474" s="3" t="inlineStr">
        <is>
          <t>C/ICMS</t>
        </is>
      </c>
      <c r="E3474" s="3" t="inlineStr">
        <is>
          <t>S/ICMS</t>
        </is>
      </c>
      <c r="F3474" s="695" t="n"/>
      <c r="G3474" s="695" t="n"/>
      <c r="H3474" s="361" t="inlineStr">
        <is>
          <t>Saldo em 31/07/2024</t>
        </is>
      </c>
      <c r="I3474" s="695" t="n"/>
      <c r="J3474" s="645" t="inlineStr">
        <is>
          <t>ENTRADA</t>
        </is>
      </c>
      <c r="K3474" s="633" t="inlineStr">
        <is>
          <t>SAÍDA / CMV</t>
        </is>
      </c>
      <c r="L3474" s="633" t="inlineStr">
        <is>
          <t>SALDO</t>
        </is>
      </c>
    </row>
    <row r="3475">
      <c r="A3475" s="568" t="n"/>
      <c r="B3475" s="392" t="n"/>
      <c r="C3475" s="392" t="n"/>
      <c r="D3475" s="392" t="n"/>
      <c r="E3475" s="392" t="n"/>
      <c r="F3475" s="392" t="n"/>
      <c r="G3475" s="392" t="n"/>
      <c r="H3475" s="52" t="n">
        <v>2289</v>
      </c>
      <c r="I3475" s="568" t="n"/>
      <c r="J3475" s="568" t="n"/>
      <c r="K3475" s="568" t="n"/>
      <c r="L3475" s="392" t="n"/>
    </row>
    <row r="3476">
      <c r="A3476" s="568" t="n">
        <v>45872</v>
      </c>
      <c r="B3476" s="392" t="n">
        <v>12048</v>
      </c>
      <c r="C3476" s="392" t="n">
        <v>82</v>
      </c>
      <c r="D3476" s="392" t="n"/>
      <c r="E3476" s="392" t="n"/>
      <c r="F3476" s="392" t="n"/>
      <c r="G3476" s="392" t="n">
        <v>20</v>
      </c>
      <c r="H3476" s="52">
        <f>H3475-G3476</f>
        <v/>
      </c>
      <c r="I3476" s="568" t="n"/>
      <c r="J3476" s="568" t="n"/>
      <c r="K3476" s="568" t="n"/>
      <c r="L3476" s="568" t="n"/>
    </row>
    <row r="3477">
      <c r="A3477" s="568" t="n">
        <v>45872</v>
      </c>
      <c r="B3477" s="392" t="n">
        <v>12049</v>
      </c>
      <c r="C3477" s="392" t="n">
        <v>82.75</v>
      </c>
      <c r="D3477" s="392" t="n"/>
      <c r="E3477" s="392" t="n"/>
      <c r="F3477" s="392" t="n"/>
      <c r="G3477" s="392" t="n">
        <v>20</v>
      </c>
      <c r="H3477" s="52">
        <f>H3476-G3477</f>
        <v/>
      </c>
      <c r="I3477" s="568" t="n"/>
      <c r="J3477" s="568" t="n"/>
      <c r="K3477" s="568" t="n"/>
      <c r="L3477" s="568" t="n"/>
    </row>
    <row r="3478">
      <c r="A3478" s="568" t="n">
        <v>45872</v>
      </c>
      <c r="B3478" s="392" t="n">
        <v>12050</v>
      </c>
      <c r="C3478" s="392" t="n">
        <v>85.31999999999999</v>
      </c>
      <c r="D3478" s="392" t="n"/>
      <c r="E3478" s="392" t="n"/>
      <c r="F3478" s="392" t="n"/>
      <c r="G3478" s="392" t="n">
        <v>50</v>
      </c>
      <c r="H3478" s="52">
        <f>H3477-G3478</f>
        <v/>
      </c>
      <c r="I3478" s="568" t="n"/>
      <c r="J3478" s="568" t="n"/>
      <c r="K3478" s="568" t="n"/>
      <c r="L3478" s="568" t="n"/>
    </row>
    <row r="3479">
      <c r="A3479" s="568" t="n">
        <v>45873</v>
      </c>
      <c r="B3479" s="392" t="n">
        <v>12057</v>
      </c>
      <c r="C3479" s="392" t="n">
        <v>75</v>
      </c>
      <c r="D3479" s="392" t="n"/>
      <c r="E3479" s="392" t="n"/>
      <c r="F3479" s="392" t="n"/>
      <c r="G3479" s="392" t="n">
        <v>10</v>
      </c>
      <c r="H3479" s="52">
        <f>H3478-G3479</f>
        <v/>
      </c>
      <c r="I3479" s="568" t="n"/>
      <c r="J3479" s="568" t="n"/>
      <c r="K3479" s="568" t="n"/>
      <c r="L3479" s="568" t="n"/>
    </row>
    <row r="3480">
      <c r="A3480" s="568" t="n">
        <v>45873</v>
      </c>
      <c r="B3480" s="392" t="n">
        <v>12058</v>
      </c>
      <c r="C3480" s="392" t="n">
        <v>86</v>
      </c>
      <c r="D3480" s="392" t="n"/>
      <c r="E3480" s="392" t="n"/>
      <c r="F3480" s="392" t="n"/>
      <c r="G3480" s="392" t="n">
        <v>25</v>
      </c>
      <c r="H3480" s="52">
        <f>H3479-G3480</f>
        <v/>
      </c>
      <c r="I3480" s="568" t="n"/>
      <c r="J3480" s="568" t="n"/>
      <c r="K3480" s="568" t="n"/>
      <c r="L3480" s="568" t="n"/>
    </row>
    <row r="3481">
      <c r="A3481" s="568" t="n">
        <v>45874</v>
      </c>
      <c r="B3481" s="392" t="n">
        <v>12060</v>
      </c>
      <c r="C3481" s="392" t="n">
        <v>80</v>
      </c>
      <c r="D3481" s="392" t="n"/>
      <c r="E3481" s="392" t="n"/>
      <c r="F3481" s="392" t="n"/>
      <c r="G3481" s="392" t="n">
        <v>10</v>
      </c>
      <c r="H3481" s="52">
        <f>H3480-G3481</f>
        <v/>
      </c>
      <c r="I3481" s="568" t="n"/>
      <c r="J3481" s="568" t="n"/>
      <c r="K3481" s="568" t="n"/>
      <c r="L3481" s="568" t="n"/>
    </row>
    <row r="3482">
      <c r="A3482" s="568" t="n">
        <v>45874</v>
      </c>
      <c r="B3482" s="392" t="n">
        <v>12061</v>
      </c>
      <c r="C3482" s="392" t="n">
        <v>84.2</v>
      </c>
      <c r="D3482" s="392" t="n"/>
      <c r="E3482" s="392" t="n"/>
      <c r="F3482" s="392" t="n"/>
      <c r="G3482" s="392" t="n">
        <v>55</v>
      </c>
      <c r="H3482" s="52">
        <f>H3481-G3482</f>
        <v/>
      </c>
      <c r="I3482" s="568" t="n"/>
      <c r="J3482" s="568" t="n"/>
      <c r="K3482" s="568" t="n"/>
      <c r="L3482" s="568" t="n"/>
    </row>
    <row r="3483">
      <c r="A3483" s="568" t="n">
        <v>45874</v>
      </c>
      <c r="B3483" s="392" t="n">
        <v>12062</v>
      </c>
      <c r="C3483" s="392" t="n">
        <v>87</v>
      </c>
      <c r="D3483" s="392" t="n"/>
      <c r="E3483" s="392" t="n"/>
      <c r="F3483" s="392" t="n"/>
      <c r="G3483" s="392" t="n">
        <v>20</v>
      </c>
      <c r="H3483" s="52">
        <f>H3482-G3483</f>
        <v/>
      </c>
      <c r="I3483" s="568" t="n"/>
      <c r="J3483" s="568" t="n"/>
      <c r="K3483" s="568" t="n"/>
      <c r="L3483" s="568" t="n"/>
    </row>
    <row r="3484">
      <c r="A3484" s="568" t="n">
        <v>45874</v>
      </c>
      <c r="B3484" s="392" t="n">
        <v>12063</v>
      </c>
      <c r="C3484" s="392" t="n">
        <v>85</v>
      </c>
      <c r="D3484" s="392" t="n"/>
      <c r="E3484" s="392" t="n"/>
      <c r="F3484" s="392" t="n"/>
      <c r="G3484" s="392" t="n">
        <v>10</v>
      </c>
      <c r="H3484" s="52">
        <f>H3483-G3484</f>
        <v/>
      </c>
      <c r="I3484" s="568" t="n"/>
      <c r="J3484" s="568" t="n"/>
      <c r="K3484" s="568" t="n"/>
      <c r="L3484" s="568" t="n"/>
    </row>
    <row r="3485">
      <c r="A3485" s="568" t="n">
        <v>45874</v>
      </c>
      <c r="B3485" s="392" t="n">
        <v>12064</v>
      </c>
      <c r="C3485" s="392" t="n">
        <v>90</v>
      </c>
      <c r="D3485" s="392" t="n"/>
      <c r="E3485" s="392" t="n"/>
      <c r="F3485" s="392" t="n"/>
      <c r="G3485" s="392" t="n">
        <v>35</v>
      </c>
      <c r="H3485" s="52">
        <f>H3484-G3485</f>
        <v/>
      </c>
      <c r="I3485" s="568" t="n"/>
      <c r="J3485" s="568" t="n"/>
      <c r="K3485" s="568" t="n"/>
      <c r="L3485" s="568" t="n"/>
    </row>
    <row r="3486">
      <c r="A3486" s="568" t="n">
        <v>45875</v>
      </c>
      <c r="B3486" s="392" t="n">
        <v>12065</v>
      </c>
      <c r="C3486" s="392" t="n">
        <v>82.2</v>
      </c>
      <c r="D3486" s="392" t="n"/>
      <c r="E3486" s="392" t="n"/>
      <c r="F3486" s="392" t="n"/>
      <c r="G3486" s="392" t="n">
        <v>10</v>
      </c>
      <c r="H3486" s="52">
        <f>H3485-G3486</f>
        <v/>
      </c>
      <c r="I3486" s="568" t="n"/>
      <c r="J3486" s="568" t="n"/>
      <c r="K3486" s="568" t="n"/>
      <c r="L3486" s="568" t="n"/>
    </row>
    <row r="3487">
      <c r="A3487" s="568" t="n">
        <v>45880</v>
      </c>
      <c r="B3487" s="392" t="n">
        <v>12073</v>
      </c>
      <c r="C3487" s="392" t="n">
        <v>86</v>
      </c>
      <c r="D3487" s="392" t="n"/>
      <c r="E3487" s="392" t="n"/>
      <c r="F3487" s="392" t="n"/>
      <c r="G3487" s="392" t="n">
        <v>25</v>
      </c>
      <c r="H3487" s="52">
        <f>H3486-G3487</f>
        <v/>
      </c>
      <c r="I3487" s="568" t="n"/>
      <c r="J3487" s="568" t="n"/>
      <c r="K3487" s="568" t="n"/>
      <c r="L3487" s="568" t="n"/>
    </row>
    <row r="3488">
      <c r="A3488" s="568" t="n">
        <v>45880</v>
      </c>
      <c r="B3488" s="392" t="n">
        <v>12075</v>
      </c>
      <c r="C3488" s="392" t="n">
        <v>80</v>
      </c>
      <c r="D3488" s="392" t="n"/>
      <c r="E3488" s="392" t="n"/>
      <c r="F3488" s="392" t="n"/>
      <c r="G3488" s="392" t="n">
        <v>10</v>
      </c>
      <c r="H3488" s="52">
        <f>H3487-G3488</f>
        <v/>
      </c>
      <c r="I3488" s="568" t="n"/>
      <c r="J3488" s="568" t="n"/>
      <c r="K3488" s="568" t="n"/>
      <c r="L3488" s="568" t="n"/>
    </row>
    <row r="3489">
      <c r="A3489" s="568" t="n">
        <v>45880</v>
      </c>
      <c r="B3489" s="392" t="n">
        <v>12078</v>
      </c>
      <c r="C3489" s="392" t="n">
        <v>85</v>
      </c>
      <c r="D3489" s="392" t="n"/>
      <c r="E3489" s="392" t="n"/>
      <c r="F3489" s="392" t="n"/>
      <c r="G3489" s="392" t="n">
        <v>10</v>
      </c>
      <c r="H3489" s="52">
        <f>H3488-G3489</f>
        <v/>
      </c>
      <c r="I3489" s="568" t="n"/>
      <c r="J3489" s="568" t="n"/>
      <c r="K3489" s="568" t="n"/>
      <c r="L3489" s="568" t="n"/>
    </row>
    <row r="3490">
      <c r="A3490" s="568" t="n">
        <v>45882</v>
      </c>
      <c r="B3490" s="392" t="n">
        <v>12081</v>
      </c>
      <c r="C3490" s="392" t="n">
        <v>80</v>
      </c>
      <c r="D3490" s="392" t="n"/>
      <c r="E3490" s="392" t="n"/>
      <c r="F3490" s="392" t="n"/>
      <c r="G3490" s="392" t="n">
        <v>10</v>
      </c>
      <c r="H3490" s="52">
        <f>H3489-G3490</f>
        <v/>
      </c>
      <c r="I3490" s="568" t="n"/>
      <c r="J3490" s="568" t="n"/>
      <c r="K3490" s="568" t="n"/>
      <c r="L3490" s="568" t="n"/>
    </row>
    <row r="3491">
      <c r="A3491" s="568" t="n">
        <v>45887</v>
      </c>
      <c r="B3491" s="392" t="n">
        <v>12086</v>
      </c>
      <c r="C3491" s="392" t="n">
        <v>75</v>
      </c>
      <c r="D3491" s="392" t="n"/>
      <c r="E3491" s="392" t="n"/>
      <c r="F3491" s="392" t="n"/>
      <c r="G3491" s="392" t="n">
        <v>15</v>
      </c>
      <c r="H3491" s="52">
        <f>H3490-G3491</f>
        <v/>
      </c>
      <c r="I3491" s="568" t="n"/>
      <c r="J3491" s="568" t="n"/>
      <c r="K3491" s="568" t="n"/>
      <c r="L3491" s="568" t="n"/>
    </row>
    <row r="3492">
      <c r="A3492" s="568" t="n">
        <v>45887</v>
      </c>
      <c r="B3492" s="392" t="n">
        <v>12088</v>
      </c>
      <c r="C3492" s="392" t="n">
        <v>80</v>
      </c>
      <c r="D3492" s="392" t="n"/>
      <c r="E3492" s="392" t="n"/>
      <c r="F3492" s="392" t="n"/>
      <c r="G3492" s="392" t="n">
        <v>10</v>
      </c>
      <c r="H3492" s="52">
        <f>H3491-G3492</f>
        <v/>
      </c>
      <c r="I3492" s="568" t="n"/>
      <c r="J3492" s="568" t="n"/>
      <c r="K3492" s="568" t="n"/>
      <c r="L3492" s="568" t="n"/>
    </row>
    <row r="3493">
      <c r="A3493" s="568" t="n">
        <v>45887</v>
      </c>
      <c r="B3493" s="392" t="n">
        <v>12089</v>
      </c>
      <c r="C3493" s="392" t="n">
        <v>85</v>
      </c>
      <c r="D3493" s="392" t="n"/>
      <c r="E3493" s="392" t="n"/>
      <c r="F3493" s="392" t="n"/>
      <c r="G3493" s="392" t="n">
        <v>100</v>
      </c>
      <c r="H3493" s="52">
        <f>H3492-G3493</f>
        <v/>
      </c>
      <c r="I3493" s="568" t="n"/>
      <c r="J3493" s="568" t="n"/>
      <c r="K3493" s="568" t="n"/>
      <c r="L3493" s="568" t="n"/>
    </row>
    <row r="3494">
      <c r="A3494" s="568" t="n">
        <v>45889</v>
      </c>
      <c r="B3494" s="392" t="n">
        <v>12095</v>
      </c>
      <c r="C3494" s="392" t="n">
        <v>85</v>
      </c>
      <c r="D3494" s="392" t="n"/>
      <c r="E3494" s="392" t="n"/>
      <c r="F3494" s="392" t="n"/>
      <c r="G3494" s="392" t="n">
        <v>15</v>
      </c>
      <c r="H3494" s="52">
        <f>H3493-G3494</f>
        <v/>
      </c>
      <c r="I3494" s="568" t="n"/>
      <c r="J3494" s="568" t="n"/>
      <c r="K3494" s="568" t="n"/>
      <c r="L3494" s="568" t="n"/>
    </row>
    <row r="3495">
      <c r="A3495" s="568" t="n">
        <v>45889</v>
      </c>
      <c r="B3495" s="392" t="n">
        <v>12096</v>
      </c>
      <c r="C3495" s="392" t="n">
        <v>84.8</v>
      </c>
      <c r="D3495" s="392" t="n"/>
      <c r="E3495" s="392" t="n"/>
      <c r="F3495" s="392" t="n"/>
      <c r="G3495" s="392" t="n">
        <v>50</v>
      </c>
      <c r="H3495" s="52">
        <f>H3494-G3495</f>
        <v/>
      </c>
      <c r="I3495" s="568" t="n"/>
      <c r="J3495" s="568" t="n"/>
      <c r="K3495" s="568" t="n"/>
      <c r="L3495" s="568" t="n"/>
    </row>
    <row r="3496">
      <c r="A3496" s="568" t="n">
        <v>45889</v>
      </c>
      <c r="B3496" s="392" t="n">
        <v>12097</v>
      </c>
      <c r="C3496" s="392" t="n">
        <v>85</v>
      </c>
      <c r="D3496" s="392" t="n"/>
      <c r="E3496" s="392" t="n"/>
      <c r="F3496" s="392" t="n"/>
      <c r="G3496" s="392" t="n">
        <v>20</v>
      </c>
      <c r="H3496" s="52">
        <f>H3495-G3496</f>
        <v/>
      </c>
      <c r="I3496" s="568" t="n"/>
      <c r="J3496" s="568" t="n"/>
      <c r="K3496" s="568" t="n"/>
      <c r="L3496" s="568" t="n"/>
    </row>
    <row r="3497">
      <c r="A3497" s="568" t="n">
        <v>45889</v>
      </c>
      <c r="B3497" s="392" t="n">
        <v>12098</v>
      </c>
      <c r="C3497" s="392" t="n">
        <v>81</v>
      </c>
      <c r="D3497" s="392" t="n"/>
      <c r="E3497" s="392" t="n"/>
      <c r="F3497" s="392" t="n"/>
      <c r="G3497" s="392" t="n">
        <v>20</v>
      </c>
      <c r="H3497" s="52">
        <f>H3496-G3497</f>
        <v/>
      </c>
      <c r="I3497" s="568" t="n"/>
      <c r="J3497" s="568" t="n"/>
      <c r="K3497" s="568" t="n"/>
      <c r="L3497" s="568" t="n"/>
    </row>
    <row r="3498">
      <c r="A3498" s="304" t="n">
        <v>45890</v>
      </c>
      <c r="B3498" s="401" t="n">
        <v>292745</v>
      </c>
      <c r="C3498" s="401" t="n"/>
      <c r="D3498" s="401" t="n"/>
      <c r="E3498" s="401" t="n"/>
      <c r="F3498" s="401" t="n">
        <v>438</v>
      </c>
      <c r="G3498" s="401" t="n"/>
      <c r="H3498" s="277" t="n">
        <v>2177</v>
      </c>
      <c r="I3498" s="568" t="n"/>
      <c r="J3498" s="568" t="n"/>
      <c r="K3498" s="568" t="n"/>
      <c r="L3498" s="568" t="n"/>
    </row>
    <row r="3499">
      <c r="A3499" s="568" t="n">
        <v>45891</v>
      </c>
      <c r="B3499" s="392" t="n">
        <v>12102</v>
      </c>
      <c r="C3499" s="392" t="n">
        <v>77</v>
      </c>
      <c r="D3499" s="392" t="n"/>
      <c r="E3499" s="392" t="n"/>
      <c r="F3499" s="392" t="n"/>
      <c r="G3499" s="392" t="n">
        <v>100</v>
      </c>
      <c r="H3499" s="52">
        <f>H3498-G3499</f>
        <v/>
      </c>
      <c r="I3499" s="568" t="n"/>
      <c r="J3499" s="568" t="n"/>
      <c r="K3499" s="568" t="n"/>
      <c r="L3499" s="568" t="n"/>
    </row>
    <row r="3500">
      <c r="A3500" s="568" t="n">
        <v>45894</v>
      </c>
      <c r="B3500" s="392" t="n">
        <v>12103</v>
      </c>
      <c r="C3500" s="392" t="n">
        <v>86</v>
      </c>
      <c r="D3500" s="392" t="n"/>
      <c r="E3500" s="392" t="n"/>
      <c r="F3500" s="392" t="n"/>
      <c r="G3500" s="392" t="n">
        <v>25</v>
      </c>
      <c r="H3500" s="52">
        <f>H3499-G3500</f>
        <v/>
      </c>
      <c r="I3500" s="568" t="n"/>
      <c r="J3500" s="568" t="n"/>
      <c r="K3500" s="568" t="n"/>
      <c r="L3500" s="568" t="n"/>
    </row>
    <row r="3501">
      <c r="A3501" s="568" t="n">
        <v>45894</v>
      </c>
      <c r="B3501" s="392" t="n">
        <v>12105</v>
      </c>
      <c r="C3501" s="392" t="n">
        <v>82.5</v>
      </c>
      <c r="D3501" s="392" t="n"/>
      <c r="E3501" s="392" t="n"/>
      <c r="F3501" s="392" t="n"/>
      <c r="G3501" s="392" t="n">
        <v>60</v>
      </c>
      <c r="H3501" s="52">
        <f>H3500-G3501</f>
        <v/>
      </c>
      <c r="I3501" s="568" t="n"/>
      <c r="J3501" s="568" t="n"/>
      <c r="K3501" s="568" t="n"/>
      <c r="L3501" s="568" t="n"/>
    </row>
    <row r="3502">
      <c r="A3502" s="568" t="n">
        <v>45894</v>
      </c>
      <c r="B3502" s="392" t="n">
        <v>12106</v>
      </c>
      <c r="C3502" s="392" t="n">
        <v>80</v>
      </c>
      <c r="D3502" s="392" t="n"/>
      <c r="E3502" s="392" t="n"/>
      <c r="F3502" s="392" t="n"/>
      <c r="G3502" s="392" t="n">
        <v>20</v>
      </c>
      <c r="H3502" s="52">
        <f>H3501-G3502</f>
        <v/>
      </c>
      <c r="I3502" s="568" t="n"/>
      <c r="J3502" s="568" t="n"/>
      <c r="K3502" s="568" t="n"/>
      <c r="L3502" s="568" t="n"/>
    </row>
    <row r="3503">
      <c r="A3503" s="568" t="n">
        <v>45894</v>
      </c>
      <c r="B3503" s="392" t="n">
        <v>12107</v>
      </c>
      <c r="C3503" s="392" t="n">
        <v>80</v>
      </c>
      <c r="D3503" s="392" t="n"/>
      <c r="E3503" s="392" t="n"/>
      <c r="F3503" s="392" t="n"/>
      <c r="G3503" s="392" t="n">
        <v>10</v>
      </c>
      <c r="H3503" s="52">
        <f>H3502-G3503</f>
        <v/>
      </c>
      <c r="I3503" s="568" t="n"/>
      <c r="J3503" s="568" t="n"/>
      <c r="K3503" s="568" t="n"/>
      <c r="L3503" s="568" t="n"/>
    </row>
    <row r="3504">
      <c r="A3504" s="568" t="n">
        <v>45895</v>
      </c>
      <c r="B3504" s="392" t="n">
        <v>12112</v>
      </c>
      <c r="C3504" s="392" t="n">
        <v>84</v>
      </c>
      <c r="D3504" s="392" t="n"/>
      <c r="E3504" s="392" t="n"/>
      <c r="F3504" s="392" t="n"/>
      <c r="G3504" s="392" t="n">
        <v>60</v>
      </c>
      <c r="H3504" s="52">
        <f>H3503-G3504</f>
        <v/>
      </c>
      <c r="I3504" s="568" t="n"/>
      <c r="J3504" s="568" t="n"/>
      <c r="K3504" s="568" t="n"/>
      <c r="L3504" s="568" t="n"/>
    </row>
    <row r="3505">
      <c r="A3505" s="568" t="n">
        <v>45895</v>
      </c>
      <c r="B3505" s="392" t="n">
        <v>12113</v>
      </c>
      <c r="C3505" s="392" t="n">
        <v>75</v>
      </c>
      <c r="D3505" s="392" t="n"/>
      <c r="E3505" s="392" t="n"/>
      <c r="F3505" s="392" t="n"/>
      <c r="G3505" s="392" t="n">
        <v>10</v>
      </c>
      <c r="H3505" s="52">
        <f>H3504-G3505</f>
        <v/>
      </c>
      <c r="I3505" s="568" t="n"/>
      <c r="J3505" s="568" t="n"/>
      <c r="K3505" s="568" t="n"/>
      <c r="L3505" s="568" t="n"/>
    </row>
    <row r="3506">
      <c r="A3506" s="568" t="n">
        <v>45895</v>
      </c>
      <c r="B3506" s="392" t="n">
        <v>12114</v>
      </c>
      <c r="C3506" s="392" t="n">
        <v>78</v>
      </c>
      <c r="D3506" s="392" t="n"/>
      <c r="E3506" s="392" t="n"/>
      <c r="F3506" s="392" t="n"/>
      <c r="G3506" s="392" t="n">
        <v>10</v>
      </c>
      <c r="H3506" s="52">
        <f>H3505-G3506</f>
        <v/>
      </c>
      <c r="I3506" s="568" t="n"/>
      <c r="J3506" s="568" t="n"/>
      <c r="K3506" s="568" t="n"/>
      <c r="L3506" s="568" t="n"/>
    </row>
    <row r="3507">
      <c r="A3507" s="568" t="n">
        <v>45895</v>
      </c>
      <c r="B3507" s="392" t="n">
        <v>12115</v>
      </c>
      <c r="C3507" s="392" t="n">
        <v>80</v>
      </c>
      <c r="D3507" s="392" t="n"/>
      <c r="E3507" s="392" t="n"/>
      <c r="F3507" s="392" t="n"/>
      <c r="G3507" s="392" t="n">
        <v>20</v>
      </c>
      <c r="H3507" s="52">
        <f>H3506-G3507</f>
        <v/>
      </c>
      <c r="I3507" s="568" t="n"/>
      <c r="J3507" s="568" t="n"/>
      <c r="K3507" s="568" t="n"/>
      <c r="L3507" s="568" t="n"/>
    </row>
    <row r="3508" ht="15.75" customHeight="1" s="436" thickBot="1">
      <c r="A3508" s="414" t="n"/>
      <c r="H3508" s="171" t="n"/>
      <c r="I3508" s="414" t="n"/>
      <c r="J3508" s="414" t="n"/>
      <c r="K3508" s="414" t="n"/>
      <c r="L3508" s="414" t="n"/>
    </row>
    <row r="3509" ht="21.75" customHeight="1" s="436" thickBot="1">
      <c r="A3509" s="757" t="inlineStr">
        <is>
          <t>Setembro</t>
        </is>
      </c>
      <c r="B3509" s="697" t="n"/>
      <c r="C3509" s="697" t="n"/>
      <c r="D3509" s="697" t="n"/>
      <c r="E3509" s="697" t="n"/>
      <c r="F3509" s="697" t="n"/>
      <c r="G3509" s="697" t="n"/>
      <c r="H3509" s="697" t="n"/>
      <c r="I3509" s="697" t="n"/>
      <c r="J3509" s="697" t="n"/>
      <c r="K3509" s="697" t="n"/>
      <c r="L3509" s="698" t="n"/>
    </row>
    <row r="3510" ht="21.75" customHeight="1" s="436" thickBot="1">
      <c r="A3510" s="699" t="inlineStr">
        <is>
          <t xml:space="preserve">021 - DENISE FURTADO DE SOUZA - ME </t>
        </is>
      </c>
      <c r="B3510" s="697" t="n"/>
      <c r="C3510" s="697" t="n"/>
      <c r="D3510" s="697" t="n"/>
      <c r="E3510" s="697" t="n"/>
      <c r="F3510" s="697" t="n"/>
      <c r="G3510" s="697" t="n"/>
      <c r="H3510" s="697" t="n"/>
      <c r="I3510" s="697" t="n"/>
      <c r="J3510" s="697" t="n"/>
      <c r="K3510" s="697" t="n"/>
      <c r="L3510" s="698" t="n"/>
    </row>
    <row r="3511" ht="24" customHeight="1" s="436" thickBot="1">
      <c r="A3511" s="759" t="inlineStr">
        <is>
          <t xml:space="preserve">  PRÉ MISTURA - 25 KG</t>
        </is>
      </c>
      <c r="B3511" s="697" t="n"/>
      <c r="C3511" s="697" t="n"/>
      <c r="D3511" s="697" t="n"/>
      <c r="E3511" s="697" t="n"/>
      <c r="F3511" s="697" t="n"/>
      <c r="G3511" s="697" t="n"/>
      <c r="H3511" s="697" t="n"/>
      <c r="I3511" s="697" t="n"/>
      <c r="J3511" s="697" t="n"/>
      <c r="K3511" s="697" t="n"/>
      <c r="L3511" s="698" t="n"/>
    </row>
    <row r="3512">
      <c r="A3512" s="3" t="inlineStr">
        <is>
          <t>DATA</t>
        </is>
      </c>
      <c r="B3512" s="3" t="inlineStr">
        <is>
          <t>N.F.</t>
        </is>
      </c>
      <c r="C3512" s="3" t="inlineStr">
        <is>
          <t>TIPO</t>
        </is>
      </c>
      <c r="D3512" s="3" t="inlineStr">
        <is>
          <t>PREÇO UNITÁRIO</t>
        </is>
      </c>
      <c r="E3512" s="736" t="n"/>
      <c r="F3512" s="3" t="inlineStr">
        <is>
          <t>QUANTIDADE / KG</t>
        </is>
      </c>
      <c r="G3512" s="737" t="n"/>
      <c r="H3512" s="736" t="n"/>
      <c r="I3512" s="631" t="inlineStr">
        <is>
          <t>PREÇO</t>
        </is>
      </c>
      <c r="J3512" s="631" t="inlineStr">
        <is>
          <t>VALORES</t>
        </is>
      </c>
      <c r="K3512" s="737" t="n"/>
      <c r="L3512" s="736" t="n"/>
    </row>
    <row r="3513" ht="15.75" customHeight="1" s="436" thickBot="1">
      <c r="A3513" s="704" t="n"/>
      <c r="B3513" s="704" t="n"/>
      <c r="C3513" s="704" t="n"/>
      <c r="D3513" s="703" t="n"/>
      <c r="E3513" s="701" t="n"/>
      <c r="F3513" s="705" t="n"/>
      <c r="G3513" s="706" t="n"/>
      <c r="H3513" s="707" t="n"/>
      <c r="I3513" s="704" t="n"/>
      <c r="J3513" s="703" t="n"/>
      <c r="L3513" s="701" t="n"/>
    </row>
    <row r="3514" ht="15.75" customHeight="1" s="436" thickBot="1">
      <c r="A3514" s="704" t="n"/>
      <c r="B3514" s="704" t="n"/>
      <c r="C3514" s="704" t="n"/>
      <c r="D3514" s="705" t="n"/>
      <c r="E3514" s="707" t="n"/>
      <c r="F3514" s="3" t="inlineStr">
        <is>
          <t>ENTRADA</t>
        </is>
      </c>
      <c r="G3514" s="3" t="inlineStr">
        <is>
          <t>SAÍDA</t>
        </is>
      </c>
      <c r="H3514" s="640" t="n"/>
      <c r="I3514" s="633" t="inlineStr">
        <is>
          <t>MÉDIO</t>
        </is>
      </c>
      <c r="J3514" s="739" t="inlineStr">
        <is>
          <t>SALDO EM 30/12/2017</t>
        </is>
      </c>
      <c r="K3514" s="707" t="n"/>
      <c r="L3514" s="17" t="n"/>
    </row>
    <row r="3515" ht="15.75" customHeight="1" s="436" thickBot="1">
      <c r="A3515" s="695" t="n"/>
      <c r="B3515" s="695" t="n"/>
      <c r="C3515" s="695" t="n"/>
      <c r="D3515" s="3" t="inlineStr">
        <is>
          <t>C/ICMS</t>
        </is>
      </c>
      <c r="E3515" s="3" t="inlineStr">
        <is>
          <t>S/ICMS</t>
        </is>
      </c>
      <c r="F3515" s="695" t="n"/>
      <c r="G3515" s="695" t="n"/>
      <c r="H3515" s="361" t="inlineStr">
        <is>
          <t>Saldo em 31/08/2024</t>
        </is>
      </c>
      <c r="I3515" s="695" t="n"/>
      <c r="J3515" s="645" t="inlineStr">
        <is>
          <t>ENTRADA</t>
        </is>
      </c>
      <c r="K3515" s="633" t="inlineStr">
        <is>
          <t>SAÍDA / CMV</t>
        </is>
      </c>
      <c r="L3515" s="633" t="inlineStr">
        <is>
          <t>SALDO</t>
        </is>
      </c>
    </row>
    <row r="3516">
      <c r="A3516" s="568" t="n"/>
      <c r="B3516" s="392" t="n"/>
      <c r="C3516" s="392" t="n"/>
      <c r="D3516" s="392" t="n"/>
      <c r="E3516" s="392" t="n"/>
      <c r="F3516" s="392" t="n"/>
      <c r="G3516" s="392" t="n"/>
      <c r="H3516" s="52" t="n">
        <v>1862</v>
      </c>
      <c r="I3516" s="568" t="n"/>
      <c r="J3516" s="568" t="n"/>
      <c r="K3516" s="568" t="n"/>
      <c r="L3516" s="392" t="n"/>
    </row>
    <row r="3517">
      <c r="A3517" s="568" t="n">
        <v>45901</v>
      </c>
      <c r="B3517" s="392" t="n">
        <v>12120</v>
      </c>
      <c r="C3517" s="392" t="n">
        <v>80</v>
      </c>
      <c r="D3517" s="392" t="n"/>
      <c r="E3517" s="392" t="n"/>
      <c r="F3517" s="392" t="n"/>
      <c r="G3517" s="392" t="n">
        <v>30</v>
      </c>
      <c r="H3517" s="52">
        <f>H3516-G3517</f>
        <v/>
      </c>
      <c r="I3517" s="568" t="n"/>
      <c r="J3517" s="568" t="n"/>
      <c r="K3517" s="568" t="n"/>
      <c r="L3517" s="568" t="n"/>
    </row>
    <row r="3518">
      <c r="A3518" s="568" t="n">
        <v>45902</v>
      </c>
      <c r="B3518" s="392" t="n">
        <v>12125</v>
      </c>
      <c r="C3518" s="392" t="n">
        <v>85</v>
      </c>
      <c r="D3518" s="392" t="n"/>
      <c r="E3518" s="392" t="n"/>
      <c r="F3518" s="392" t="n"/>
      <c r="G3518" s="392" t="n">
        <v>20</v>
      </c>
      <c r="H3518" s="52">
        <f>H3517-G3518</f>
        <v/>
      </c>
      <c r="I3518" s="568" t="n"/>
      <c r="J3518" s="568" t="n"/>
      <c r="K3518" s="568" t="n"/>
      <c r="L3518" s="568" t="n"/>
    </row>
    <row r="3519">
      <c r="A3519" s="568" t="n">
        <v>45902</v>
      </c>
      <c r="B3519" s="392" t="n">
        <v>12126</v>
      </c>
      <c r="C3519" s="392" t="n">
        <v>77</v>
      </c>
      <c r="D3519" s="392" t="n"/>
      <c r="E3519" s="392" t="n"/>
      <c r="F3519" s="392" t="n"/>
      <c r="G3519" s="392" t="n">
        <v>15</v>
      </c>
      <c r="H3519" s="52">
        <f>H3518-G3519</f>
        <v/>
      </c>
      <c r="I3519" s="568" t="n"/>
      <c r="J3519" s="568" t="n"/>
      <c r="K3519" s="568" t="n"/>
      <c r="L3519" s="568" t="n"/>
    </row>
    <row r="3520">
      <c r="A3520" s="568" t="n">
        <v>45902</v>
      </c>
      <c r="B3520" s="392" t="n">
        <v>12127</v>
      </c>
      <c r="C3520" s="392" t="n">
        <v>85</v>
      </c>
      <c r="D3520" s="392" t="n"/>
      <c r="E3520" s="392" t="n"/>
      <c r="F3520" s="392" t="n"/>
      <c r="G3520" s="392" t="n">
        <v>25</v>
      </c>
      <c r="H3520" s="52">
        <f>H3519-G3520</f>
        <v/>
      </c>
      <c r="I3520" s="568" t="n"/>
      <c r="J3520" s="568" t="n"/>
      <c r="K3520" s="568" t="n"/>
      <c r="L3520" s="568" t="n"/>
    </row>
    <row r="3521">
      <c r="A3521" s="568" t="n">
        <v>45902</v>
      </c>
      <c r="B3521" s="392" t="n">
        <v>12128</v>
      </c>
      <c r="C3521" s="392" t="n">
        <v>81.87</v>
      </c>
      <c r="D3521" s="392" t="n"/>
      <c r="E3521" s="392" t="n"/>
      <c r="F3521" s="392" t="n"/>
      <c r="G3521" s="392" t="n">
        <v>12</v>
      </c>
      <c r="H3521" s="52">
        <f>H3520-G3521</f>
        <v/>
      </c>
      <c r="I3521" s="568" t="n"/>
      <c r="J3521" s="568" t="n"/>
      <c r="K3521" s="568" t="n"/>
      <c r="L3521" s="562" t="n"/>
    </row>
    <row r="3522">
      <c r="A3522" s="568" t="n">
        <v>45902</v>
      </c>
      <c r="B3522" s="392" t="n">
        <v>12129</v>
      </c>
      <c r="C3522" s="392" t="n">
        <v>82.59999999999999</v>
      </c>
      <c r="D3522" s="392" t="n"/>
      <c r="E3522" s="392" t="n"/>
      <c r="F3522" s="392" t="n"/>
      <c r="G3522" s="392" t="n">
        <v>25</v>
      </c>
      <c r="H3522" s="52">
        <f>H3521-G3522</f>
        <v/>
      </c>
      <c r="I3522" s="568" t="n"/>
      <c r="J3522" s="568" t="n"/>
      <c r="K3522" s="568" t="n"/>
      <c r="L3522" s="568" t="n"/>
    </row>
    <row r="3523">
      <c r="A3523" s="568" t="n">
        <v>45902</v>
      </c>
      <c r="B3523" s="392" t="n">
        <v>12130</v>
      </c>
      <c r="C3523" s="392" t="n">
        <v>80</v>
      </c>
      <c r="D3523" s="392" t="n"/>
      <c r="E3523" s="392" t="n"/>
      <c r="F3523" s="392" t="n"/>
      <c r="G3523" s="392" t="n">
        <v>10</v>
      </c>
      <c r="H3523" s="52">
        <f>H3522-G3523</f>
        <v/>
      </c>
      <c r="I3523" s="568" t="n"/>
      <c r="J3523" s="568" t="n"/>
      <c r="K3523" s="568" t="n"/>
      <c r="L3523" s="568" t="n"/>
    </row>
    <row r="3524">
      <c r="A3524" s="568" t="n">
        <v>45902</v>
      </c>
      <c r="B3524" s="392" t="n">
        <v>12131</v>
      </c>
      <c r="C3524" s="392" t="n">
        <v>78</v>
      </c>
      <c r="D3524" s="392" t="n"/>
      <c r="E3524" s="392" t="n"/>
      <c r="F3524" s="392" t="n"/>
      <c r="G3524" s="392" t="n">
        <v>15</v>
      </c>
      <c r="H3524" s="52">
        <f>H3523-G3524</f>
        <v/>
      </c>
      <c r="I3524" s="568" t="n"/>
      <c r="J3524" s="568" t="n"/>
      <c r="K3524" s="568" t="n"/>
      <c r="L3524" s="568" t="n"/>
    </row>
    <row r="3525">
      <c r="A3525" s="568" t="n">
        <v>45908</v>
      </c>
      <c r="B3525" s="392" t="n">
        <v>12135</v>
      </c>
      <c r="C3525" s="392" t="n">
        <v>85</v>
      </c>
      <c r="D3525" s="392" t="n"/>
      <c r="E3525" s="392" t="n"/>
      <c r="F3525" s="392" t="n"/>
      <c r="G3525" s="392" t="n">
        <v>25</v>
      </c>
      <c r="H3525" s="52">
        <f>H3524-G3525</f>
        <v/>
      </c>
      <c r="I3525" s="568" t="n"/>
      <c r="J3525" s="568" t="n"/>
      <c r="K3525" s="568" t="n"/>
      <c r="L3525" s="568" t="n"/>
    </row>
    <row r="3526">
      <c r="A3526" s="568" t="n">
        <v>45908</v>
      </c>
      <c r="B3526" s="392" t="n">
        <v>12136</v>
      </c>
      <c r="C3526" s="392" t="n">
        <v>78</v>
      </c>
      <c r="D3526" s="392" t="n"/>
      <c r="E3526" s="392" t="n"/>
      <c r="F3526" s="392" t="n"/>
      <c r="G3526" s="392" t="n">
        <v>40</v>
      </c>
      <c r="H3526" s="52">
        <f>H3525-G3526</f>
        <v/>
      </c>
      <c r="I3526" s="568" t="n"/>
      <c r="J3526" s="568" t="n"/>
      <c r="K3526" s="568" t="n"/>
      <c r="L3526" s="568" t="n"/>
    </row>
    <row r="3527">
      <c r="A3527" s="568" t="n">
        <v>45908</v>
      </c>
      <c r="B3527" s="392" t="n">
        <v>12138</v>
      </c>
      <c r="C3527" s="392" t="n">
        <v>84.55</v>
      </c>
      <c r="D3527" s="392" t="n"/>
      <c r="E3527" s="392" t="n"/>
      <c r="F3527" s="392" t="n"/>
      <c r="G3527" s="392" t="n">
        <v>11</v>
      </c>
      <c r="H3527" s="52">
        <f>H3526-G3527</f>
        <v/>
      </c>
      <c r="I3527" s="568" t="n"/>
      <c r="J3527" s="568" t="n"/>
      <c r="K3527" s="568" t="n"/>
      <c r="L3527" s="568" t="n"/>
    </row>
    <row r="3528">
      <c r="A3528" s="568" t="n">
        <v>45908</v>
      </c>
      <c r="B3528" s="392" t="n">
        <v>12139</v>
      </c>
      <c r="C3528" s="392" t="n">
        <v>84.5</v>
      </c>
      <c r="D3528" s="392" t="n"/>
      <c r="E3528" s="392" t="n"/>
      <c r="F3528" s="392" t="n"/>
      <c r="G3528" s="392" t="n">
        <v>20</v>
      </c>
      <c r="H3528" s="52">
        <f>H3527-G3528</f>
        <v/>
      </c>
      <c r="I3528" s="568" t="n"/>
      <c r="J3528" s="568" t="n"/>
      <c r="K3528" s="568" t="n"/>
      <c r="L3528" s="568" t="n"/>
    </row>
    <row r="3529">
      <c r="A3529" s="568" t="n">
        <v>45908</v>
      </c>
      <c r="B3529" s="392" t="n">
        <v>12141</v>
      </c>
      <c r="C3529" s="392" t="n">
        <v>84.8</v>
      </c>
      <c r="D3529" s="392" t="n"/>
      <c r="E3529" s="392" t="n"/>
      <c r="F3529" s="392" t="n"/>
      <c r="G3529" s="392" t="n">
        <v>50</v>
      </c>
      <c r="H3529" s="52">
        <f>H3528-G3529</f>
        <v/>
      </c>
      <c r="I3529" s="568" t="n"/>
      <c r="J3529" s="568" t="n"/>
      <c r="K3529" s="568" t="n"/>
      <c r="L3529" s="568" t="n"/>
    </row>
    <row r="3530">
      <c r="A3530" s="568" t="n">
        <v>45909</v>
      </c>
      <c r="B3530" s="392" t="n">
        <v>12143</v>
      </c>
      <c r="C3530" s="392" t="n">
        <v>80</v>
      </c>
      <c r="D3530" s="392" t="n"/>
      <c r="E3530" s="392" t="n"/>
      <c r="F3530" s="392" t="n"/>
      <c r="G3530" s="392" t="n">
        <v>100</v>
      </c>
      <c r="H3530" s="52">
        <f>H3529-G3530</f>
        <v/>
      </c>
      <c r="I3530" s="568" t="n"/>
      <c r="J3530" s="568" t="n"/>
      <c r="K3530" s="568" t="n"/>
      <c r="L3530" s="568" t="n"/>
    </row>
    <row r="3531">
      <c r="A3531" s="568" t="n">
        <v>45909</v>
      </c>
      <c r="B3531" s="392" t="n">
        <v>12146</v>
      </c>
      <c r="C3531" s="392" t="n">
        <v>82</v>
      </c>
      <c r="D3531" s="392" t="n"/>
      <c r="E3531" s="392" t="n"/>
      <c r="F3531" s="392" t="n"/>
      <c r="G3531" s="392" t="n">
        <v>20</v>
      </c>
      <c r="H3531" s="52">
        <f>H3530-G3531</f>
        <v/>
      </c>
      <c r="I3531" s="568" t="n"/>
      <c r="J3531" s="568" t="n"/>
      <c r="K3531" s="568" t="n"/>
      <c r="L3531" s="568" t="n"/>
    </row>
    <row r="3532">
      <c r="A3532" s="568" t="n">
        <v>45909</v>
      </c>
      <c r="B3532" s="392" t="n">
        <v>12147</v>
      </c>
      <c r="C3532" s="392" t="n">
        <v>78</v>
      </c>
      <c r="D3532" s="392" t="n"/>
      <c r="E3532" s="392" t="n"/>
      <c r="F3532" s="392" t="n"/>
      <c r="G3532" s="392" t="n">
        <v>10</v>
      </c>
      <c r="H3532" s="52">
        <f>H3531-G3532</f>
        <v/>
      </c>
      <c r="I3532" s="568" t="n"/>
      <c r="J3532" s="568" t="n"/>
      <c r="K3532" s="568" t="n"/>
      <c r="L3532" s="568" t="n"/>
    </row>
    <row r="3533">
      <c r="A3533" s="568" t="n">
        <v>45910</v>
      </c>
      <c r="B3533" s="392" t="n">
        <v>12149</v>
      </c>
      <c r="C3533" s="392" t="n">
        <v>90</v>
      </c>
      <c r="D3533" s="392" t="n"/>
      <c r="E3533" s="392" t="n"/>
      <c r="F3533" s="392" t="n"/>
      <c r="G3533" s="392" t="n">
        <v>30</v>
      </c>
      <c r="H3533" s="52">
        <f>H3532-G3533</f>
        <v/>
      </c>
      <c r="I3533" s="568" t="n"/>
      <c r="J3533" s="568" t="n"/>
      <c r="K3533" s="568" t="n"/>
      <c r="L3533" s="568" t="n"/>
    </row>
    <row r="3534">
      <c r="A3534" s="568" t="n">
        <v>45910</v>
      </c>
      <c r="B3534" s="392" t="n">
        <v>12150</v>
      </c>
      <c r="C3534" s="392" t="n">
        <v>85</v>
      </c>
      <c r="D3534" s="392" t="n"/>
      <c r="E3534" s="392" t="n"/>
      <c r="F3534" s="392" t="n"/>
      <c r="G3534" s="392" t="n">
        <v>50</v>
      </c>
      <c r="H3534" s="52">
        <f>H3533-G3534</f>
        <v/>
      </c>
      <c r="I3534" s="568" t="n"/>
      <c r="J3534" s="568" t="n"/>
      <c r="K3534" s="568" t="n"/>
      <c r="L3534" s="568" t="n"/>
    </row>
    <row r="3535">
      <c r="A3535" s="568" t="n">
        <v>45915</v>
      </c>
      <c r="B3535" s="392" t="n">
        <v>12152</v>
      </c>
      <c r="C3535" s="392" t="n">
        <v>85</v>
      </c>
      <c r="D3535" s="392" t="n"/>
      <c r="E3535" s="392" t="n"/>
      <c r="F3535" s="392" t="n"/>
      <c r="G3535" s="392" t="n">
        <v>20</v>
      </c>
      <c r="H3535" s="52">
        <f>H3534-G3535</f>
        <v/>
      </c>
      <c r="I3535" s="568" t="n"/>
      <c r="J3535" s="568" t="n"/>
      <c r="K3535" s="568" t="n"/>
      <c r="L3535" s="568" t="n"/>
    </row>
    <row r="3536">
      <c r="A3536" s="568" t="n">
        <v>45915</v>
      </c>
      <c r="B3536" s="392" t="n">
        <v>12155</v>
      </c>
      <c r="C3536" s="392" t="n">
        <v>80</v>
      </c>
      <c r="D3536" s="392" t="n"/>
      <c r="E3536" s="392" t="n"/>
      <c r="F3536" s="392" t="n"/>
      <c r="G3536" s="392" t="n">
        <v>30</v>
      </c>
      <c r="H3536" s="52">
        <f>H3535-G3536</f>
        <v/>
      </c>
      <c r="I3536" s="568" t="n"/>
      <c r="J3536" s="568" t="n"/>
      <c r="K3536" s="568" t="n"/>
      <c r="L3536" s="568" t="n"/>
    </row>
    <row r="3537">
      <c r="A3537" s="568" t="n">
        <v>45916</v>
      </c>
      <c r="B3537" s="392" t="n">
        <v>12156</v>
      </c>
      <c r="C3537" s="392" t="n">
        <v>80</v>
      </c>
      <c r="D3537" s="392" t="n"/>
      <c r="E3537" s="392" t="n"/>
      <c r="F3537" s="392" t="n"/>
      <c r="G3537" s="392" t="n">
        <v>10</v>
      </c>
      <c r="H3537" s="52">
        <f>H3536-G3537</f>
        <v/>
      </c>
      <c r="I3537" s="568" t="n"/>
      <c r="J3537" s="568" t="n"/>
      <c r="K3537" s="568" t="n"/>
      <c r="L3537" s="568" t="n"/>
    </row>
    <row r="3538">
      <c r="A3538" s="568" t="n">
        <v>45916</v>
      </c>
      <c r="B3538" s="392" t="n">
        <v>12157</v>
      </c>
      <c r="C3538" s="392" t="n">
        <v>79</v>
      </c>
      <c r="D3538" s="392" t="n"/>
      <c r="E3538" s="392" t="n"/>
      <c r="F3538" s="392" t="n"/>
      <c r="G3538" s="392" t="n">
        <v>30</v>
      </c>
      <c r="H3538" s="52">
        <f>H3537-G3538</f>
        <v/>
      </c>
      <c r="I3538" s="568" t="n"/>
      <c r="J3538" s="568" t="n"/>
      <c r="K3538" s="568" t="n"/>
      <c r="L3538" s="568" t="n"/>
    </row>
    <row r="3539">
      <c r="A3539" s="568" t="n">
        <v>45916</v>
      </c>
      <c r="B3539" s="392" t="n">
        <v>12158</v>
      </c>
      <c r="C3539" s="392" t="n">
        <v>81.67</v>
      </c>
      <c r="D3539" s="392" t="n"/>
      <c r="E3539" s="392" t="n"/>
      <c r="F3539" s="392" t="n"/>
      <c r="G3539" s="392" t="n">
        <v>60</v>
      </c>
      <c r="H3539" s="52">
        <f>H3538-G3539</f>
        <v/>
      </c>
      <c r="I3539" s="568" t="n"/>
      <c r="J3539" s="568" t="n"/>
      <c r="K3539" s="568" t="n"/>
      <c r="L3539" s="568" t="n"/>
    </row>
    <row r="3540">
      <c r="A3540" s="568" t="n">
        <v>45916</v>
      </c>
      <c r="B3540" s="392" t="n">
        <v>12159</v>
      </c>
      <c r="C3540" s="392" t="n">
        <v>82</v>
      </c>
      <c r="D3540" s="392" t="n"/>
      <c r="E3540" s="392" t="n"/>
      <c r="F3540" s="392" t="n"/>
      <c r="G3540" s="392" t="n">
        <v>25</v>
      </c>
      <c r="H3540" s="52">
        <f>H3539-G3540</f>
        <v/>
      </c>
      <c r="I3540" s="568" t="n"/>
      <c r="J3540" s="568" t="n"/>
      <c r="K3540" s="568" t="n"/>
      <c r="L3540" s="568" t="n"/>
    </row>
    <row r="3541">
      <c r="A3541" s="568" t="n">
        <v>45916</v>
      </c>
      <c r="B3541" s="392" t="n">
        <v>12160</v>
      </c>
      <c r="C3541" s="392" t="n">
        <v>84</v>
      </c>
      <c r="D3541" s="392" t="n"/>
      <c r="E3541" s="392" t="n"/>
      <c r="F3541" s="392" t="n"/>
      <c r="G3541" s="392" t="n">
        <v>60</v>
      </c>
      <c r="H3541" s="52">
        <f>H3540-G3541</f>
        <v/>
      </c>
      <c r="I3541" s="568" t="n"/>
      <c r="J3541" s="568" t="n"/>
      <c r="K3541" s="568" t="n"/>
      <c r="L3541" s="568" t="n"/>
    </row>
    <row r="3542">
      <c r="A3542" s="568" t="n">
        <v>45916</v>
      </c>
      <c r="B3542" s="392" t="n">
        <v>12161</v>
      </c>
      <c r="C3542" s="392" t="n">
        <v>85</v>
      </c>
      <c r="D3542" s="392" t="n"/>
      <c r="E3542" s="392" t="n"/>
      <c r="F3542" s="392" t="n"/>
      <c r="G3542" s="392" t="n">
        <v>20</v>
      </c>
      <c r="H3542" s="52">
        <f>H3541-G3542</f>
        <v/>
      </c>
      <c r="I3542" s="568" t="n"/>
      <c r="J3542" s="568" t="n"/>
      <c r="K3542" s="568" t="n"/>
      <c r="L3542" s="568" t="n"/>
    </row>
    <row r="3543">
      <c r="A3543" s="568" t="n">
        <v>45916</v>
      </c>
      <c r="B3543" s="392" t="n">
        <v>12162</v>
      </c>
      <c r="C3543" s="392" t="n">
        <v>78</v>
      </c>
      <c r="D3543" s="392" t="n"/>
      <c r="E3543" s="392" t="n"/>
      <c r="F3543" s="392" t="n"/>
      <c r="G3543" s="392" t="n">
        <v>10</v>
      </c>
      <c r="H3543" s="52">
        <f>H3542-G3543</f>
        <v/>
      </c>
      <c r="I3543" s="568" t="n"/>
      <c r="J3543" s="568" t="n"/>
      <c r="K3543" s="568" t="n"/>
      <c r="L3543" s="568" t="n"/>
    </row>
    <row r="3544">
      <c r="A3544" s="568" t="n">
        <v>45916</v>
      </c>
      <c r="B3544" s="392" t="n">
        <v>12164</v>
      </c>
      <c r="C3544" s="392" t="n">
        <v>84.8</v>
      </c>
      <c r="D3544" s="392" t="n"/>
      <c r="E3544" s="392" t="n"/>
      <c r="F3544" s="392" t="n"/>
      <c r="G3544" s="392" t="n">
        <v>50</v>
      </c>
      <c r="H3544" s="52">
        <f>H3543-G3544</f>
        <v/>
      </c>
      <c r="I3544" s="568" t="n"/>
      <c r="J3544" s="568" t="n"/>
      <c r="K3544" s="568" t="n"/>
      <c r="L3544" s="568" t="n"/>
    </row>
    <row r="3545">
      <c r="A3545" s="568" t="n">
        <v>45917</v>
      </c>
      <c r="B3545" s="392" t="n">
        <v>12166</v>
      </c>
      <c r="C3545" s="392" t="n">
        <v>92</v>
      </c>
      <c r="D3545" s="392" t="n"/>
      <c r="E3545" s="392" t="n"/>
      <c r="F3545" s="392" t="n"/>
      <c r="G3545" s="392" t="n">
        <v>20</v>
      </c>
      <c r="H3545" s="52">
        <f>H3544-G3545</f>
        <v/>
      </c>
      <c r="I3545" s="568" t="n"/>
      <c r="J3545" s="568" t="n"/>
      <c r="K3545" s="568" t="n"/>
      <c r="L3545" s="568" t="n"/>
    </row>
    <row r="3546">
      <c r="A3546" s="568" t="n">
        <v>45923</v>
      </c>
      <c r="B3546" s="392" t="n">
        <v>12172</v>
      </c>
      <c r="C3546" s="392" t="n">
        <v>75</v>
      </c>
      <c r="D3546" s="392" t="n"/>
      <c r="E3546" s="392" t="n"/>
      <c r="F3546" s="392" t="n"/>
      <c r="G3546" s="392" t="n">
        <v>10</v>
      </c>
      <c r="H3546" s="52">
        <f>H3545-G3546</f>
        <v/>
      </c>
      <c r="I3546" s="568" t="n"/>
      <c r="J3546" s="568" t="n"/>
      <c r="K3546" s="568" t="n"/>
      <c r="L3546" s="568" t="n"/>
    </row>
    <row r="3547">
      <c r="A3547" s="568" t="n">
        <v>45923</v>
      </c>
      <c r="B3547" s="392" t="n">
        <v>12173</v>
      </c>
      <c r="C3547" s="392" t="n">
        <v>85</v>
      </c>
      <c r="D3547" s="392" t="n"/>
      <c r="E3547" s="392" t="n"/>
      <c r="F3547" s="392" t="n"/>
      <c r="G3547" s="392" t="n">
        <v>20</v>
      </c>
      <c r="H3547" s="52">
        <f>H3546-G3547</f>
        <v/>
      </c>
      <c r="I3547" s="568" t="n"/>
      <c r="J3547" s="568" t="n"/>
      <c r="K3547" s="568" t="n"/>
      <c r="L3547" s="568" t="n"/>
    </row>
    <row r="3548">
      <c r="A3548" s="568" t="n">
        <v>45923</v>
      </c>
      <c r="B3548" s="392" t="n">
        <v>12175</v>
      </c>
      <c r="C3548" s="392" t="n">
        <v>82</v>
      </c>
      <c r="D3548" s="392" t="n"/>
      <c r="E3548" s="392" t="n"/>
      <c r="F3548" s="392" t="n"/>
      <c r="G3548" s="392" t="n">
        <v>10</v>
      </c>
      <c r="H3548" s="52">
        <f>H3547-G3548</f>
        <v/>
      </c>
      <c r="I3548" s="568" t="n"/>
      <c r="J3548" s="568" t="n"/>
      <c r="K3548" s="568" t="n"/>
      <c r="L3548" s="568" t="n"/>
    </row>
    <row r="3549">
      <c r="A3549" s="568" t="n">
        <v>45923</v>
      </c>
      <c r="B3549" s="392" t="n">
        <v>12176</v>
      </c>
      <c r="C3549" s="392" t="n">
        <v>86.8</v>
      </c>
      <c r="D3549" s="392" t="n"/>
      <c r="E3549" s="392" t="n"/>
      <c r="F3549" s="392" t="n"/>
      <c r="G3549" s="392" t="n">
        <v>25</v>
      </c>
      <c r="H3549" s="52">
        <f>H3548-G3549</f>
        <v/>
      </c>
      <c r="I3549" s="568" t="n"/>
      <c r="J3549" s="568" t="n"/>
      <c r="K3549" s="568" t="n"/>
      <c r="L3549" s="568" t="n"/>
    </row>
    <row r="3550">
      <c r="A3550" s="568" t="n">
        <v>45923</v>
      </c>
      <c r="B3550" s="392" t="n">
        <v>12177</v>
      </c>
      <c r="C3550" s="392" t="n">
        <v>86.75</v>
      </c>
      <c r="D3550" s="392" t="n"/>
      <c r="E3550" s="392" t="n"/>
      <c r="F3550" s="392" t="n"/>
      <c r="G3550" s="392" t="n">
        <v>20</v>
      </c>
      <c r="H3550" s="52">
        <f>H3549-G3550</f>
        <v/>
      </c>
      <c r="I3550" s="568" t="n"/>
      <c r="J3550" s="568" t="n"/>
      <c r="K3550" s="568" t="n"/>
      <c r="L3550" s="568" t="n"/>
    </row>
    <row r="3551">
      <c r="A3551" s="568" t="n">
        <v>45923</v>
      </c>
      <c r="B3551" s="392" t="n">
        <v>12178</v>
      </c>
      <c r="C3551" s="392" t="n">
        <v>78</v>
      </c>
      <c r="D3551" s="392" t="n"/>
      <c r="E3551" s="392" t="n"/>
      <c r="F3551" s="392" t="n"/>
      <c r="G3551" s="392" t="n">
        <v>10</v>
      </c>
      <c r="H3551" s="52">
        <f>H3550-G3551</f>
        <v/>
      </c>
      <c r="I3551" s="568" t="n"/>
      <c r="J3551" s="568" t="n"/>
      <c r="K3551" s="568" t="n"/>
      <c r="L3551" s="568" t="n"/>
    </row>
    <row r="3552">
      <c r="A3552" s="568" t="n">
        <v>45923</v>
      </c>
      <c r="B3552" s="392" t="n">
        <v>12180</v>
      </c>
      <c r="C3552" s="392" t="n">
        <v>80</v>
      </c>
      <c r="D3552" s="392" t="n"/>
      <c r="E3552" s="392" t="n"/>
      <c r="F3552" s="392" t="n"/>
      <c r="G3552" s="392" t="n">
        <v>30</v>
      </c>
      <c r="H3552" s="52">
        <f>H3551-G3552</f>
        <v/>
      </c>
      <c r="I3552" s="568" t="n"/>
      <c r="J3552" s="568" t="n"/>
      <c r="K3552" s="568" t="n"/>
      <c r="L3552" s="568" t="n"/>
    </row>
    <row r="3553">
      <c r="A3553" s="568" t="n">
        <v>45923</v>
      </c>
      <c r="B3553" s="392" t="n">
        <v>12181</v>
      </c>
      <c r="C3553" s="392" t="n">
        <v>80</v>
      </c>
      <c r="D3553" s="392" t="n"/>
      <c r="E3553" s="392" t="n"/>
      <c r="F3553" s="392" t="n"/>
      <c r="G3553" s="392" t="n">
        <v>10</v>
      </c>
      <c r="H3553" s="52">
        <f>H3552-G3553</f>
        <v/>
      </c>
      <c r="I3553" s="568" t="n"/>
      <c r="J3553" s="568" t="n"/>
      <c r="K3553" s="568" t="n"/>
      <c r="L3553" s="568" t="n"/>
    </row>
    <row r="3554">
      <c r="A3554" s="568" t="n">
        <v>45929</v>
      </c>
      <c r="B3554" s="392" t="n">
        <v>12185</v>
      </c>
      <c r="C3554" s="392" t="n">
        <v>90.31999999999999</v>
      </c>
      <c r="D3554" s="392" t="n"/>
      <c r="E3554" s="392" t="n"/>
      <c r="F3554" s="392" t="n"/>
      <c r="G3554" s="392" t="n">
        <v>38</v>
      </c>
      <c r="H3554" s="52">
        <f>H3553-G3554</f>
        <v/>
      </c>
      <c r="I3554" s="568" t="n"/>
      <c r="J3554" s="568" t="n"/>
      <c r="K3554" s="568" t="n"/>
      <c r="L3554" s="568" t="n"/>
    </row>
    <row r="3555">
      <c r="A3555" s="568" t="n">
        <v>45929</v>
      </c>
      <c r="B3555" s="392" t="n">
        <v>12189</v>
      </c>
      <c r="C3555" s="392" t="n">
        <v>82.2</v>
      </c>
      <c r="D3555" s="392" t="n"/>
      <c r="E3555" s="392" t="n"/>
      <c r="F3555" s="392" t="n"/>
      <c r="G3555" s="392" t="n">
        <v>25</v>
      </c>
      <c r="H3555" s="52">
        <f>H3554-G3555</f>
        <v/>
      </c>
      <c r="I3555" s="568" t="n"/>
      <c r="J3555" s="568" t="n"/>
      <c r="K3555" s="568" t="n"/>
      <c r="L3555" s="568" t="n"/>
    </row>
    <row r="3556">
      <c r="A3556" s="304" t="n">
        <v>45929</v>
      </c>
      <c r="B3556" s="401" t="n">
        <v>295202</v>
      </c>
      <c r="C3556" s="401" t="n">
        <v>64</v>
      </c>
      <c r="D3556" s="401" t="n"/>
      <c r="E3556" s="401" t="n"/>
      <c r="F3556" s="401" t="n">
        <v>720</v>
      </c>
      <c r="G3556" s="401" t="n"/>
      <c r="H3556" s="277" t="n">
        <v>1541</v>
      </c>
      <c r="I3556" s="568" t="n"/>
      <c r="J3556" s="568" t="n"/>
      <c r="K3556" s="568" t="n"/>
      <c r="L3556" s="568" t="n"/>
    </row>
    <row r="3557">
      <c r="A3557" s="568" t="n">
        <v>45929</v>
      </c>
      <c r="B3557" s="392" t="n">
        <v>12190</v>
      </c>
      <c r="C3557" s="392" t="n">
        <v>80</v>
      </c>
      <c r="D3557" s="392" t="n"/>
      <c r="E3557" s="392" t="n"/>
      <c r="F3557" s="392" t="n"/>
      <c r="G3557" s="392" t="n">
        <v>12</v>
      </c>
      <c r="H3557" s="52">
        <f>H3556-G3557</f>
        <v/>
      </c>
      <c r="I3557" s="568" t="n"/>
      <c r="J3557" s="568" t="n"/>
      <c r="K3557" s="568" t="n"/>
      <c r="L3557" s="568" t="n"/>
    </row>
    <row r="3558" ht="15.75" customHeight="1" s="436" thickBot="1">
      <c r="A3558" s="414" t="n"/>
      <c r="H3558" s="171" t="n"/>
      <c r="I3558" s="414" t="n"/>
      <c r="J3558" s="414" t="n"/>
      <c r="K3558" s="414" t="n"/>
      <c r="L3558" s="414" t="n"/>
    </row>
    <row r="3559" ht="21.75" customHeight="1" s="436" thickBot="1">
      <c r="A3559" s="757" t="inlineStr">
        <is>
          <t>Outubro</t>
        </is>
      </c>
      <c r="B3559" s="697" t="n"/>
      <c r="C3559" s="697" t="n"/>
      <c r="D3559" s="697" t="n"/>
      <c r="E3559" s="697" t="n"/>
      <c r="F3559" s="697" t="n"/>
      <c r="G3559" s="697" t="n"/>
      <c r="H3559" s="697" t="n"/>
      <c r="I3559" s="697" t="n"/>
      <c r="J3559" s="697" t="n"/>
      <c r="K3559" s="697" t="n"/>
      <c r="L3559" s="698" t="n"/>
    </row>
    <row r="3560" ht="21.75" customHeight="1" s="436" thickBot="1">
      <c r="A3560" s="699" t="inlineStr">
        <is>
          <t xml:space="preserve">021 - DENISE FURTADO DE SOUZA - ME </t>
        </is>
      </c>
      <c r="B3560" s="697" t="n"/>
      <c r="C3560" s="697" t="n"/>
      <c r="D3560" s="697" t="n"/>
      <c r="E3560" s="697" t="n"/>
      <c r="F3560" s="697" t="n"/>
      <c r="G3560" s="697" t="n"/>
      <c r="H3560" s="697" t="n"/>
      <c r="I3560" s="697" t="n"/>
      <c r="J3560" s="697" t="n"/>
      <c r="K3560" s="697" t="n"/>
      <c r="L3560" s="698" t="n"/>
    </row>
    <row r="3561" ht="24" customHeight="1" s="436" thickBot="1">
      <c r="A3561" s="759" t="inlineStr">
        <is>
          <t xml:space="preserve">  PRÉ MISTURA - 25 KG</t>
        </is>
      </c>
      <c r="B3561" s="697" t="n"/>
      <c r="C3561" s="697" t="n"/>
      <c r="D3561" s="697" t="n"/>
      <c r="E3561" s="697" t="n"/>
      <c r="F3561" s="697" t="n"/>
      <c r="G3561" s="697" t="n"/>
      <c r="H3561" s="697" t="n"/>
      <c r="I3561" s="697" t="n"/>
      <c r="J3561" s="697" t="n"/>
      <c r="K3561" s="697" t="n"/>
      <c r="L3561" s="698" t="n"/>
    </row>
    <row r="3562">
      <c r="A3562" s="3" t="inlineStr">
        <is>
          <t>DATA</t>
        </is>
      </c>
      <c r="B3562" s="3" t="inlineStr">
        <is>
          <t>N.F.</t>
        </is>
      </c>
      <c r="C3562" s="3" t="inlineStr">
        <is>
          <t>TIPO</t>
        </is>
      </c>
      <c r="D3562" s="3" t="inlineStr">
        <is>
          <t>PREÇO UNITÁRIO</t>
        </is>
      </c>
      <c r="E3562" s="736" t="n"/>
      <c r="F3562" s="3" t="inlineStr">
        <is>
          <t>QUANTIDADE / KG</t>
        </is>
      </c>
      <c r="G3562" s="737" t="n"/>
      <c r="H3562" s="736" t="n"/>
      <c r="I3562" s="631" t="inlineStr">
        <is>
          <t>PREÇO</t>
        </is>
      </c>
      <c r="J3562" s="631" t="inlineStr">
        <is>
          <t>VALORES</t>
        </is>
      </c>
      <c r="K3562" s="737" t="n"/>
      <c r="L3562" s="736" t="n"/>
    </row>
    <row r="3563" ht="15.75" customHeight="1" s="436" thickBot="1">
      <c r="A3563" s="704" t="n"/>
      <c r="B3563" s="704" t="n"/>
      <c r="C3563" s="704" t="n"/>
      <c r="D3563" s="703" t="n"/>
      <c r="E3563" s="701" t="n"/>
      <c r="F3563" s="705" t="n"/>
      <c r="G3563" s="706" t="n"/>
      <c r="H3563" s="707" t="n"/>
      <c r="I3563" s="704" t="n"/>
      <c r="J3563" s="703" t="n"/>
      <c r="L3563" s="701" t="n"/>
    </row>
    <row r="3564" ht="15.75" customHeight="1" s="436" thickBot="1">
      <c r="A3564" s="704" t="n"/>
      <c r="B3564" s="704" t="n"/>
      <c r="C3564" s="704" t="n"/>
      <c r="D3564" s="705" t="n"/>
      <c r="E3564" s="707" t="n"/>
      <c r="F3564" s="3" t="inlineStr">
        <is>
          <t>ENTRADA</t>
        </is>
      </c>
      <c r="G3564" s="3" t="inlineStr">
        <is>
          <t>SAÍDA</t>
        </is>
      </c>
      <c r="H3564" s="640" t="n"/>
      <c r="I3564" s="633" t="inlineStr">
        <is>
          <t>MÉDIO</t>
        </is>
      </c>
      <c r="J3564" s="739" t="inlineStr">
        <is>
          <t>SALDO EM 30/12/2017</t>
        </is>
      </c>
      <c r="K3564" s="707" t="n"/>
      <c r="L3564" s="17" t="n"/>
    </row>
    <row r="3565" ht="15.75" customHeight="1" s="436" thickBot="1">
      <c r="A3565" s="695" t="n"/>
      <c r="B3565" s="695" t="n"/>
      <c r="C3565" s="695" t="n"/>
      <c r="D3565" s="3" t="inlineStr">
        <is>
          <t>C/ICMS</t>
        </is>
      </c>
      <c r="E3565" s="3" t="inlineStr">
        <is>
          <t>S/ICMS</t>
        </is>
      </c>
      <c r="F3565" s="695" t="n"/>
      <c r="G3565" s="695" t="n"/>
      <c r="H3565" s="361" t="inlineStr">
        <is>
          <t>Saldo em 30/09/2024</t>
        </is>
      </c>
      <c r="I3565" s="695" t="n"/>
      <c r="J3565" s="645" t="inlineStr">
        <is>
          <t>ENTRADA</t>
        </is>
      </c>
      <c r="K3565" s="633" t="inlineStr">
        <is>
          <t>SAÍDA / CMV</t>
        </is>
      </c>
      <c r="L3565" s="633" t="inlineStr">
        <is>
          <t>SALDO</t>
        </is>
      </c>
    </row>
    <row r="3566">
      <c r="A3566" s="568" t="n"/>
      <c r="B3566" s="392" t="n"/>
      <c r="C3566" s="392" t="n"/>
      <c r="D3566" s="392" t="n"/>
      <c r="E3566" s="392" t="n"/>
      <c r="F3566" s="392" t="n"/>
      <c r="G3566" s="392" t="n"/>
      <c r="H3566" s="52" t="n">
        <v>1529</v>
      </c>
      <c r="I3566" s="568" t="n"/>
      <c r="J3566" s="568" t="n"/>
      <c r="K3566" s="568" t="n"/>
      <c r="L3566" s="392" t="n"/>
    </row>
    <row r="3567">
      <c r="A3567" s="568" t="n">
        <v>45931</v>
      </c>
      <c r="B3567" s="392" t="n">
        <v>12193</v>
      </c>
      <c r="C3567" s="392" t="n">
        <v>82</v>
      </c>
      <c r="D3567" s="392" t="n"/>
      <c r="E3567" s="392" t="n"/>
      <c r="F3567" s="392" t="n"/>
      <c r="G3567" s="392" t="n">
        <v>20</v>
      </c>
      <c r="H3567" s="52">
        <f>H3566-G3567</f>
        <v/>
      </c>
      <c r="I3567" s="568" t="n"/>
      <c r="J3567" s="568" t="n"/>
      <c r="K3567" s="568" t="n"/>
      <c r="L3567" s="568" t="n"/>
    </row>
    <row r="3568">
      <c r="A3568" s="568" t="n">
        <v>45931</v>
      </c>
      <c r="B3568" s="392" t="n">
        <v>12194</v>
      </c>
      <c r="C3568" s="392" t="n">
        <v>82</v>
      </c>
      <c r="D3568" s="392" t="n"/>
      <c r="E3568" s="392" t="n"/>
      <c r="F3568" s="392" t="n"/>
      <c r="G3568" s="392" t="n">
        <v>20</v>
      </c>
      <c r="H3568" s="52">
        <f>H3567-G3568</f>
        <v/>
      </c>
      <c r="I3568" s="568" t="n"/>
      <c r="J3568" s="568" t="n"/>
      <c r="K3568" s="568" t="n"/>
      <c r="L3568" s="568" t="n"/>
    </row>
    <row r="3569">
      <c r="A3569" s="568" t="n">
        <v>45931</v>
      </c>
      <c r="B3569" s="392" t="n">
        <v>12195</v>
      </c>
      <c r="C3569" s="392" t="n">
        <v>78</v>
      </c>
      <c r="D3569" s="392" t="n"/>
      <c r="E3569" s="392" t="n"/>
      <c r="F3569" s="392" t="n"/>
      <c r="G3569" s="392" t="n">
        <v>10</v>
      </c>
      <c r="H3569" s="52">
        <f>H3568-G3569</f>
        <v/>
      </c>
      <c r="I3569" s="568" t="n"/>
      <c r="J3569" s="568" t="n"/>
      <c r="K3569" s="568" t="n"/>
      <c r="L3569" s="568" t="n"/>
    </row>
    <row r="3570">
      <c r="A3570" s="568" t="n">
        <v>45931</v>
      </c>
      <c r="B3570" s="392" t="n">
        <v>12197</v>
      </c>
      <c r="C3570" s="392" t="n">
        <v>78</v>
      </c>
      <c r="D3570" s="392" t="n"/>
      <c r="E3570" s="392" t="n"/>
      <c r="F3570" s="392" t="n"/>
      <c r="G3570" s="392" t="n">
        <v>40</v>
      </c>
      <c r="H3570" s="52">
        <f>H3569-G3570</f>
        <v/>
      </c>
      <c r="I3570" s="568" t="n"/>
      <c r="J3570" s="568" t="n"/>
      <c r="K3570" s="568" t="n"/>
      <c r="L3570" s="568" t="n"/>
    </row>
    <row r="3571">
      <c r="A3571" s="568" t="n">
        <v>45931</v>
      </c>
      <c r="B3571" s="392" t="n">
        <v>12198</v>
      </c>
      <c r="C3571" s="392" t="n">
        <v>82</v>
      </c>
      <c r="D3571" s="392" t="n"/>
      <c r="E3571" s="392" t="n"/>
      <c r="F3571" s="392" t="n"/>
      <c r="G3571" s="392" t="n">
        <v>20</v>
      </c>
      <c r="H3571" s="52">
        <f>H3570-G3571</f>
        <v/>
      </c>
      <c r="I3571" s="568" t="n"/>
      <c r="J3571" s="568" t="n"/>
      <c r="K3571" s="568" t="n"/>
      <c r="L3571" s="568" t="n"/>
    </row>
    <row r="3572">
      <c r="A3572" s="568" t="n">
        <v>45931</v>
      </c>
      <c r="B3572" s="392" t="n">
        <v>12200</v>
      </c>
      <c r="C3572" s="392" t="n">
        <v>84.8</v>
      </c>
      <c r="D3572" s="392" t="n"/>
      <c r="E3572" s="392" t="n"/>
      <c r="F3572" s="392" t="n"/>
      <c r="G3572" s="392" t="n">
        <v>50</v>
      </c>
      <c r="H3572" s="52">
        <f>H3571-G3572</f>
        <v/>
      </c>
      <c r="I3572" s="568" t="n"/>
      <c r="J3572" s="568" t="n"/>
      <c r="K3572" s="568" t="n"/>
      <c r="L3572" s="568" t="n"/>
    </row>
    <row r="3573">
      <c r="A3573" s="568" t="n">
        <v>45936</v>
      </c>
      <c r="B3573" s="392" t="n">
        <v>12202</v>
      </c>
      <c r="C3573" s="392" t="n">
        <v>77</v>
      </c>
      <c r="D3573" s="392" t="n"/>
      <c r="E3573" s="392" t="n"/>
      <c r="F3573" s="392" t="n"/>
      <c r="G3573" s="392" t="n">
        <v>100</v>
      </c>
      <c r="H3573" s="52">
        <f>H3572-G3573</f>
        <v/>
      </c>
      <c r="I3573" s="568" t="n"/>
      <c r="J3573" s="568" t="n"/>
      <c r="K3573" s="568" t="n"/>
      <c r="L3573" s="568" t="n"/>
    </row>
    <row r="3574">
      <c r="A3574" s="568" t="n">
        <v>45936</v>
      </c>
      <c r="B3574" s="392" t="n">
        <v>12209</v>
      </c>
      <c r="C3574" s="392" t="n">
        <v>80</v>
      </c>
      <c r="D3574" s="392" t="n"/>
      <c r="E3574" s="392" t="n"/>
      <c r="F3574" s="392" t="n"/>
      <c r="G3574" s="392" t="n">
        <v>30</v>
      </c>
      <c r="H3574" s="52">
        <f>H3573-G3574</f>
        <v/>
      </c>
      <c r="I3574" s="568" t="n"/>
      <c r="J3574" s="568" t="n"/>
      <c r="K3574" s="568" t="n"/>
      <c r="L3574" s="568" t="n"/>
    </row>
    <row r="3575">
      <c r="A3575" s="568" t="n">
        <v>45936</v>
      </c>
      <c r="B3575" s="392" t="n">
        <v>12210</v>
      </c>
      <c r="C3575" s="392" t="n">
        <v>80</v>
      </c>
      <c r="D3575" s="392" t="n"/>
      <c r="E3575" s="392" t="n"/>
      <c r="F3575" s="392" t="n"/>
      <c r="G3575" s="392" t="n">
        <v>10</v>
      </c>
      <c r="H3575" s="52">
        <f>H3574-G3575</f>
        <v/>
      </c>
      <c r="I3575" s="568" t="n"/>
      <c r="J3575" s="568" t="n"/>
      <c r="K3575" s="568" t="n"/>
      <c r="L3575" s="568" t="n"/>
    </row>
    <row r="3576">
      <c r="A3576" s="568" t="n">
        <v>45936</v>
      </c>
      <c r="B3576" s="392" t="n">
        <v>12211</v>
      </c>
      <c r="C3576" s="392" t="n">
        <v>85</v>
      </c>
      <c r="D3576" s="392" t="n"/>
      <c r="E3576" s="392" t="n"/>
      <c r="F3576" s="392" t="n"/>
      <c r="G3576" s="392" t="n">
        <v>20</v>
      </c>
      <c r="H3576" s="52">
        <f>H3575-G3576</f>
        <v/>
      </c>
      <c r="I3576" s="568" t="n"/>
      <c r="J3576" s="568" t="n"/>
      <c r="K3576" s="568" t="n"/>
      <c r="L3576" s="568" t="n"/>
    </row>
    <row r="3577">
      <c r="A3577" s="568" t="n">
        <v>45938</v>
      </c>
      <c r="B3577" s="392" t="n">
        <v>12214</v>
      </c>
      <c r="C3577" s="392" t="n">
        <v>80</v>
      </c>
      <c r="D3577" s="392" t="n"/>
      <c r="E3577" s="392" t="n"/>
      <c r="F3577" s="392" t="n"/>
      <c r="G3577" s="392" t="n">
        <v>10</v>
      </c>
      <c r="H3577" s="52">
        <f>H3576-G3577</f>
        <v/>
      </c>
      <c r="I3577" s="568" t="n"/>
      <c r="J3577" s="568" t="n"/>
      <c r="K3577" s="568" t="n"/>
      <c r="L3577" s="568" t="n"/>
    </row>
    <row r="3578">
      <c r="A3578" s="304" t="n">
        <v>45945</v>
      </c>
      <c r="B3578" s="401" t="n">
        <v>98498</v>
      </c>
      <c r="C3578" s="401" t="n">
        <v>61</v>
      </c>
      <c r="D3578" s="401" t="n"/>
      <c r="E3578" s="401" t="n"/>
      <c r="F3578" s="401" t="n">
        <v>715</v>
      </c>
      <c r="G3578" s="401" t="n"/>
      <c r="H3578" s="277" t="n">
        <v>1914</v>
      </c>
      <c r="I3578" s="568" t="n"/>
      <c r="J3578" s="568" t="n"/>
      <c r="K3578" s="568" t="n"/>
      <c r="L3578" s="568" t="n"/>
    </row>
    <row r="3579">
      <c r="A3579" s="304" t="n">
        <v>45945</v>
      </c>
      <c r="B3579" s="401" t="n">
        <v>40211</v>
      </c>
      <c r="C3579" s="401" t="n">
        <v>66.90000000000001</v>
      </c>
      <c r="D3579" s="401" t="n"/>
      <c r="E3579" s="401" t="n"/>
      <c r="F3579" s="401" t="n">
        <v>750</v>
      </c>
      <c r="G3579" s="401" t="n"/>
      <c r="H3579" s="277" t="n">
        <v>2664</v>
      </c>
      <c r="I3579" s="568" t="n"/>
      <c r="J3579" s="568" t="n"/>
      <c r="K3579" s="568" t="n"/>
      <c r="L3579" s="568" t="n"/>
    </row>
    <row r="3580">
      <c r="A3580" s="568" t="n">
        <v>45943</v>
      </c>
      <c r="B3580" s="392" t="n">
        <v>12220</v>
      </c>
      <c r="C3580" s="392" t="n">
        <v>80</v>
      </c>
      <c r="D3580" s="392" t="n"/>
      <c r="E3580" s="392" t="n"/>
      <c r="F3580" s="392" t="n"/>
      <c r="G3580" s="392" t="n">
        <v>40</v>
      </c>
      <c r="H3580" s="52">
        <f>H3579-G3580</f>
        <v/>
      </c>
      <c r="I3580" s="568" t="n"/>
      <c r="J3580" s="568" t="n"/>
      <c r="K3580" s="568" t="n"/>
      <c r="L3580" s="568" t="n"/>
    </row>
    <row r="3581">
      <c r="A3581" s="568" t="n">
        <v>45944</v>
      </c>
      <c r="B3581" s="392" t="n">
        <v>12225</v>
      </c>
      <c r="C3581" s="392" t="n">
        <v>78</v>
      </c>
      <c r="D3581" s="392" t="n"/>
      <c r="E3581" s="392" t="n"/>
      <c r="F3581" s="392" t="n"/>
      <c r="G3581" s="392" t="n">
        <v>10</v>
      </c>
      <c r="H3581" s="52">
        <f>H3580-G3581</f>
        <v/>
      </c>
      <c r="I3581" s="568" t="n"/>
      <c r="J3581" s="568" t="n"/>
      <c r="K3581" s="568" t="n"/>
      <c r="L3581" s="568" t="n"/>
    </row>
    <row r="3582">
      <c r="A3582" s="568" t="n">
        <v>45944</v>
      </c>
      <c r="B3582" s="392" t="n">
        <v>12226</v>
      </c>
      <c r="C3582" s="392" t="n">
        <v>80</v>
      </c>
      <c r="D3582" s="392" t="n"/>
      <c r="E3582" s="392" t="n"/>
      <c r="F3582" s="392" t="n"/>
      <c r="G3582" s="392" t="n">
        <v>10</v>
      </c>
      <c r="H3582" s="52">
        <f>H3581-G3582</f>
        <v/>
      </c>
      <c r="I3582" s="568" t="n"/>
      <c r="J3582" s="568" t="n"/>
      <c r="K3582" s="568" t="n"/>
      <c r="L3582" s="568" t="n"/>
    </row>
    <row r="3583">
      <c r="A3583" s="568" t="n">
        <v>45944</v>
      </c>
      <c r="B3583" s="392" t="n">
        <v>12227</v>
      </c>
      <c r="C3583" s="392" t="n">
        <v>78</v>
      </c>
      <c r="D3583" s="392" t="n"/>
      <c r="E3583" s="392" t="n"/>
      <c r="F3583" s="392" t="n"/>
      <c r="G3583" s="392" t="n">
        <v>30</v>
      </c>
      <c r="H3583" s="52">
        <f>H3582-G3583</f>
        <v/>
      </c>
      <c r="I3583" s="568" t="n"/>
      <c r="J3583" s="568" t="n"/>
      <c r="K3583" s="568" t="n"/>
      <c r="L3583" s="568" t="n"/>
    </row>
    <row r="3584">
      <c r="A3584" s="568" t="n">
        <v>45944</v>
      </c>
      <c r="B3584" s="392" t="n">
        <v>12228</v>
      </c>
      <c r="C3584" s="392" t="n">
        <v>78</v>
      </c>
      <c r="D3584" s="392" t="n"/>
      <c r="E3584" s="392" t="n"/>
      <c r="F3584" s="392" t="n"/>
      <c r="G3584" s="392" t="n">
        <v>10</v>
      </c>
      <c r="H3584" s="52">
        <f>H3583-G3584</f>
        <v/>
      </c>
      <c r="I3584" s="568" t="n"/>
      <c r="J3584" s="568" t="n"/>
      <c r="K3584" s="568" t="n"/>
      <c r="L3584" s="568" t="n"/>
    </row>
    <row r="3585">
      <c r="A3585" s="568" t="n">
        <v>45945</v>
      </c>
      <c r="B3585" s="392" t="n">
        <v>12229</v>
      </c>
      <c r="C3585" s="392" t="n">
        <v>83.5</v>
      </c>
      <c r="D3585" s="392" t="n"/>
      <c r="E3585" s="392" t="n"/>
      <c r="F3585" s="392" t="n"/>
      <c r="G3585" s="392" t="n">
        <v>40</v>
      </c>
      <c r="H3585" s="52">
        <f>H3584-G3585</f>
        <v/>
      </c>
      <c r="I3585" s="568" t="n"/>
      <c r="J3585" s="568" t="n"/>
      <c r="K3585" s="568" t="n"/>
      <c r="L3585" s="568" t="n"/>
    </row>
    <row r="3586">
      <c r="A3586" s="568" t="n">
        <v>45945</v>
      </c>
      <c r="B3586" s="392" t="n">
        <v>12230</v>
      </c>
      <c r="C3586" s="392" t="n">
        <v>80</v>
      </c>
      <c r="D3586" s="392" t="n"/>
      <c r="E3586" s="392" t="n"/>
      <c r="F3586" s="392" t="n"/>
      <c r="G3586" s="392" t="n">
        <v>40</v>
      </c>
      <c r="H3586" s="52">
        <f>H3585-G3586</f>
        <v/>
      </c>
      <c r="I3586" s="568" t="n"/>
      <c r="J3586" s="568" t="n"/>
      <c r="K3586" s="568" t="n"/>
      <c r="L3586" s="568" t="n"/>
    </row>
    <row r="3587">
      <c r="A3587" s="568" t="n">
        <v>45950</v>
      </c>
      <c r="B3587" s="392" t="n">
        <v>12234</v>
      </c>
      <c r="C3587" s="392" t="n">
        <v>86</v>
      </c>
      <c r="D3587" s="392" t="n"/>
      <c r="E3587" s="392" t="n"/>
      <c r="F3587" s="392" t="n"/>
      <c r="G3587" s="392" t="n">
        <v>100</v>
      </c>
      <c r="H3587" s="52">
        <f>H3586-G3587</f>
        <v/>
      </c>
      <c r="I3587" s="568" t="n"/>
      <c r="J3587" s="568" t="n"/>
      <c r="K3587" s="568" t="n"/>
      <c r="L3587" s="568" t="n"/>
    </row>
    <row r="3588">
      <c r="A3588" s="568" t="n">
        <v>45950</v>
      </c>
      <c r="B3588" s="392" t="n">
        <v>12237</v>
      </c>
      <c r="C3588" s="392" t="n">
        <v>80</v>
      </c>
      <c r="D3588" s="392" t="n"/>
      <c r="E3588" s="392" t="n"/>
      <c r="F3588" s="392" t="n"/>
      <c r="G3588" s="392" t="n">
        <v>30</v>
      </c>
      <c r="H3588" s="52">
        <f>H3587-G3588</f>
        <v/>
      </c>
      <c r="I3588" s="568" t="n"/>
      <c r="J3588" s="568" t="n"/>
      <c r="K3588" s="568" t="n"/>
      <c r="L3588" s="568" t="n"/>
    </row>
    <row r="3589">
      <c r="A3589" s="568" t="n">
        <v>45950</v>
      </c>
      <c r="B3589" s="392" t="n">
        <v>12238</v>
      </c>
      <c r="C3589" s="392" t="n">
        <v>84</v>
      </c>
      <c r="D3589" s="392" t="n"/>
      <c r="E3589" s="392" t="n"/>
      <c r="F3589" s="392" t="n"/>
      <c r="G3589" s="392" t="n">
        <v>20</v>
      </c>
      <c r="H3589" s="52">
        <f>H3588-G3589</f>
        <v/>
      </c>
      <c r="I3589" s="568" t="n"/>
      <c r="J3589" s="568" t="n"/>
      <c r="K3589" s="568" t="n"/>
      <c r="L3589" s="568" t="n"/>
    </row>
    <row r="3590">
      <c r="A3590" s="568" t="n">
        <v>45951</v>
      </c>
      <c r="B3590" s="392" t="n">
        <v>12241</v>
      </c>
      <c r="C3590" s="392" t="n">
        <v>80</v>
      </c>
      <c r="D3590" s="392" t="n"/>
      <c r="E3590" s="392" t="n"/>
      <c r="F3590" s="392" t="n"/>
      <c r="G3590" s="392" t="n">
        <v>20</v>
      </c>
      <c r="H3590" s="52">
        <f>H3589-G3590</f>
        <v/>
      </c>
      <c r="I3590" s="568" t="n"/>
      <c r="J3590" s="568" t="n"/>
      <c r="K3590" s="568" t="n"/>
      <c r="L3590" s="568" t="n"/>
    </row>
    <row r="3591">
      <c r="A3591" s="568" t="n">
        <v>45951</v>
      </c>
      <c r="B3591" s="392" t="n">
        <v>12244</v>
      </c>
      <c r="C3591" s="392" t="n">
        <v>80</v>
      </c>
      <c r="D3591" s="392" t="n"/>
      <c r="E3591" s="392" t="n"/>
      <c r="F3591" s="392" t="n"/>
      <c r="G3591" s="392" t="n">
        <v>10</v>
      </c>
      <c r="H3591" s="52">
        <f>H3590-G3591</f>
        <v/>
      </c>
      <c r="I3591" s="568" t="n"/>
      <c r="J3591" s="568" t="n"/>
      <c r="K3591" s="568" t="n"/>
      <c r="L3591" s="568" t="n"/>
    </row>
    <row r="3592">
      <c r="A3592" s="568" t="n">
        <v>45951</v>
      </c>
      <c r="B3592" s="392" t="n">
        <v>12245</v>
      </c>
      <c r="C3592" s="392" t="n">
        <v>80</v>
      </c>
      <c r="D3592" s="392" t="n"/>
      <c r="E3592" s="392" t="n"/>
      <c r="F3592" s="392" t="n"/>
      <c r="G3592" s="392" t="n">
        <v>10</v>
      </c>
      <c r="H3592" s="52">
        <f>H3591-G3592</f>
        <v/>
      </c>
      <c r="I3592" s="568" t="n"/>
      <c r="J3592" s="568" t="n"/>
      <c r="K3592" s="568" t="n"/>
      <c r="L3592" s="568" t="n"/>
    </row>
    <row r="3593">
      <c r="A3593" s="568" t="n">
        <v>45951</v>
      </c>
      <c r="B3593" s="392" t="n">
        <v>12246</v>
      </c>
      <c r="C3593" s="392" t="n">
        <v>77</v>
      </c>
      <c r="D3593" s="392" t="n"/>
      <c r="E3593" s="392" t="n"/>
      <c r="F3593" s="392" t="n"/>
      <c r="G3593" s="392" t="n">
        <v>100</v>
      </c>
      <c r="H3593" s="52">
        <f>H3592-G3593</f>
        <v/>
      </c>
      <c r="I3593" s="568" t="n"/>
      <c r="J3593" s="568" t="n"/>
      <c r="K3593" s="568" t="n"/>
      <c r="L3593" s="568" t="n"/>
    </row>
    <row r="3594">
      <c r="A3594" s="568" t="n">
        <v>45957</v>
      </c>
      <c r="B3594" s="392" t="n">
        <v>12253</v>
      </c>
      <c r="C3594" s="392" t="n">
        <v>80</v>
      </c>
      <c r="D3594" s="392" t="n"/>
      <c r="E3594" s="392" t="n"/>
      <c r="F3594" s="392" t="n"/>
      <c r="G3594" s="392" t="n">
        <v>30</v>
      </c>
      <c r="H3594" s="52">
        <f>H3593-G3594</f>
        <v/>
      </c>
      <c r="I3594" s="568" t="n"/>
      <c r="J3594" s="568" t="n"/>
      <c r="K3594" s="568" t="n"/>
      <c r="L3594" s="568" t="n"/>
    </row>
    <row r="3595">
      <c r="A3595" s="568" t="n">
        <v>45957</v>
      </c>
      <c r="B3595" s="392" t="n">
        <v>12254</v>
      </c>
      <c r="C3595" s="392" t="n">
        <v>80</v>
      </c>
      <c r="D3595" s="392" t="n"/>
      <c r="E3595" s="392" t="n"/>
      <c r="F3595" s="392" t="n"/>
      <c r="G3595" s="392" t="n">
        <v>10</v>
      </c>
      <c r="H3595" s="52">
        <f>H3594-G3595</f>
        <v/>
      </c>
      <c r="I3595" s="568" t="n"/>
      <c r="J3595" s="568" t="n"/>
      <c r="K3595" s="568" t="n"/>
      <c r="L3595" s="568" t="n"/>
    </row>
    <row r="3596">
      <c r="A3596" s="568" t="n">
        <v>45957</v>
      </c>
      <c r="B3596" s="392" t="n">
        <v>12256</v>
      </c>
      <c r="C3596" s="392" t="n">
        <v>84.23999999999999</v>
      </c>
      <c r="D3596" s="392" t="n"/>
      <c r="E3596" s="392" t="n"/>
      <c r="F3596" s="392" t="n"/>
      <c r="G3596" s="392" t="n">
        <v>50</v>
      </c>
      <c r="H3596" s="52">
        <f>H3595-G3596</f>
        <v/>
      </c>
      <c r="I3596" s="568" t="n"/>
      <c r="J3596" s="568" t="n"/>
      <c r="K3596" s="568" t="n"/>
      <c r="L3596" s="568" t="n"/>
    </row>
    <row r="3597">
      <c r="A3597" s="568" t="n">
        <v>45957</v>
      </c>
      <c r="B3597" s="392" t="n">
        <v>12258</v>
      </c>
      <c r="C3597" s="392" t="n">
        <v>78</v>
      </c>
      <c r="D3597" s="392" t="n"/>
      <c r="E3597" s="392" t="n"/>
      <c r="F3597" s="392" t="n"/>
      <c r="G3597" s="392" t="n">
        <v>30</v>
      </c>
      <c r="H3597" s="52">
        <f>H3596-G3597</f>
        <v/>
      </c>
      <c r="I3597" s="568" t="n"/>
      <c r="J3597" s="568" t="n"/>
      <c r="K3597" s="568" t="n"/>
      <c r="L3597" s="568" t="n"/>
    </row>
    <row r="3598">
      <c r="A3598" s="568" t="n">
        <v>45959</v>
      </c>
      <c r="B3598" s="392" t="n">
        <v>12261</v>
      </c>
      <c r="C3598" s="392" t="n">
        <v>85</v>
      </c>
      <c r="D3598" s="392" t="n"/>
      <c r="E3598" s="392" t="n"/>
      <c r="F3598" s="392" t="n"/>
      <c r="G3598" s="392" t="n">
        <v>20</v>
      </c>
      <c r="H3598" s="52">
        <f>H3597-G3598</f>
        <v/>
      </c>
      <c r="I3598" s="568" t="n"/>
      <c r="J3598" s="568" t="n"/>
      <c r="K3598" s="568" t="n"/>
      <c r="L3598" s="568" t="n"/>
    </row>
    <row r="3599">
      <c r="A3599" s="568" t="n">
        <v>45959</v>
      </c>
      <c r="B3599" s="392" t="n">
        <v>12264</v>
      </c>
      <c r="C3599" s="392" t="n">
        <v>80</v>
      </c>
      <c r="D3599" s="392" t="n"/>
      <c r="E3599" s="392" t="n"/>
      <c r="F3599" s="392" t="n"/>
      <c r="G3599" s="392" t="n">
        <v>51</v>
      </c>
      <c r="H3599" s="52">
        <f>H3598-G3599</f>
        <v/>
      </c>
      <c r="I3599" s="568" t="n"/>
      <c r="J3599" s="568" t="n"/>
      <c r="K3599" s="568" t="n"/>
      <c r="L3599" s="568" t="n"/>
    </row>
    <row r="3600">
      <c r="A3600" s="568" t="n">
        <v>45944</v>
      </c>
      <c r="B3600" s="392" t="n">
        <v>12224</v>
      </c>
      <c r="C3600" s="392" t="n">
        <v>64</v>
      </c>
      <c r="D3600" s="392" t="n"/>
      <c r="E3600" s="392" t="n"/>
      <c r="F3600" s="392" t="n"/>
      <c r="G3600" s="392" t="n">
        <v>88</v>
      </c>
      <c r="H3600" s="52">
        <f>H3599-G3600</f>
        <v/>
      </c>
      <c r="I3600" s="568" t="n"/>
      <c r="J3600" s="568" t="n"/>
      <c r="K3600" s="568" t="n"/>
      <c r="L3600" s="568" t="n"/>
    </row>
    <row r="3601" ht="15.75" customHeight="1" s="436" thickBot="1">
      <c r="A3601" s="414" t="n"/>
      <c r="H3601" s="171" t="n"/>
      <c r="I3601" s="414" t="n"/>
      <c r="J3601" s="414" t="n"/>
      <c r="K3601" s="414" t="n"/>
      <c r="L3601" s="414" t="n"/>
    </row>
    <row r="3602" ht="21.75" customHeight="1" s="436" thickBot="1">
      <c r="A3602" s="757" t="inlineStr">
        <is>
          <t>Novembro</t>
        </is>
      </c>
      <c r="B3602" s="697" t="n"/>
      <c r="C3602" s="697" t="n"/>
      <c r="D3602" s="697" t="n"/>
      <c r="E3602" s="697" t="n"/>
      <c r="F3602" s="697" t="n"/>
      <c r="G3602" s="697" t="n"/>
      <c r="H3602" s="697" t="n"/>
      <c r="I3602" s="697" t="n"/>
      <c r="J3602" s="697" t="n"/>
      <c r="K3602" s="697" t="n"/>
      <c r="L3602" s="698" t="n"/>
    </row>
    <row r="3603" ht="21.75" customHeight="1" s="436" thickBot="1">
      <c r="A3603" s="699" t="inlineStr">
        <is>
          <t xml:space="preserve">021 - DENISE FURTADO DE SOUZA - ME </t>
        </is>
      </c>
      <c r="B3603" s="697" t="n"/>
      <c r="C3603" s="697" t="n"/>
      <c r="D3603" s="697" t="n"/>
      <c r="E3603" s="697" t="n"/>
      <c r="F3603" s="697" t="n"/>
      <c r="G3603" s="697" t="n"/>
      <c r="H3603" s="697" t="n"/>
      <c r="I3603" s="697" t="n"/>
      <c r="J3603" s="697" t="n"/>
      <c r="K3603" s="697" t="n"/>
      <c r="L3603" s="698" t="n"/>
    </row>
    <row r="3604" ht="24" customHeight="1" s="436" thickBot="1">
      <c r="A3604" s="759" t="inlineStr">
        <is>
          <t xml:space="preserve">  PRÉ MISTURA - 25 KG</t>
        </is>
      </c>
      <c r="B3604" s="697" t="n"/>
      <c r="C3604" s="697" t="n"/>
      <c r="D3604" s="697" t="n"/>
      <c r="E3604" s="697" t="n"/>
      <c r="F3604" s="697" t="n"/>
      <c r="G3604" s="697" t="n"/>
      <c r="H3604" s="697" t="n"/>
      <c r="I3604" s="697" t="n"/>
      <c r="J3604" s="697" t="n"/>
      <c r="K3604" s="697" t="n"/>
      <c r="L3604" s="698" t="n"/>
    </row>
    <row r="3605">
      <c r="A3605" s="3" t="inlineStr">
        <is>
          <t>DATA</t>
        </is>
      </c>
      <c r="B3605" s="3" t="inlineStr">
        <is>
          <t>N.F.</t>
        </is>
      </c>
      <c r="C3605" s="3" t="inlineStr">
        <is>
          <t>TIPO</t>
        </is>
      </c>
      <c r="D3605" s="3" t="inlineStr">
        <is>
          <t>PREÇO UNITÁRIO</t>
        </is>
      </c>
      <c r="E3605" s="736" t="n"/>
      <c r="F3605" s="3" t="inlineStr">
        <is>
          <t>QUANTIDADE / KG</t>
        </is>
      </c>
      <c r="G3605" s="737" t="n"/>
      <c r="H3605" s="736" t="n"/>
      <c r="I3605" s="631" t="inlineStr">
        <is>
          <t>PREÇO</t>
        </is>
      </c>
      <c r="J3605" s="631" t="inlineStr">
        <is>
          <t>VALORES</t>
        </is>
      </c>
      <c r="K3605" s="737" t="n"/>
      <c r="L3605" s="736" t="n"/>
    </row>
    <row r="3606" ht="15.75" customHeight="1" s="436" thickBot="1">
      <c r="A3606" s="704" t="n"/>
      <c r="B3606" s="704" t="n"/>
      <c r="C3606" s="704" t="n"/>
      <c r="D3606" s="703" t="n"/>
      <c r="E3606" s="701" t="n"/>
      <c r="F3606" s="705" t="n"/>
      <c r="G3606" s="706" t="n"/>
      <c r="H3606" s="707" t="n"/>
      <c r="I3606" s="704" t="n"/>
      <c r="J3606" s="703" t="n"/>
      <c r="L3606" s="701" t="n"/>
    </row>
    <row r="3607" ht="15.75" customHeight="1" s="436" thickBot="1">
      <c r="A3607" s="704" t="n"/>
      <c r="B3607" s="704" t="n"/>
      <c r="C3607" s="704" t="n"/>
      <c r="D3607" s="705" t="n"/>
      <c r="E3607" s="707" t="n"/>
      <c r="F3607" s="3" t="inlineStr">
        <is>
          <t>ENTRADA</t>
        </is>
      </c>
      <c r="G3607" s="3" t="inlineStr">
        <is>
          <t>SAÍDA</t>
        </is>
      </c>
      <c r="H3607" s="640" t="n"/>
      <c r="I3607" s="633" t="inlineStr">
        <is>
          <t>MÉDIO</t>
        </is>
      </c>
      <c r="J3607" s="739" t="inlineStr">
        <is>
          <t>SALDO EM 30/12/2017</t>
        </is>
      </c>
      <c r="K3607" s="707" t="n"/>
      <c r="L3607" s="17" t="n"/>
    </row>
    <row r="3608" ht="15.75" customHeight="1" s="436" thickBot="1">
      <c r="A3608" s="695" t="n"/>
      <c r="B3608" s="695" t="n"/>
      <c r="C3608" s="695" t="n"/>
      <c r="D3608" s="3" t="inlineStr">
        <is>
          <t>C/ICMS</t>
        </is>
      </c>
      <c r="E3608" s="3" t="inlineStr">
        <is>
          <t>S/ICMS</t>
        </is>
      </c>
      <c r="F3608" s="695" t="n"/>
      <c r="G3608" s="695" t="n"/>
      <c r="H3608" s="361" t="inlineStr">
        <is>
          <t>Saldo em 31/10/2024</t>
        </is>
      </c>
      <c r="I3608" s="695" t="n"/>
      <c r="J3608" s="645" t="inlineStr">
        <is>
          <t>ENTRADA</t>
        </is>
      </c>
      <c r="K3608" s="633" t="inlineStr">
        <is>
          <t>SAÍDA / CMV</t>
        </is>
      </c>
      <c r="L3608" s="633" t="inlineStr">
        <is>
          <t>SALDO</t>
        </is>
      </c>
    </row>
    <row r="3609">
      <c r="A3609" s="568" t="n"/>
      <c r="B3609" s="392" t="n"/>
      <c r="C3609" s="392" t="n"/>
      <c r="D3609" s="392" t="n"/>
      <c r="E3609" s="392" t="n"/>
      <c r="F3609" s="392" t="n"/>
      <c r="G3609" s="392" t="n"/>
      <c r="H3609" s="52" t="n">
        <v>1915</v>
      </c>
      <c r="I3609" s="568" t="n"/>
      <c r="J3609" s="568" t="n"/>
      <c r="K3609" s="568" t="n"/>
      <c r="L3609" s="392" t="n"/>
    </row>
    <row r="3610">
      <c r="A3610" s="568" t="n">
        <v>45963</v>
      </c>
      <c r="B3610" s="392" t="n">
        <v>12268</v>
      </c>
      <c r="C3610" s="392" t="n">
        <v>83.92</v>
      </c>
      <c r="D3610" s="392" t="n"/>
      <c r="E3610" s="392" t="n"/>
      <c r="F3610" s="392" t="n"/>
      <c r="G3610" s="392" t="n">
        <v>50</v>
      </c>
      <c r="H3610" s="52">
        <f>H3609-G3610</f>
        <v/>
      </c>
      <c r="I3610" s="568" t="n"/>
      <c r="J3610" s="568" t="n"/>
      <c r="K3610" s="568" t="n"/>
      <c r="L3610" s="568" t="n"/>
    </row>
    <row r="3611">
      <c r="A3611" s="304" t="n">
        <v>45964</v>
      </c>
      <c r="B3611" s="401" t="n">
        <v>297505</v>
      </c>
      <c r="C3611" s="401" t="n">
        <v>61</v>
      </c>
      <c r="D3611" s="401" t="n"/>
      <c r="E3611" s="401" t="n"/>
      <c r="F3611" s="401" t="n">
        <v>900</v>
      </c>
      <c r="G3611" s="401" t="n"/>
      <c r="H3611" s="277" t="n">
        <v>2765</v>
      </c>
      <c r="I3611" s="568" t="n"/>
      <c r="J3611" s="568" t="n"/>
      <c r="K3611" s="568" t="n"/>
      <c r="L3611" s="568" t="n"/>
    </row>
    <row r="3612">
      <c r="A3612" s="568" t="n">
        <v>45964</v>
      </c>
      <c r="B3612" s="392" t="n">
        <v>12275</v>
      </c>
      <c r="C3612" s="392" t="n">
        <v>78</v>
      </c>
      <c r="D3612" s="392" t="n"/>
      <c r="E3612" s="392" t="n"/>
      <c r="F3612" s="392" t="n"/>
      <c r="G3612" s="392" t="n">
        <v>30</v>
      </c>
      <c r="H3612" s="52">
        <f>H3611-G3612</f>
        <v/>
      </c>
      <c r="I3612" s="568" t="n"/>
      <c r="J3612" s="568" t="n"/>
      <c r="K3612" s="568" t="n"/>
      <c r="L3612" s="568" t="n"/>
    </row>
    <row r="3613">
      <c r="A3613" s="568" t="n">
        <v>45964</v>
      </c>
      <c r="B3613" s="392" t="n">
        <v>12276</v>
      </c>
      <c r="C3613" s="392" t="n">
        <v>78</v>
      </c>
      <c r="D3613" s="392" t="n"/>
      <c r="E3613" s="392" t="n"/>
      <c r="F3613" s="392" t="n"/>
      <c r="G3613" s="392" t="n">
        <v>10</v>
      </c>
      <c r="H3613" s="52">
        <f>H3612-G3613</f>
        <v/>
      </c>
      <c r="I3613" s="568" t="n"/>
      <c r="J3613" s="568" t="n"/>
      <c r="K3613" s="568" t="n"/>
      <c r="L3613" s="568" t="n"/>
    </row>
    <row r="3614">
      <c r="A3614" s="568" t="n">
        <v>45966</v>
      </c>
      <c r="B3614" s="392" t="n">
        <v>12277</v>
      </c>
      <c r="C3614" s="392" t="n">
        <v>78</v>
      </c>
      <c r="D3614" s="392" t="n"/>
      <c r="E3614" s="392" t="n"/>
      <c r="F3614" s="392" t="n"/>
      <c r="G3614" s="392" t="n">
        <v>10</v>
      </c>
      <c r="H3614" s="52">
        <f>H3613-G3614</f>
        <v/>
      </c>
      <c r="I3614" s="568" t="n"/>
      <c r="J3614" s="568" t="n"/>
      <c r="K3614" s="568" t="n"/>
      <c r="L3614" s="568" t="n"/>
    </row>
    <row r="3615">
      <c r="A3615" s="568" t="n">
        <v>45966</v>
      </c>
      <c r="B3615" s="392" t="n">
        <v>12278</v>
      </c>
      <c r="C3615" s="392" t="n">
        <v>78</v>
      </c>
      <c r="D3615" s="392" t="n"/>
      <c r="E3615" s="392" t="n"/>
      <c r="F3615" s="392" t="n"/>
      <c r="G3615" s="392" t="n">
        <v>30</v>
      </c>
      <c r="H3615" s="52">
        <f>H3614-G3615</f>
        <v/>
      </c>
      <c r="I3615" s="568" t="n"/>
      <c r="J3615" s="568" t="n"/>
      <c r="K3615" s="568" t="n"/>
      <c r="L3615" s="568" t="n"/>
    </row>
    <row r="3616">
      <c r="A3616" s="568" t="n">
        <v>45966</v>
      </c>
      <c r="B3616" s="392" t="n">
        <v>12279</v>
      </c>
      <c r="C3616" s="392" t="n">
        <v>81.2</v>
      </c>
      <c r="D3616" s="392" t="n"/>
      <c r="E3616" s="392" t="n"/>
      <c r="F3616" s="392" t="n"/>
      <c r="G3616" s="392" t="n">
        <v>50</v>
      </c>
      <c r="H3616" s="52">
        <f>H3615-G3616</f>
        <v/>
      </c>
      <c r="I3616" s="568" t="n"/>
      <c r="J3616" s="568" t="n"/>
      <c r="K3616" s="568" t="n"/>
      <c r="L3616" s="568" t="n"/>
    </row>
    <row r="3617">
      <c r="A3617" s="568" t="n">
        <v>45971</v>
      </c>
      <c r="B3617" s="392" t="n">
        <v>12280</v>
      </c>
      <c r="C3617" s="392" t="n">
        <v>83</v>
      </c>
      <c r="D3617" s="392" t="n"/>
      <c r="E3617" s="392" t="n"/>
      <c r="F3617" s="392" t="n"/>
      <c r="G3617" s="392" t="n">
        <v>20</v>
      </c>
      <c r="H3617" s="52">
        <f>H3616-G3617</f>
        <v/>
      </c>
      <c r="I3617" s="568" t="n"/>
      <c r="J3617" s="568" t="n"/>
      <c r="K3617" s="568" t="n"/>
      <c r="L3617" s="568" t="n"/>
    </row>
    <row r="3618">
      <c r="A3618" s="568" t="n">
        <v>45971</v>
      </c>
      <c r="B3618" s="392" t="n">
        <v>12285</v>
      </c>
      <c r="C3618" s="392" t="n">
        <v>79</v>
      </c>
      <c r="D3618" s="392" t="n"/>
      <c r="E3618" s="392" t="n"/>
      <c r="F3618" s="392" t="n"/>
      <c r="G3618" s="392" t="n">
        <v>20</v>
      </c>
      <c r="H3618" s="52">
        <f>H3617-G3618</f>
        <v/>
      </c>
      <c r="I3618" s="568" t="n"/>
      <c r="J3618" s="568" t="n"/>
      <c r="K3618" s="568" t="n"/>
      <c r="L3618" s="568" t="n"/>
    </row>
    <row r="3619">
      <c r="A3619" s="568" t="n">
        <v>45972</v>
      </c>
      <c r="B3619" s="392" t="n">
        <v>12289</v>
      </c>
      <c r="C3619" s="392" t="n">
        <v>78</v>
      </c>
      <c r="D3619" s="392" t="n"/>
      <c r="E3619" s="392" t="n"/>
      <c r="F3619" s="392" t="n"/>
      <c r="G3619" s="392" t="n">
        <v>30</v>
      </c>
      <c r="H3619" s="52">
        <f>H3618-G3619</f>
        <v/>
      </c>
      <c r="I3619" s="568" t="n"/>
      <c r="J3619" s="568" t="n"/>
      <c r="K3619" s="568" t="n"/>
      <c r="L3619" s="568" t="n"/>
    </row>
    <row r="3620">
      <c r="A3620" s="568" t="n">
        <v>45972</v>
      </c>
      <c r="B3620" s="392" t="n">
        <v>12290</v>
      </c>
      <c r="C3620" s="392" t="n">
        <v>78</v>
      </c>
      <c r="D3620" s="392" t="n"/>
      <c r="E3620" s="392" t="n"/>
      <c r="F3620" s="392" t="n"/>
      <c r="G3620" s="392" t="n">
        <v>10</v>
      </c>
      <c r="H3620" s="52">
        <f>H3619-G3620</f>
        <v/>
      </c>
      <c r="I3620" s="568" t="n"/>
      <c r="J3620" s="568" t="n"/>
      <c r="K3620" s="568" t="n"/>
      <c r="L3620" s="568" t="n"/>
    </row>
    <row r="3621">
      <c r="A3621" s="568" t="n">
        <v>45972</v>
      </c>
      <c r="B3621" s="392" t="n">
        <v>12291</v>
      </c>
      <c r="C3621" s="392" t="n">
        <v>78</v>
      </c>
      <c r="D3621" s="392" t="n"/>
      <c r="E3621" s="392" t="n"/>
      <c r="F3621" s="392" t="n"/>
      <c r="G3621" s="392" t="n">
        <v>10</v>
      </c>
      <c r="H3621" s="52">
        <f>H3620-G3621</f>
        <v/>
      </c>
      <c r="I3621" s="568" t="n"/>
      <c r="J3621" s="568" t="n"/>
      <c r="K3621" s="568" t="n"/>
      <c r="L3621" s="568" t="n"/>
    </row>
    <row r="3622">
      <c r="A3622" s="568" t="n">
        <v>45972</v>
      </c>
      <c r="B3622" s="392" t="n">
        <v>12292</v>
      </c>
      <c r="C3622" s="392" t="n">
        <v>78</v>
      </c>
      <c r="D3622" s="392" t="n"/>
      <c r="E3622" s="392" t="n"/>
      <c r="F3622" s="392" t="n"/>
      <c r="G3622" s="392" t="n">
        <v>20</v>
      </c>
      <c r="H3622" s="52">
        <f>H3621-G3622</f>
        <v/>
      </c>
      <c r="I3622" s="568" t="n"/>
      <c r="J3622" s="568" t="n"/>
      <c r="K3622" s="568" t="n"/>
      <c r="L3622" s="568" t="n"/>
    </row>
    <row r="3623">
      <c r="A3623" s="568" t="n">
        <v>45972</v>
      </c>
      <c r="B3623" s="392" t="n">
        <v>12293</v>
      </c>
      <c r="C3623" s="392" t="n">
        <v>78</v>
      </c>
      <c r="D3623" s="392" t="n"/>
      <c r="E3623" s="392" t="n"/>
      <c r="F3623" s="392" t="n"/>
      <c r="G3623" s="392" t="n">
        <v>11</v>
      </c>
      <c r="H3623" s="52">
        <f>H3622-G3623</f>
        <v/>
      </c>
      <c r="I3623" s="568" t="n"/>
      <c r="J3623" s="568" t="n"/>
      <c r="K3623" s="568" t="n"/>
      <c r="L3623" s="568" t="n"/>
    </row>
    <row r="3624">
      <c r="A3624" s="568" t="n">
        <v>45979</v>
      </c>
      <c r="B3624" s="392" t="n">
        <v>12300</v>
      </c>
      <c r="C3624" s="392" t="n">
        <v>80.34</v>
      </c>
      <c r="D3624" s="392" t="n"/>
      <c r="E3624" s="392" t="n"/>
      <c r="F3624" s="392" t="n"/>
      <c r="G3624" s="392" t="n">
        <v>60</v>
      </c>
      <c r="H3624" s="52">
        <f>H3623-G3624</f>
        <v/>
      </c>
      <c r="I3624" s="568" t="n"/>
      <c r="J3624" s="568" t="n"/>
      <c r="K3624" s="568" t="n"/>
      <c r="L3624" s="568" t="n"/>
    </row>
    <row r="3625">
      <c r="A3625" s="568" t="n">
        <v>45979</v>
      </c>
      <c r="B3625" s="392" t="n">
        <v>12301</v>
      </c>
      <c r="C3625" s="392" t="n">
        <v>80</v>
      </c>
      <c r="D3625" s="392" t="n"/>
      <c r="E3625" s="392" t="n"/>
      <c r="F3625" s="392" t="n"/>
      <c r="G3625" s="392" t="n">
        <v>20</v>
      </c>
      <c r="H3625" s="52">
        <f>H3624-G3625</f>
        <v/>
      </c>
      <c r="I3625" s="568" t="n"/>
      <c r="J3625" s="568" t="n"/>
      <c r="K3625" s="568" t="n"/>
      <c r="L3625" s="568" t="n"/>
    </row>
    <row r="3626">
      <c r="A3626" s="568" t="n">
        <v>45979</v>
      </c>
      <c r="B3626" s="392" t="n">
        <v>12302</v>
      </c>
      <c r="C3626" s="392" t="n">
        <v>76</v>
      </c>
      <c r="D3626" s="392" t="n"/>
      <c r="E3626" s="392" t="n"/>
      <c r="F3626" s="392" t="n"/>
      <c r="G3626" s="392" t="n">
        <v>100</v>
      </c>
      <c r="H3626" s="52">
        <f>H3625-G3626</f>
        <v/>
      </c>
      <c r="I3626" s="568" t="n"/>
      <c r="J3626" s="568" t="n"/>
      <c r="K3626" s="568" t="n"/>
      <c r="L3626" s="568" t="n"/>
    </row>
    <row r="3627">
      <c r="A3627" s="568" t="n">
        <v>45979</v>
      </c>
      <c r="B3627" s="392" t="n">
        <v>12303</v>
      </c>
      <c r="C3627" s="392" t="n">
        <v>78</v>
      </c>
      <c r="D3627" s="392" t="n"/>
      <c r="E3627" s="392" t="n"/>
      <c r="F3627" s="392" t="n"/>
      <c r="G3627" s="392" t="n">
        <v>30</v>
      </c>
      <c r="H3627" s="52">
        <f>H3626-G3627</f>
        <v/>
      </c>
      <c r="I3627" s="568" t="n"/>
      <c r="J3627" s="568" t="n"/>
      <c r="K3627" s="568" t="n"/>
      <c r="L3627" s="568" t="n"/>
    </row>
    <row r="3628">
      <c r="A3628" s="568" t="n">
        <v>45979</v>
      </c>
      <c r="B3628" s="392" t="n">
        <v>12304</v>
      </c>
      <c r="C3628" s="392" t="n">
        <v>78</v>
      </c>
      <c r="D3628" s="392" t="n"/>
      <c r="E3628" s="392" t="n"/>
      <c r="F3628" s="392" t="n"/>
      <c r="G3628" s="392" t="n">
        <v>10</v>
      </c>
      <c r="H3628" s="52">
        <f>H3627-G3628</f>
        <v/>
      </c>
      <c r="I3628" s="568" t="n"/>
      <c r="J3628" s="568" t="n"/>
      <c r="K3628" s="568" t="n"/>
      <c r="L3628" s="568" t="n"/>
    </row>
    <row r="3629">
      <c r="A3629" s="568" t="n">
        <v>45979</v>
      </c>
      <c r="B3629" s="392" t="n">
        <v>12305</v>
      </c>
      <c r="C3629" s="392" t="n">
        <v>78</v>
      </c>
      <c r="D3629" s="392" t="n"/>
      <c r="E3629" s="392" t="n"/>
      <c r="F3629" s="392" t="n"/>
      <c r="G3629" s="392" t="n">
        <v>10</v>
      </c>
      <c r="H3629" s="52">
        <f>H3628-G3629</f>
        <v/>
      </c>
      <c r="I3629" s="568" t="n"/>
      <c r="J3629" s="568" t="n"/>
      <c r="K3629" s="568" t="n"/>
      <c r="L3629" s="568" t="n"/>
    </row>
    <row r="3630">
      <c r="A3630" s="568" t="n">
        <v>45985</v>
      </c>
      <c r="B3630" s="392" t="n">
        <v>12313</v>
      </c>
      <c r="C3630" s="392" t="n">
        <v>84.43000000000001</v>
      </c>
      <c r="D3630" s="392" t="n"/>
      <c r="E3630" s="392" t="n"/>
      <c r="F3630" s="392" t="n"/>
      <c r="G3630" s="392" t="n">
        <v>30</v>
      </c>
      <c r="H3630" s="52">
        <f>H3629-G3630</f>
        <v/>
      </c>
      <c r="I3630" s="568" t="n"/>
      <c r="J3630" s="568" t="n"/>
      <c r="K3630" s="568" t="n"/>
      <c r="L3630" s="568" t="n"/>
    </row>
    <row r="3631">
      <c r="A3631" s="568" t="n">
        <v>45985</v>
      </c>
      <c r="B3631" s="392" t="n">
        <v>12320</v>
      </c>
      <c r="C3631" s="392" t="n">
        <v>78</v>
      </c>
      <c r="D3631" s="392" t="n"/>
      <c r="E3631" s="392" t="n"/>
      <c r="F3631" s="392" t="n"/>
      <c r="G3631" s="392" t="n">
        <v>11</v>
      </c>
      <c r="H3631" s="52">
        <f>H3630-G3631</f>
        <v/>
      </c>
      <c r="I3631" s="568" t="n"/>
      <c r="J3631" s="568" t="n"/>
      <c r="K3631" s="568" t="n"/>
      <c r="L3631" s="568" t="n"/>
    </row>
    <row r="3632">
      <c r="A3632" s="568" t="n">
        <v>45986</v>
      </c>
      <c r="B3632" s="392" t="n">
        <v>12321</v>
      </c>
      <c r="C3632" s="392" t="n">
        <v>80</v>
      </c>
      <c r="D3632" s="392" t="n"/>
      <c r="E3632" s="392" t="n"/>
      <c r="F3632" s="392" t="n"/>
      <c r="G3632" s="392" t="n">
        <v>50</v>
      </c>
      <c r="H3632" s="52">
        <f>H3631-G3632</f>
        <v/>
      </c>
      <c r="I3632" s="568" t="n"/>
      <c r="J3632" s="568" t="n"/>
      <c r="K3632" s="568" t="n"/>
      <c r="L3632" s="568" t="n"/>
    </row>
    <row r="3633">
      <c r="A3633" s="568" t="n">
        <v>45987</v>
      </c>
      <c r="B3633" s="392" t="n">
        <v>12325</v>
      </c>
      <c r="C3633" s="392" t="n">
        <v>75</v>
      </c>
      <c r="D3633" s="392" t="n"/>
      <c r="E3633" s="392" t="n"/>
      <c r="F3633" s="392" t="n"/>
      <c r="G3633" s="392" t="n">
        <v>15</v>
      </c>
      <c r="H3633" s="52">
        <f>H3632-G3633</f>
        <v/>
      </c>
      <c r="I3633" s="568" t="n"/>
      <c r="J3633" s="568" t="n"/>
      <c r="K3633" s="568" t="n"/>
      <c r="L3633" s="568" t="n"/>
    </row>
    <row r="3634" ht="15.75" customHeight="1" s="436" thickBot="1">
      <c r="A3634" s="414" t="n"/>
      <c r="H3634" s="171" t="n"/>
      <c r="I3634" s="414" t="n"/>
      <c r="J3634" s="414" t="n"/>
      <c r="K3634" s="414" t="n"/>
      <c r="L3634" s="414" t="n"/>
    </row>
    <row r="3635" ht="21.75" customHeight="1" s="436" thickBot="1">
      <c r="A3635" s="757" t="inlineStr">
        <is>
          <t>Dezembro</t>
        </is>
      </c>
      <c r="B3635" s="697" t="n"/>
      <c r="C3635" s="697" t="n"/>
      <c r="D3635" s="697" t="n"/>
      <c r="E3635" s="697" t="n"/>
      <c r="F3635" s="697" t="n"/>
      <c r="G3635" s="697" t="n"/>
      <c r="H3635" s="697" t="n"/>
      <c r="I3635" s="697" t="n"/>
      <c r="J3635" s="697" t="n"/>
      <c r="K3635" s="697" t="n"/>
      <c r="L3635" s="698" t="n"/>
    </row>
    <row r="3636" ht="21.75" customHeight="1" s="436" thickBot="1">
      <c r="A3636" s="699" t="inlineStr">
        <is>
          <t xml:space="preserve">021 - DENISE FURTADO DE SOUZA - ME </t>
        </is>
      </c>
      <c r="B3636" s="697" t="n"/>
      <c r="C3636" s="697" t="n"/>
      <c r="D3636" s="697" t="n"/>
      <c r="E3636" s="697" t="n"/>
      <c r="F3636" s="697" t="n"/>
      <c r="G3636" s="697" t="n"/>
      <c r="H3636" s="697" t="n"/>
      <c r="I3636" s="697" t="n"/>
      <c r="J3636" s="697" t="n"/>
      <c r="K3636" s="697" t="n"/>
      <c r="L3636" s="698" t="n"/>
    </row>
    <row r="3637" ht="24" customHeight="1" s="436" thickBot="1">
      <c r="A3637" s="759" t="inlineStr">
        <is>
          <t xml:space="preserve">  PRÉ MISTURA - 25 KG</t>
        </is>
      </c>
      <c r="B3637" s="697" t="n"/>
      <c r="C3637" s="697" t="n"/>
      <c r="D3637" s="697" t="n"/>
      <c r="E3637" s="697" t="n"/>
      <c r="F3637" s="697" t="n"/>
      <c r="G3637" s="697" t="n"/>
      <c r="H3637" s="697" t="n"/>
      <c r="I3637" s="697" t="n"/>
      <c r="J3637" s="697" t="n"/>
      <c r="K3637" s="697" t="n"/>
      <c r="L3637" s="698" t="n"/>
    </row>
    <row r="3638">
      <c r="A3638" s="3" t="inlineStr">
        <is>
          <t>DATA</t>
        </is>
      </c>
      <c r="B3638" s="3" t="inlineStr">
        <is>
          <t>N.F.</t>
        </is>
      </c>
      <c r="C3638" s="3" t="inlineStr">
        <is>
          <t>TIPO</t>
        </is>
      </c>
      <c r="D3638" s="3" t="inlineStr">
        <is>
          <t>PREÇO UNITÁRIO</t>
        </is>
      </c>
      <c r="E3638" s="736" t="n"/>
      <c r="F3638" s="3" t="inlineStr">
        <is>
          <t>QUANTIDADE / KG</t>
        </is>
      </c>
      <c r="G3638" s="737" t="n"/>
      <c r="H3638" s="736" t="n"/>
      <c r="I3638" s="631" t="inlineStr">
        <is>
          <t>PREÇO</t>
        </is>
      </c>
      <c r="J3638" s="631" t="inlineStr">
        <is>
          <t>VALORES</t>
        </is>
      </c>
      <c r="K3638" s="737" t="n"/>
      <c r="L3638" s="736" t="n"/>
    </row>
    <row r="3639" ht="15.75" customHeight="1" s="436" thickBot="1">
      <c r="A3639" s="704" t="n"/>
      <c r="B3639" s="704" t="n"/>
      <c r="C3639" s="704" t="n"/>
      <c r="D3639" s="703" t="n"/>
      <c r="E3639" s="701" t="n"/>
      <c r="F3639" s="705" t="n"/>
      <c r="G3639" s="706" t="n"/>
      <c r="H3639" s="707" t="n"/>
      <c r="I3639" s="704" t="n"/>
      <c r="J3639" s="703" t="n"/>
      <c r="L3639" s="701" t="n"/>
    </row>
    <row r="3640" ht="15.75" customHeight="1" s="436" thickBot="1">
      <c r="A3640" s="704" t="n"/>
      <c r="B3640" s="704" t="n"/>
      <c r="C3640" s="704" t="n"/>
      <c r="D3640" s="705" t="n"/>
      <c r="E3640" s="707" t="n"/>
      <c r="F3640" s="3" t="inlineStr">
        <is>
          <t>ENTRADA</t>
        </is>
      </c>
      <c r="G3640" s="3" t="inlineStr">
        <is>
          <t>SAÍDA</t>
        </is>
      </c>
      <c r="H3640" s="640" t="n"/>
      <c r="I3640" s="633" t="inlineStr">
        <is>
          <t>MÉDIO</t>
        </is>
      </c>
      <c r="J3640" s="739" t="inlineStr">
        <is>
          <t>SALDO EM 30/12/2017</t>
        </is>
      </c>
      <c r="K3640" s="707" t="n"/>
      <c r="L3640" s="17" t="n"/>
    </row>
    <row r="3641" ht="15.75" customHeight="1" s="436" thickBot="1">
      <c r="A3641" s="695" t="n"/>
      <c r="B3641" s="695" t="n"/>
      <c r="C3641" s="695" t="n"/>
      <c r="D3641" s="3" t="inlineStr">
        <is>
          <t>C/ICMS</t>
        </is>
      </c>
      <c r="E3641" s="3" t="inlineStr">
        <is>
          <t>S/ICMS</t>
        </is>
      </c>
      <c r="F3641" s="695" t="n"/>
      <c r="G3641" s="695" t="n"/>
      <c r="H3641" s="361" t="inlineStr">
        <is>
          <t>Saldo em 30/11/2024</t>
        </is>
      </c>
      <c r="I3641" s="695" t="n"/>
      <c r="J3641" s="645" t="inlineStr">
        <is>
          <t>ENTRADA</t>
        </is>
      </c>
      <c r="K3641" s="633" t="inlineStr">
        <is>
          <t>SAÍDA / CMV</t>
        </is>
      </c>
      <c r="L3641" s="633" t="inlineStr">
        <is>
          <t>SALDO</t>
        </is>
      </c>
    </row>
    <row r="3642">
      <c r="A3642" s="568" t="n"/>
      <c r="B3642" s="392" t="n"/>
      <c r="C3642" s="392" t="n"/>
      <c r="D3642" s="392" t="n"/>
      <c r="E3642" s="392" t="n"/>
      <c r="F3642" s="392" t="n"/>
      <c r="G3642" s="392" t="n"/>
      <c r="H3642" s="52" t="n">
        <v>2178</v>
      </c>
      <c r="I3642" s="568" t="n"/>
      <c r="J3642" s="568" t="n"/>
      <c r="K3642" s="568" t="n"/>
      <c r="L3642" s="392" t="n"/>
    </row>
    <row r="3643">
      <c r="A3643" s="568" t="n">
        <v>45992</v>
      </c>
      <c r="B3643" s="392" t="n">
        <v>12330</v>
      </c>
      <c r="C3643" s="392" t="n">
        <v>78</v>
      </c>
      <c r="D3643" s="392" t="n"/>
      <c r="E3643" s="392" t="n"/>
      <c r="F3643" s="392" t="n"/>
      <c r="G3643" s="392" t="n">
        <v>30</v>
      </c>
      <c r="H3643" s="52">
        <f>H3642-G3643</f>
        <v/>
      </c>
      <c r="I3643" s="568" t="n"/>
      <c r="J3643" s="568" t="n"/>
      <c r="K3643" s="568" t="n"/>
      <c r="L3643" s="568" t="n"/>
    </row>
    <row r="3644">
      <c r="A3644" s="568" t="n">
        <v>45992</v>
      </c>
      <c r="B3644" s="392" t="n">
        <v>12332</v>
      </c>
      <c r="C3644" s="392" t="n">
        <v>83</v>
      </c>
      <c r="D3644" s="392" t="n"/>
      <c r="E3644" s="392" t="n"/>
      <c r="F3644" s="392" t="n"/>
      <c r="G3644" s="392" t="n">
        <v>100</v>
      </c>
      <c r="H3644" s="52">
        <f>H3643-G3644</f>
        <v/>
      </c>
      <c r="I3644" s="568" t="n"/>
      <c r="J3644" s="568" t="n"/>
      <c r="K3644" s="568" t="n"/>
      <c r="L3644" s="568" t="n"/>
    </row>
    <row r="3645">
      <c r="A3645" s="568" t="n">
        <v>45992</v>
      </c>
      <c r="B3645" s="392" t="n">
        <v>12333</v>
      </c>
      <c r="C3645" s="392" t="n">
        <v>83.81999999999999</v>
      </c>
      <c r="D3645" s="392" t="n"/>
      <c r="E3645" s="392" t="n"/>
      <c r="F3645" s="392" t="n"/>
      <c r="G3645" s="392" t="n">
        <v>22</v>
      </c>
      <c r="H3645" s="52">
        <f>H3644-G3645</f>
        <v/>
      </c>
      <c r="I3645" s="568" t="n"/>
      <c r="J3645" s="568" t="n"/>
      <c r="K3645" s="568" t="n"/>
      <c r="L3645" s="568" t="n"/>
    </row>
    <row r="3646">
      <c r="A3646" s="568" t="n">
        <v>45993</v>
      </c>
      <c r="B3646" s="392" t="n">
        <v>12334</v>
      </c>
      <c r="C3646" s="392" t="n">
        <v>78</v>
      </c>
      <c r="D3646" s="392" t="n"/>
      <c r="E3646" s="392" t="n"/>
      <c r="F3646" s="392" t="n"/>
      <c r="G3646" s="392" t="n">
        <v>10</v>
      </c>
      <c r="H3646" s="52">
        <f>H3645-G3646</f>
        <v/>
      </c>
      <c r="I3646" s="568" t="n"/>
      <c r="J3646" s="568" t="n"/>
      <c r="K3646" s="568" t="n"/>
      <c r="L3646" s="568" t="n"/>
    </row>
    <row r="3647">
      <c r="A3647" s="568" t="n">
        <v>45993</v>
      </c>
      <c r="B3647" s="392" t="n">
        <v>12336</v>
      </c>
      <c r="C3647" s="392" t="n">
        <v>82.8</v>
      </c>
      <c r="D3647" s="392" t="n"/>
      <c r="E3647" s="392" t="n"/>
      <c r="F3647" s="392" t="n"/>
      <c r="G3647" s="392" t="n">
        <v>50</v>
      </c>
      <c r="H3647" s="52">
        <f>H3646-G3647</f>
        <v/>
      </c>
      <c r="I3647" s="568" t="n"/>
      <c r="J3647" s="568" t="n"/>
      <c r="K3647" s="568" t="n"/>
      <c r="L3647" s="568" t="n"/>
    </row>
    <row r="3648">
      <c r="A3648" s="568" t="n">
        <v>45994</v>
      </c>
      <c r="B3648" s="392" t="n">
        <v>12337</v>
      </c>
      <c r="C3648" s="392" t="n">
        <v>78</v>
      </c>
      <c r="D3648" s="392" t="n"/>
      <c r="E3648" s="392" t="n"/>
      <c r="F3648" s="392" t="n"/>
      <c r="G3648" s="392" t="n">
        <v>10</v>
      </c>
      <c r="H3648" s="52">
        <f>H3647-G3648</f>
        <v/>
      </c>
      <c r="I3648" s="568" t="n"/>
      <c r="J3648" s="568" t="n"/>
      <c r="K3648" s="568" t="n"/>
      <c r="L3648" s="568" t="n"/>
    </row>
    <row r="3649">
      <c r="A3649" s="568" t="n">
        <v>45999</v>
      </c>
      <c r="B3649" s="392" t="n">
        <v>12341</v>
      </c>
      <c r="C3649" s="392" t="n">
        <v>75</v>
      </c>
      <c r="D3649" s="392" t="n"/>
      <c r="E3649" s="392" t="n"/>
      <c r="F3649" s="392" t="n"/>
      <c r="G3649" s="392" t="n">
        <v>100</v>
      </c>
      <c r="H3649" s="52">
        <f>H3648-G3649</f>
        <v/>
      </c>
      <c r="I3649" s="568" t="n"/>
      <c r="J3649" s="568" t="n"/>
      <c r="K3649" s="568" t="n"/>
      <c r="L3649" s="568" t="n"/>
    </row>
    <row r="3650">
      <c r="A3650" s="568" t="n">
        <v>45999</v>
      </c>
      <c r="B3650" s="392" t="n">
        <v>12342</v>
      </c>
      <c r="C3650" s="392" t="n">
        <v>79.25</v>
      </c>
      <c r="D3650" s="392" t="n"/>
      <c r="E3650" s="392" t="n"/>
      <c r="F3650" s="392" t="n"/>
      <c r="G3650" s="392" t="n">
        <v>12</v>
      </c>
      <c r="H3650" s="52">
        <f>H3649-G3650</f>
        <v/>
      </c>
      <c r="I3650" s="568" t="n"/>
      <c r="J3650" s="568" t="n"/>
      <c r="K3650" s="568" t="n"/>
      <c r="L3650" s="568" t="n"/>
    </row>
    <row r="3651">
      <c r="A3651" s="568" t="n">
        <v>45999</v>
      </c>
      <c r="B3651" s="392" t="n">
        <v>12344</v>
      </c>
      <c r="C3651" s="392" t="n">
        <v>78.5</v>
      </c>
      <c r="D3651" s="392" t="n"/>
      <c r="E3651" s="392" t="n"/>
      <c r="F3651" s="392" t="n"/>
      <c r="G3651" s="392" t="n">
        <v>10</v>
      </c>
      <c r="H3651" s="52">
        <f>H3650-G3651</f>
        <v/>
      </c>
      <c r="I3651" s="568" t="n"/>
      <c r="J3651" s="568" t="n"/>
      <c r="K3651" s="568" t="n"/>
      <c r="L3651" s="568" t="n"/>
    </row>
    <row r="3652">
      <c r="A3652" s="304" t="n">
        <v>46365</v>
      </c>
      <c r="B3652" s="401" t="n">
        <v>300083</v>
      </c>
      <c r="C3652" s="401" t="n">
        <v>59.59</v>
      </c>
      <c r="D3652" s="401" t="n"/>
      <c r="E3652" s="401" t="n"/>
      <c r="F3652" s="401" t="n">
        <v>1280</v>
      </c>
      <c r="G3652" s="401" t="n"/>
      <c r="H3652" s="277" t="n">
        <v>3114</v>
      </c>
      <c r="I3652" s="568" t="n"/>
      <c r="J3652" s="568" t="n"/>
      <c r="K3652" s="568" t="n"/>
      <c r="L3652" s="568" t="n"/>
    </row>
    <row r="3653">
      <c r="A3653" s="568" t="n">
        <v>46001</v>
      </c>
      <c r="B3653" s="392" t="n">
        <v>12346</v>
      </c>
      <c r="C3653" s="392" t="n">
        <v>78</v>
      </c>
      <c r="D3653" s="392" t="n"/>
      <c r="E3653" s="392" t="n"/>
      <c r="F3653" s="392" t="n"/>
      <c r="G3653" s="392" t="n">
        <v>10</v>
      </c>
      <c r="H3653" s="52">
        <f>H3652-G3653</f>
        <v/>
      </c>
      <c r="I3653" s="568" t="n"/>
      <c r="J3653" s="568" t="n"/>
      <c r="K3653" s="568" t="n"/>
      <c r="L3653" s="568" t="n"/>
    </row>
    <row r="3654">
      <c r="A3654" s="568" t="n">
        <v>46001</v>
      </c>
      <c r="B3654" s="392" t="n">
        <v>12349</v>
      </c>
      <c r="C3654" s="392" t="n">
        <v>78</v>
      </c>
      <c r="D3654" s="392" t="n"/>
      <c r="E3654" s="392" t="n"/>
      <c r="F3654" s="392" t="n"/>
      <c r="G3654" s="392" t="n">
        <v>10</v>
      </c>
      <c r="H3654" s="52">
        <f>H3653-G3654</f>
        <v/>
      </c>
      <c r="I3654" s="568" t="n"/>
      <c r="J3654" s="568" t="n"/>
      <c r="K3654" s="568" t="n"/>
      <c r="L3654" s="568" t="n"/>
    </row>
    <row r="3655">
      <c r="A3655" s="568" t="n">
        <v>46001</v>
      </c>
      <c r="B3655" s="392" t="n">
        <v>12352</v>
      </c>
      <c r="C3655" s="392" t="n">
        <v>78</v>
      </c>
      <c r="D3655" s="392" t="n"/>
      <c r="E3655" s="392" t="n"/>
      <c r="F3655" s="392" t="n"/>
      <c r="G3655" s="392" t="n">
        <v>30</v>
      </c>
      <c r="H3655" s="52">
        <f>H3654-G3655</f>
        <v/>
      </c>
      <c r="I3655" s="568" t="n"/>
      <c r="J3655" s="568" t="n"/>
      <c r="K3655" s="568" t="n"/>
      <c r="L3655" s="568" t="n"/>
    </row>
    <row r="3656">
      <c r="A3656" s="568" t="n">
        <v>46006</v>
      </c>
      <c r="B3656" s="392" t="n">
        <v>12355</v>
      </c>
      <c r="C3656" s="392" t="n">
        <v>80.53</v>
      </c>
      <c r="D3656" s="392" t="n"/>
      <c r="E3656" s="392" t="n"/>
      <c r="F3656" s="392" t="n"/>
      <c r="G3656" s="392" t="n">
        <v>81</v>
      </c>
      <c r="H3656" s="52">
        <f>H3655-G3656</f>
        <v/>
      </c>
      <c r="I3656" s="568" t="n"/>
      <c r="J3656" s="568" t="n"/>
      <c r="K3656" s="568" t="n"/>
      <c r="L3656" s="568" t="n"/>
    </row>
    <row r="3657">
      <c r="A3657" s="568" t="n">
        <v>46006</v>
      </c>
      <c r="B3657" s="392" t="n">
        <v>12358</v>
      </c>
      <c r="C3657" s="392" t="n">
        <v>78</v>
      </c>
      <c r="D3657" s="392" t="n"/>
      <c r="E3657" s="392" t="n"/>
      <c r="F3657" s="392" t="n"/>
      <c r="G3657" s="392" t="n">
        <v>20</v>
      </c>
      <c r="H3657" s="52">
        <f>H3656-G3657</f>
        <v/>
      </c>
      <c r="I3657" s="568" t="n"/>
      <c r="J3657" s="568" t="n"/>
      <c r="K3657" s="568" t="n"/>
      <c r="L3657" s="568" t="n"/>
    </row>
    <row r="3658">
      <c r="A3658" s="568" t="n">
        <v>46006</v>
      </c>
      <c r="B3658" s="392" t="n">
        <v>12360</v>
      </c>
      <c r="C3658" s="392" t="n">
        <v>78</v>
      </c>
      <c r="D3658" s="392" t="n"/>
      <c r="E3658" s="392" t="n"/>
      <c r="F3658" s="392" t="n"/>
      <c r="G3658" s="392" t="n">
        <v>30</v>
      </c>
      <c r="H3658" s="52">
        <f>H3657-G3658</f>
        <v/>
      </c>
      <c r="I3658" s="568" t="n"/>
      <c r="J3658" s="568" t="n"/>
      <c r="K3658" s="568" t="n"/>
      <c r="L3658" s="568" t="n"/>
    </row>
    <row r="3659">
      <c r="A3659" s="568" t="n">
        <v>46007</v>
      </c>
      <c r="B3659" s="392" t="n">
        <v>12367</v>
      </c>
      <c r="C3659" s="392" t="n">
        <v>78</v>
      </c>
      <c r="D3659" s="392" t="n"/>
      <c r="E3659" s="392" t="n"/>
      <c r="F3659" s="392" t="n"/>
      <c r="G3659" s="392" t="n">
        <v>50</v>
      </c>
      <c r="H3659" s="52">
        <f>H3658-G3659</f>
        <v/>
      </c>
      <c r="I3659" s="568" t="n"/>
      <c r="J3659" s="568" t="n"/>
      <c r="K3659" s="568" t="n"/>
      <c r="L3659" s="568" t="n"/>
    </row>
    <row r="3660">
      <c r="A3660" s="568" t="n">
        <v>46007</v>
      </c>
      <c r="B3660" s="392" t="n">
        <v>12369</v>
      </c>
      <c r="C3660" s="392" t="n">
        <v>83</v>
      </c>
      <c r="D3660" s="392" t="n"/>
      <c r="E3660" s="392" t="n"/>
      <c r="F3660" s="392" t="n"/>
      <c r="G3660" s="392" t="n">
        <v>20</v>
      </c>
      <c r="H3660" s="52">
        <f>H3659-G3660</f>
        <v/>
      </c>
      <c r="I3660" s="568" t="n"/>
      <c r="J3660" s="568" t="n"/>
      <c r="K3660" s="568" t="n"/>
      <c r="L3660" s="568" t="n"/>
    </row>
    <row r="3661">
      <c r="A3661" s="568" t="n">
        <v>46007</v>
      </c>
      <c r="B3661" s="392" t="n">
        <v>12371</v>
      </c>
      <c r="C3661" s="392" t="n">
        <v>82.40000000000001</v>
      </c>
      <c r="D3661" s="392" t="n"/>
      <c r="E3661" s="392" t="n"/>
      <c r="F3661" s="392" t="n"/>
      <c r="G3661" s="392" t="n">
        <v>75</v>
      </c>
      <c r="H3661" s="52">
        <f>H3660-G3661</f>
        <v/>
      </c>
      <c r="I3661" s="568" t="n"/>
      <c r="J3661" s="568" t="n"/>
      <c r="K3661" s="568" t="n"/>
      <c r="L3661" s="568" t="n"/>
    </row>
    <row r="3662" ht="15.75" customHeight="1" s="436" thickBot="1">
      <c r="A3662" s="414" t="n"/>
      <c r="H3662" s="171" t="n"/>
      <c r="I3662" s="414" t="n"/>
      <c r="J3662" s="414" t="n"/>
      <c r="K3662" s="414" t="n"/>
      <c r="L3662" s="414" t="n"/>
    </row>
    <row r="3663" ht="21.75" customHeight="1" s="436" thickBot="1">
      <c r="A3663" s="757" t="inlineStr">
        <is>
          <t>Janeiro</t>
        </is>
      </c>
      <c r="B3663" s="697" t="n"/>
      <c r="C3663" s="697" t="n"/>
      <c r="D3663" s="697" t="n"/>
      <c r="E3663" s="697" t="n"/>
      <c r="F3663" s="697" t="n"/>
      <c r="G3663" s="697" t="n"/>
      <c r="H3663" s="697" t="n"/>
      <c r="I3663" s="697" t="n"/>
      <c r="J3663" s="697" t="n"/>
      <c r="K3663" s="697" t="n"/>
      <c r="L3663" s="698" t="n"/>
    </row>
    <row r="3664" ht="21.75" customHeight="1" s="436" thickBot="1">
      <c r="A3664" s="699" t="inlineStr">
        <is>
          <t xml:space="preserve">021 - DENISE FURTADO DE SOUZA - ME </t>
        </is>
      </c>
      <c r="B3664" s="697" t="n"/>
      <c r="C3664" s="697" t="n"/>
      <c r="D3664" s="697" t="n"/>
      <c r="E3664" s="697" t="n"/>
      <c r="F3664" s="697" t="n"/>
      <c r="G3664" s="697" t="n"/>
      <c r="H3664" s="697" t="n"/>
      <c r="I3664" s="697" t="n"/>
      <c r="J3664" s="697" t="n"/>
      <c r="K3664" s="697" t="n"/>
      <c r="L3664" s="698" t="n"/>
    </row>
    <row r="3665" ht="24" customHeight="1" s="436" thickBot="1">
      <c r="A3665" s="759" t="inlineStr">
        <is>
          <t xml:space="preserve">  PRÉ MISTURA - 25 KG</t>
        </is>
      </c>
      <c r="B3665" s="697" t="n"/>
      <c r="C3665" s="697" t="n"/>
      <c r="D3665" s="697" t="n"/>
      <c r="E3665" s="697" t="n"/>
      <c r="F3665" s="697" t="n"/>
      <c r="G3665" s="697" t="n"/>
      <c r="H3665" s="697" t="n"/>
      <c r="I3665" s="697" t="n"/>
      <c r="J3665" s="697" t="n"/>
      <c r="K3665" s="697" t="n"/>
      <c r="L3665" s="698" t="n"/>
    </row>
    <row r="3666">
      <c r="A3666" s="3" t="inlineStr">
        <is>
          <t>DATA</t>
        </is>
      </c>
      <c r="B3666" s="3" t="inlineStr">
        <is>
          <t>N.F.</t>
        </is>
      </c>
      <c r="C3666" s="3" t="inlineStr">
        <is>
          <t>TIPO</t>
        </is>
      </c>
      <c r="D3666" s="3" t="inlineStr">
        <is>
          <t>PREÇO UNITÁRIO</t>
        </is>
      </c>
      <c r="E3666" s="736" t="n"/>
      <c r="F3666" s="3" t="inlineStr">
        <is>
          <t>QUANTIDADE / KG</t>
        </is>
      </c>
      <c r="G3666" s="737" t="n"/>
      <c r="H3666" s="736" t="n"/>
      <c r="I3666" s="631" t="inlineStr">
        <is>
          <t>PREÇO</t>
        </is>
      </c>
      <c r="J3666" s="631" t="inlineStr">
        <is>
          <t>VALORES</t>
        </is>
      </c>
      <c r="K3666" s="737" t="n"/>
      <c r="L3666" s="736" t="n"/>
    </row>
    <row r="3667" ht="15.75" customHeight="1" s="436" thickBot="1">
      <c r="A3667" s="704" t="n"/>
      <c r="B3667" s="704" t="n"/>
      <c r="C3667" s="704" t="n"/>
      <c r="D3667" s="703" t="n"/>
      <c r="E3667" s="701" t="n"/>
      <c r="F3667" s="705" t="n"/>
      <c r="G3667" s="706" t="n"/>
      <c r="H3667" s="707" t="n"/>
      <c r="I3667" s="704" t="n"/>
      <c r="J3667" s="703" t="n"/>
      <c r="L3667" s="701" t="n"/>
    </row>
    <row r="3668" ht="15.75" customHeight="1" s="436" thickBot="1">
      <c r="A3668" s="704" t="n"/>
      <c r="B3668" s="704" t="n"/>
      <c r="C3668" s="704" t="n"/>
      <c r="D3668" s="705" t="n"/>
      <c r="E3668" s="707" t="n"/>
      <c r="F3668" s="3" t="inlineStr">
        <is>
          <t>ENTRADA</t>
        </is>
      </c>
      <c r="G3668" s="3" t="inlineStr">
        <is>
          <t>SAÍDA</t>
        </is>
      </c>
      <c r="H3668" s="640" t="n"/>
      <c r="I3668" s="633" t="inlineStr">
        <is>
          <t>MÉDIO</t>
        </is>
      </c>
      <c r="J3668" s="739" t="inlineStr">
        <is>
          <t>SALDO EM 30/12/2017</t>
        </is>
      </c>
      <c r="K3668" s="707" t="n"/>
      <c r="L3668" s="17" t="n"/>
    </row>
    <row r="3669" ht="15.75" customHeight="1" s="436" thickBot="1">
      <c r="A3669" s="695" t="n"/>
      <c r="B3669" s="695" t="n"/>
      <c r="C3669" s="695" t="n"/>
      <c r="D3669" s="3" t="inlineStr">
        <is>
          <t>C/ICMS</t>
        </is>
      </c>
      <c r="E3669" s="3" t="inlineStr">
        <is>
          <t>S/ICMS</t>
        </is>
      </c>
      <c r="F3669" s="695" t="n"/>
      <c r="G3669" s="695" t="n"/>
      <c r="H3669" s="361" t="inlineStr">
        <is>
          <t>Saldo em 31/12/2025</t>
        </is>
      </c>
      <c r="I3669" s="695" t="n"/>
      <c r="J3669" s="645" t="inlineStr">
        <is>
          <t>ENTRADA</t>
        </is>
      </c>
      <c r="K3669" s="633" t="inlineStr">
        <is>
          <t>SAÍDA / CMV</t>
        </is>
      </c>
      <c r="L3669" s="633" t="inlineStr">
        <is>
          <t>SALDO</t>
        </is>
      </c>
    </row>
    <row r="3670">
      <c r="A3670" s="568" t="n"/>
      <c r="B3670" s="392" t="n"/>
      <c r="C3670" s="392" t="n"/>
      <c r="D3670" s="392" t="n"/>
      <c r="E3670" s="392" t="n"/>
      <c r="F3670" s="392" t="n"/>
      <c r="G3670" s="392" t="n"/>
      <c r="H3670" s="52" t="n">
        <v>2788</v>
      </c>
      <c r="I3670" s="568" t="n"/>
      <c r="J3670" s="568" t="n"/>
      <c r="K3670" s="568" t="n"/>
      <c r="L3670" s="392" t="n"/>
    </row>
    <row r="3671">
      <c r="A3671" s="568" t="n">
        <v>46028</v>
      </c>
      <c r="B3671" s="392" t="n">
        <v>12383</v>
      </c>
      <c r="C3671" s="392" t="n">
        <v>78</v>
      </c>
      <c r="D3671" s="392" t="n"/>
      <c r="E3671" s="392" t="n"/>
      <c r="F3671" s="392" t="n"/>
      <c r="G3671" s="392" t="n">
        <v>10</v>
      </c>
      <c r="H3671" s="52">
        <f>H3670-G3671</f>
        <v/>
      </c>
      <c r="I3671" s="568" t="n"/>
      <c r="J3671" s="568" t="n"/>
      <c r="K3671" s="568" t="n"/>
      <c r="L3671" s="568" t="n"/>
    </row>
    <row r="3672">
      <c r="A3672" s="568" t="n">
        <v>46028</v>
      </c>
      <c r="B3672" s="392" t="n">
        <v>12385</v>
      </c>
      <c r="C3672" s="392" t="n">
        <v>83</v>
      </c>
      <c r="D3672" s="392" t="n"/>
      <c r="E3672" s="392" t="n"/>
      <c r="F3672" s="392" t="n"/>
      <c r="G3672" s="392" t="n">
        <v>20</v>
      </c>
      <c r="H3672" s="52">
        <f>H3671-G3672</f>
        <v/>
      </c>
      <c r="I3672" s="568" t="n"/>
      <c r="J3672" s="568" t="n"/>
      <c r="K3672" s="568" t="n"/>
      <c r="L3672" s="568" t="n"/>
    </row>
    <row r="3673">
      <c r="A3673" s="568" t="n">
        <v>46028</v>
      </c>
      <c r="B3673" s="392" t="n">
        <v>12388</v>
      </c>
      <c r="C3673" s="392" t="n">
        <v>79.34</v>
      </c>
      <c r="D3673" s="392" t="n"/>
      <c r="E3673" s="392" t="n"/>
      <c r="F3673" s="392" t="n"/>
      <c r="G3673" s="392" t="n">
        <v>45</v>
      </c>
      <c r="H3673" s="52">
        <f>H3672-G3673</f>
        <v/>
      </c>
      <c r="I3673" s="568" t="n"/>
      <c r="J3673" s="568" t="n"/>
      <c r="K3673" s="568" t="n"/>
      <c r="L3673" s="568" t="n"/>
    </row>
    <row r="3674">
      <c r="A3674" s="568" t="n">
        <v>46034</v>
      </c>
      <c r="B3674" s="392" t="n">
        <v>12393</v>
      </c>
      <c r="C3674" s="392" t="n">
        <v>78</v>
      </c>
      <c r="D3674" s="392" t="n"/>
      <c r="E3674" s="392" t="n"/>
      <c r="F3674" s="392" t="n"/>
      <c r="G3674" s="392" t="n">
        <v>10</v>
      </c>
      <c r="H3674" s="52">
        <f>H3673-G3674</f>
        <v/>
      </c>
      <c r="I3674" s="568" t="n"/>
      <c r="J3674" s="568" t="n"/>
      <c r="K3674" s="568" t="n"/>
      <c r="L3674" s="568" t="n"/>
    </row>
    <row r="3675">
      <c r="A3675" s="568" t="n">
        <v>46034</v>
      </c>
      <c r="B3675" s="392" t="n">
        <v>12397</v>
      </c>
      <c r="C3675" s="392" t="n">
        <v>75</v>
      </c>
      <c r="D3675" s="392" t="n"/>
      <c r="E3675" s="392" t="n"/>
      <c r="F3675" s="392" t="n"/>
      <c r="G3675" s="392" t="n">
        <v>30</v>
      </c>
      <c r="H3675" s="52">
        <f>H3674-G3675</f>
        <v/>
      </c>
      <c r="I3675" s="568" t="n"/>
      <c r="J3675" s="568" t="n"/>
      <c r="K3675" s="568" t="n"/>
      <c r="L3675" s="568" t="n"/>
    </row>
    <row r="3676">
      <c r="A3676" s="568" t="n">
        <v>46034</v>
      </c>
      <c r="B3676" s="392" t="n">
        <v>12398</v>
      </c>
      <c r="C3676" s="392" t="n">
        <v>80</v>
      </c>
      <c r="D3676" s="392" t="n"/>
      <c r="E3676" s="392" t="n"/>
      <c r="F3676" s="392" t="n"/>
      <c r="G3676" s="392" t="n">
        <v>20</v>
      </c>
      <c r="H3676" s="52">
        <f>H3675-G3676</f>
        <v/>
      </c>
      <c r="I3676" s="568" t="n"/>
      <c r="J3676" s="568" t="n"/>
      <c r="K3676" s="568" t="n"/>
      <c r="L3676" s="568" t="n"/>
    </row>
    <row r="3677">
      <c r="A3677" s="568" t="n">
        <v>46036</v>
      </c>
      <c r="B3677" s="392" t="n">
        <v>12402</v>
      </c>
      <c r="C3677" s="392" t="n">
        <v>74.14</v>
      </c>
      <c r="D3677" s="392" t="n"/>
      <c r="E3677" s="392" t="n"/>
      <c r="F3677" s="392" t="n"/>
      <c r="G3677" s="392" t="n">
        <v>60</v>
      </c>
      <c r="H3677" s="52">
        <f>H3676-G3677</f>
        <v/>
      </c>
      <c r="I3677" s="568" t="n"/>
      <c r="J3677" s="568" t="n"/>
      <c r="K3677" s="568" t="n"/>
      <c r="L3677" s="568" t="n"/>
    </row>
    <row r="3678">
      <c r="A3678" s="568" t="n">
        <v>46036</v>
      </c>
      <c r="B3678" s="392" t="n">
        <v>12403</v>
      </c>
      <c r="C3678" s="392" t="n">
        <v>74</v>
      </c>
      <c r="D3678" s="392" t="n"/>
      <c r="E3678" s="392" t="n"/>
      <c r="F3678" s="392" t="n"/>
      <c r="G3678" s="392" t="n">
        <v>20</v>
      </c>
      <c r="H3678" s="52">
        <f>H3677-G3678</f>
        <v/>
      </c>
      <c r="I3678" s="568" t="n"/>
      <c r="J3678" s="568" t="n"/>
      <c r="K3678" s="568" t="n"/>
      <c r="L3678" s="568" t="n"/>
    </row>
    <row r="3679">
      <c r="A3679" s="568" t="n">
        <v>46041</v>
      </c>
      <c r="B3679" s="392" t="n">
        <v>12405</v>
      </c>
      <c r="C3679" s="392" t="n">
        <v>81.40000000000001</v>
      </c>
      <c r="D3679" s="392" t="n"/>
      <c r="E3679" s="392" t="n"/>
      <c r="F3679" s="392" t="n"/>
      <c r="G3679" s="392" t="n">
        <v>50</v>
      </c>
      <c r="H3679" s="52">
        <f>H3678-G3679</f>
        <v/>
      </c>
      <c r="I3679" s="568" t="n"/>
      <c r="J3679" s="568" t="n"/>
      <c r="K3679" s="568" t="n"/>
      <c r="L3679" s="568" t="n"/>
    </row>
    <row r="3680">
      <c r="A3680" s="568" t="n">
        <v>46048</v>
      </c>
      <c r="B3680" s="392" t="n">
        <v>12424</v>
      </c>
      <c r="C3680" s="392" t="n">
        <v>80</v>
      </c>
      <c r="D3680" s="392" t="n"/>
      <c r="E3680" s="392" t="n"/>
      <c r="F3680" s="392" t="n"/>
      <c r="G3680" s="392" t="n">
        <v>50</v>
      </c>
      <c r="H3680" s="52">
        <f>H3679-G3680</f>
        <v/>
      </c>
      <c r="I3680" s="568" t="n"/>
      <c r="J3680" s="568" t="n"/>
      <c r="K3680" s="568" t="n"/>
      <c r="L3680" s="568" t="n"/>
    </row>
    <row r="3681">
      <c r="A3681" s="568" t="n">
        <v>46048</v>
      </c>
      <c r="B3681" s="392" t="n">
        <v>12425</v>
      </c>
      <c r="C3681" s="392" t="n">
        <v>78.5</v>
      </c>
      <c r="D3681" s="392" t="n"/>
      <c r="E3681" s="392" t="n"/>
      <c r="F3681" s="392" t="n"/>
      <c r="G3681" s="392" t="n">
        <v>20</v>
      </c>
      <c r="H3681" s="52">
        <f>H3680-G3681</f>
        <v/>
      </c>
      <c r="I3681" s="568" t="n"/>
      <c r="J3681" s="568" t="n"/>
      <c r="K3681" s="568" t="n"/>
      <c r="L3681" s="568" t="n"/>
    </row>
    <row r="3682">
      <c r="A3682" s="568" t="n">
        <v>46048</v>
      </c>
      <c r="B3682" s="392" t="n">
        <v>12427</v>
      </c>
      <c r="C3682" s="392" t="n">
        <v>72.5</v>
      </c>
      <c r="D3682" s="392" t="n"/>
      <c r="E3682" s="392" t="n"/>
      <c r="F3682" s="392" t="n"/>
      <c r="G3682" s="392" t="n">
        <v>100</v>
      </c>
      <c r="H3682" s="52">
        <f>H3681-G3682</f>
        <v/>
      </c>
      <c r="I3682" s="568" t="n"/>
      <c r="J3682" s="568" t="n"/>
      <c r="K3682" s="568" t="n"/>
      <c r="L3682" s="568" t="n"/>
    </row>
    <row r="3683">
      <c r="A3683" s="568" t="n">
        <v>46048</v>
      </c>
      <c r="B3683" s="392" t="n">
        <v>12430</v>
      </c>
      <c r="C3683" s="392" t="n">
        <v>75</v>
      </c>
      <c r="D3683" s="392" t="n"/>
      <c r="E3683" s="392" t="n"/>
      <c r="F3683" s="392" t="n"/>
      <c r="G3683" s="392" t="n">
        <v>40</v>
      </c>
      <c r="H3683" s="52">
        <f>H3682-G3683</f>
        <v/>
      </c>
      <c r="I3683" s="568" t="n"/>
      <c r="J3683" s="568" t="n"/>
      <c r="K3683" s="568" t="n"/>
      <c r="L3683" s="568" t="n"/>
    </row>
    <row r="3684">
      <c r="A3684" s="568" t="n">
        <v>46050</v>
      </c>
      <c r="B3684" s="392" t="n">
        <v>12434</v>
      </c>
      <c r="C3684" s="392" t="n">
        <v>83.92</v>
      </c>
      <c r="D3684" s="392" t="n"/>
      <c r="E3684" s="392" t="n"/>
      <c r="F3684" s="392" t="n"/>
      <c r="G3684" s="392" t="n">
        <v>23</v>
      </c>
      <c r="H3684" s="52">
        <f>H3683-G3684</f>
        <v/>
      </c>
      <c r="I3684" s="568" t="n"/>
      <c r="J3684" s="568" t="n"/>
      <c r="K3684" s="568" t="n"/>
      <c r="L3684" s="568" t="n"/>
    </row>
    <row r="3685">
      <c r="A3685" s="568" t="n">
        <v>46050</v>
      </c>
      <c r="B3685" s="392" t="n">
        <v>12436</v>
      </c>
      <c r="C3685" s="392" t="n">
        <v>83.12</v>
      </c>
      <c r="D3685" s="392" t="n"/>
      <c r="E3685" s="392" t="n"/>
      <c r="F3685" s="392" t="n"/>
      <c r="G3685" s="392" t="n">
        <v>50</v>
      </c>
      <c r="H3685" s="52">
        <f>H3684-G3685</f>
        <v/>
      </c>
      <c r="I3685" s="568" t="n"/>
      <c r="J3685" s="568" t="n"/>
      <c r="K3685" s="568" t="n"/>
      <c r="L3685" s="568" t="n"/>
    </row>
    <row r="3686" ht="15.75" customHeight="1" s="436" thickBot="1">
      <c r="A3686" s="414" t="n"/>
      <c r="H3686" s="171" t="n"/>
      <c r="I3686" s="414" t="n"/>
      <c r="J3686" s="414" t="n"/>
      <c r="K3686" s="414" t="n"/>
      <c r="L3686" s="414" t="n"/>
    </row>
    <row r="3687" ht="21.75" customHeight="1" s="436" thickBot="1">
      <c r="A3687" s="757" t="inlineStr">
        <is>
          <t>Fevereiro</t>
        </is>
      </c>
      <c r="B3687" s="697" t="n"/>
      <c r="C3687" s="697" t="n"/>
      <c r="D3687" s="697" t="n"/>
      <c r="E3687" s="697" t="n"/>
      <c r="F3687" s="697" t="n"/>
      <c r="G3687" s="697" t="n"/>
      <c r="H3687" s="697" t="n"/>
      <c r="I3687" s="697" t="n"/>
      <c r="J3687" s="697" t="n"/>
      <c r="K3687" s="697" t="n"/>
      <c r="L3687" s="698" t="n"/>
    </row>
    <row r="3688" ht="21.75" customHeight="1" s="436" thickBot="1">
      <c r="A3688" s="699" t="inlineStr">
        <is>
          <t xml:space="preserve">021 - DENISE FURTADO DE SOUZA - ME </t>
        </is>
      </c>
      <c r="B3688" s="697" t="n"/>
      <c r="C3688" s="697" t="n"/>
      <c r="D3688" s="697" t="n"/>
      <c r="E3688" s="697" t="n"/>
      <c r="F3688" s="697" t="n"/>
      <c r="G3688" s="697" t="n"/>
      <c r="H3688" s="697" t="n"/>
      <c r="I3688" s="697" t="n"/>
      <c r="J3688" s="697" t="n"/>
      <c r="K3688" s="697" t="n"/>
      <c r="L3688" s="698" t="n"/>
    </row>
    <row r="3689" ht="24" customHeight="1" s="436" thickBot="1">
      <c r="A3689" s="759" t="inlineStr">
        <is>
          <t xml:space="preserve">  PRÉ MISTURA - 25 KG</t>
        </is>
      </c>
      <c r="B3689" s="697" t="n"/>
      <c r="C3689" s="697" t="n"/>
      <c r="D3689" s="697" t="n"/>
      <c r="E3689" s="697" t="n"/>
      <c r="F3689" s="697" t="n"/>
      <c r="G3689" s="697" t="n"/>
      <c r="H3689" s="697" t="n"/>
      <c r="I3689" s="697" t="n"/>
      <c r="J3689" s="697" t="n"/>
      <c r="K3689" s="697" t="n"/>
      <c r="L3689" s="698" t="n"/>
    </row>
    <row r="3690">
      <c r="A3690" s="3" t="inlineStr">
        <is>
          <t>DATA</t>
        </is>
      </c>
      <c r="B3690" s="3" t="inlineStr">
        <is>
          <t>N.F.</t>
        </is>
      </c>
      <c r="C3690" s="3" t="inlineStr">
        <is>
          <t>TIPO</t>
        </is>
      </c>
      <c r="D3690" s="3" t="inlineStr">
        <is>
          <t>PREÇO UNITÁRIO</t>
        </is>
      </c>
      <c r="E3690" s="736" t="n"/>
      <c r="F3690" s="3" t="inlineStr">
        <is>
          <t>QUANTIDADE / KG</t>
        </is>
      </c>
      <c r="G3690" s="737" t="n"/>
      <c r="H3690" s="736" t="n"/>
      <c r="I3690" s="631" t="inlineStr">
        <is>
          <t>PREÇO</t>
        </is>
      </c>
      <c r="J3690" s="631" t="inlineStr">
        <is>
          <t>VALORES</t>
        </is>
      </c>
      <c r="K3690" s="737" t="n"/>
      <c r="L3690" s="736" t="n"/>
    </row>
    <row r="3691" ht="15.75" customHeight="1" s="436" thickBot="1">
      <c r="A3691" s="704" t="n"/>
      <c r="B3691" s="704" t="n"/>
      <c r="C3691" s="704" t="n"/>
      <c r="D3691" s="703" t="n"/>
      <c r="E3691" s="701" t="n"/>
      <c r="F3691" s="705" t="n"/>
      <c r="G3691" s="706" t="n"/>
      <c r="H3691" s="707" t="n"/>
      <c r="I3691" s="704" t="n"/>
      <c r="J3691" s="703" t="n"/>
      <c r="L3691" s="701" t="n"/>
    </row>
    <row r="3692" ht="15.75" customHeight="1" s="436" thickBot="1">
      <c r="A3692" s="704" t="n"/>
      <c r="B3692" s="704" t="n"/>
      <c r="C3692" s="704" t="n"/>
      <c r="D3692" s="705" t="n"/>
      <c r="E3692" s="707" t="n"/>
      <c r="F3692" s="3" t="inlineStr">
        <is>
          <t>ENTRADA</t>
        </is>
      </c>
      <c r="G3692" s="3" t="inlineStr">
        <is>
          <t>SAÍDA</t>
        </is>
      </c>
      <c r="H3692" s="640" t="n"/>
      <c r="I3692" s="633" t="inlineStr">
        <is>
          <t>MÉDIO</t>
        </is>
      </c>
      <c r="J3692" s="739" t="inlineStr">
        <is>
          <t>SALDO EM 30/12/2017</t>
        </is>
      </c>
      <c r="K3692" s="707" t="n"/>
      <c r="L3692" s="17" t="n"/>
    </row>
    <row r="3693" ht="15.75" customHeight="1" s="436" thickBot="1">
      <c r="A3693" s="695" t="n"/>
      <c r="B3693" s="695" t="n"/>
      <c r="C3693" s="695" t="n"/>
      <c r="D3693" s="3" t="inlineStr">
        <is>
          <t>C/ICMS</t>
        </is>
      </c>
      <c r="E3693" s="3" t="inlineStr">
        <is>
          <t>S/ICMS</t>
        </is>
      </c>
      <c r="F3693" s="695" t="n"/>
      <c r="G3693" s="695" t="n"/>
      <c r="H3693" s="361" t="inlineStr">
        <is>
          <t>Saldo em 31/01/2026</t>
        </is>
      </c>
      <c r="I3693" s="695" t="n"/>
      <c r="J3693" s="645" t="inlineStr">
        <is>
          <t>ENTRADA</t>
        </is>
      </c>
      <c r="K3693" s="633" t="inlineStr">
        <is>
          <t>SAÍDA / CMV</t>
        </is>
      </c>
      <c r="L3693" s="633" t="inlineStr">
        <is>
          <t>SALDO</t>
        </is>
      </c>
    </row>
    <row r="3694">
      <c r="A3694" s="568" t="n"/>
      <c r="B3694" s="392" t="n"/>
      <c r="C3694" s="392" t="n"/>
      <c r="D3694" s="392" t="n"/>
      <c r="E3694" s="392" t="n"/>
      <c r="F3694" s="392" t="n"/>
      <c r="G3694" s="392" t="n"/>
      <c r="H3694" s="52" t="n">
        <v>2240</v>
      </c>
      <c r="I3694" s="568" t="n"/>
      <c r="J3694" s="568" t="n"/>
      <c r="K3694" s="568" t="n"/>
      <c r="L3694" s="392" t="n"/>
    </row>
    <row r="3695">
      <c r="A3695" s="568" t="n">
        <v>46055</v>
      </c>
      <c r="B3695" s="392" t="n">
        <v>12443</v>
      </c>
      <c r="C3695" s="392" t="n">
        <v>81.40000000000001</v>
      </c>
      <c r="D3695" s="392" t="n"/>
      <c r="E3695" s="392" t="n"/>
      <c r="F3695" s="392" t="n"/>
      <c r="G3695" s="392" t="n">
        <v>50</v>
      </c>
      <c r="H3695" s="52">
        <f>H3694-G3695</f>
        <v/>
      </c>
      <c r="I3695" s="568" t="n"/>
      <c r="J3695" s="568" t="n"/>
      <c r="K3695" s="568" t="n"/>
      <c r="L3695" s="568" t="n"/>
    </row>
    <row r="3696">
      <c r="A3696" s="568" t="n">
        <v>46055</v>
      </c>
      <c r="B3696" s="392" t="n">
        <v>12445</v>
      </c>
      <c r="C3696" s="392" t="n">
        <v>75</v>
      </c>
      <c r="D3696" s="392" t="n"/>
      <c r="E3696" s="392" t="n"/>
      <c r="F3696" s="392" t="n"/>
      <c r="G3696" s="392" t="n">
        <v>40</v>
      </c>
      <c r="H3696" s="52">
        <f>H3695-G3696</f>
        <v/>
      </c>
      <c r="I3696" s="568" t="n"/>
      <c r="J3696" s="568" t="n"/>
      <c r="K3696" s="568" t="n"/>
      <c r="L3696" s="568" t="n"/>
    </row>
    <row r="3697">
      <c r="A3697" s="568" t="n">
        <v>46057</v>
      </c>
      <c r="B3697" s="392" t="n">
        <v>12447</v>
      </c>
      <c r="C3697" s="392" t="n">
        <v>78</v>
      </c>
      <c r="D3697" s="392" t="n"/>
      <c r="E3697" s="392" t="n"/>
      <c r="F3697" s="392" t="n"/>
      <c r="G3697" s="392" t="n">
        <v>10</v>
      </c>
      <c r="H3697" s="52">
        <f>H3696-G3697</f>
        <v/>
      </c>
      <c r="I3697" s="568" t="n"/>
      <c r="J3697" s="568" t="n"/>
      <c r="K3697" s="568" t="n"/>
      <c r="L3697" s="568" t="n"/>
    </row>
    <row r="3698">
      <c r="A3698" s="568" t="n">
        <v>46057</v>
      </c>
      <c r="B3698" s="392" t="n">
        <v>12448</v>
      </c>
      <c r="C3698" s="392" t="n">
        <v>79</v>
      </c>
      <c r="D3698" s="392" t="n"/>
      <c r="E3698" s="392" t="n"/>
      <c r="F3698" s="392" t="n"/>
      <c r="G3698" s="392" t="n">
        <v>10</v>
      </c>
      <c r="H3698" s="52">
        <f>H3697-G3698</f>
        <v/>
      </c>
      <c r="I3698" s="568" t="n"/>
      <c r="J3698" s="568" t="n"/>
      <c r="K3698" s="568" t="n"/>
      <c r="L3698" s="568" t="n"/>
    </row>
    <row r="3699">
      <c r="A3699" s="568" t="n">
        <v>46063</v>
      </c>
      <c r="B3699" s="392" t="n">
        <v>12455</v>
      </c>
      <c r="C3699" s="392" t="n">
        <v>75</v>
      </c>
      <c r="D3699" s="392" t="n"/>
      <c r="E3699" s="392" t="n"/>
      <c r="F3699" s="392" t="n"/>
      <c r="G3699" s="392" t="n">
        <v>40</v>
      </c>
      <c r="H3699" s="52">
        <f>H3698-G3699</f>
        <v/>
      </c>
      <c r="I3699" s="568" t="n"/>
      <c r="J3699" s="568" t="n"/>
      <c r="K3699" s="568" t="n"/>
      <c r="L3699" s="568" t="n"/>
    </row>
    <row r="3700">
      <c r="A3700" s="568" t="n">
        <v>46063</v>
      </c>
      <c r="B3700" s="392" t="n">
        <v>12458</v>
      </c>
      <c r="C3700" s="392" t="n">
        <v>79.34</v>
      </c>
      <c r="D3700" s="392" t="n"/>
      <c r="E3700" s="392" t="n"/>
      <c r="F3700" s="392" t="n"/>
      <c r="G3700" s="392" t="n">
        <v>45</v>
      </c>
      <c r="H3700" s="52">
        <f>H3699-G3700</f>
        <v/>
      </c>
      <c r="I3700" s="568" t="n"/>
      <c r="J3700" s="568" t="n"/>
      <c r="K3700" s="568" t="n"/>
      <c r="L3700" s="568" t="n"/>
    </row>
    <row r="3701">
      <c r="A3701" s="568" t="n">
        <v>46063</v>
      </c>
      <c r="B3701" s="392" t="n">
        <v>12459</v>
      </c>
      <c r="C3701" s="392" t="n">
        <v>78</v>
      </c>
      <c r="D3701" s="392" t="n"/>
      <c r="E3701" s="392" t="n"/>
      <c r="F3701" s="392" t="n"/>
      <c r="G3701" s="392" t="n">
        <v>20</v>
      </c>
      <c r="H3701" s="52">
        <f>H3700-G3701</f>
        <v/>
      </c>
      <c r="I3701" s="568" t="n"/>
      <c r="J3701" s="568" t="n"/>
      <c r="K3701" s="568" t="n"/>
      <c r="L3701" s="568" t="n"/>
    </row>
    <row r="3702">
      <c r="A3702" s="568" t="n">
        <v>46063</v>
      </c>
      <c r="B3702" s="392" t="n">
        <v>12460</v>
      </c>
      <c r="C3702" s="392" t="n">
        <v>78</v>
      </c>
      <c r="D3702" s="392" t="n"/>
      <c r="E3702" s="392" t="n"/>
      <c r="F3702" s="392" t="n"/>
      <c r="G3702" s="392" t="n">
        <v>20</v>
      </c>
      <c r="H3702" s="52">
        <f>H3701-G3702</f>
        <v/>
      </c>
      <c r="I3702" s="568" t="n"/>
      <c r="J3702" s="568" t="n"/>
      <c r="K3702" s="568" t="n"/>
      <c r="L3702" s="568" t="n"/>
    </row>
    <row r="3703">
      <c r="A3703" s="568" t="n">
        <v>46063</v>
      </c>
      <c r="B3703" s="392" t="n">
        <v>12462</v>
      </c>
      <c r="C3703" s="392" t="n">
        <v>82.12</v>
      </c>
      <c r="D3703" s="392" t="n"/>
      <c r="E3703" s="392" t="n"/>
      <c r="F3703" s="392" t="n"/>
      <c r="G3703" s="392" t="n">
        <v>50</v>
      </c>
      <c r="H3703" s="52">
        <f>H3702-G3703</f>
        <v/>
      </c>
      <c r="I3703" s="568" t="n"/>
      <c r="J3703" s="568" t="n"/>
      <c r="K3703" s="568" t="n"/>
      <c r="L3703" s="568" t="n"/>
    </row>
    <row r="3704">
      <c r="A3704" s="568" t="n">
        <v>46063</v>
      </c>
      <c r="B3704" s="392" t="n">
        <v>12463</v>
      </c>
      <c r="C3704" s="392" t="n">
        <v>80</v>
      </c>
      <c r="D3704" s="392" t="n"/>
      <c r="E3704" s="392" t="n"/>
      <c r="F3704" s="392" t="n"/>
      <c r="G3704" s="392" t="n">
        <v>20</v>
      </c>
      <c r="H3704" s="52">
        <f>H3703-G3704</f>
        <v/>
      </c>
      <c r="I3704" s="568" t="n"/>
      <c r="J3704" s="568" t="n"/>
      <c r="K3704" s="568" t="n"/>
      <c r="L3704" s="568" t="n"/>
    </row>
    <row r="3705">
      <c r="A3705" s="304" t="n">
        <v>46067</v>
      </c>
      <c r="B3705" s="401" t="n">
        <v>304297</v>
      </c>
      <c r="C3705" s="401" t="n">
        <v>59.9</v>
      </c>
      <c r="D3705" s="401" t="n"/>
      <c r="E3705" s="401" t="n"/>
      <c r="F3705" s="401" t="n">
        <v>1130</v>
      </c>
      <c r="G3705" s="401" t="n"/>
      <c r="H3705" s="277" t="n">
        <v>3065</v>
      </c>
      <c r="I3705" s="568" t="n"/>
      <c r="J3705" s="568" t="n"/>
      <c r="K3705" s="568" t="n"/>
      <c r="L3705" s="568" t="n"/>
    </row>
    <row r="3706">
      <c r="A3706" s="568" t="n">
        <v>46070</v>
      </c>
      <c r="B3706" s="392" t="n">
        <v>12471</v>
      </c>
      <c r="C3706" s="392" t="n">
        <v>75</v>
      </c>
      <c r="D3706" s="392" t="n"/>
      <c r="E3706" s="392" t="n"/>
      <c r="F3706" s="392" t="n"/>
      <c r="G3706" s="392" t="n">
        <v>40</v>
      </c>
      <c r="H3706" s="52">
        <f>H3705-G3706</f>
        <v/>
      </c>
      <c r="I3706" s="568" t="n"/>
      <c r="J3706" s="568" t="n"/>
      <c r="K3706" s="568" t="n"/>
      <c r="L3706" s="568" t="n"/>
    </row>
    <row r="3707">
      <c r="A3707" s="568" t="n">
        <v>46070</v>
      </c>
      <c r="B3707" s="392" t="n">
        <v>12475</v>
      </c>
      <c r="C3707" s="392" t="n">
        <v>72.14</v>
      </c>
      <c r="D3707" s="392" t="n"/>
      <c r="E3707" s="392" t="n"/>
      <c r="F3707" s="392" t="n"/>
      <c r="G3707" s="392" t="n">
        <v>117</v>
      </c>
      <c r="H3707" s="52">
        <f>H3706-G3707</f>
        <v/>
      </c>
      <c r="I3707" s="568" t="n"/>
      <c r="J3707" s="568" t="n"/>
      <c r="K3707" s="568" t="n"/>
      <c r="L3707" s="568" t="n"/>
    </row>
    <row r="3708">
      <c r="A3708" s="568" t="n">
        <v>46076</v>
      </c>
      <c r="B3708" s="392" t="n">
        <v>12484</v>
      </c>
      <c r="C3708" s="392" t="n">
        <v>75</v>
      </c>
      <c r="D3708" s="392" t="n"/>
      <c r="E3708" s="392" t="n"/>
      <c r="F3708" s="392" t="n"/>
      <c r="G3708" s="392" t="n">
        <v>30</v>
      </c>
      <c r="H3708" s="52">
        <f>H3707-G3708</f>
        <v/>
      </c>
      <c r="I3708" s="568" t="n"/>
      <c r="J3708" s="568" t="n"/>
      <c r="K3708" s="568" t="n"/>
      <c r="L3708" s="568" t="n"/>
    </row>
    <row r="3709">
      <c r="A3709" s="568" t="n">
        <v>46077</v>
      </c>
      <c r="B3709" s="392" t="n">
        <v>12485</v>
      </c>
      <c r="C3709" s="392" t="n">
        <v>81</v>
      </c>
      <c r="D3709" s="392" t="n"/>
      <c r="E3709" s="392" t="n"/>
      <c r="F3709" s="392" t="n"/>
      <c r="G3709" s="392" t="n">
        <v>40</v>
      </c>
      <c r="H3709" s="52">
        <f>H3708-G3709</f>
        <v/>
      </c>
      <c r="I3709" s="568" t="n"/>
      <c r="J3709" s="568" t="n"/>
      <c r="K3709" s="568" t="n"/>
      <c r="L3709" s="568" t="n"/>
    </row>
    <row r="3710">
      <c r="A3710" s="568" t="n">
        <v>46077</v>
      </c>
      <c r="B3710" s="392" t="n">
        <v>12486</v>
      </c>
      <c r="C3710" s="392" t="n">
        <v>78</v>
      </c>
      <c r="D3710" s="392" t="n"/>
      <c r="E3710" s="392" t="n"/>
      <c r="F3710" s="392" t="n"/>
      <c r="G3710" s="392" t="n">
        <v>10</v>
      </c>
      <c r="H3710" s="52">
        <f>H3709-G3710</f>
        <v/>
      </c>
      <c r="I3710" s="568" t="n"/>
      <c r="J3710" s="568" t="n"/>
      <c r="K3710" s="568" t="n"/>
      <c r="L3710" s="568" t="n"/>
    </row>
    <row r="3711">
      <c r="A3711" s="568" t="n">
        <v>46077</v>
      </c>
      <c r="B3711" s="392" t="n">
        <v>12487</v>
      </c>
      <c r="C3711" s="392" t="n">
        <v>80.72</v>
      </c>
      <c r="D3711" s="392" t="n"/>
      <c r="E3711" s="392" t="n"/>
      <c r="F3711" s="392" t="n"/>
      <c r="G3711" s="392" t="n">
        <v>50</v>
      </c>
      <c r="H3711" s="52">
        <f>H3710-G3711</f>
        <v/>
      </c>
      <c r="I3711" s="568" t="n"/>
      <c r="J3711" s="568" t="n"/>
      <c r="K3711" s="568" t="n"/>
      <c r="L3711" s="568" t="n"/>
    </row>
    <row r="3712" ht="15.75" customHeight="1" s="436" thickBot="1">
      <c r="A3712" s="414" t="n"/>
      <c r="H3712" s="171" t="n"/>
      <c r="I3712" s="414" t="n"/>
      <c r="J3712" s="414" t="n"/>
      <c r="K3712" s="414" t="n"/>
      <c r="L3712" s="414" t="n"/>
    </row>
    <row r="3713" ht="21.75" customHeight="1" s="436" thickBot="1">
      <c r="A3713" s="757" t="inlineStr">
        <is>
          <t>Março</t>
        </is>
      </c>
      <c r="B3713" s="697" t="n"/>
      <c r="C3713" s="697" t="n"/>
      <c r="D3713" s="697" t="n"/>
      <c r="E3713" s="697" t="n"/>
      <c r="F3713" s="697" t="n"/>
      <c r="G3713" s="697" t="n"/>
      <c r="H3713" s="697" t="n"/>
      <c r="I3713" s="697" t="n"/>
      <c r="J3713" s="697" t="n"/>
      <c r="K3713" s="697" t="n"/>
      <c r="L3713" s="698" t="n"/>
    </row>
    <row r="3714" ht="21.75" customHeight="1" s="436" thickBot="1">
      <c r="A3714" s="699" t="inlineStr">
        <is>
          <t xml:space="preserve">021 - DENISE FURTADO DE SOUZA - ME </t>
        </is>
      </c>
      <c r="B3714" s="697" t="n"/>
      <c r="C3714" s="697" t="n"/>
      <c r="D3714" s="697" t="n"/>
      <c r="E3714" s="697" t="n"/>
      <c r="F3714" s="697" t="n"/>
      <c r="G3714" s="697" t="n"/>
      <c r="H3714" s="697" t="n"/>
      <c r="I3714" s="697" t="n"/>
      <c r="J3714" s="697" t="n"/>
      <c r="K3714" s="697" t="n"/>
      <c r="L3714" s="698" t="n"/>
    </row>
    <row r="3715" ht="24" customHeight="1" s="436" thickBot="1">
      <c r="A3715" s="759" t="inlineStr">
        <is>
          <t xml:space="preserve">  PRÉ MISTURA - 25 KG</t>
        </is>
      </c>
      <c r="B3715" s="697" t="n"/>
      <c r="C3715" s="697" t="n"/>
      <c r="D3715" s="697" t="n"/>
      <c r="E3715" s="697" t="n"/>
      <c r="F3715" s="697" t="n"/>
      <c r="G3715" s="697" t="n"/>
      <c r="H3715" s="697" t="n"/>
      <c r="I3715" s="697" t="n"/>
      <c r="J3715" s="697" t="n"/>
      <c r="K3715" s="697" t="n"/>
      <c r="L3715" s="698" t="n"/>
    </row>
    <row r="3716">
      <c r="A3716" s="3" t="inlineStr">
        <is>
          <t>DATA</t>
        </is>
      </c>
      <c r="B3716" s="3" t="inlineStr">
        <is>
          <t>N.F.</t>
        </is>
      </c>
      <c r="C3716" s="3" t="inlineStr">
        <is>
          <t>TIPO</t>
        </is>
      </c>
      <c r="D3716" s="3" t="inlineStr">
        <is>
          <t>PREÇO UNITÁRIO</t>
        </is>
      </c>
      <c r="E3716" s="736" t="n"/>
      <c r="F3716" s="3" t="inlineStr">
        <is>
          <t>QUANTIDADE / KG</t>
        </is>
      </c>
      <c r="G3716" s="737" t="n"/>
      <c r="H3716" s="736" t="n"/>
      <c r="I3716" s="631" t="inlineStr">
        <is>
          <t>PREÇO</t>
        </is>
      </c>
      <c r="J3716" s="631" t="inlineStr">
        <is>
          <t>VALORES</t>
        </is>
      </c>
      <c r="K3716" s="737" t="n"/>
      <c r="L3716" s="736" t="n"/>
    </row>
    <row r="3717" ht="15.75" customHeight="1" s="436" thickBot="1">
      <c r="A3717" s="704" t="n"/>
      <c r="B3717" s="704" t="n"/>
      <c r="C3717" s="704" t="n"/>
      <c r="D3717" s="703" t="n"/>
      <c r="E3717" s="701" t="n"/>
      <c r="F3717" s="705" t="n"/>
      <c r="G3717" s="706" t="n"/>
      <c r="H3717" s="707" t="n"/>
      <c r="I3717" s="704" t="n"/>
      <c r="J3717" s="703" t="n"/>
      <c r="L3717" s="701" t="n"/>
    </row>
    <row r="3718" ht="15.75" customHeight="1" s="436" thickBot="1">
      <c r="A3718" s="704" t="n"/>
      <c r="B3718" s="704" t="n"/>
      <c r="C3718" s="704" t="n"/>
      <c r="D3718" s="705" t="n"/>
      <c r="E3718" s="707" t="n"/>
      <c r="F3718" s="3" t="inlineStr">
        <is>
          <t>ENTRADA</t>
        </is>
      </c>
      <c r="G3718" s="3" t="inlineStr">
        <is>
          <t>SAÍDA</t>
        </is>
      </c>
      <c r="H3718" s="640" t="n"/>
      <c r="I3718" s="633" t="inlineStr">
        <is>
          <t>MÉDIO</t>
        </is>
      </c>
      <c r="J3718" s="739" t="inlineStr">
        <is>
          <t>SALDO EM 30/12/2017</t>
        </is>
      </c>
      <c r="K3718" s="707" t="n"/>
      <c r="L3718" s="17" t="n"/>
    </row>
    <row r="3719" ht="15.75" customHeight="1" s="436" thickBot="1">
      <c r="A3719" s="695" t="n"/>
      <c r="B3719" s="695" t="n"/>
      <c r="C3719" s="695" t="n"/>
      <c r="D3719" s="3" t="inlineStr">
        <is>
          <t>C/ICMS</t>
        </is>
      </c>
      <c r="E3719" s="3" t="inlineStr">
        <is>
          <t>S/ICMS</t>
        </is>
      </c>
      <c r="F3719" s="695" t="n"/>
      <c r="G3719" s="695" t="n"/>
      <c r="H3719" s="361" t="inlineStr">
        <is>
          <t>Saldo em 28/02/2026</t>
        </is>
      </c>
      <c r="I3719" s="695" t="n"/>
      <c r="J3719" s="645" t="inlineStr">
        <is>
          <t>ENTRADA</t>
        </is>
      </c>
      <c r="K3719" s="633" t="inlineStr">
        <is>
          <t>SAÍDA / CMV</t>
        </is>
      </c>
      <c r="L3719" s="633" t="inlineStr">
        <is>
          <t>SALDO</t>
        </is>
      </c>
    </row>
    <row r="3720">
      <c r="A3720" s="568" t="n"/>
      <c r="B3720" s="392" t="n"/>
      <c r="C3720" s="392" t="n"/>
      <c r="D3720" s="392" t="n"/>
      <c r="E3720" s="392" t="n"/>
      <c r="F3720" s="392" t="n"/>
      <c r="G3720" s="392" t="n"/>
      <c r="H3720" s="52" t="n">
        <v>2778</v>
      </c>
      <c r="I3720" s="568" t="n"/>
      <c r="J3720" s="568" t="n"/>
      <c r="K3720" s="568" t="n"/>
      <c r="L3720" s="392" t="n"/>
    </row>
    <row r="3721">
      <c r="A3721" s="568" t="n">
        <v>46083</v>
      </c>
      <c r="B3721" s="392" t="n">
        <v>12499</v>
      </c>
      <c r="C3721" s="392" t="n">
        <v>81.3</v>
      </c>
      <c r="D3721" s="392" t="n"/>
      <c r="E3721" s="392" t="n"/>
      <c r="F3721" s="392" t="n"/>
      <c r="G3721" s="392" t="n">
        <v>23</v>
      </c>
      <c r="H3721" s="52">
        <f>H3720-G3721</f>
        <v/>
      </c>
      <c r="I3721" s="568" t="n"/>
      <c r="J3721" s="568" t="n"/>
      <c r="K3721" s="568" t="n"/>
      <c r="L3721" s="568" t="n"/>
    </row>
    <row r="3722">
      <c r="A3722" s="568" t="n">
        <v>46084</v>
      </c>
      <c r="B3722" s="392" t="n">
        <v>12502</v>
      </c>
      <c r="C3722" s="392" t="n">
        <v>80.3</v>
      </c>
      <c r="D3722" s="392" t="n"/>
      <c r="E3722" s="392" t="n"/>
      <c r="F3722" s="392" t="n"/>
      <c r="G3722" s="392" t="n">
        <v>13</v>
      </c>
      <c r="H3722" s="52">
        <f>H3721-G3722</f>
        <v/>
      </c>
      <c r="I3722" s="568" t="n"/>
      <c r="J3722" s="568" t="n"/>
      <c r="K3722" s="568" t="n"/>
      <c r="L3722" s="568" t="n"/>
    </row>
    <row r="3723">
      <c r="A3723" s="568" t="n">
        <v>46084</v>
      </c>
      <c r="B3723" s="392" t="n">
        <v>12503</v>
      </c>
      <c r="C3723" s="392" t="n">
        <v>80</v>
      </c>
      <c r="D3723" s="392" t="n"/>
      <c r="E3723" s="392" t="n"/>
      <c r="F3723" s="392" t="n"/>
      <c r="G3723" s="392" t="n">
        <v>80</v>
      </c>
      <c r="H3723" s="52">
        <f>H3722-G3723</f>
        <v/>
      </c>
      <c r="I3723" s="568" t="n"/>
      <c r="J3723" s="568" t="n"/>
      <c r="K3723" s="568" t="n"/>
      <c r="L3723" s="568" t="n"/>
    </row>
    <row r="3724">
      <c r="A3724" s="568" t="n">
        <v>46085</v>
      </c>
      <c r="B3724" s="392" t="n">
        <v>12506</v>
      </c>
      <c r="C3724" s="392" t="n">
        <v>80.40000000000001</v>
      </c>
      <c r="D3724" s="392" t="n"/>
      <c r="E3724" s="392" t="n"/>
      <c r="F3724" s="392" t="n"/>
      <c r="G3724" s="392" t="n">
        <v>10</v>
      </c>
      <c r="H3724" s="52">
        <f>H3723-G3724</f>
        <v/>
      </c>
      <c r="I3724" s="568" t="n"/>
      <c r="J3724" s="568" t="n"/>
      <c r="K3724" s="568" t="n"/>
      <c r="L3724" s="568" t="n"/>
    </row>
    <row r="3725">
      <c r="A3725" s="568" t="n">
        <v>46085</v>
      </c>
      <c r="B3725" s="392" t="n">
        <v>12507</v>
      </c>
      <c r="C3725" s="392" t="n">
        <v>76.56999999999999</v>
      </c>
      <c r="D3725" s="392" t="n"/>
      <c r="E3725" s="392" t="n"/>
      <c r="F3725" s="392" t="n"/>
      <c r="G3725" s="392" t="n">
        <v>32</v>
      </c>
      <c r="H3725" s="52">
        <f>H3724-G3725</f>
        <v/>
      </c>
      <c r="I3725" s="568" t="n"/>
      <c r="J3725" s="568" t="n"/>
      <c r="K3725" s="568" t="n"/>
      <c r="L3725" s="568" t="n"/>
    </row>
    <row r="3726">
      <c r="A3726" s="568" t="n">
        <v>46085</v>
      </c>
      <c r="B3726" s="392" t="n">
        <v>12508</v>
      </c>
      <c r="C3726" s="392" t="n">
        <v>80.72</v>
      </c>
      <c r="D3726" s="392" t="n"/>
      <c r="E3726" s="392" t="n"/>
      <c r="F3726" s="392" t="n"/>
      <c r="G3726" s="392" t="n">
        <v>50</v>
      </c>
      <c r="H3726" s="52">
        <f>H3725-G3726</f>
        <v/>
      </c>
      <c r="I3726" s="568" t="n"/>
      <c r="J3726" s="568" t="n"/>
      <c r="K3726" s="568" t="n"/>
      <c r="L3726" s="568" t="n"/>
    </row>
    <row r="3727">
      <c r="A3727" s="568" t="n">
        <v>46090</v>
      </c>
      <c r="B3727" s="392" t="n">
        <v>12513</v>
      </c>
      <c r="C3727" s="392" t="n">
        <v>84</v>
      </c>
      <c r="D3727" s="392" t="n"/>
      <c r="E3727" s="392" t="n"/>
      <c r="F3727" s="392" t="n"/>
      <c r="G3727" s="392" t="n">
        <v>20</v>
      </c>
      <c r="H3727" s="52">
        <f>H3726-G3727</f>
        <v/>
      </c>
      <c r="I3727" s="568" t="n"/>
      <c r="J3727" s="568" t="n"/>
      <c r="K3727" s="568" t="n"/>
      <c r="L3727" s="568" t="n"/>
    </row>
    <row r="3728">
      <c r="A3728" s="568" t="n">
        <v>46090</v>
      </c>
      <c r="B3728" s="392" t="n">
        <v>12516</v>
      </c>
      <c r="C3728" s="392" t="n">
        <v>75</v>
      </c>
      <c r="D3728" s="392" t="n"/>
      <c r="E3728" s="392" t="n"/>
      <c r="F3728" s="392" t="n"/>
      <c r="G3728" s="392" t="n">
        <v>30</v>
      </c>
      <c r="H3728" s="52">
        <f>H3727-G3728</f>
        <v/>
      </c>
      <c r="I3728" s="568" t="n"/>
      <c r="J3728" s="568" t="n"/>
      <c r="K3728" s="568" t="n"/>
      <c r="L3728" s="568" t="n"/>
    </row>
    <row r="3729">
      <c r="A3729" s="568" t="n">
        <v>46091</v>
      </c>
      <c r="B3729" s="392" t="n">
        <v>12518</v>
      </c>
      <c r="C3729" s="392" t="n">
        <v>78</v>
      </c>
      <c r="D3729" s="392" t="n"/>
      <c r="E3729" s="392" t="n"/>
      <c r="F3729" s="392" t="n"/>
      <c r="G3729" s="392" t="n">
        <v>10</v>
      </c>
      <c r="H3729" s="52">
        <f>H3728-G3729</f>
        <v/>
      </c>
      <c r="I3729" s="568" t="n"/>
      <c r="J3729" s="568" t="n"/>
      <c r="K3729" s="568" t="n"/>
      <c r="L3729" s="568" t="n"/>
    </row>
    <row r="3730">
      <c r="A3730" s="568" t="n">
        <v>46097</v>
      </c>
      <c r="B3730" s="392" t="n">
        <v>12524</v>
      </c>
      <c r="C3730" s="392" t="n">
        <v>85</v>
      </c>
      <c r="D3730" s="392" t="n"/>
      <c r="E3730" s="392" t="n"/>
      <c r="F3730" s="392" t="n"/>
      <c r="G3730" s="392" t="n">
        <v>20</v>
      </c>
      <c r="H3730" s="52">
        <f>H3729-G3730</f>
        <v/>
      </c>
      <c r="I3730" s="568" t="n"/>
      <c r="J3730" s="568" t="n"/>
      <c r="K3730" s="568" t="n"/>
      <c r="L3730" s="568" t="n"/>
    </row>
    <row r="3731">
      <c r="A3731" s="568" t="n">
        <v>46098</v>
      </c>
      <c r="B3731" s="392" t="n">
        <v>12533</v>
      </c>
      <c r="C3731" s="392" t="n">
        <v>79.2</v>
      </c>
      <c r="D3731" s="392" t="n"/>
      <c r="E3731" s="392" t="n"/>
      <c r="F3731" s="392" t="n"/>
      <c r="G3731" s="392" t="n">
        <v>50</v>
      </c>
      <c r="H3731" s="52">
        <f>H3730-G3731</f>
        <v/>
      </c>
      <c r="I3731" s="568" t="n"/>
      <c r="J3731" s="568" t="n"/>
      <c r="K3731" s="568" t="n"/>
      <c r="L3731" s="568" t="n"/>
    </row>
    <row r="3732">
      <c r="A3732" s="568" t="n">
        <v>46098</v>
      </c>
      <c r="B3732" s="392" t="n">
        <v>12534</v>
      </c>
      <c r="C3732" s="392" t="n">
        <v>78</v>
      </c>
      <c r="D3732" s="392" t="n"/>
      <c r="E3732" s="392" t="n"/>
      <c r="F3732" s="392" t="n"/>
      <c r="G3732" s="392" t="n">
        <v>10</v>
      </c>
      <c r="H3732" s="52">
        <f>H3731-G3732</f>
        <v/>
      </c>
      <c r="I3732" s="568" t="n"/>
      <c r="J3732" s="568" t="n"/>
      <c r="K3732" s="568" t="n"/>
      <c r="L3732" s="568" t="n"/>
    </row>
    <row r="3733">
      <c r="A3733" s="568" t="n">
        <v>46098</v>
      </c>
      <c r="B3733" s="392" t="n">
        <v>12537</v>
      </c>
      <c r="C3733" s="392" t="n">
        <v>80.72</v>
      </c>
      <c r="D3733" s="392" t="n"/>
      <c r="E3733" s="392" t="n"/>
      <c r="F3733" s="392" t="n"/>
      <c r="G3733" s="392" t="n">
        <v>50</v>
      </c>
      <c r="H3733" s="52">
        <f>H3732-G3733</f>
        <v/>
      </c>
      <c r="I3733" s="568" t="n"/>
      <c r="J3733" s="568" t="n"/>
      <c r="K3733" s="568" t="n"/>
      <c r="L3733" s="568" t="n"/>
    </row>
    <row r="3734">
      <c r="A3734" s="568" t="n">
        <v>46098</v>
      </c>
      <c r="B3734" s="392" t="n">
        <v>12539</v>
      </c>
      <c r="C3734" s="392" t="n">
        <v>79.67</v>
      </c>
      <c r="D3734" s="392" t="n"/>
      <c r="E3734" s="392" t="n"/>
      <c r="F3734" s="392" t="n"/>
      <c r="G3734" s="392" t="n">
        <v>12</v>
      </c>
      <c r="H3734" s="52">
        <f>H3733-G3734</f>
        <v/>
      </c>
      <c r="I3734" s="568" t="n"/>
      <c r="J3734" s="568" t="n"/>
      <c r="K3734" s="568" t="n"/>
      <c r="L3734" s="568" t="n"/>
    </row>
    <row r="3735">
      <c r="A3735" s="568" t="n">
        <v>46104</v>
      </c>
      <c r="B3735" s="392" t="n">
        <v>12547</v>
      </c>
      <c r="C3735" s="392" t="n">
        <v>80.40000000000001</v>
      </c>
      <c r="D3735" s="392" t="n"/>
      <c r="E3735" s="392" t="n"/>
      <c r="F3735" s="392" t="n"/>
      <c r="G3735" s="392" t="n">
        <v>15</v>
      </c>
      <c r="H3735" s="52">
        <f>H3734-G3735</f>
        <v/>
      </c>
      <c r="I3735" s="568" t="n"/>
      <c r="J3735" s="568" t="n"/>
      <c r="K3735" s="568" t="n"/>
      <c r="L3735" s="568" t="n"/>
    </row>
    <row r="3736">
      <c r="A3736" s="568" t="n">
        <v>46104</v>
      </c>
      <c r="B3736" s="392" t="n">
        <v>12549</v>
      </c>
      <c r="C3736" s="392" t="n">
        <v>78</v>
      </c>
      <c r="D3736" s="392" t="n"/>
      <c r="E3736" s="392" t="n"/>
      <c r="F3736" s="392" t="n"/>
      <c r="G3736" s="392" t="n">
        <v>20</v>
      </c>
      <c r="H3736" s="52">
        <f>H3735-G3736</f>
        <v/>
      </c>
      <c r="I3736" s="568" t="n"/>
      <c r="J3736" s="568" t="n"/>
      <c r="K3736" s="568" t="n"/>
      <c r="L3736" s="568" t="n"/>
    </row>
    <row r="3737">
      <c r="A3737" s="568" t="n">
        <v>46104</v>
      </c>
      <c r="B3737" s="392" t="n">
        <v>12551</v>
      </c>
      <c r="C3737" s="392" t="n">
        <v>75</v>
      </c>
      <c r="D3737" s="392" t="n"/>
      <c r="E3737" s="392" t="n"/>
      <c r="F3737" s="392" t="n"/>
      <c r="G3737" s="392" t="n">
        <v>30</v>
      </c>
      <c r="H3737" s="52">
        <f>H3736-G3737</f>
        <v/>
      </c>
      <c r="I3737" s="568" t="n"/>
      <c r="J3737" s="568" t="n"/>
      <c r="K3737" s="568" t="n"/>
      <c r="L3737" s="568" t="n"/>
    </row>
    <row r="3738">
      <c r="A3738" s="568" t="n">
        <v>46106</v>
      </c>
      <c r="B3738" s="392" t="n">
        <v>12552</v>
      </c>
      <c r="C3738" s="392" t="n">
        <v>80.3</v>
      </c>
      <c r="D3738" s="392" t="n"/>
      <c r="E3738" s="392" t="n"/>
      <c r="F3738" s="392" t="n"/>
      <c r="G3738" s="392" t="n">
        <v>13</v>
      </c>
      <c r="H3738" s="52">
        <f>H3737-G3738</f>
        <v/>
      </c>
      <c r="I3738" s="568" t="n"/>
      <c r="J3738" s="568" t="n"/>
      <c r="K3738" s="568" t="n"/>
      <c r="L3738" s="568" t="n"/>
    </row>
    <row r="3739">
      <c r="A3739" s="568" t="n">
        <v>46112</v>
      </c>
      <c r="B3739" s="392" t="n">
        <v>12564</v>
      </c>
      <c r="C3739" s="392" t="n">
        <v>73</v>
      </c>
      <c r="D3739" s="392" t="n"/>
      <c r="E3739" s="392" t="n"/>
      <c r="F3739" s="392" t="n"/>
      <c r="G3739" s="392" t="n">
        <v>100</v>
      </c>
      <c r="H3739" s="52">
        <f>H3738-G3739</f>
        <v/>
      </c>
      <c r="I3739" s="568" t="n"/>
      <c r="J3739" s="568" t="n"/>
      <c r="K3739" s="568" t="n"/>
      <c r="L3739" s="568" t="n"/>
    </row>
    <row r="3740">
      <c r="A3740" s="568" t="n">
        <v>46112</v>
      </c>
      <c r="B3740" s="392" t="n">
        <v>12565</v>
      </c>
      <c r="C3740" s="392" t="n">
        <v>80.40000000000001</v>
      </c>
      <c r="D3740" s="392" t="n"/>
      <c r="E3740" s="392" t="n"/>
      <c r="F3740" s="392" t="n"/>
      <c r="G3740" s="392" t="n">
        <v>50</v>
      </c>
      <c r="H3740" s="52">
        <f>H3739-G3740</f>
        <v/>
      </c>
      <c r="I3740" s="568" t="n"/>
      <c r="J3740" s="568" t="n"/>
      <c r="K3740" s="568" t="n"/>
      <c r="L3740" s="568" t="n"/>
    </row>
    <row r="3741">
      <c r="A3741" s="568" t="n">
        <v>46112</v>
      </c>
      <c r="B3741" s="392" t="n">
        <v>12566</v>
      </c>
      <c r="C3741" s="392" t="n">
        <v>81.08</v>
      </c>
      <c r="D3741" s="392" t="n"/>
      <c r="E3741" s="392" t="n"/>
      <c r="F3741" s="392" t="n"/>
      <c r="G3741" s="392" t="n">
        <v>50</v>
      </c>
      <c r="H3741" s="52">
        <f>H3740-G3741</f>
        <v/>
      </c>
      <c r="I3741" s="568" t="n"/>
      <c r="J3741" s="568" t="n"/>
      <c r="K3741" s="568" t="n"/>
      <c r="L3741" s="568" t="n"/>
    </row>
    <row r="3742" ht="15.75" customHeight="1" s="436" thickBot="1">
      <c r="A3742" s="414" t="n"/>
      <c r="H3742" s="171" t="n"/>
      <c r="I3742" s="414" t="n"/>
      <c r="J3742" s="414" t="n"/>
      <c r="K3742" s="414" t="n"/>
      <c r="L3742" s="414" t="n"/>
    </row>
    <row r="3743" ht="21.75" customHeight="1" s="436" thickBot="1">
      <c r="A3743" s="757" t="inlineStr">
        <is>
          <t>Abril</t>
        </is>
      </c>
      <c r="B3743" s="697" t="n"/>
      <c r="C3743" s="697" t="n"/>
      <c r="D3743" s="697" t="n"/>
      <c r="E3743" s="697" t="n"/>
      <c r="F3743" s="697" t="n"/>
      <c r="G3743" s="697" t="n"/>
      <c r="H3743" s="697" t="n"/>
      <c r="I3743" s="697" t="n"/>
      <c r="J3743" s="697" t="n"/>
      <c r="K3743" s="697" t="n"/>
      <c r="L3743" s="698" t="n"/>
    </row>
    <row r="3744" ht="21.75" customHeight="1" s="436" thickBot="1">
      <c r="A3744" s="699" t="inlineStr">
        <is>
          <t xml:space="preserve">021 - DENISE FURTADO DE SOUZA - ME </t>
        </is>
      </c>
      <c r="B3744" s="697" t="n"/>
      <c r="C3744" s="697" t="n"/>
      <c r="D3744" s="697" t="n"/>
      <c r="E3744" s="697" t="n"/>
      <c r="F3744" s="697" t="n"/>
      <c r="G3744" s="697" t="n"/>
      <c r="H3744" s="697" t="n"/>
      <c r="I3744" s="697" t="n"/>
      <c r="J3744" s="697" t="n"/>
      <c r="K3744" s="697" t="n"/>
      <c r="L3744" s="698" t="n"/>
    </row>
    <row r="3745" ht="24" customHeight="1" s="436" thickBot="1">
      <c r="A3745" s="759" t="inlineStr">
        <is>
          <t xml:space="preserve">  PRÉ MISTURA - 25 KG</t>
        </is>
      </c>
      <c r="B3745" s="697" t="n"/>
      <c r="C3745" s="697" t="n"/>
      <c r="D3745" s="697" t="n"/>
      <c r="E3745" s="697" t="n"/>
      <c r="F3745" s="697" t="n"/>
      <c r="G3745" s="697" t="n"/>
      <c r="H3745" s="697" t="n"/>
      <c r="I3745" s="697" t="n"/>
      <c r="J3745" s="697" t="n"/>
      <c r="K3745" s="697" t="n"/>
      <c r="L3745" s="698" t="n"/>
    </row>
    <row r="3746">
      <c r="A3746" s="3" t="inlineStr">
        <is>
          <t>DATA</t>
        </is>
      </c>
      <c r="B3746" s="3" t="inlineStr">
        <is>
          <t>N.F.</t>
        </is>
      </c>
      <c r="C3746" s="3" t="inlineStr">
        <is>
          <t>TIPO</t>
        </is>
      </c>
      <c r="D3746" s="3" t="inlineStr">
        <is>
          <t>PREÇO UNITÁRIO</t>
        </is>
      </c>
      <c r="E3746" s="736" t="n"/>
      <c r="F3746" s="3" t="inlineStr">
        <is>
          <t>QUANTIDADE / KG</t>
        </is>
      </c>
      <c r="G3746" s="737" t="n"/>
      <c r="H3746" s="736" t="n"/>
      <c r="I3746" s="631" t="inlineStr">
        <is>
          <t>PREÇO</t>
        </is>
      </c>
      <c r="J3746" s="631" t="inlineStr">
        <is>
          <t>VALORES</t>
        </is>
      </c>
      <c r="K3746" s="737" t="n"/>
      <c r="L3746" s="736" t="n"/>
    </row>
    <row r="3747" ht="15.75" customHeight="1" s="436" thickBot="1">
      <c r="A3747" s="704" t="n"/>
      <c r="B3747" s="704" t="n"/>
      <c r="C3747" s="704" t="n"/>
      <c r="D3747" s="703" t="n"/>
      <c r="E3747" s="701" t="n"/>
      <c r="F3747" s="705" t="n"/>
      <c r="G3747" s="706" t="n"/>
      <c r="H3747" s="707" t="n"/>
      <c r="I3747" s="704" t="n"/>
      <c r="J3747" s="703" t="n"/>
      <c r="L3747" s="701" t="n"/>
    </row>
    <row r="3748" ht="15.75" customHeight="1" s="436" thickBot="1">
      <c r="A3748" s="704" t="n"/>
      <c r="B3748" s="704" t="n"/>
      <c r="C3748" s="704" t="n"/>
      <c r="D3748" s="705" t="n"/>
      <c r="E3748" s="707" t="n"/>
      <c r="F3748" s="3" t="inlineStr">
        <is>
          <t>ENTRADA</t>
        </is>
      </c>
      <c r="G3748" s="3" t="inlineStr">
        <is>
          <t>SAÍDA</t>
        </is>
      </c>
      <c r="H3748" s="640" t="n"/>
      <c r="I3748" s="633" t="inlineStr">
        <is>
          <t>MÉDIO</t>
        </is>
      </c>
      <c r="J3748" s="739" t="inlineStr">
        <is>
          <t>SALDO EM 30/12/2017</t>
        </is>
      </c>
      <c r="K3748" s="707" t="n"/>
      <c r="L3748" s="17" t="n"/>
    </row>
    <row r="3749" ht="15.75" customHeight="1" s="436" thickBot="1">
      <c r="A3749" s="695" t="n"/>
      <c r="B3749" s="695" t="n"/>
      <c r="C3749" s="695" t="n"/>
      <c r="D3749" s="3" t="inlineStr">
        <is>
          <t>C/ICMS</t>
        </is>
      </c>
      <c r="E3749" s="3" t="inlineStr">
        <is>
          <t>S/ICMS</t>
        </is>
      </c>
      <c r="F3749" s="695" t="n"/>
      <c r="G3749" s="695" t="n"/>
      <c r="H3749" s="361" t="inlineStr">
        <is>
          <t>Saldo em 31/03/2026</t>
        </is>
      </c>
      <c r="I3749" s="695" t="n"/>
      <c r="J3749" s="645" t="inlineStr">
        <is>
          <t>ENTRADA</t>
        </is>
      </c>
      <c r="K3749" s="633" t="inlineStr">
        <is>
          <t>SAÍDA / CMV</t>
        </is>
      </c>
      <c r="L3749" s="633" t="inlineStr">
        <is>
          <t>SALDO</t>
        </is>
      </c>
    </row>
    <row r="3750">
      <c r="A3750" s="568" t="n"/>
      <c r="B3750" s="392" t="n"/>
      <c r="C3750" s="392" t="n"/>
      <c r="D3750" s="392" t="n"/>
      <c r="E3750" s="392" t="n"/>
      <c r="F3750" s="392" t="n"/>
      <c r="G3750" s="392" t="n"/>
      <c r="H3750" s="52" t="n">
        <v>2090</v>
      </c>
      <c r="I3750" s="568" t="n"/>
      <c r="J3750" s="568" t="n"/>
      <c r="K3750" s="568" t="n"/>
      <c r="L3750" s="392" t="n"/>
    </row>
    <row r="3751">
      <c r="A3751" s="568" t="n">
        <v>46113</v>
      </c>
      <c r="B3751" s="392" t="n">
        <v>12567</v>
      </c>
      <c r="C3751" s="392" t="n">
        <v>83.13</v>
      </c>
      <c r="D3751" s="392" t="n"/>
      <c r="E3751" s="392" t="n"/>
      <c r="F3751" s="392" t="n"/>
      <c r="G3751" s="392" t="n">
        <v>32</v>
      </c>
      <c r="H3751" s="52">
        <f>H3750-G3751</f>
        <v/>
      </c>
      <c r="I3751" s="568" t="n"/>
      <c r="J3751" s="568" t="n"/>
      <c r="K3751" s="568" t="n"/>
      <c r="L3751" s="568" t="n"/>
    </row>
    <row r="3752">
      <c r="A3752" s="568" t="n">
        <v>46117</v>
      </c>
      <c r="B3752" s="392" t="n">
        <v>12568</v>
      </c>
      <c r="C3752" s="392" t="n">
        <v>78</v>
      </c>
      <c r="D3752" s="392" t="n"/>
      <c r="E3752" s="392" t="n"/>
      <c r="F3752" s="392" t="n"/>
      <c r="G3752" s="392" t="n">
        <v>30</v>
      </c>
      <c r="H3752" s="52">
        <f>H3751-G3752</f>
        <v/>
      </c>
      <c r="I3752" s="568" t="n"/>
      <c r="J3752" s="568" t="n"/>
      <c r="K3752" s="568" t="n"/>
      <c r="L3752" s="568" t="n"/>
    </row>
    <row r="3753">
      <c r="A3753" s="568" t="n">
        <v>46118</v>
      </c>
      <c r="B3753" s="392" t="n">
        <v>12571</v>
      </c>
      <c r="C3753" s="392" t="n">
        <v>78.5</v>
      </c>
      <c r="D3753" s="392" t="n"/>
      <c r="E3753" s="392" t="n"/>
      <c r="F3753" s="392" t="n"/>
      <c r="G3753" s="392" t="n">
        <v>50</v>
      </c>
      <c r="H3753" s="52">
        <f>H3752-G3753</f>
        <v/>
      </c>
      <c r="I3753" s="568" t="n"/>
      <c r="J3753" s="568" t="n"/>
      <c r="K3753" s="568" t="n"/>
      <c r="L3753" s="568" t="n"/>
    </row>
    <row r="3754">
      <c r="A3754" s="568" t="n">
        <v>46118</v>
      </c>
      <c r="B3754" s="392" t="n">
        <v>12573</v>
      </c>
      <c r="C3754" s="392" t="n">
        <v>78</v>
      </c>
      <c r="D3754" s="392" t="n"/>
      <c r="E3754" s="392" t="n"/>
      <c r="F3754" s="392" t="n"/>
      <c r="G3754" s="392" t="n">
        <v>10</v>
      </c>
      <c r="H3754" s="52">
        <f>H3753-G3754</f>
        <v/>
      </c>
      <c r="I3754" s="568" t="n"/>
      <c r="J3754" s="568" t="n"/>
      <c r="K3754" s="568" t="n"/>
      <c r="L3754" s="568" t="n"/>
    </row>
    <row r="3755">
      <c r="A3755" s="568" t="n">
        <v>46118</v>
      </c>
      <c r="B3755" s="392" t="n">
        <v>12577</v>
      </c>
      <c r="C3755" s="392" t="n">
        <v>80</v>
      </c>
      <c r="D3755" s="392" t="n"/>
      <c r="E3755" s="392" t="n"/>
      <c r="F3755" s="392" t="n"/>
      <c r="G3755" s="392" t="n">
        <v>20</v>
      </c>
      <c r="H3755" s="52">
        <f>H3754-G3755</f>
        <v/>
      </c>
      <c r="I3755" s="568" t="n"/>
      <c r="J3755" s="568" t="n"/>
      <c r="K3755" s="568" t="n"/>
      <c r="L3755" s="568" t="n"/>
    </row>
    <row r="3756">
      <c r="A3756" s="568" t="n">
        <v>46118</v>
      </c>
      <c r="B3756" s="392" t="n">
        <v>12579</v>
      </c>
      <c r="C3756" s="392" t="n">
        <v>75</v>
      </c>
      <c r="D3756" s="392" t="n"/>
      <c r="E3756" s="392" t="n"/>
      <c r="F3756" s="392" t="n"/>
      <c r="G3756" s="392" t="n">
        <v>30</v>
      </c>
      <c r="H3756" s="52">
        <f>H3755-G3756</f>
        <v/>
      </c>
      <c r="I3756" s="568" t="n"/>
      <c r="J3756" s="568" t="n"/>
      <c r="K3756" s="568" t="n"/>
      <c r="L3756" s="568" t="n"/>
    </row>
    <row r="3757">
      <c r="A3757" s="568" t="n">
        <v>46125</v>
      </c>
      <c r="B3757" s="392" t="n">
        <v>12586</v>
      </c>
      <c r="C3757" s="392" t="n">
        <v>82</v>
      </c>
      <c r="D3757" s="392" t="n"/>
      <c r="E3757" s="392" t="n"/>
      <c r="F3757" s="392" t="n"/>
      <c r="G3757" s="392" t="n">
        <v>100</v>
      </c>
      <c r="H3757" s="52">
        <f>H3756-G3757</f>
        <v/>
      </c>
      <c r="I3757" s="568" t="n"/>
      <c r="J3757" s="568" t="n"/>
      <c r="K3757" s="568" t="n"/>
      <c r="L3757" s="568" t="n"/>
    </row>
    <row r="3758">
      <c r="A3758" s="304" t="n">
        <v>46126</v>
      </c>
      <c r="B3758" s="401" t="n">
        <v>307766</v>
      </c>
      <c r="C3758" s="401" t="n">
        <v>60</v>
      </c>
      <c r="D3758" s="401" t="n"/>
      <c r="E3758" s="401" t="n"/>
      <c r="F3758" s="401" t="n">
        <v>980</v>
      </c>
      <c r="G3758" s="401" t="n"/>
      <c r="H3758" s="277" t="n">
        <v>2798</v>
      </c>
      <c r="I3758" s="568" t="n"/>
      <c r="J3758" s="568" t="n"/>
      <c r="K3758" s="568" t="n"/>
      <c r="L3758" s="568" t="n"/>
    </row>
    <row r="3759">
      <c r="A3759" s="568" t="n">
        <v>46126</v>
      </c>
      <c r="B3759" s="392" t="n">
        <v>12589</v>
      </c>
      <c r="C3759" s="392" t="n">
        <v>78</v>
      </c>
      <c r="D3759" s="392" t="n"/>
      <c r="E3759" s="392" t="n"/>
      <c r="F3759" s="392" t="n"/>
      <c r="G3759" s="392" t="n">
        <v>30</v>
      </c>
      <c r="H3759" s="52">
        <f>H3758-G3759</f>
        <v/>
      </c>
      <c r="I3759" s="568" t="n"/>
      <c r="J3759" s="568" t="n"/>
      <c r="K3759" s="568" t="n"/>
      <c r="L3759" s="568" t="n"/>
    </row>
    <row r="3760">
      <c r="A3760" s="568" t="n">
        <v>46126</v>
      </c>
      <c r="B3760" s="392" t="n">
        <v>12590</v>
      </c>
      <c r="C3760" s="392" t="n">
        <v>80.72</v>
      </c>
      <c r="D3760" s="392" t="n"/>
      <c r="E3760" s="392" t="n"/>
      <c r="F3760" s="392" t="n"/>
      <c r="G3760" s="392" t="n">
        <v>50</v>
      </c>
      <c r="H3760" s="52">
        <f>H3759-G3760</f>
        <v/>
      </c>
      <c r="I3760" s="568" t="n"/>
      <c r="J3760" s="568" t="n"/>
      <c r="K3760" s="568" t="n"/>
      <c r="L3760" s="568" t="n"/>
    </row>
    <row r="3761">
      <c r="A3761" s="568" t="n">
        <v>46126</v>
      </c>
      <c r="B3761" s="392" t="n">
        <v>12591</v>
      </c>
      <c r="C3761" s="392" t="n">
        <v>82.86</v>
      </c>
      <c r="D3761" s="392" t="n"/>
      <c r="E3761" s="392" t="n"/>
      <c r="F3761" s="392" t="n"/>
      <c r="G3761" s="392" t="n">
        <v>28</v>
      </c>
      <c r="H3761" s="52">
        <f>H3760-G3761</f>
        <v/>
      </c>
      <c r="I3761" s="568" t="n"/>
      <c r="J3761" s="568" t="n"/>
      <c r="K3761" s="568" t="n"/>
      <c r="L3761" s="568" t="n"/>
    </row>
    <row r="3762">
      <c r="A3762" s="568" t="n">
        <v>46127</v>
      </c>
      <c r="B3762" s="392" t="n">
        <v>12592</v>
      </c>
      <c r="C3762" s="392" t="n">
        <v>75</v>
      </c>
      <c r="D3762" s="392" t="n"/>
      <c r="E3762" s="392" t="n"/>
      <c r="F3762" s="392" t="n"/>
      <c r="G3762" s="392" t="n">
        <v>20</v>
      </c>
      <c r="H3762" s="52">
        <f>H3761-G3762</f>
        <v/>
      </c>
      <c r="I3762" s="562" t="n"/>
      <c r="J3762" s="568" t="n"/>
      <c r="K3762" s="568" t="n"/>
      <c r="L3762" s="568" t="n"/>
    </row>
    <row r="3763">
      <c r="A3763" s="568" t="n">
        <v>46132</v>
      </c>
      <c r="B3763" s="392" t="n">
        <v>12593</v>
      </c>
      <c r="C3763" s="392" t="n">
        <v>50</v>
      </c>
      <c r="D3763" s="392" t="n"/>
      <c r="E3763" s="392" t="n"/>
      <c r="F3763" s="392" t="n"/>
      <c r="G3763" s="392" t="n">
        <v>80</v>
      </c>
      <c r="H3763" s="52">
        <f>H3762-G3763</f>
        <v/>
      </c>
      <c r="I3763" s="568" t="n"/>
      <c r="J3763" s="568" t="n"/>
      <c r="K3763" s="568" t="n"/>
      <c r="L3763" s="568" t="n"/>
    </row>
    <row r="3764">
      <c r="A3764" s="568" t="n">
        <v>46132</v>
      </c>
      <c r="B3764" s="392" t="n">
        <v>12594</v>
      </c>
      <c r="C3764" s="392" t="n">
        <v>88.5</v>
      </c>
      <c r="D3764" s="392" t="n"/>
      <c r="E3764" s="392" t="n"/>
      <c r="F3764" s="392" t="n"/>
      <c r="G3764" s="392" t="n">
        <v>40</v>
      </c>
      <c r="H3764" s="52">
        <f>H3763-G3764</f>
        <v/>
      </c>
      <c r="I3764" s="568" t="n"/>
      <c r="J3764" s="568" t="n"/>
      <c r="K3764" s="568" t="n"/>
      <c r="L3764" s="568" t="n"/>
    </row>
    <row r="3765">
      <c r="A3765" s="568" t="n">
        <v>46132</v>
      </c>
      <c r="B3765" s="392" t="n">
        <v>12602</v>
      </c>
      <c r="C3765" s="392" t="n">
        <v>78</v>
      </c>
      <c r="D3765" s="392" t="n"/>
      <c r="E3765" s="392" t="n"/>
      <c r="F3765" s="392" t="n"/>
      <c r="G3765" s="392" t="n">
        <v>30</v>
      </c>
      <c r="H3765" s="52">
        <f>H3764-G3765</f>
        <v/>
      </c>
      <c r="I3765" s="568" t="n"/>
      <c r="J3765" s="568" t="n"/>
      <c r="K3765" s="568" t="n"/>
      <c r="L3765" s="568" t="n"/>
    </row>
    <row r="3766">
      <c r="A3766" s="568" t="n">
        <v>46133</v>
      </c>
      <c r="B3766" s="392" t="n">
        <v>12603</v>
      </c>
      <c r="C3766" s="392" t="n">
        <v>81.34</v>
      </c>
      <c r="D3766" s="392" t="n"/>
      <c r="E3766" s="392" t="n"/>
      <c r="F3766" s="392" t="n"/>
      <c r="G3766" s="392" t="n">
        <v>30</v>
      </c>
      <c r="H3766" s="52">
        <f>H3765-G3766</f>
        <v/>
      </c>
      <c r="I3766" s="568" t="n"/>
      <c r="J3766" s="568" t="n"/>
      <c r="K3766" s="568" t="n"/>
      <c r="L3766" s="568" t="n"/>
    </row>
    <row r="3767">
      <c r="A3767" s="568" t="n">
        <v>46133</v>
      </c>
      <c r="B3767" s="392" t="n">
        <v>12604</v>
      </c>
      <c r="C3767" s="392" t="n">
        <v>81.59999999999999</v>
      </c>
      <c r="D3767" s="392" t="n"/>
      <c r="E3767" s="392" t="n"/>
      <c r="F3767" s="392" t="n"/>
      <c r="G3767" s="392" t="n">
        <v>50</v>
      </c>
      <c r="H3767" s="52">
        <f>H3766-G3767</f>
        <v/>
      </c>
      <c r="I3767" s="568" t="n"/>
      <c r="J3767" s="568" t="n"/>
      <c r="K3767" s="568" t="n"/>
      <c r="L3767" s="568" t="n"/>
    </row>
    <row r="3768">
      <c r="A3768" s="568" t="n">
        <v>46133</v>
      </c>
      <c r="B3768" s="392" t="n">
        <v>12606</v>
      </c>
      <c r="C3768" s="392" t="n">
        <v>81.25</v>
      </c>
      <c r="D3768" s="392" t="n"/>
      <c r="E3768" s="392" t="n"/>
      <c r="F3768" s="392" t="n"/>
      <c r="G3768" s="392" t="n">
        <v>40</v>
      </c>
      <c r="H3768" s="52">
        <f>H3767-G3768</f>
        <v/>
      </c>
      <c r="I3768" s="568" t="n"/>
      <c r="J3768" s="568" t="n"/>
      <c r="K3768" s="568" t="n"/>
      <c r="L3768" s="568" t="n"/>
    </row>
    <row r="3769">
      <c r="A3769" s="568" t="n">
        <v>46139</v>
      </c>
      <c r="B3769" s="392" t="n">
        <v>12613</v>
      </c>
      <c r="C3769" s="392" t="n">
        <v>78</v>
      </c>
      <c r="D3769" s="392" t="n"/>
      <c r="E3769" s="392" t="n"/>
      <c r="F3769" s="392" t="n"/>
      <c r="G3769" s="392" t="n">
        <v>30</v>
      </c>
      <c r="H3769" s="52">
        <f>H3768-G3769</f>
        <v/>
      </c>
      <c r="I3769" s="568" t="n"/>
      <c r="J3769" s="568" t="n"/>
      <c r="K3769" s="568" t="n"/>
      <c r="L3769" s="568" t="n"/>
    </row>
    <row r="3770">
      <c r="A3770" s="568" t="n">
        <v>46141</v>
      </c>
      <c r="B3770" s="392" t="n">
        <v>12616</v>
      </c>
      <c r="C3770" s="392" t="n">
        <v>79</v>
      </c>
      <c r="D3770" s="392" t="n"/>
      <c r="E3770" s="392" t="n"/>
      <c r="F3770" s="392" t="n"/>
      <c r="G3770" s="392" t="n">
        <v>50</v>
      </c>
      <c r="H3770" s="52">
        <f>H3769-G3770</f>
        <v/>
      </c>
      <c r="I3770" s="568" t="n"/>
      <c r="J3770" s="568" t="n"/>
      <c r="K3770" s="568" t="n"/>
      <c r="L3770" s="568" t="n"/>
    </row>
    <row r="3771" ht="17.25" customHeight="1" s="436">
      <c r="A3771" s="568" t="n">
        <v>46141</v>
      </c>
      <c r="B3771" s="392" t="n">
        <v>12620</v>
      </c>
      <c r="C3771" s="392" t="n">
        <v>82.73</v>
      </c>
      <c r="D3771" s="392" t="n"/>
      <c r="E3771" s="392" t="n"/>
      <c r="F3771" s="392" t="n"/>
      <c r="G3771" s="392" t="n">
        <v>55</v>
      </c>
      <c r="H3771" s="561">
        <f>H3770-G3771</f>
        <v/>
      </c>
      <c r="I3771" s="568" t="n"/>
      <c r="J3771" s="568" t="n"/>
      <c r="K3771" s="568" t="n"/>
      <c r="L3771" s="568" t="n"/>
    </row>
    <row r="3772" ht="15.75" customHeight="1" s="436" thickBot="1">
      <c r="A3772" s="414" t="n"/>
      <c r="H3772" s="171" t="n"/>
      <c r="I3772" s="414" t="n"/>
      <c r="J3772" s="414" t="n"/>
      <c r="K3772" s="414" t="n"/>
      <c r="L3772" s="414" t="n"/>
    </row>
    <row r="3773" ht="21.75" customHeight="1" s="436" thickBot="1">
      <c r="A3773" s="757" t="inlineStr">
        <is>
          <t>Maio</t>
        </is>
      </c>
      <c r="B3773" s="697" t="n"/>
      <c r="C3773" s="697" t="n"/>
      <c r="D3773" s="697" t="n"/>
      <c r="E3773" s="697" t="n"/>
      <c r="F3773" s="697" t="n"/>
      <c r="G3773" s="697" t="n"/>
      <c r="H3773" s="697" t="n"/>
      <c r="I3773" s="697" t="n"/>
      <c r="J3773" s="697" t="n"/>
      <c r="K3773" s="697" t="n"/>
      <c r="L3773" s="698" t="n"/>
    </row>
    <row r="3774" ht="21.75" customHeight="1" s="436" thickBot="1">
      <c r="A3774" s="699" t="inlineStr">
        <is>
          <t xml:space="preserve">021 - DENISE FURTADO DE SOUZA - ME </t>
        </is>
      </c>
      <c r="B3774" s="697" t="n"/>
      <c r="C3774" s="697" t="n"/>
      <c r="D3774" s="697" t="n"/>
      <c r="E3774" s="697" t="n"/>
      <c r="F3774" s="697" t="n"/>
      <c r="G3774" s="697" t="n"/>
      <c r="H3774" s="697" t="n"/>
      <c r="I3774" s="697" t="n"/>
      <c r="J3774" s="697" t="n"/>
      <c r="K3774" s="697" t="n"/>
      <c r="L3774" s="698" t="n"/>
    </row>
    <row r="3775" ht="24" customHeight="1" s="436" thickBot="1">
      <c r="A3775" s="759" t="inlineStr">
        <is>
          <t xml:space="preserve">  PRÉ MISTURA - 25 KG</t>
        </is>
      </c>
      <c r="B3775" s="697" t="n"/>
      <c r="C3775" s="697" t="n"/>
      <c r="D3775" s="697" t="n"/>
      <c r="E3775" s="697" t="n"/>
      <c r="F3775" s="697" t="n"/>
      <c r="G3775" s="697" t="n"/>
      <c r="H3775" s="697" t="n"/>
      <c r="I3775" s="697" t="n"/>
      <c r="J3775" s="697" t="n"/>
      <c r="K3775" s="697" t="n"/>
      <c r="L3775" s="698" t="n"/>
    </row>
    <row r="3776">
      <c r="A3776" s="3" t="inlineStr">
        <is>
          <t>DATA</t>
        </is>
      </c>
      <c r="B3776" s="3" t="inlineStr">
        <is>
          <t>N.F.</t>
        </is>
      </c>
      <c r="C3776" s="3" t="inlineStr">
        <is>
          <t>TIPO</t>
        </is>
      </c>
      <c r="D3776" s="3" t="inlineStr">
        <is>
          <t>PREÇO UNITÁRIO</t>
        </is>
      </c>
      <c r="E3776" s="736" t="n"/>
      <c r="F3776" s="3" t="inlineStr">
        <is>
          <t>QUANTIDADE / KG</t>
        </is>
      </c>
      <c r="G3776" s="737" t="n"/>
      <c r="H3776" s="736" t="n"/>
      <c r="I3776" s="631" t="inlineStr">
        <is>
          <t>PREÇO</t>
        </is>
      </c>
      <c r="J3776" s="631" t="inlineStr">
        <is>
          <t>VALORES</t>
        </is>
      </c>
      <c r="K3776" s="737" t="n"/>
      <c r="L3776" s="736" t="n"/>
    </row>
    <row r="3777" ht="15.75" customHeight="1" s="436" thickBot="1">
      <c r="A3777" s="704" t="n"/>
      <c r="B3777" s="704" t="n"/>
      <c r="C3777" s="704" t="n"/>
      <c r="D3777" s="703" t="n"/>
      <c r="E3777" s="701" t="n"/>
      <c r="F3777" s="705" t="n"/>
      <c r="G3777" s="706" t="n"/>
      <c r="H3777" s="707" t="n"/>
      <c r="I3777" s="704" t="n"/>
      <c r="J3777" s="703" t="n"/>
      <c r="L3777" s="701" t="n"/>
    </row>
    <row r="3778" ht="15.75" customHeight="1" s="436" thickBot="1">
      <c r="A3778" s="704" t="n"/>
      <c r="B3778" s="704" t="n"/>
      <c r="C3778" s="704" t="n"/>
      <c r="D3778" s="705" t="n"/>
      <c r="E3778" s="707" t="n"/>
      <c r="F3778" s="3" t="inlineStr">
        <is>
          <t>ENTRADA</t>
        </is>
      </c>
      <c r="G3778" s="3" t="inlineStr">
        <is>
          <t>SAÍDA</t>
        </is>
      </c>
      <c r="H3778" s="640" t="n"/>
      <c r="I3778" s="633" t="inlineStr">
        <is>
          <t>MÉDIO</t>
        </is>
      </c>
      <c r="J3778" s="739" t="inlineStr">
        <is>
          <t>SALDO EM 30/12/2017</t>
        </is>
      </c>
      <c r="K3778" s="707" t="n"/>
      <c r="L3778" s="17" t="n"/>
    </row>
    <row r="3779" ht="15.75" customHeight="1" s="436" thickBot="1">
      <c r="A3779" s="695" t="n"/>
      <c r="B3779" s="695" t="n"/>
      <c r="C3779" s="695" t="n"/>
      <c r="D3779" s="3" t="inlineStr">
        <is>
          <t>C/ICMS</t>
        </is>
      </c>
      <c r="E3779" s="3" t="inlineStr">
        <is>
          <t>S/ICMS</t>
        </is>
      </c>
      <c r="F3779" s="695" t="n"/>
      <c r="G3779" s="695" t="n"/>
      <c r="H3779" s="361" t="inlineStr">
        <is>
          <t>Saldo em 30/04/2026</t>
        </is>
      </c>
      <c r="I3779" s="695" t="n"/>
      <c r="J3779" s="645" t="inlineStr">
        <is>
          <t>ENTRADA</t>
        </is>
      </c>
      <c r="K3779" s="633" t="inlineStr">
        <is>
          <t>SAÍDA / CMV</t>
        </is>
      </c>
      <c r="L3779" s="633" t="inlineStr">
        <is>
          <t>SALDO</t>
        </is>
      </c>
    </row>
    <row r="3780">
      <c r="A3780" s="568" t="n"/>
      <c r="B3780" s="392" t="n"/>
      <c r="C3780" s="392" t="n"/>
      <c r="D3780" s="392" t="n"/>
      <c r="E3780" s="392" t="n"/>
      <c r="F3780" s="392" t="n"/>
      <c r="G3780" s="392" t="n"/>
      <c r="H3780" s="52" t="n">
        <v>2265</v>
      </c>
      <c r="I3780" s="568" t="n"/>
      <c r="J3780" s="568" t="n"/>
      <c r="K3780" s="568" t="n"/>
      <c r="L3780" s="392" t="n"/>
    </row>
    <row r="3781">
      <c r="A3781" s="568" t="n">
        <v>46148</v>
      </c>
      <c r="B3781" s="392" t="n">
        <v>12630</v>
      </c>
      <c r="C3781" s="392" t="n">
        <v>84.34</v>
      </c>
      <c r="D3781" s="392" t="n"/>
      <c r="E3781" s="392" t="n"/>
      <c r="F3781" s="392" t="n"/>
      <c r="G3781" s="392" t="n">
        <v>30</v>
      </c>
      <c r="H3781" s="52">
        <f>H3780-G3781</f>
        <v/>
      </c>
      <c r="I3781" s="568" t="n"/>
      <c r="J3781" s="568" t="n"/>
      <c r="K3781" s="568" t="n"/>
      <c r="L3781" s="568" t="n"/>
    </row>
    <row r="3782" ht="17.25" customHeight="1" s="436">
      <c r="A3782" s="568" t="n">
        <v>46148</v>
      </c>
      <c r="B3782" s="392" t="n">
        <v>12631</v>
      </c>
      <c r="C3782" s="392" t="n">
        <v>83.34</v>
      </c>
      <c r="D3782" s="392" t="n"/>
      <c r="E3782" s="392" t="n"/>
      <c r="F3782" s="392" t="n"/>
      <c r="G3782" s="392" t="n">
        <v>15</v>
      </c>
      <c r="H3782" s="561">
        <f>H3781-G3782</f>
        <v/>
      </c>
      <c r="I3782" s="568" t="n"/>
      <c r="J3782" s="568" t="n"/>
      <c r="K3782" s="568" t="n"/>
      <c r="L3782" s="568" t="n"/>
    </row>
    <row r="3783">
      <c r="A3783" s="568" t="n">
        <v>46153</v>
      </c>
      <c r="B3783" s="392" t="n">
        <v>12633</v>
      </c>
      <c r="C3783" s="392" t="n">
        <v>84</v>
      </c>
      <c r="D3783" s="392" t="n"/>
      <c r="E3783" s="392" t="n"/>
      <c r="F3783" s="392" t="n"/>
      <c r="G3783" s="392" t="n">
        <v>10</v>
      </c>
      <c r="H3783" s="52">
        <f>H3782-G3783</f>
        <v/>
      </c>
      <c r="I3783" s="568" t="n"/>
      <c r="J3783" s="568" t="n"/>
      <c r="K3783" s="568" t="n"/>
      <c r="L3783" s="568" t="n"/>
    </row>
    <row r="3784">
      <c r="A3784" s="568" t="n">
        <v>46153</v>
      </c>
      <c r="B3784" s="392" t="n">
        <v>12637</v>
      </c>
      <c r="C3784" s="392" t="n">
        <v>81</v>
      </c>
      <c r="D3784" s="392" t="n"/>
      <c r="E3784" s="392" t="n"/>
      <c r="F3784" s="392" t="n"/>
      <c r="G3784" s="392" t="n">
        <v>50</v>
      </c>
      <c r="H3784" s="52">
        <f>H3783-G3784</f>
        <v/>
      </c>
      <c r="I3784" s="568" t="n"/>
      <c r="J3784" s="568" t="n"/>
      <c r="K3784" s="568" t="n"/>
      <c r="L3784" s="568" t="n"/>
    </row>
    <row r="3785">
      <c r="A3785" s="568" t="n">
        <v>46154</v>
      </c>
      <c r="B3785" s="392" t="n">
        <v>12639</v>
      </c>
      <c r="C3785" s="392" t="n">
        <v>81.09999999999999</v>
      </c>
      <c r="D3785" s="392" t="n"/>
      <c r="E3785" s="392" t="n"/>
      <c r="F3785" s="392" t="n"/>
      <c r="G3785" s="392" t="n">
        <v>100</v>
      </c>
      <c r="H3785" s="52">
        <f>H3784-G3785</f>
        <v/>
      </c>
      <c r="I3785" s="568" t="n"/>
      <c r="J3785" s="568" t="n"/>
      <c r="K3785" s="568" t="n"/>
      <c r="L3785" s="568" t="n"/>
    </row>
    <row r="3786">
      <c r="A3786" s="568" t="n">
        <v>46161</v>
      </c>
      <c r="B3786" s="392" t="n">
        <v>309465</v>
      </c>
      <c r="C3786" s="392" t="n"/>
      <c r="D3786" s="392" t="n"/>
      <c r="E3786" s="392" t="n"/>
      <c r="F3786" s="392" t="n">
        <v>290</v>
      </c>
      <c r="G3786" s="392" t="n"/>
      <c r="H3786" s="52" t="n">
        <v>2350</v>
      </c>
      <c r="I3786" s="568" t="n"/>
      <c r="J3786" s="568" t="n"/>
      <c r="K3786" s="568" t="n"/>
      <c r="L3786" s="568" t="n"/>
    </row>
    <row r="3787">
      <c r="A3787" s="568" t="n">
        <v>46160</v>
      </c>
      <c r="B3787" s="392" t="n">
        <v>12648</v>
      </c>
      <c r="C3787" s="392" t="n">
        <v>81.34</v>
      </c>
      <c r="D3787" s="392" t="n"/>
      <c r="E3787" s="392" t="n"/>
      <c r="F3787" s="392" t="n"/>
      <c r="G3787" s="392" t="n">
        <v>12</v>
      </c>
      <c r="H3787" s="52">
        <f>H3786-G3787</f>
        <v/>
      </c>
      <c r="I3787" s="568" t="n"/>
      <c r="J3787" s="568" t="n"/>
      <c r="K3787" s="568" t="n"/>
      <c r="L3787" s="568" t="n"/>
    </row>
    <row r="3788">
      <c r="A3788" s="568" t="n">
        <v>46160</v>
      </c>
      <c r="B3788" s="392" t="n">
        <v>12649</v>
      </c>
      <c r="C3788" s="392" t="n">
        <v>78</v>
      </c>
      <c r="D3788" s="392" t="n"/>
      <c r="E3788" s="392" t="n"/>
      <c r="F3788" s="392" t="n"/>
      <c r="G3788" s="392" t="n">
        <v>30</v>
      </c>
      <c r="H3788" s="52">
        <f>H3787-G3788</f>
        <v/>
      </c>
      <c r="I3788" s="568" t="n"/>
      <c r="J3788" s="568" t="n"/>
      <c r="K3788" s="568" t="n"/>
      <c r="L3788" s="568" t="n"/>
    </row>
    <row r="3789">
      <c r="A3789" s="568" t="n">
        <v>46162</v>
      </c>
      <c r="B3789" s="392" t="n">
        <v>12652</v>
      </c>
      <c r="C3789" s="392" t="n">
        <v>78.91</v>
      </c>
      <c r="D3789" s="392" t="n"/>
      <c r="E3789" s="392" t="n"/>
      <c r="F3789" s="392" t="n"/>
      <c r="G3789" s="392" t="n">
        <v>31</v>
      </c>
      <c r="H3789" s="52">
        <f>H3788-G3789</f>
        <v/>
      </c>
      <c r="I3789" s="568" t="n"/>
      <c r="J3789" s="568" t="n"/>
      <c r="K3789" s="568" t="n"/>
      <c r="L3789" s="568" t="n"/>
    </row>
    <row r="3790">
      <c r="A3790" s="568" t="n">
        <v>46162</v>
      </c>
      <c r="B3790" s="392" t="n">
        <v>12655</v>
      </c>
      <c r="C3790" s="392" t="n">
        <v>82</v>
      </c>
      <c r="D3790" s="392" t="n"/>
      <c r="E3790" s="392" t="n"/>
      <c r="F3790" s="392" t="n"/>
      <c r="G3790" s="392" t="n">
        <v>20</v>
      </c>
      <c r="H3790" s="52">
        <f>H3789-G3790</f>
        <v/>
      </c>
      <c r="I3790" s="568" t="n"/>
      <c r="J3790" s="568" t="n"/>
      <c r="K3790" s="568" t="n"/>
      <c r="L3790" s="568" t="n"/>
    </row>
    <row r="3791">
      <c r="A3791" s="568" t="n">
        <v>46169</v>
      </c>
      <c r="B3791" s="392" t="n">
        <v>12667</v>
      </c>
      <c r="C3791" s="392" t="n">
        <v>84</v>
      </c>
      <c r="D3791" s="392" t="n"/>
      <c r="E3791" s="392" t="n"/>
      <c r="F3791" s="392" t="n"/>
      <c r="G3791" s="392" t="n">
        <v>20</v>
      </c>
      <c r="H3791" s="52">
        <f>H3790-G3791</f>
        <v/>
      </c>
      <c r="I3791" s="568" t="n"/>
      <c r="J3791" s="568" t="n"/>
      <c r="K3791" s="568" t="n"/>
      <c r="L3791" s="568" t="n"/>
    </row>
    <row r="3792">
      <c r="A3792" s="568" t="n">
        <v>46169</v>
      </c>
      <c r="B3792" s="392" t="n">
        <v>12672</v>
      </c>
      <c r="C3792" s="392" t="n">
        <v>82.59999999999999</v>
      </c>
      <c r="D3792" s="392" t="n"/>
      <c r="E3792" s="392" t="n"/>
      <c r="F3792" s="392" t="n"/>
      <c r="G3792" s="392" t="n">
        <v>10</v>
      </c>
      <c r="H3792" s="52">
        <f>H3791-G3792</f>
        <v/>
      </c>
      <c r="I3792" s="568" t="n"/>
      <c r="J3792" s="568" t="n"/>
      <c r="K3792" s="568" t="n"/>
      <c r="L3792" s="568" t="n"/>
    </row>
    <row r="3793" ht="15.75" customHeight="1" s="436" thickBot="1">
      <c r="A3793" s="414" t="n"/>
      <c r="H3793" s="171" t="n"/>
      <c r="I3793" s="414" t="n"/>
      <c r="J3793" s="414" t="n"/>
      <c r="K3793" s="414" t="n"/>
      <c r="L3793" s="414" t="n"/>
    </row>
    <row r="3794" ht="21.75" customHeight="1" s="436" thickBot="1">
      <c r="A3794" s="757" t="inlineStr">
        <is>
          <t>Junho</t>
        </is>
      </c>
      <c r="B3794" s="697" t="n"/>
      <c r="C3794" s="697" t="n"/>
      <c r="D3794" s="697" t="n"/>
      <c r="E3794" s="697" t="n"/>
      <c r="F3794" s="697" t="n"/>
      <c r="G3794" s="697" t="n"/>
      <c r="H3794" s="697" t="n"/>
      <c r="I3794" s="697" t="n"/>
      <c r="J3794" s="697" t="n"/>
      <c r="K3794" s="697" t="n"/>
      <c r="L3794" s="698" t="n"/>
    </row>
    <row r="3795" ht="21.75" customHeight="1" s="436" thickBot="1">
      <c r="A3795" s="699" t="inlineStr">
        <is>
          <t xml:space="preserve">021 - DENISE FURTADO DE SOUZA - ME </t>
        </is>
      </c>
      <c r="B3795" s="697" t="n"/>
      <c r="C3795" s="697" t="n"/>
      <c r="D3795" s="697" t="n"/>
      <c r="E3795" s="697" t="n"/>
      <c r="F3795" s="697" t="n"/>
      <c r="G3795" s="697" t="n"/>
      <c r="H3795" s="697" t="n"/>
      <c r="I3795" s="697" t="n"/>
      <c r="J3795" s="697" t="n"/>
      <c r="K3795" s="697" t="n"/>
      <c r="L3795" s="698" t="n"/>
    </row>
    <row r="3796" ht="24" customHeight="1" s="436" thickBot="1">
      <c r="A3796" s="759" t="inlineStr">
        <is>
          <t xml:space="preserve">  PRÉ MISTURA - 25 KG</t>
        </is>
      </c>
      <c r="B3796" s="697" t="n"/>
      <c r="C3796" s="697" t="n"/>
      <c r="D3796" s="697" t="n"/>
      <c r="E3796" s="697" t="n"/>
      <c r="F3796" s="697" t="n"/>
      <c r="G3796" s="697" t="n"/>
      <c r="H3796" s="697" t="n"/>
      <c r="I3796" s="697" t="n"/>
      <c r="J3796" s="697" t="n"/>
      <c r="K3796" s="697" t="n"/>
      <c r="L3796" s="698" t="n"/>
    </row>
    <row r="3797">
      <c r="A3797" s="3" t="inlineStr">
        <is>
          <t>DATA</t>
        </is>
      </c>
      <c r="B3797" s="3" t="inlineStr">
        <is>
          <t>N.F.</t>
        </is>
      </c>
      <c r="C3797" s="3" t="inlineStr">
        <is>
          <t>TIPO</t>
        </is>
      </c>
      <c r="D3797" s="3" t="inlineStr">
        <is>
          <t>PREÇO UNITÁRIO</t>
        </is>
      </c>
      <c r="E3797" s="736" t="n"/>
      <c r="F3797" s="3" t="inlineStr">
        <is>
          <t>QUANTIDADE / KG</t>
        </is>
      </c>
      <c r="G3797" s="737" t="n"/>
      <c r="H3797" s="736" t="n"/>
      <c r="I3797" s="631" t="inlineStr">
        <is>
          <t>PREÇO</t>
        </is>
      </c>
      <c r="J3797" s="631" t="inlineStr">
        <is>
          <t>VALORES</t>
        </is>
      </c>
      <c r="K3797" s="737" t="n"/>
      <c r="L3797" s="736" t="n"/>
    </row>
    <row r="3798" ht="15.75" customHeight="1" s="436" thickBot="1">
      <c r="A3798" s="704" t="n"/>
      <c r="B3798" s="704" t="n"/>
      <c r="C3798" s="704" t="n"/>
      <c r="D3798" s="703" t="n"/>
      <c r="E3798" s="701" t="n"/>
      <c r="F3798" s="705" t="n"/>
      <c r="G3798" s="706" t="n"/>
      <c r="H3798" s="707" t="n"/>
      <c r="I3798" s="704" t="n"/>
      <c r="J3798" s="703" t="n"/>
      <c r="L3798" s="701" t="n"/>
    </row>
    <row r="3799" ht="15.75" customHeight="1" s="436" thickBot="1">
      <c r="A3799" s="704" t="n"/>
      <c r="B3799" s="704" t="n"/>
      <c r="C3799" s="704" t="n"/>
      <c r="D3799" s="705" t="n"/>
      <c r="E3799" s="707" t="n"/>
      <c r="F3799" s="3" t="inlineStr">
        <is>
          <t>ENTRADA</t>
        </is>
      </c>
      <c r="G3799" s="3" t="inlineStr">
        <is>
          <t>SAÍDA</t>
        </is>
      </c>
      <c r="H3799" s="640" t="n"/>
      <c r="I3799" s="633" t="inlineStr">
        <is>
          <t>MÉDIO</t>
        </is>
      </c>
      <c r="J3799" s="739" t="inlineStr">
        <is>
          <t>SALDO EM 30/12/2017</t>
        </is>
      </c>
      <c r="K3799" s="707" t="n"/>
      <c r="L3799" s="17" t="n"/>
    </row>
    <row r="3800" ht="15.75" customHeight="1" s="436" thickBot="1">
      <c r="A3800" s="695" t="n"/>
      <c r="B3800" s="695" t="n"/>
      <c r="C3800" s="695" t="n"/>
      <c r="D3800" s="3" t="inlineStr">
        <is>
          <t>C/ICMS</t>
        </is>
      </c>
      <c r="E3800" s="3" t="inlineStr">
        <is>
          <t>S/ICMS</t>
        </is>
      </c>
      <c r="F3800" s="695" t="n"/>
      <c r="G3800" s="695" t="n"/>
      <c r="H3800" s="361" t="inlineStr">
        <is>
          <t>Saldo em 31/05/2026</t>
        </is>
      </c>
      <c r="I3800" s="695" t="n"/>
      <c r="J3800" s="645" t="inlineStr">
        <is>
          <t>ENTRADA</t>
        </is>
      </c>
      <c r="K3800" s="633" t="inlineStr">
        <is>
          <t>SAÍDA / CMV</t>
        </is>
      </c>
      <c r="L3800" s="633" t="inlineStr">
        <is>
          <t>SALDO</t>
        </is>
      </c>
    </row>
    <row r="3801">
      <c r="A3801" s="568" t="n"/>
      <c r="B3801" s="392" t="n"/>
      <c r="C3801" s="392" t="n"/>
      <c r="D3801" s="392" t="n"/>
      <c r="E3801" s="392" t="n"/>
      <c r="F3801" s="392" t="n"/>
      <c r="G3801" s="392" t="n"/>
      <c r="H3801" s="52" t="n">
        <v>2227</v>
      </c>
      <c r="I3801" s="568" t="n"/>
      <c r="J3801" s="568" t="n"/>
      <c r="K3801" s="568" t="n"/>
      <c r="L3801" s="392" t="n"/>
    </row>
    <row r="3802">
      <c r="A3802" s="568" t="n">
        <v>46174</v>
      </c>
      <c r="B3802" s="392" t="n">
        <v>12682</v>
      </c>
      <c r="C3802" s="392" t="n">
        <v>81.12</v>
      </c>
      <c r="D3802" s="392" t="n"/>
      <c r="E3802" s="392" t="n"/>
      <c r="F3802" s="392" t="n"/>
      <c r="G3802" s="392" t="n">
        <v>45</v>
      </c>
      <c r="H3802" s="52">
        <f>H3801-G3802</f>
        <v/>
      </c>
      <c r="I3802" s="568" t="n"/>
      <c r="J3802" s="568" t="n"/>
      <c r="K3802" s="568" t="n"/>
      <c r="L3802" s="568" t="n"/>
    </row>
    <row r="3803">
      <c r="A3803" s="568" t="n">
        <v>46175</v>
      </c>
      <c r="B3803" s="392" t="n">
        <v>12683</v>
      </c>
      <c r="C3803" s="392" t="n">
        <v>81.59999999999999</v>
      </c>
      <c r="D3803" s="392" t="n"/>
      <c r="E3803" s="392" t="n"/>
      <c r="F3803" s="392" t="n"/>
      <c r="G3803" s="392" t="n">
        <v>50</v>
      </c>
      <c r="H3803" s="52">
        <f>H3802-G3803</f>
        <v/>
      </c>
      <c r="I3803" s="568" t="n"/>
      <c r="J3803" s="568" t="n"/>
      <c r="K3803" s="568" t="n"/>
      <c r="L3803" s="568" t="n"/>
    </row>
    <row r="3804">
      <c r="A3804" s="568" t="n">
        <v>46175</v>
      </c>
      <c r="B3804" s="392" t="n">
        <v>12685</v>
      </c>
      <c r="C3804" s="392" t="n">
        <v>78</v>
      </c>
      <c r="D3804" s="392" t="n"/>
      <c r="E3804" s="392" t="n"/>
      <c r="F3804" s="392" t="n"/>
      <c r="G3804" s="392" t="n">
        <v>30</v>
      </c>
      <c r="H3804" s="52">
        <f>H3803-G3804</f>
        <v/>
      </c>
      <c r="I3804" s="568" t="n"/>
      <c r="J3804" s="568" t="n"/>
      <c r="K3804" s="568" t="n"/>
      <c r="L3804" s="568" t="n"/>
    </row>
    <row r="3805">
      <c r="A3805" s="568" t="n">
        <v>46181</v>
      </c>
      <c r="B3805" s="392" t="n">
        <v>12692</v>
      </c>
      <c r="C3805" s="392" t="n">
        <v>78.90000000000001</v>
      </c>
      <c r="D3805" s="392" t="n"/>
      <c r="E3805" s="392" t="n"/>
      <c r="F3805" s="392" t="n"/>
      <c r="G3805" s="392" t="n">
        <v>51</v>
      </c>
      <c r="H3805" s="52">
        <f>H3804-G3805</f>
        <v/>
      </c>
      <c r="I3805" s="568" t="n"/>
      <c r="J3805" s="568" t="n"/>
      <c r="K3805" s="568" t="n"/>
      <c r="L3805" s="568" t="n"/>
    </row>
    <row r="3806">
      <c r="A3806" s="568" t="n">
        <v>46182</v>
      </c>
      <c r="B3806" s="392" t="n">
        <v>12695</v>
      </c>
      <c r="C3806" s="392" t="n">
        <v>84</v>
      </c>
      <c r="D3806" s="392" t="n"/>
      <c r="E3806" s="392" t="n"/>
      <c r="F3806" s="392" t="n"/>
      <c r="G3806" s="392" t="n">
        <v>30</v>
      </c>
      <c r="H3806" s="52">
        <f>H3805-G3806</f>
        <v/>
      </c>
      <c r="I3806" s="568" t="n"/>
      <c r="J3806" s="568" t="n"/>
      <c r="K3806" s="568" t="n"/>
      <c r="L3806" s="568" t="n"/>
    </row>
    <row r="3807">
      <c r="A3807" s="568" t="n">
        <v>46182</v>
      </c>
      <c r="B3807" s="392" t="n">
        <v>12700</v>
      </c>
      <c r="C3807" s="392" t="n">
        <v>82.59999999999999</v>
      </c>
      <c r="D3807" s="392" t="n"/>
      <c r="E3807" s="392" t="n"/>
      <c r="F3807" s="392" t="n"/>
      <c r="G3807" s="392" t="n">
        <v>10</v>
      </c>
      <c r="H3807" s="52">
        <f>H3806-G3807</f>
        <v/>
      </c>
      <c r="I3807" s="568" t="n"/>
      <c r="J3807" s="568" t="n"/>
      <c r="K3807" s="568" t="n"/>
      <c r="L3807" s="568" t="n"/>
    </row>
    <row r="3808">
      <c r="A3808" s="568" t="n">
        <v>46188</v>
      </c>
      <c r="B3808" s="392" t="n">
        <v>12704</v>
      </c>
      <c r="C3808" s="392" t="n">
        <v>78</v>
      </c>
      <c r="D3808" s="392" t="n"/>
      <c r="E3808" s="392" t="n"/>
      <c r="F3808" s="392" t="n"/>
      <c r="G3808" s="392" t="n">
        <v>30</v>
      </c>
      <c r="H3808" s="52">
        <f>H3807-G3808</f>
        <v/>
      </c>
      <c r="I3808" s="568" t="n"/>
      <c r="J3808" s="568" t="n"/>
      <c r="K3808" s="568" t="n"/>
      <c r="L3808" s="568" t="n"/>
    </row>
    <row r="3809">
      <c r="A3809" s="568" t="n">
        <v>46188</v>
      </c>
      <c r="B3809" s="392" t="n">
        <v>12709</v>
      </c>
      <c r="C3809" s="392" t="n">
        <v>78</v>
      </c>
      <c r="D3809" s="392" t="n"/>
      <c r="E3809" s="392" t="n"/>
      <c r="F3809" s="392" t="n"/>
      <c r="G3809" s="392" t="n">
        <v>30</v>
      </c>
      <c r="H3809" s="52">
        <f>H3808-G3809</f>
        <v/>
      </c>
      <c r="I3809" s="568" t="n"/>
      <c r="J3809" s="568" t="n"/>
      <c r="K3809" s="568" t="n"/>
      <c r="L3809" s="568" t="n"/>
    </row>
    <row r="3810">
      <c r="A3810" s="568" t="n">
        <v>46190</v>
      </c>
      <c r="B3810" s="392" t="n">
        <v>12711</v>
      </c>
      <c r="C3810" s="392" t="n">
        <v>82.5</v>
      </c>
      <c r="D3810" s="392" t="n"/>
      <c r="E3810" s="392" t="n"/>
      <c r="F3810" s="392" t="n"/>
      <c r="G3810" s="392" t="n">
        <v>40</v>
      </c>
      <c r="H3810" s="52">
        <f>H3809-G3810</f>
        <v/>
      </c>
      <c r="I3810" s="568" t="n"/>
      <c r="J3810" s="568" t="n"/>
      <c r="K3810" s="568" t="n"/>
      <c r="L3810" s="568" t="n"/>
    </row>
    <row r="3811">
      <c r="A3811" s="568" t="n">
        <v>46190</v>
      </c>
      <c r="B3811" s="392" t="n">
        <v>12714</v>
      </c>
      <c r="C3811" s="392" t="n">
        <v>82</v>
      </c>
      <c r="D3811" s="392" t="n"/>
      <c r="E3811" s="392" t="n"/>
      <c r="F3811" s="392" t="n"/>
      <c r="G3811" s="392" t="n">
        <v>25</v>
      </c>
      <c r="H3811" s="52">
        <f>H3810-G3811</f>
        <v/>
      </c>
      <c r="I3811" s="568" t="n"/>
      <c r="J3811" s="568" t="n"/>
      <c r="K3811" s="568" t="n"/>
      <c r="L3811" s="568" t="n"/>
    </row>
    <row r="3812">
      <c r="A3812" s="568" t="n">
        <v>46190</v>
      </c>
      <c r="B3812" s="392" t="n">
        <v>12715</v>
      </c>
      <c r="C3812" s="392" t="n">
        <v>82</v>
      </c>
      <c r="D3812" s="392" t="n"/>
      <c r="E3812" s="392" t="n"/>
      <c r="F3812" s="392" t="n"/>
      <c r="G3812" s="392" t="n">
        <v>20</v>
      </c>
      <c r="H3812" s="52">
        <f>H3811-G3812</f>
        <v/>
      </c>
      <c r="I3812" s="568" t="n"/>
      <c r="J3812" s="568" t="n"/>
      <c r="K3812" s="568" t="n"/>
      <c r="L3812" s="568" t="n"/>
    </row>
    <row r="3813">
      <c r="A3813" s="568" t="n">
        <v>46190</v>
      </c>
      <c r="B3813" s="392" t="n">
        <v>12716</v>
      </c>
      <c r="C3813" s="392" t="n">
        <v>81.34</v>
      </c>
      <c r="D3813" s="392" t="n"/>
      <c r="E3813" s="392" t="n"/>
      <c r="F3813" s="392" t="n"/>
      <c r="G3813" s="392" t="n">
        <v>12</v>
      </c>
      <c r="H3813" s="52">
        <f>H3812-G3813</f>
        <v/>
      </c>
      <c r="I3813" s="568" t="n"/>
      <c r="J3813" s="568" t="n"/>
      <c r="K3813" s="568" t="n"/>
      <c r="L3813" s="568" t="n"/>
    </row>
    <row r="3814">
      <c r="A3814" s="568" t="n">
        <v>46190</v>
      </c>
      <c r="B3814" s="392" t="n">
        <v>12717</v>
      </c>
      <c r="C3814" s="392" t="n">
        <v>81.12</v>
      </c>
      <c r="D3814" s="392" t="n"/>
      <c r="E3814" s="392" t="n"/>
      <c r="F3814" s="392" t="n"/>
      <c r="G3814" s="392" t="n">
        <v>45</v>
      </c>
      <c r="H3814" s="52">
        <f>H3813-G3814</f>
        <v/>
      </c>
      <c r="I3814" s="568" t="n"/>
      <c r="J3814" s="568" t="n"/>
      <c r="K3814" s="568" t="n"/>
      <c r="L3814" s="568" t="n"/>
    </row>
    <row r="3815">
      <c r="A3815" s="568" t="n">
        <v>46190</v>
      </c>
      <c r="B3815" s="392" t="n">
        <v>12719</v>
      </c>
      <c r="C3815" s="392" t="n">
        <v>84</v>
      </c>
      <c r="D3815" s="392" t="n"/>
      <c r="E3815" s="392" t="n"/>
      <c r="F3815" s="392" t="n"/>
      <c r="G3815" s="392" t="n">
        <v>15</v>
      </c>
      <c r="H3815" s="52">
        <f>H3814-G3815</f>
        <v/>
      </c>
      <c r="I3815" s="568" t="n"/>
      <c r="J3815" s="568" t="n"/>
      <c r="K3815" s="568" t="n"/>
      <c r="L3815" s="568" t="n"/>
    </row>
    <row r="3816">
      <c r="A3816" s="568" t="n">
        <v>46200</v>
      </c>
      <c r="B3816" s="392" t="n">
        <v>12724</v>
      </c>
      <c r="C3816" s="392" t="n">
        <v>84</v>
      </c>
      <c r="D3816" s="392" t="n"/>
      <c r="E3816" s="392" t="n"/>
      <c r="F3816" s="392" t="n"/>
      <c r="G3816" s="392" t="n">
        <v>20</v>
      </c>
      <c r="H3816" s="52">
        <f>H3815-G3816</f>
        <v/>
      </c>
      <c r="I3816" s="568" t="n"/>
      <c r="J3816" s="568" t="n"/>
      <c r="K3816" s="568" t="n"/>
      <c r="L3816" s="568" t="n"/>
    </row>
    <row r="3817" ht="15.75" customHeight="1" s="436" thickBot="1">
      <c r="A3817" s="414" t="n"/>
      <c r="H3817" s="171" t="n"/>
      <c r="I3817" s="414" t="n"/>
      <c r="J3817" s="414" t="n"/>
      <c r="K3817" s="414" t="n"/>
      <c r="L3817" s="414" t="n"/>
    </row>
    <row r="3818" ht="21.75" customHeight="1" s="436" thickBot="1">
      <c r="A3818" s="757" t="inlineStr">
        <is>
          <t>Julho</t>
        </is>
      </c>
      <c r="B3818" s="697" t="n"/>
      <c r="C3818" s="697" t="n"/>
      <c r="D3818" s="697" t="n"/>
      <c r="E3818" s="697" t="n"/>
      <c r="F3818" s="697" t="n"/>
      <c r="G3818" s="697" t="n"/>
      <c r="H3818" s="697" t="n"/>
      <c r="I3818" s="697" t="n"/>
      <c r="J3818" s="697" t="n"/>
      <c r="K3818" s="697" t="n"/>
      <c r="L3818" s="698" t="n"/>
    </row>
    <row r="3819" ht="21.75" customHeight="1" s="436" thickBot="1">
      <c r="A3819" s="699" t="inlineStr">
        <is>
          <t xml:space="preserve">021 - DENISE FURTADO DE SOUZA - ME </t>
        </is>
      </c>
      <c r="B3819" s="697" t="n"/>
      <c r="C3819" s="697" t="n"/>
      <c r="D3819" s="697" t="n"/>
      <c r="E3819" s="697" t="n"/>
      <c r="F3819" s="697" t="n"/>
      <c r="G3819" s="697" t="n"/>
      <c r="H3819" s="697" t="n"/>
      <c r="I3819" s="697" t="n"/>
      <c r="J3819" s="697" t="n"/>
      <c r="K3819" s="697" t="n"/>
      <c r="L3819" s="698" t="n"/>
    </row>
    <row r="3820" ht="24" customHeight="1" s="436" thickBot="1">
      <c r="A3820" s="759" t="inlineStr">
        <is>
          <t xml:space="preserve">  PRÉ MISTURA - 25 KG</t>
        </is>
      </c>
      <c r="B3820" s="697" t="n"/>
      <c r="C3820" s="697" t="n"/>
      <c r="D3820" s="697" t="n"/>
      <c r="E3820" s="697" t="n"/>
      <c r="F3820" s="697" t="n"/>
      <c r="G3820" s="697" t="n"/>
      <c r="H3820" s="697" t="n"/>
      <c r="I3820" s="697" t="n"/>
      <c r="J3820" s="697" t="n"/>
      <c r="K3820" s="697" t="n"/>
      <c r="L3820" s="698" t="n"/>
    </row>
    <row r="3821">
      <c r="A3821" s="3" t="inlineStr">
        <is>
          <t>DATA</t>
        </is>
      </c>
      <c r="B3821" s="3" t="inlineStr">
        <is>
          <t>N.F.</t>
        </is>
      </c>
      <c r="C3821" s="3" t="inlineStr">
        <is>
          <t>TIPO</t>
        </is>
      </c>
      <c r="D3821" s="3" t="inlineStr">
        <is>
          <t>PREÇO UNITÁRIO</t>
        </is>
      </c>
      <c r="E3821" s="736" t="n"/>
      <c r="F3821" s="3" t="inlineStr">
        <is>
          <t>QUANTIDADE / KG</t>
        </is>
      </c>
      <c r="G3821" s="737" t="n"/>
      <c r="H3821" s="736" t="n"/>
      <c r="I3821" s="631" t="inlineStr">
        <is>
          <t>PREÇO</t>
        </is>
      </c>
      <c r="J3821" s="631" t="inlineStr">
        <is>
          <t>VALORES</t>
        </is>
      </c>
      <c r="K3821" s="737" t="n"/>
      <c r="L3821" s="736" t="n"/>
    </row>
    <row r="3822" ht="15.75" customHeight="1" s="436" thickBot="1">
      <c r="A3822" s="704" t="n"/>
      <c r="B3822" s="704" t="n"/>
      <c r="C3822" s="704" t="n"/>
      <c r="D3822" s="703" t="n"/>
      <c r="E3822" s="701" t="n"/>
      <c r="F3822" s="705" t="n"/>
      <c r="G3822" s="706" t="n"/>
      <c r="H3822" s="707" t="n"/>
      <c r="I3822" s="704" t="n"/>
      <c r="J3822" s="703" t="n"/>
      <c r="L3822" s="701" t="n"/>
    </row>
    <row r="3823" ht="15.75" customHeight="1" s="436" thickBot="1">
      <c r="A3823" s="704" t="n"/>
      <c r="B3823" s="704" t="n"/>
      <c r="C3823" s="704" t="n"/>
      <c r="D3823" s="705" t="n"/>
      <c r="E3823" s="707" t="n"/>
      <c r="F3823" s="3" t="inlineStr">
        <is>
          <t>ENTRADA</t>
        </is>
      </c>
      <c r="G3823" s="3" t="inlineStr">
        <is>
          <t>SAÍDA</t>
        </is>
      </c>
      <c r="H3823" s="640" t="n"/>
      <c r="I3823" s="633" t="inlineStr">
        <is>
          <t>MÉDIO</t>
        </is>
      </c>
      <c r="J3823" s="739" t="inlineStr">
        <is>
          <t>SALDO EM 30/12/2017</t>
        </is>
      </c>
      <c r="K3823" s="707" t="n"/>
      <c r="L3823" s="17" t="n"/>
    </row>
    <row r="3824" ht="15.75" customHeight="1" s="436" thickBot="1">
      <c r="A3824" s="695" t="n"/>
      <c r="B3824" s="695" t="n"/>
      <c r="C3824" s="695" t="n"/>
      <c r="D3824" s="3" t="inlineStr">
        <is>
          <t>C/ICMS</t>
        </is>
      </c>
      <c r="E3824" s="3" t="inlineStr">
        <is>
          <t>S/ICMS</t>
        </is>
      </c>
      <c r="F3824" s="695" t="n"/>
      <c r="G3824" s="695" t="n"/>
      <c r="H3824" s="361" t="inlineStr">
        <is>
          <t>Saldo em 31/06/2026</t>
        </is>
      </c>
      <c r="I3824" s="695" t="n"/>
      <c r="J3824" s="645" t="inlineStr">
        <is>
          <t>ENTRADA</t>
        </is>
      </c>
      <c r="K3824" s="633" t="inlineStr">
        <is>
          <t>SAÍDA / CMV</t>
        </is>
      </c>
      <c r="L3824" s="633" t="inlineStr">
        <is>
          <t>SALDO</t>
        </is>
      </c>
    </row>
    <row r="3825">
      <c r="A3825" s="568" t="n"/>
      <c r="B3825" s="392" t="n"/>
      <c r="C3825" s="392" t="n"/>
      <c r="D3825" s="392" t="n"/>
      <c r="E3825" s="392" t="n"/>
      <c r="F3825" s="392" t="n"/>
      <c r="G3825" s="392" t="n"/>
      <c r="H3825" s="52" t="n">
        <v>1774</v>
      </c>
      <c r="I3825" s="568" t="n"/>
      <c r="J3825" s="568" t="n"/>
      <c r="K3825" s="568" t="n"/>
      <c r="L3825" s="392" t="n"/>
    </row>
    <row r="3826">
      <c r="A3826" s="568" t="n">
        <v>46204</v>
      </c>
      <c r="B3826" s="392" t="n">
        <v>12734</v>
      </c>
      <c r="C3826" s="392" t="n">
        <v>81.59999999999999</v>
      </c>
      <c r="D3826" s="392" t="n"/>
      <c r="E3826" s="392" t="n"/>
      <c r="F3826" s="392" t="n"/>
      <c r="G3826" s="392" t="n">
        <v>50</v>
      </c>
      <c r="H3826" s="52">
        <f>H3825-G3826</f>
        <v/>
      </c>
      <c r="I3826" s="568" t="n"/>
      <c r="J3826" s="568" t="n"/>
      <c r="K3826" s="568" t="n"/>
      <c r="L3826" s="568" t="n"/>
    </row>
    <row r="3827">
      <c r="A3827" s="568" t="n">
        <v>46209</v>
      </c>
      <c r="B3827" s="392" t="n">
        <v>12746</v>
      </c>
      <c r="C3827" s="392" t="n">
        <v>78</v>
      </c>
      <c r="D3827" s="392" t="n"/>
      <c r="E3827" s="392" t="n"/>
      <c r="F3827" s="392" t="n"/>
      <c r="G3827" s="392" t="n">
        <v>40</v>
      </c>
      <c r="H3827" s="52">
        <f>H3826-G3827</f>
        <v/>
      </c>
      <c r="I3827" s="568" t="n"/>
      <c r="J3827" s="568" t="n"/>
      <c r="K3827" s="568" t="n"/>
      <c r="L3827" s="568" t="n"/>
    </row>
    <row r="3828">
      <c r="A3828" s="568" t="n">
        <v>46209</v>
      </c>
      <c r="B3828" s="392" t="n">
        <v>12747</v>
      </c>
      <c r="C3828" s="392" t="n">
        <v>80</v>
      </c>
      <c r="D3828" s="392" t="n"/>
      <c r="E3828" s="392" t="n"/>
      <c r="F3828" s="392" t="n"/>
      <c r="G3828" s="392" t="n">
        <v>40</v>
      </c>
      <c r="H3828" s="52">
        <f>H3827-G3828</f>
        <v/>
      </c>
      <c r="I3828" s="568" t="n"/>
      <c r="J3828" s="568" t="n"/>
      <c r="K3828" s="568" t="n"/>
      <c r="L3828" s="568" t="n"/>
    </row>
    <row r="3829">
      <c r="A3829" s="568" t="n">
        <v>46210</v>
      </c>
      <c r="B3829" s="392" t="n">
        <v>12750</v>
      </c>
      <c r="C3829" s="392" t="n">
        <v>81.43000000000001</v>
      </c>
      <c r="D3829" s="392" t="n"/>
      <c r="E3829" s="392" t="n"/>
      <c r="F3829" s="392" t="n"/>
      <c r="G3829" s="392" t="n">
        <v>50</v>
      </c>
      <c r="H3829" s="52">
        <f>H3828-G3829</f>
        <v/>
      </c>
      <c r="I3829" s="568" t="n"/>
      <c r="J3829" s="568" t="n"/>
      <c r="K3829" s="568" t="n"/>
      <c r="L3829" s="568" t="n"/>
    </row>
    <row r="3830">
      <c r="A3830" s="568" t="n">
        <v>46211</v>
      </c>
      <c r="B3830" s="392" t="n">
        <v>12751</v>
      </c>
      <c r="C3830" s="392" t="n">
        <v>78</v>
      </c>
      <c r="D3830" s="392" t="n"/>
      <c r="E3830" s="392" t="n"/>
      <c r="F3830" s="392" t="n"/>
      <c r="G3830" s="392" t="n">
        <v>20</v>
      </c>
      <c r="H3830" s="52">
        <f>H3829-G3830</f>
        <v/>
      </c>
      <c r="I3830" s="568" t="n"/>
      <c r="J3830" s="568" t="n"/>
      <c r="K3830" s="568" t="n"/>
      <c r="L3830" s="568" t="n"/>
    </row>
    <row r="3831">
      <c r="A3831" s="568" t="n">
        <v>46216</v>
      </c>
      <c r="B3831" s="392" t="n">
        <v>12755</v>
      </c>
      <c r="C3831" s="392" t="n">
        <v>79.59999999999999</v>
      </c>
      <c r="D3831" s="392" t="n"/>
      <c r="E3831" s="392" t="n"/>
      <c r="F3831" s="392" t="n"/>
      <c r="G3831" s="392" t="n">
        <v>50</v>
      </c>
      <c r="H3831" s="52">
        <f>H3830-G3831</f>
        <v/>
      </c>
      <c r="I3831" s="568" t="n"/>
      <c r="J3831" s="568" t="n"/>
      <c r="K3831" s="568" t="n"/>
      <c r="L3831" s="568" t="n"/>
    </row>
    <row r="3832">
      <c r="A3832" s="568" t="n">
        <v>46218</v>
      </c>
      <c r="B3832" s="392" t="n">
        <v>12760</v>
      </c>
      <c r="C3832" s="392" t="n">
        <v>84.86</v>
      </c>
      <c r="D3832" s="392" t="n"/>
      <c r="E3832" s="392" t="n"/>
      <c r="F3832" s="392" t="n"/>
      <c r="G3832" s="392" t="n">
        <v>35</v>
      </c>
      <c r="H3832" s="52">
        <f>H3831-G3832</f>
        <v/>
      </c>
      <c r="I3832" s="568" t="n"/>
      <c r="J3832" s="568" t="n"/>
      <c r="K3832" s="568" t="n"/>
      <c r="L3832" s="568" t="n"/>
    </row>
    <row r="3833">
      <c r="A3833" s="568" t="n">
        <v>46218</v>
      </c>
      <c r="B3833" s="392" t="n">
        <v>12761</v>
      </c>
      <c r="C3833" s="392" t="n">
        <v>78</v>
      </c>
      <c r="D3833" s="392" t="n"/>
      <c r="E3833" s="392" t="n"/>
      <c r="F3833" s="392" t="n"/>
      <c r="G3833" s="392" t="n">
        <v>20</v>
      </c>
      <c r="H3833" s="52">
        <f>H3832-G3833</f>
        <v/>
      </c>
      <c r="I3833" s="568" t="n"/>
      <c r="J3833" s="568" t="n"/>
      <c r="K3833" s="568" t="n"/>
      <c r="L3833" s="568" t="n"/>
    </row>
    <row r="3834">
      <c r="A3834" s="568" t="n">
        <v>46218</v>
      </c>
      <c r="B3834" s="392" t="n">
        <v>12762</v>
      </c>
      <c r="C3834" s="392" t="n">
        <v>80</v>
      </c>
      <c r="D3834" s="392" t="n"/>
      <c r="E3834" s="392" t="n"/>
      <c r="F3834" s="392" t="n"/>
      <c r="G3834" s="392" t="n">
        <v>30</v>
      </c>
      <c r="H3834" s="52">
        <f>H3833-G3834</f>
        <v/>
      </c>
      <c r="I3834" s="568" t="n"/>
      <c r="J3834" s="568" t="n"/>
      <c r="K3834" s="568" t="n"/>
      <c r="L3834" s="568" t="n"/>
    </row>
    <row r="3835">
      <c r="A3835" s="568" t="n">
        <v>46223</v>
      </c>
      <c r="B3835" s="392" t="n">
        <v>12766</v>
      </c>
      <c r="C3835" s="392" t="n">
        <v>82</v>
      </c>
      <c r="D3835" s="392" t="n"/>
      <c r="E3835" s="392" t="n"/>
      <c r="F3835" s="392" t="n"/>
      <c r="G3835" s="392" t="n">
        <v>100</v>
      </c>
      <c r="H3835" s="52">
        <f>H3834-G3835</f>
        <v/>
      </c>
      <c r="I3835" s="568" t="n"/>
      <c r="J3835" s="568" t="n"/>
      <c r="K3835" s="568" t="n"/>
      <c r="L3835" s="568" t="n"/>
    </row>
    <row r="3836">
      <c r="A3836" s="568" t="n">
        <v>46223</v>
      </c>
      <c r="B3836" s="392" t="n">
        <v>12767</v>
      </c>
      <c r="C3836" s="392" t="n">
        <v>78</v>
      </c>
      <c r="D3836" s="392" t="n"/>
      <c r="E3836" s="392" t="n"/>
      <c r="F3836" s="392" t="n"/>
      <c r="G3836" s="392" t="n">
        <v>30</v>
      </c>
      <c r="H3836" s="52">
        <f>H3835-G3836</f>
        <v/>
      </c>
      <c r="I3836" s="568" t="n"/>
      <c r="J3836" s="568" t="n"/>
      <c r="K3836" s="568" t="n"/>
      <c r="L3836" s="568" t="n"/>
    </row>
    <row r="3837">
      <c r="A3837" s="568" t="n">
        <v>46224</v>
      </c>
      <c r="B3837" s="392" t="n">
        <v>12678</v>
      </c>
      <c r="C3837" s="392" t="n">
        <v>90</v>
      </c>
      <c r="D3837" s="392" t="n"/>
      <c r="E3837" s="392" t="n"/>
      <c r="F3837" s="392" t="n"/>
      <c r="G3837" s="392" t="n">
        <v>15</v>
      </c>
      <c r="H3837" s="52">
        <f>H3836-G3837</f>
        <v/>
      </c>
      <c r="I3837" s="568" t="n"/>
      <c r="J3837" s="568" t="n"/>
      <c r="K3837" s="568" t="n"/>
      <c r="L3837" s="568" t="n"/>
    </row>
    <row r="3838">
      <c r="A3838" s="568" t="n">
        <v>46224</v>
      </c>
      <c r="B3838" s="392" t="n">
        <v>12679</v>
      </c>
      <c r="C3838" s="392" t="n">
        <v>81.59999999999999</v>
      </c>
      <c r="D3838" s="392" t="n"/>
      <c r="E3838" s="392" t="n"/>
      <c r="F3838" s="392" t="n"/>
      <c r="G3838" s="392" t="n">
        <v>50</v>
      </c>
      <c r="H3838" s="52">
        <f>H3837-G3838</f>
        <v/>
      </c>
      <c r="I3838" s="568" t="n"/>
      <c r="J3838" s="568" t="n"/>
      <c r="K3838" s="568" t="n"/>
      <c r="L3838" s="568" t="n"/>
    </row>
    <row r="3839">
      <c r="A3839" s="568" t="n">
        <v>46225</v>
      </c>
      <c r="B3839" s="392" t="n">
        <v>12777</v>
      </c>
      <c r="C3839" s="392" t="n">
        <v>81.12</v>
      </c>
      <c r="D3839" s="392" t="n"/>
      <c r="E3839" s="392" t="n"/>
      <c r="F3839" s="392" t="n"/>
      <c r="G3839" s="392" t="n">
        <v>45</v>
      </c>
      <c r="H3839" s="52">
        <f>H3838-G3839</f>
        <v/>
      </c>
      <c r="I3839" s="568" t="n"/>
      <c r="J3839" s="568" t="n"/>
      <c r="K3839" s="568" t="n"/>
      <c r="L3839" s="568" t="n"/>
    </row>
    <row r="3840">
      <c r="A3840" s="568" t="n">
        <v>46230</v>
      </c>
      <c r="B3840" s="392" t="n">
        <v>12781</v>
      </c>
      <c r="C3840" s="392" t="n">
        <v>81.34</v>
      </c>
      <c r="D3840" s="392" t="n"/>
      <c r="E3840" s="392" t="n"/>
      <c r="F3840" s="392" t="n"/>
      <c r="G3840" s="392" t="n">
        <v>15</v>
      </c>
      <c r="H3840" s="52">
        <f>H3839-G3840</f>
        <v/>
      </c>
      <c r="I3840" s="568" t="n"/>
      <c r="J3840" s="568" t="n"/>
      <c r="K3840" s="568" t="n"/>
      <c r="L3840" s="568" t="n"/>
    </row>
    <row r="3841">
      <c r="A3841" s="304" t="n">
        <v>46232</v>
      </c>
      <c r="B3841" s="401" t="n">
        <v>312968</v>
      </c>
      <c r="C3841" s="401" t="n">
        <v>66</v>
      </c>
      <c r="D3841" s="401" t="n"/>
      <c r="E3841" s="401" t="n"/>
      <c r="F3841" s="401" t="n">
        <v>580</v>
      </c>
      <c r="G3841" s="401" t="n"/>
      <c r="H3841" s="277" t="n">
        <v>1764</v>
      </c>
      <c r="I3841" s="568" t="n"/>
      <c r="J3841" s="568" t="n"/>
      <c r="K3841" s="568" t="n"/>
      <c r="L3841" s="568" t="n"/>
    </row>
    <row r="3842">
      <c r="A3842" s="304" t="n">
        <v>46232</v>
      </c>
      <c r="B3842" s="401" t="n">
        <v>312968</v>
      </c>
      <c r="C3842" s="401" t="n">
        <v>70.3</v>
      </c>
      <c r="D3842" s="401" t="n"/>
      <c r="E3842" s="401" t="n"/>
      <c r="F3842" s="401" t="n">
        <v>300</v>
      </c>
      <c r="G3842" s="401" t="n"/>
      <c r="H3842" s="277" t="n">
        <v>2064</v>
      </c>
      <c r="I3842" s="568" t="n"/>
      <c r="J3842" s="568" t="n"/>
      <c r="K3842" s="568" t="n"/>
      <c r="L3842" s="568" t="n"/>
    </row>
    <row r="3843">
      <c r="A3843" s="304" t="n">
        <v>46232</v>
      </c>
      <c r="B3843" s="401" t="n">
        <v>312968</v>
      </c>
      <c r="C3843" s="401" t="n">
        <v>60.75</v>
      </c>
      <c r="D3843" s="401" t="n"/>
      <c r="E3843" s="401" t="n"/>
      <c r="F3843" s="401" t="n">
        <v>100</v>
      </c>
      <c r="G3843" s="401" t="n"/>
      <c r="H3843" s="277" t="n">
        <v>2164</v>
      </c>
      <c r="I3843" s="568" t="n"/>
      <c r="J3843" s="568" t="n"/>
      <c r="K3843" s="568" t="n"/>
      <c r="L3843" s="568" t="n"/>
    </row>
    <row r="3844">
      <c r="A3844" s="568" t="n">
        <v>46232</v>
      </c>
      <c r="B3844" s="392" t="n">
        <v>12789</v>
      </c>
      <c r="C3844" s="392" t="n">
        <v>68</v>
      </c>
      <c r="D3844" s="392" t="n"/>
      <c r="E3844" s="392" t="n"/>
      <c r="F3844" s="392" t="n"/>
      <c r="G3844" s="392" t="n">
        <v>10</v>
      </c>
      <c r="H3844" s="52">
        <f>H3843-G3844</f>
        <v/>
      </c>
      <c r="I3844" s="568" t="n"/>
      <c r="J3844" s="568" t="n"/>
      <c r="K3844" s="568" t="n"/>
      <c r="L3844" s="568" t="n"/>
    </row>
    <row r="3845" ht="17.25" customHeight="1" s="436">
      <c r="A3845" s="568" t="n">
        <v>46232</v>
      </c>
      <c r="B3845" s="392" t="n">
        <v>12791</v>
      </c>
      <c r="C3845" s="392" t="n">
        <v>80.40000000000001</v>
      </c>
      <c r="D3845" s="392" t="n"/>
      <c r="E3845" s="392" t="n"/>
      <c r="F3845" s="392" t="n"/>
      <c r="G3845" s="392" t="n">
        <v>25</v>
      </c>
      <c r="H3845" s="561">
        <f>H3844-G3845</f>
        <v/>
      </c>
      <c r="I3845" s="568" t="n"/>
      <c r="J3845" s="568" t="n"/>
      <c r="K3845" s="568" t="n"/>
      <c r="L3845" s="568" t="n"/>
    </row>
    <row r="3846" ht="15.75" customHeight="1" s="436" thickBot="1">
      <c r="A3846" s="414" t="n"/>
      <c r="H3846" s="171" t="n"/>
      <c r="I3846" s="414" t="n"/>
      <c r="J3846" s="414" t="n"/>
      <c r="K3846" s="414" t="n"/>
      <c r="L3846" s="414" t="n"/>
    </row>
    <row r="3847" ht="21.75" customHeight="1" s="436" thickBot="1">
      <c r="A3847" s="757" t="inlineStr">
        <is>
          <t>Agosto</t>
        </is>
      </c>
      <c r="B3847" s="697" t="n"/>
      <c r="C3847" s="697" t="n"/>
      <c r="D3847" s="697" t="n"/>
      <c r="E3847" s="697" t="n"/>
      <c r="F3847" s="697" t="n"/>
      <c r="G3847" s="697" t="n"/>
      <c r="H3847" s="697" t="n"/>
      <c r="I3847" s="697" t="n"/>
      <c r="J3847" s="697" t="n"/>
      <c r="K3847" s="697" t="n"/>
      <c r="L3847" s="698" t="n"/>
    </row>
    <row r="3848" ht="21.75" customHeight="1" s="436" thickBot="1">
      <c r="A3848" s="699" t="inlineStr">
        <is>
          <t xml:space="preserve">021 - DENISE FURTADO DE SOUZA - ME </t>
        </is>
      </c>
      <c r="B3848" s="697" t="n"/>
      <c r="C3848" s="697" t="n"/>
      <c r="D3848" s="697" t="n"/>
      <c r="E3848" s="697" t="n"/>
      <c r="F3848" s="697" t="n"/>
      <c r="G3848" s="697" t="n"/>
      <c r="H3848" s="697" t="n"/>
      <c r="I3848" s="697" t="n"/>
      <c r="J3848" s="697" t="n"/>
      <c r="K3848" s="697" t="n"/>
      <c r="L3848" s="698" t="n"/>
    </row>
    <row r="3849" ht="24" customHeight="1" s="436" thickBot="1">
      <c r="A3849" s="759" t="inlineStr">
        <is>
          <t xml:space="preserve">  PRÉ MISTURA - 25 KG</t>
        </is>
      </c>
      <c r="B3849" s="697" t="n"/>
      <c r="C3849" s="697" t="n"/>
      <c r="D3849" s="697" t="n"/>
      <c r="E3849" s="697" t="n"/>
      <c r="F3849" s="697" t="n"/>
      <c r="G3849" s="697" t="n"/>
      <c r="H3849" s="697" t="n"/>
      <c r="I3849" s="697" t="n"/>
      <c r="J3849" s="697" t="n"/>
      <c r="K3849" s="697" t="n"/>
      <c r="L3849" s="698" t="n"/>
    </row>
    <row r="3850">
      <c r="A3850" s="3" t="inlineStr">
        <is>
          <t>DATA</t>
        </is>
      </c>
      <c r="B3850" s="3" t="inlineStr">
        <is>
          <t>N.F.</t>
        </is>
      </c>
      <c r="C3850" s="3" t="inlineStr">
        <is>
          <t>TIPO</t>
        </is>
      </c>
      <c r="D3850" s="3" t="inlineStr">
        <is>
          <t>PREÇO UNITÁRIO</t>
        </is>
      </c>
      <c r="E3850" s="736" t="n"/>
      <c r="F3850" s="3" t="inlineStr">
        <is>
          <t>QUANTIDADE / KG</t>
        </is>
      </c>
      <c r="G3850" s="737" t="n"/>
      <c r="H3850" s="736" t="n"/>
      <c r="I3850" s="631" t="inlineStr">
        <is>
          <t>PREÇO</t>
        </is>
      </c>
      <c r="J3850" s="631" t="inlineStr">
        <is>
          <t>VALORES</t>
        </is>
      </c>
      <c r="K3850" s="737" t="n"/>
      <c r="L3850" s="736" t="n"/>
    </row>
    <row r="3851" ht="15.75" customHeight="1" s="436" thickBot="1">
      <c r="A3851" s="704" t="n"/>
      <c r="B3851" s="704" t="n"/>
      <c r="C3851" s="704" t="n"/>
      <c r="D3851" s="703" t="n"/>
      <c r="E3851" s="701" t="n"/>
      <c r="F3851" s="705" t="n"/>
      <c r="G3851" s="706" t="n"/>
      <c r="H3851" s="707" t="n"/>
      <c r="I3851" s="704" t="n"/>
      <c r="J3851" s="703" t="n"/>
      <c r="L3851" s="701" t="n"/>
    </row>
    <row r="3852" ht="15.75" customHeight="1" s="436" thickBot="1">
      <c r="A3852" s="704" t="n"/>
      <c r="B3852" s="704" t="n"/>
      <c r="C3852" s="704" t="n"/>
      <c r="D3852" s="705" t="n"/>
      <c r="E3852" s="707" t="n"/>
      <c r="F3852" s="3" t="inlineStr">
        <is>
          <t>ENTRADA</t>
        </is>
      </c>
      <c r="G3852" s="3" t="inlineStr">
        <is>
          <t>SAÍDA</t>
        </is>
      </c>
      <c r="H3852" s="640" t="n"/>
      <c r="I3852" s="633" t="inlineStr">
        <is>
          <t>MÉDIO</t>
        </is>
      </c>
      <c r="J3852" s="739" t="inlineStr">
        <is>
          <t>SALDO EM 30/12/2017</t>
        </is>
      </c>
      <c r="K3852" s="707" t="n"/>
      <c r="L3852" s="17" t="n"/>
    </row>
    <row r="3853" ht="15.75" customHeight="1" s="436" thickBot="1">
      <c r="A3853" s="695" t="n"/>
      <c r="B3853" s="695" t="n"/>
      <c r="C3853" s="695" t="n"/>
      <c r="D3853" s="3" t="inlineStr">
        <is>
          <t>C/ICMS</t>
        </is>
      </c>
      <c r="E3853" s="3" t="inlineStr">
        <is>
          <t>S/ICMS</t>
        </is>
      </c>
      <c r="F3853" s="695" t="n"/>
      <c r="G3853" s="695" t="n"/>
      <c r="H3853" s="361" t="inlineStr">
        <is>
          <t>Saldo em 31/07/2026</t>
        </is>
      </c>
      <c r="I3853" s="695" t="n"/>
      <c r="J3853" s="645" t="inlineStr">
        <is>
          <t>ENTRADA</t>
        </is>
      </c>
      <c r="K3853" s="633" t="inlineStr">
        <is>
          <t>SAÍDA / CMV</t>
        </is>
      </c>
      <c r="L3853" s="633" t="inlineStr">
        <is>
          <t>SALDO</t>
        </is>
      </c>
    </row>
    <row r="3854">
      <c r="A3854" s="568" t="n"/>
      <c r="B3854" s="392" t="n"/>
      <c r="C3854" s="392" t="n"/>
      <c r="D3854" s="392" t="n"/>
      <c r="E3854" s="392" t="n"/>
      <c r="F3854" s="392" t="n"/>
      <c r="G3854" s="392" t="n"/>
      <c r="H3854" s="52" t="n">
        <v>2129</v>
      </c>
      <c r="I3854" s="568" t="n"/>
      <c r="J3854" s="568" t="n"/>
      <c r="K3854" s="568" t="n"/>
      <c r="L3854" s="392" t="n"/>
    </row>
    <row r="3855">
      <c r="A3855" s="568" t="n">
        <v>46237</v>
      </c>
      <c r="B3855" s="392" t="n">
        <v>12793</v>
      </c>
      <c r="C3855" s="392" t="n">
        <v>79.59999999999999</v>
      </c>
      <c r="D3855" s="392" t="n"/>
      <c r="E3855" s="392" t="n"/>
      <c r="F3855" s="392" t="n"/>
      <c r="G3855" s="392" t="n">
        <v>50</v>
      </c>
      <c r="H3855" s="52">
        <f>H3854-G3855</f>
        <v/>
      </c>
      <c r="I3855" s="568" t="n"/>
      <c r="J3855" s="568" t="n"/>
      <c r="K3855" s="568" t="n"/>
      <c r="L3855" s="568" t="n"/>
    </row>
    <row r="3856">
      <c r="A3856" s="568" t="n">
        <v>46237</v>
      </c>
      <c r="B3856" s="392" t="n">
        <v>12798</v>
      </c>
      <c r="C3856" s="392" t="n">
        <v>78</v>
      </c>
      <c r="D3856" s="392" t="n"/>
      <c r="E3856" s="392" t="n"/>
      <c r="F3856" s="392" t="n"/>
      <c r="G3856" s="392" t="n">
        <v>30</v>
      </c>
      <c r="H3856" s="52">
        <f>H3855-G3856</f>
        <v/>
      </c>
      <c r="I3856" s="568" t="n"/>
      <c r="J3856" s="568" t="n"/>
      <c r="K3856" s="568" t="n"/>
      <c r="L3856" s="568" t="n"/>
    </row>
    <row r="3857">
      <c r="A3857" s="568" t="n">
        <v>46237</v>
      </c>
      <c r="B3857" s="392" t="n">
        <v>12801</v>
      </c>
      <c r="C3857" s="392" t="n">
        <v>68</v>
      </c>
      <c r="D3857" s="392" t="n"/>
      <c r="E3857" s="392" t="n"/>
      <c r="F3857" s="392" t="n"/>
      <c r="G3857" s="392" t="n">
        <v>15</v>
      </c>
      <c r="H3857" s="52">
        <f>H3856-G3857</f>
        <v/>
      </c>
      <c r="I3857" s="568" t="n"/>
      <c r="J3857" s="568" t="n"/>
      <c r="K3857" s="568" t="n"/>
      <c r="L3857" s="568" t="n"/>
    </row>
    <row r="3858">
      <c r="A3858" s="568" t="n">
        <v>46237</v>
      </c>
      <c r="B3858" s="392" t="n">
        <v>12803</v>
      </c>
      <c r="C3858" s="392" t="n">
        <v>73</v>
      </c>
      <c r="D3858" s="392" t="n"/>
      <c r="E3858" s="392" t="n"/>
      <c r="F3858" s="392" t="n"/>
      <c r="G3858" s="392" t="n">
        <v>20</v>
      </c>
      <c r="H3858" s="52">
        <f>H3857-G3858</f>
        <v/>
      </c>
      <c r="I3858" s="568" t="n"/>
      <c r="J3858" s="568" t="n"/>
      <c r="K3858" s="568" t="n"/>
      <c r="L3858" s="568" t="n"/>
    </row>
    <row r="3859">
      <c r="A3859" s="568" t="n">
        <v>46240</v>
      </c>
      <c r="B3859" s="392" t="n">
        <v>12804</v>
      </c>
      <c r="C3859" s="392" t="n">
        <v>63</v>
      </c>
      <c r="D3859" s="392" t="n"/>
      <c r="E3859" s="392" t="n"/>
      <c r="F3859" s="392" t="n"/>
      <c r="G3859" s="392" t="n">
        <v>50</v>
      </c>
      <c r="H3859" s="52">
        <f>H3858-G3859</f>
        <v/>
      </c>
      <c r="I3859" s="568" t="n"/>
      <c r="J3859" s="568" t="n"/>
      <c r="K3859" s="568" t="n"/>
      <c r="L3859" s="568" t="n"/>
    </row>
    <row r="3860">
      <c r="A3860" s="568" t="n">
        <v>46244</v>
      </c>
      <c r="B3860" s="392" t="n">
        <v>12811</v>
      </c>
      <c r="C3860" s="392" t="n">
        <v>80</v>
      </c>
      <c r="D3860" s="392" t="n"/>
      <c r="E3860" s="392" t="n"/>
      <c r="F3860" s="392" t="n"/>
      <c r="G3860" s="392" t="n">
        <v>40</v>
      </c>
      <c r="H3860" s="52">
        <f>H3859-G3860</f>
        <v/>
      </c>
      <c r="I3860" s="568" t="n"/>
      <c r="J3860" s="568" t="n"/>
      <c r="K3860" s="568" t="n"/>
      <c r="L3860" s="568" t="n"/>
    </row>
    <row r="3861">
      <c r="A3861" s="568" t="n">
        <v>46245</v>
      </c>
      <c r="B3861" s="392" t="n">
        <v>12817</v>
      </c>
      <c r="C3861" s="392" t="n">
        <v>75</v>
      </c>
      <c r="D3861" s="392" t="n"/>
      <c r="E3861" s="392" t="n"/>
      <c r="F3861" s="392" t="n"/>
      <c r="G3861" s="392" t="n">
        <v>15</v>
      </c>
      <c r="H3861" s="52">
        <f>H3860-G3861</f>
        <v/>
      </c>
      <c r="I3861" s="568" t="n"/>
      <c r="J3861" s="568" t="n"/>
      <c r="K3861" s="568" t="n"/>
      <c r="L3861" s="568" t="n"/>
    </row>
    <row r="3862">
      <c r="A3862" s="568" t="n">
        <v>46245</v>
      </c>
      <c r="B3862" s="392" t="n">
        <v>12819</v>
      </c>
      <c r="C3862" s="392" t="n">
        <v>68</v>
      </c>
      <c r="D3862" s="392" t="n"/>
      <c r="E3862" s="392" t="n"/>
      <c r="F3862" s="392" t="n"/>
      <c r="G3862" s="392" t="n">
        <v>10</v>
      </c>
      <c r="H3862" s="52">
        <f>H3861-G3862</f>
        <v/>
      </c>
      <c r="I3862" s="568" t="n"/>
      <c r="J3862" s="568" t="n"/>
      <c r="K3862" s="568" t="n"/>
      <c r="L3862" s="568" t="n"/>
    </row>
    <row r="3863">
      <c r="A3863" s="568" t="n">
        <v>46245</v>
      </c>
      <c r="B3863" s="392" t="n">
        <v>12820</v>
      </c>
      <c r="C3863" s="392" t="n">
        <v>81</v>
      </c>
      <c r="D3863" s="392" t="n"/>
      <c r="E3863" s="392" t="n"/>
      <c r="F3863" s="392" t="n"/>
      <c r="G3863" s="392" t="n">
        <v>18</v>
      </c>
      <c r="H3863" s="52">
        <f>H3862-G3863</f>
        <v/>
      </c>
      <c r="I3863" s="568" t="n"/>
      <c r="J3863" s="568" t="n"/>
      <c r="K3863" s="568" t="n"/>
      <c r="L3863" s="568" t="n"/>
    </row>
    <row r="3864">
      <c r="A3864" s="568" t="n">
        <v>46252</v>
      </c>
      <c r="B3864" s="392" t="n">
        <v>12824</v>
      </c>
      <c r="C3864" s="392" t="n">
        <v>80</v>
      </c>
      <c r="D3864" s="392" t="n"/>
      <c r="E3864" s="392" t="n"/>
      <c r="F3864" s="392" t="n"/>
      <c r="G3864" s="392" t="n">
        <v>30</v>
      </c>
      <c r="H3864" s="52">
        <f>H3863-G3864</f>
        <v/>
      </c>
      <c r="I3864" s="568" t="n"/>
      <c r="J3864" s="568" t="n"/>
      <c r="K3864" s="568" t="n"/>
      <c r="L3864" s="568" t="n"/>
    </row>
    <row r="3865">
      <c r="A3865" s="568" t="n">
        <v>46252</v>
      </c>
      <c r="B3865" s="392" t="n">
        <v>12827</v>
      </c>
      <c r="C3865" s="392" t="n">
        <v>68</v>
      </c>
      <c r="D3865" s="392" t="n"/>
      <c r="E3865" s="392" t="n"/>
      <c r="F3865" s="392" t="n"/>
      <c r="G3865" s="392" t="n">
        <v>10</v>
      </c>
      <c r="H3865" s="52">
        <f>H3864-G3865</f>
        <v/>
      </c>
      <c r="I3865" s="568" t="n"/>
      <c r="J3865" s="568" t="n"/>
      <c r="K3865" s="568" t="n"/>
      <c r="L3865" s="568" t="n"/>
    </row>
    <row r="3866">
      <c r="A3866" s="568" t="n">
        <v>46252</v>
      </c>
      <c r="B3866" s="392" t="n">
        <v>12828</v>
      </c>
      <c r="C3866" s="392" t="n">
        <v>68</v>
      </c>
      <c r="D3866" s="392" t="n"/>
      <c r="E3866" s="392" t="n"/>
      <c r="F3866" s="392" t="n"/>
      <c r="G3866" s="392" t="n">
        <v>10</v>
      </c>
      <c r="H3866" s="52">
        <f>H3865-G3866</f>
        <v/>
      </c>
      <c r="I3866" s="568" t="n"/>
      <c r="J3866" s="568" t="n"/>
      <c r="K3866" s="568" t="n"/>
      <c r="L3866" s="568" t="n"/>
    </row>
    <row r="3867">
      <c r="A3867" s="568" t="n">
        <v>46252</v>
      </c>
      <c r="B3867" s="392" t="n">
        <v>12829</v>
      </c>
      <c r="C3867" s="392" t="n">
        <v>82</v>
      </c>
      <c r="D3867" s="392" t="n"/>
      <c r="E3867" s="392" t="n"/>
      <c r="F3867" s="392" t="n"/>
      <c r="G3867" s="392" t="n">
        <v>30</v>
      </c>
      <c r="H3867" s="52">
        <f>H3866-G3867</f>
        <v/>
      </c>
      <c r="I3867" s="568" t="n"/>
      <c r="J3867" s="568" t="n"/>
      <c r="K3867" s="568" t="n"/>
      <c r="L3867" s="568" t="n"/>
    </row>
    <row r="3868">
      <c r="A3868" s="568" t="n">
        <v>46253</v>
      </c>
      <c r="B3868" s="392" t="n">
        <v>12832</v>
      </c>
      <c r="C3868" s="392" t="n">
        <v>80</v>
      </c>
      <c r="D3868" s="392" t="n"/>
      <c r="E3868" s="392" t="n"/>
      <c r="F3868" s="392" t="n"/>
      <c r="G3868" s="392" t="n">
        <v>42</v>
      </c>
      <c r="H3868" s="52">
        <f>H3867-G3868</f>
        <v/>
      </c>
      <c r="I3868" s="568" t="n"/>
      <c r="J3868" s="568" t="n"/>
      <c r="K3868" s="568" t="n"/>
      <c r="L3868" s="568" t="n"/>
    </row>
    <row r="3869">
      <c r="A3869" s="568" t="n">
        <v>46253</v>
      </c>
      <c r="B3869" s="392" t="n">
        <v>12833</v>
      </c>
      <c r="C3869" s="392" t="n">
        <v>78</v>
      </c>
      <c r="D3869" s="392" t="n"/>
      <c r="E3869" s="392" t="n"/>
      <c r="F3869" s="392" t="n"/>
      <c r="G3869" s="392" t="n">
        <v>30</v>
      </c>
      <c r="H3869" s="52">
        <f>H3868-G3869</f>
        <v/>
      </c>
      <c r="I3869" s="568" t="n"/>
      <c r="J3869" s="568" t="n"/>
      <c r="K3869" s="568" t="n"/>
      <c r="L3869" s="568" t="n"/>
    </row>
    <row r="3870">
      <c r="A3870" s="568" t="n">
        <v>46258</v>
      </c>
      <c r="B3870" s="392" t="n">
        <v>12835</v>
      </c>
      <c r="C3870" s="392" t="n">
        <v>76</v>
      </c>
      <c r="D3870" s="392" t="n"/>
      <c r="E3870" s="392" t="n"/>
      <c r="F3870" s="392" t="n"/>
      <c r="G3870" s="392" t="n">
        <v>10</v>
      </c>
      <c r="H3870" s="52">
        <f>H3869-G3870</f>
        <v/>
      </c>
      <c r="I3870" s="568" t="n"/>
      <c r="J3870" s="568" t="n"/>
      <c r="K3870" s="568" t="n"/>
      <c r="L3870" s="568" t="n"/>
    </row>
    <row r="3871">
      <c r="A3871" s="568" t="n">
        <v>46258</v>
      </c>
      <c r="B3871" s="392" t="n">
        <v>12839</v>
      </c>
      <c r="C3871" s="392" t="n">
        <v>79.59999999999999</v>
      </c>
      <c r="D3871" s="392" t="n"/>
      <c r="E3871" s="392" t="n"/>
      <c r="F3871" s="392" t="n"/>
      <c r="G3871" s="392" t="n">
        <v>50</v>
      </c>
      <c r="H3871" s="52">
        <f>H3870-G3871</f>
        <v/>
      </c>
      <c r="I3871" s="568" t="n"/>
      <c r="J3871" s="568" t="n"/>
      <c r="K3871" s="568" t="n"/>
      <c r="L3871" s="568" t="n"/>
    </row>
    <row r="3872">
      <c r="A3872" s="568" t="n">
        <v>46260</v>
      </c>
      <c r="B3872" s="392" t="n">
        <v>12846</v>
      </c>
      <c r="C3872" s="392" t="n">
        <v>68</v>
      </c>
      <c r="D3872" s="392" t="n"/>
      <c r="E3872" s="392" t="n"/>
      <c r="F3872" s="392" t="n"/>
      <c r="G3872" s="392" t="n">
        <v>10</v>
      </c>
      <c r="H3872" s="52">
        <f>H3871-G3872</f>
        <v/>
      </c>
      <c r="I3872" s="568" t="n"/>
      <c r="J3872" s="568" t="n"/>
      <c r="K3872" s="568" t="n"/>
      <c r="L3872" s="568" t="n"/>
    </row>
    <row r="3873">
      <c r="A3873" s="568" t="n">
        <v>46260</v>
      </c>
      <c r="B3873" s="392" t="n">
        <v>12847</v>
      </c>
      <c r="C3873" s="392" t="n">
        <v>81.12</v>
      </c>
      <c r="D3873" s="392" t="n"/>
      <c r="E3873" s="392" t="n"/>
      <c r="F3873" s="392" t="n"/>
      <c r="G3873" s="392" t="n">
        <v>45</v>
      </c>
      <c r="H3873" s="52">
        <f>H3872-G3873</f>
        <v/>
      </c>
      <c r="I3873" s="568" t="n"/>
      <c r="J3873" s="568" t="n"/>
      <c r="K3873" s="568" t="n"/>
      <c r="L3873" s="568" t="n"/>
    </row>
    <row r="3874">
      <c r="A3874" s="568" t="n">
        <v>46260</v>
      </c>
      <c r="B3874" s="392" t="n">
        <v>12849</v>
      </c>
      <c r="C3874" s="392" t="n">
        <v>78.38</v>
      </c>
      <c r="D3874" s="392" t="n"/>
      <c r="E3874" s="392" t="n"/>
      <c r="F3874" s="392" t="n"/>
      <c r="G3874" s="392" t="n">
        <v>40</v>
      </c>
      <c r="H3874" s="52">
        <f>H3873-G3874</f>
        <v/>
      </c>
      <c r="I3874" s="568" t="n"/>
      <c r="J3874" s="568" t="n"/>
      <c r="K3874" s="568" t="n"/>
      <c r="L3874" s="568" t="n"/>
    </row>
    <row r="3875">
      <c r="A3875" s="568" t="n">
        <v>46260</v>
      </c>
      <c r="B3875" s="392" t="n">
        <v>12851</v>
      </c>
      <c r="C3875" s="392" t="n">
        <v>78</v>
      </c>
      <c r="D3875" s="392" t="n"/>
      <c r="E3875" s="392" t="n"/>
      <c r="F3875" s="392" t="n"/>
      <c r="G3875" s="392" t="n">
        <v>30</v>
      </c>
      <c r="H3875" s="52">
        <f>H3874-G3875</f>
        <v/>
      </c>
      <c r="I3875" s="568" t="n"/>
      <c r="J3875" s="568" t="n"/>
      <c r="K3875" s="568" t="n"/>
      <c r="L3875" s="568" t="n"/>
    </row>
    <row r="3876">
      <c r="A3876" s="568" t="n">
        <v>46260</v>
      </c>
      <c r="B3876" s="392" t="n">
        <v>12852</v>
      </c>
      <c r="C3876" s="392" t="n">
        <v>76</v>
      </c>
      <c r="D3876" s="392" t="n"/>
      <c r="E3876" s="392" t="n"/>
      <c r="F3876" s="392" t="n"/>
      <c r="G3876" s="392" t="n">
        <v>10</v>
      </c>
      <c r="H3876" s="52">
        <f>H3875-G3876</f>
        <v/>
      </c>
      <c r="I3876" s="568" t="n"/>
      <c r="J3876" s="568" t="n"/>
      <c r="K3876" s="568" t="n"/>
      <c r="L3876" s="568" t="n"/>
    </row>
    <row r="3877" ht="15.75" customHeight="1" s="436" thickBot="1">
      <c r="A3877" s="414" t="n"/>
      <c r="H3877" s="171" t="n"/>
      <c r="I3877" s="414" t="n"/>
      <c r="J3877" s="414" t="n"/>
      <c r="K3877" s="414" t="n"/>
      <c r="L3877" s="414" t="n"/>
    </row>
    <row r="3878" ht="21.75" customHeight="1" s="436" thickBot="1">
      <c r="A3878" s="757" t="inlineStr">
        <is>
          <t>Setembro</t>
        </is>
      </c>
      <c r="B3878" s="697" t="n"/>
      <c r="C3878" s="697" t="n"/>
      <c r="D3878" s="697" t="n"/>
      <c r="E3878" s="697" t="n"/>
      <c r="F3878" s="697" t="n"/>
      <c r="G3878" s="697" t="n"/>
      <c r="H3878" s="697" t="n"/>
      <c r="I3878" s="697" t="n"/>
      <c r="J3878" s="697" t="n"/>
      <c r="K3878" s="697" t="n"/>
      <c r="L3878" s="698" t="n"/>
    </row>
    <row r="3879" ht="21.75" customHeight="1" s="436" thickBot="1">
      <c r="A3879" s="699" t="inlineStr">
        <is>
          <t xml:space="preserve">021 - DENISE FURTADO DE SOUZA - ME </t>
        </is>
      </c>
      <c r="B3879" s="697" t="n"/>
      <c r="C3879" s="697" t="n"/>
      <c r="D3879" s="697" t="n"/>
      <c r="E3879" s="697" t="n"/>
      <c r="F3879" s="697" t="n"/>
      <c r="G3879" s="697" t="n"/>
      <c r="H3879" s="697" t="n"/>
      <c r="I3879" s="697" t="n"/>
      <c r="J3879" s="697" t="n"/>
      <c r="K3879" s="697" t="n"/>
      <c r="L3879" s="698" t="n"/>
    </row>
    <row r="3880" ht="24" customHeight="1" s="436" thickBot="1">
      <c r="A3880" s="759" t="inlineStr">
        <is>
          <t xml:space="preserve">  PRÉ MISTURA - 25 KG</t>
        </is>
      </c>
      <c r="B3880" s="697" t="n"/>
      <c r="C3880" s="697" t="n"/>
      <c r="D3880" s="697" t="n"/>
      <c r="E3880" s="697" t="n"/>
      <c r="F3880" s="697" t="n"/>
      <c r="G3880" s="697" t="n"/>
      <c r="H3880" s="697" t="n"/>
      <c r="I3880" s="697" t="n"/>
      <c r="J3880" s="697" t="n"/>
      <c r="K3880" s="697" t="n"/>
      <c r="L3880" s="698" t="n"/>
    </row>
    <row r="3881">
      <c r="A3881" s="3" t="inlineStr">
        <is>
          <t>DATA</t>
        </is>
      </c>
      <c r="B3881" s="3" t="inlineStr">
        <is>
          <t>N.F.</t>
        </is>
      </c>
      <c r="C3881" s="3" t="inlineStr">
        <is>
          <t>TIPO</t>
        </is>
      </c>
      <c r="D3881" s="3" t="inlineStr">
        <is>
          <t>PREÇO UNITÁRIO</t>
        </is>
      </c>
      <c r="E3881" s="736" t="n"/>
      <c r="F3881" s="3" t="inlineStr">
        <is>
          <t>QUANTIDADE / KG</t>
        </is>
      </c>
      <c r="G3881" s="737" t="n"/>
      <c r="H3881" s="736" t="n"/>
      <c r="I3881" s="631" t="inlineStr">
        <is>
          <t>PREÇO</t>
        </is>
      </c>
      <c r="J3881" s="631" t="inlineStr">
        <is>
          <t>VALORES</t>
        </is>
      </c>
      <c r="K3881" s="737" t="n"/>
      <c r="L3881" s="736" t="n"/>
    </row>
    <row r="3882" ht="15.75" customHeight="1" s="436" thickBot="1">
      <c r="A3882" s="704" t="n"/>
      <c r="B3882" s="704" t="n"/>
      <c r="C3882" s="704" t="n"/>
      <c r="D3882" s="703" t="n"/>
      <c r="E3882" s="701" t="n"/>
      <c r="F3882" s="705" t="n"/>
      <c r="G3882" s="706" t="n"/>
      <c r="H3882" s="707" t="n"/>
      <c r="I3882" s="704" t="n"/>
      <c r="J3882" s="703" t="n"/>
      <c r="L3882" s="701" t="n"/>
    </row>
    <row r="3883" ht="15.75" customHeight="1" s="436" thickBot="1">
      <c r="A3883" s="704" t="n"/>
      <c r="B3883" s="704" t="n"/>
      <c r="C3883" s="704" t="n"/>
      <c r="D3883" s="705" t="n"/>
      <c r="E3883" s="707" t="n"/>
      <c r="F3883" s="3" t="inlineStr">
        <is>
          <t>ENTRADA</t>
        </is>
      </c>
      <c r="G3883" s="3" t="inlineStr">
        <is>
          <t>SAÍDA</t>
        </is>
      </c>
      <c r="H3883" s="640" t="n"/>
      <c r="I3883" s="633" t="inlineStr">
        <is>
          <t>MÉDIO</t>
        </is>
      </c>
      <c r="J3883" s="739" t="inlineStr">
        <is>
          <t>SALDO EM 30/12/2017</t>
        </is>
      </c>
      <c r="K3883" s="707" t="n"/>
      <c r="L3883" s="17" t="n"/>
    </row>
    <row r="3884" ht="15.75" customHeight="1" s="436" thickBot="1">
      <c r="A3884" s="695" t="n"/>
      <c r="B3884" s="695" t="n"/>
      <c r="C3884" s="695" t="n"/>
      <c r="D3884" s="3" t="inlineStr">
        <is>
          <t>C/ICMS</t>
        </is>
      </c>
      <c r="E3884" s="3" t="inlineStr">
        <is>
          <t>S/ICMS</t>
        </is>
      </c>
      <c r="F3884" s="695" t="n"/>
      <c r="G3884" s="695" t="n"/>
      <c r="H3884" s="361" t="inlineStr">
        <is>
          <t>Saldo em 31/08/2026</t>
        </is>
      </c>
      <c r="I3884" s="695" t="n"/>
      <c r="J3884" s="645" t="inlineStr">
        <is>
          <t>ENTRADA</t>
        </is>
      </c>
      <c r="K3884" s="633" t="inlineStr">
        <is>
          <t>SAÍDA / CMV</t>
        </is>
      </c>
      <c r="L3884" s="633" t="inlineStr">
        <is>
          <t>SALDO</t>
        </is>
      </c>
    </row>
    <row r="3885">
      <c r="A3885" s="568" t="n"/>
      <c r="B3885" s="392" t="n"/>
      <c r="C3885" s="392" t="n"/>
      <c r="D3885" s="392" t="n"/>
      <c r="E3885" s="392" t="n"/>
      <c r="F3885" s="392" t="n"/>
      <c r="G3885" s="392" t="n"/>
      <c r="H3885" s="52" t="n">
        <v>1534</v>
      </c>
      <c r="I3885" s="568" t="n"/>
      <c r="J3885" s="568" t="n"/>
      <c r="K3885" s="568" t="n"/>
      <c r="L3885" s="392" t="n"/>
    </row>
    <row r="3886">
      <c r="A3886" s="568" t="n">
        <v>46266</v>
      </c>
      <c r="B3886" s="392" t="n">
        <v>12858</v>
      </c>
      <c r="C3886" s="392" t="n">
        <v>68</v>
      </c>
      <c r="D3886" s="392" t="n"/>
      <c r="E3886" s="392" t="n"/>
      <c r="F3886" s="392" t="n"/>
      <c r="G3886" s="392" t="n">
        <v>10</v>
      </c>
      <c r="H3886" s="52">
        <f>H3885-G3886</f>
        <v/>
      </c>
      <c r="I3886" s="568" t="n"/>
      <c r="J3886" s="568" t="n"/>
      <c r="K3886" s="568" t="n"/>
      <c r="L3886" s="568" t="n"/>
    </row>
    <row r="3887">
      <c r="A3887" s="568" t="n">
        <v>46266</v>
      </c>
      <c r="B3887" s="392" t="n">
        <v>12865</v>
      </c>
      <c r="C3887" s="392" t="n">
        <v>74</v>
      </c>
      <c r="D3887" s="392" t="n"/>
      <c r="E3887" s="392" t="n"/>
      <c r="F3887" s="392" t="n"/>
      <c r="G3887" s="392" t="n">
        <v>10</v>
      </c>
      <c r="H3887" s="52">
        <f>H3886-G3887</f>
        <v/>
      </c>
      <c r="I3887" s="568" t="n"/>
      <c r="J3887" s="568" t="n"/>
      <c r="K3887" s="568" t="n"/>
      <c r="L3887" s="568" t="n"/>
    </row>
    <row r="3888">
      <c r="A3888" s="568" t="n">
        <v>46266</v>
      </c>
      <c r="B3888" s="392" t="n">
        <v>12866</v>
      </c>
      <c r="C3888" s="392" t="n">
        <v>90</v>
      </c>
      <c r="D3888" s="392" t="n"/>
      <c r="E3888" s="392" t="n"/>
      <c r="F3888" s="392" t="n"/>
      <c r="G3888" s="392" t="n">
        <v>5</v>
      </c>
      <c r="H3888" s="52">
        <f>H3887-G3888</f>
        <v/>
      </c>
      <c r="I3888" s="568" t="n"/>
      <c r="J3888" s="568" t="n"/>
      <c r="K3888" s="568" t="n"/>
      <c r="L3888" s="568" t="n"/>
    </row>
    <row r="3889">
      <c r="A3889" s="568" t="n">
        <v>46266</v>
      </c>
      <c r="B3889" s="392" t="n">
        <v>12867</v>
      </c>
      <c r="C3889" s="392" t="n">
        <v>80</v>
      </c>
      <c r="D3889" s="392" t="n"/>
      <c r="E3889" s="392" t="n"/>
      <c r="F3889" s="392" t="n"/>
      <c r="G3889" s="392" t="n">
        <v>42</v>
      </c>
      <c r="H3889" s="52">
        <f>H3888-G3889</f>
        <v/>
      </c>
      <c r="I3889" s="568" t="n"/>
      <c r="J3889" s="568" t="n"/>
      <c r="K3889" s="568" t="n"/>
      <c r="L3889" s="568" t="n"/>
    </row>
    <row r="3890">
      <c r="A3890" s="568" t="n">
        <v>46272</v>
      </c>
      <c r="B3890" s="392" t="n">
        <v>12868</v>
      </c>
      <c r="C3890" s="392" t="n">
        <v>80</v>
      </c>
      <c r="D3890" s="392" t="n"/>
      <c r="E3890" s="392" t="n"/>
      <c r="F3890" s="392" t="n"/>
      <c r="G3890" s="392" t="n">
        <v>82</v>
      </c>
      <c r="H3890" s="52">
        <f>H3889-G3890</f>
        <v/>
      </c>
      <c r="I3890" s="568" t="n"/>
      <c r="J3890" s="568" t="n"/>
      <c r="K3890" s="568" t="n"/>
      <c r="L3890" s="568" t="n"/>
    </row>
    <row r="3891">
      <c r="A3891" s="568" t="n">
        <v>46272</v>
      </c>
      <c r="B3891" s="392" t="n">
        <v>12878</v>
      </c>
      <c r="C3891" s="392" t="n">
        <v>75</v>
      </c>
      <c r="D3891" s="392" t="n"/>
      <c r="E3891" s="392" t="n"/>
      <c r="F3891" s="392" t="n"/>
      <c r="G3891" s="392" t="n">
        <v>25</v>
      </c>
      <c r="H3891" s="52">
        <f>H3890-G3891</f>
        <v/>
      </c>
      <c r="I3891" s="568" t="n"/>
      <c r="J3891" s="568" t="n"/>
      <c r="K3891" s="568" t="n"/>
      <c r="L3891" s="568" t="n"/>
    </row>
    <row r="3892">
      <c r="A3892" s="568" t="n">
        <v>46274</v>
      </c>
      <c r="B3892" s="392" t="n">
        <v>12880</v>
      </c>
      <c r="C3892" s="392" t="n">
        <v>80</v>
      </c>
      <c r="D3892" s="392" t="n"/>
      <c r="E3892" s="392" t="n"/>
      <c r="F3892" s="392" t="n"/>
      <c r="G3892" s="392" t="n">
        <v>45</v>
      </c>
      <c r="H3892" s="52">
        <f>H3891-G3892</f>
        <v/>
      </c>
      <c r="I3892" s="568" t="n"/>
      <c r="J3892" s="568" t="n"/>
      <c r="K3892" s="568" t="n"/>
      <c r="L3892" s="568" t="n"/>
    </row>
    <row r="3893">
      <c r="A3893" s="568" t="n">
        <v>46274</v>
      </c>
      <c r="B3893" s="392" t="n">
        <v>12881</v>
      </c>
      <c r="C3893" s="392" t="n">
        <v>76</v>
      </c>
      <c r="D3893" s="392" t="n"/>
      <c r="E3893" s="392" t="n"/>
      <c r="F3893" s="392" t="n"/>
      <c r="G3893" s="392" t="n">
        <v>10</v>
      </c>
      <c r="H3893" s="52">
        <f>H3892-G3893</f>
        <v/>
      </c>
      <c r="I3893" s="568" t="n"/>
      <c r="J3893" s="568" t="n"/>
      <c r="K3893" s="568" t="n"/>
      <c r="L3893" s="568" t="n"/>
    </row>
    <row r="3894">
      <c r="A3894" s="568" t="n">
        <v>46280</v>
      </c>
      <c r="B3894" s="392" t="n">
        <v>12885</v>
      </c>
      <c r="C3894" s="392" t="n">
        <v>80</v>
      </c>
      <c r="D3894" s="392" t="n"/>
      <c r="E3894" s="392" t="n"/>
      <c r="F3894" s="392" t="n"/>
      <c r="G3894" s="392" t="n">
        <v>10</v>
      </c>
      <c r="H3894" s="52">
        <f>H3893-G3894</f>
        <v/>
      </c>
      <c r="I3894" s="568" t="n"/>
      <c r="J3894" s="568" t="n"/>
      <c r="K3894" s="568" t="n"/>
      <c r="L3894" s="568" t="n"/>
    </row>
    <row r="3895">
      <c r="A3895" s="568" t="n">
        <v>46280</v>
      </c>
      <c r="B3895" s="392" t="n">
        <v>12886</v>
      </c>
      <c r="C3895" s="392" t="n">
        <v>79.81999999999999</v>
      </c>
      <c r="D3895" s="392" t="n"/>
      <c r="E3895" s="392" t="n"/>
      <c r="F3895" s="392" t="n"/>
      <c r="G3895" s="392" t="n">
        <v>55</v>
      </c>
      <c r="H3895" s="52">
        <f>H3894-G3895</f>
        <v/>
      </c>
      <c r="I3895" s="568" t="n"/>
      <c r="J3895" s="568" t="n"/>
      <c r="K3895" s="568" t="n"/>
      <c r="L3895" s="568" t="n"/>
    </row>
    <row r="3896">
      <c r="A3896" s="568" t="n">
        <v>46280</v>
      </c>
      <c r="B3896" s="392" t="n">
        <v>12891</v>
      </c>
      <c r="C3896" s="392" t="n">
        <v>74</v>
      </c>
      <c r="D3896" s="392" t="n"/>
      <c r="E3896" s="392" t="n"/>
      <c r="F3896" s="392" t="n"/>
      <c r="G3896" s="392" t="n">
        <v>15</v>
      </c>
      <c r="H3896" s="52">
        <f>H3895-G3896</f>
        <v/>
      </c>
      <c r="I3896" s="568" t="n"/>
      <c r="J3896" s="568" t="n"/>
      <c r="K3896" s="568" t="n"/>
      <c r="L3896" s="568" t="n"/>
    </row>
    <row r="3897">
      <c r="A3897" s="568" t="n">
        <v>46280</v>
      </c>
      <c r="B3897" s="392" t="n">
        <v>12893</v>
      </c>
      <c r="C3897" s="392" t="n">
        <v>80</v>
      </c>
      <c r="D3897" s="392" t="n"/>
      <c r="E3897" s="392" t="n"/>
      <c r="F3897" s="392" t="n"/>
      <c r="G3897" s="392" t="n">
        <v>42</v>
      </c>
      <c r="H3897" s="52">
        <f>H3896-G3897</f>
        <v/>
      </c>
      <c r="I3897" s="568" t="n"/>
      <c r="J3897" s="568" t="n"/>
      <c r="K3897" s="568" t="n"/>
      <c r="L3897" s="568" t="n"/>
    </row>
    <row r="3898">
      <c r="A3898" s="304" t="n">
        <v>46280</v>
      </c>
      <c r="B3898" s="401" t="n">
        <v>315648</v>
      </c>
      <c r="C3898" s="401" t="n"/>
      <c r="D3898" s="401" t="n"/>
      <c r="E3898" s="401" t="n"/>
      <c r="F3898" s="401" t="n">
        <v>1030</v>
      </c>
      <c r="G3898" s="401" t="n"/>
      <c r="H3898" s="277" t="n">
        <v>2213</v>
      </c>
      <c r="I3898" s="568" t="n"/>
      <c r="J3898" s="568" t="n"/>
      <c r="K3898" s="568" t="n"/>
      <c r="L3898" s="568" t="n"/>
    </row>
    <row r="3899">
      <c r="A3899" s="568" t="n">
        <v>46281</v>
      </c>
      <c r="B3899" s="392" t="n">
        <v>12896</v>
      </c>
      <c r="C3899" s="392" t="n">
        <v>69.34</v>
      </c>
      <c r="D3899" s="392" t="n"/>
      <c r="E3899" s="392" t="n"/>
      <c r="F3899" s="392" t="n"/>
      <c r="G3899" s="392" t="n">
        <v>15</v>
      </c>
      <c r="H3899" s="52">
        <f>H3898-G3899</f>
        <v/>
      </c>
      <c r="I3899" s="568" t="n"/>
      <c r="J3899" s="568" t="n"/>
      <c r="K3899" s="568" t="n"/>
      <c r="L3899" s="568" t="n"/>
    </row>
    <row r="3900">
      <c r="A3900" s="568" t="n">
        <v>46286</v>
      </c>
      <c r="B3900" s="392" t="n">
        <v>12903</v>
      </c>
      <c r="C3900" s="392" t="n">
        <v>80</v>
      </c>
      <c r="D3900" s="392" t="n"/>
      <c r="E3900" s="392" t="n"/>
      <c r="F3900" s="392" t="n"/>
      <c r="G3900" s="392" t="n">
        <v>30</v>
      </c>
      <c r="H3900" s="52">
        <f>H3899-G3900</f>
        <v/>
      </c>
      <c r="I3900" s="568" t="n"/>
      <c r="J3900" s="568" t="n"/>
      <c r="K3900" s="568" t="n"/>
      <c r="L3900" s="568" t="n"/>
    </row>
    <row r="3901">
      <c r="A3901" s="568" t="n">
        <v>46286</v>
      </c>
      <c r="B3901" s="392" t="n">
        <v>12904</v>
      </c>
      <c r="C3901" s="392" t="n">
        <v>78</v>
      </c>
      <c r="D3901" s="392" t="n"/>
      <c r="E3901" s="392" t="n"/>
      <c r="F3901" s="392" t="n"/>
      <c r="G3901" s="392" t="n">
        <v>30</v>
      </c>
      <c r="H3901" s="52">
        <f>H3900-G3901</f>
        <v/>
      </c>
      <c r="I3901" s="568" t="n"/>
      <c r="J3901" s="568" t="n"/>
      <c r="K3901" s="568" t="n"/>
      <c r="L3901" s="568" t="n"/>
    </row>
    <row r="3902">
      <c r="A3902" s="568" t="n">
        <v>46288</v>
      </c>
      <c r="B3902" s="392" t="n">
        <v>12906</v>
      </c>
      <c r="C3902" s="392" t="n">
        <v>72</v>
      </c>
      <c r="D3902" s="392" t="n"/>
      <c r="E3902" s="392" t="n"/>
      <c r="F3902" s="392" t="n"/>
      <c r="G3902" s="392" t="n">
        <v>20</v>
      </c>
      <c r="H3902" s="52">
        <f>H3901-G3902</f>
        <v/>
      </c>
      <c r="I3902" s="568" t="n"/>
      <c r="J3902" s="568" t="n"/>
      <c r="K3902" s="568" t="n"/>
      <c r="L3902" s="568" t="n"/>
    </row>
    <row r="3903">
      <c r="A3903" s="568" t="n">
        <v>46288</v>
      </c>
      <c r="B3903" s="392" t="n">
        <v>12907</v>
      </c>
      <c r="C3903" s="392" t="n">
        <v>76</v>
      </c>
      <c r="D3903" s="392" t="n"/>
      <c r="E3903" s="392" t="n"/>
      <c r="F3903" s="392" t="n"/>
      <c r="G3903" s="392" t="n">
        <v>15</v>
      </c>
      <c r="H3903" s="52">
        <f>H3902-G3903</f>
        <v/>
      </c>
      <c r="I3903" s="568" t="n"/>
      <c r="J3903" s="568" t="n"/>
      <c r="K3903" s="568" t="n"/>
      <c r="L3903" s="568" t="n"/>
    </row>
    <row r="3904">
      <c r="A3904" s="568" t="n">
        <v>46288</v>
      </c>
      <c r="B3904" s="392" t="n">
        <v>12918</v>
      </c>
      <c r="C3904" s="392" t="n">
        <v>80</v>
      </c>
      <c r="D3904" s="392" t="n"/>
      <c r="E3904" s="392" t="n"/>
      <c r="F3904" s="392" t="n"/>
      <c r="G3904" s="392" t="n">
        <v>40</v>
      </c>
      <c r="H3904" s="52">
        <f>H3903-G3904</f>
        <v/>
      </c>
      <c r="I3904" s="568" t="n"/>
      <c r="J3904" s="568" t="n"/>
      <c r="K3904" s="568" t="n"/>
      <c r="L3904" s="568" t="n"/>
    </row>
    <row r="3905">
      <c r="A3905" s="568" t="n">
        <v>46293</v>
      </c>
      <c r="B3905" s="392" t="n">
        <v>12919</v>
      </c>
      <c r="C3905" s="392" t="n">
        <v>82</v>
      </c>
      <c r="D3905" s="392" t="n"/>
      <c r="E3905" s="392" t="n"/>
      <c r="F3905" s="392" t="n"/>
      <c r="G3905" s="392" t="n">
        <v>30</v>
      </c>
      <c r="H3905" s="52">
        <f>H3904-G3905</f>
        <v/>
      </c>
      <c r="I3905" s="568" t="n"/>
      <c r="J3905" s="568" t="n"/>
      <c r="K3905" s="568" t="n"/>
      <c r="L3905" s="568" t="n"/>
    </row>
    <row r="3906">
      <c r="A3906" s="568" t="n">
        <v>46293</v>
      </c>
      <c r="B3906" s="392" t="n">
        <v>12920</v>
      </c>
      <c r="C3906" s="392" t="n">
        <v>74</v>
      </c>
      <c r="D3906" s="392" t="n"/>
      <c r="E3906" s="392" t="n"/>
      <c r="F3906" s="392" t="n"/>
      <c r="G3906" s="392" t="n">
        <v>15</v>
      </c>
      <c r="H3906" s="52">
        <f>H3905-G3906</f>
        <v/>
      </c>
      <c r="I3906" s="568" t="n"/>
      <c r="J3906" s="568" t="n"/>
      <c r="K3906" s="568" t="n"/>
      <c r="L3906" s="568" t="n"/>
    </row>
    <row r="3907">
      <c r="A3907" s="568" t="n">
        <v>46293</v>
      </c>
      <c r="B3907" s="392" t="n">
        <v>12921</v>
      </c>
      <c r="C3907" s="392" t="n">
        <v>80</v>
      </c>
      <c r="D3907" s="392" t="n"/>
      <c r="E3907" s="392" t="n"/>
      <c r="F3907" s="392" t="n"/>
      <c r="G3907" s="392" t="n">
        <v>42</v>
      </c>
      <c r="H3907" s="52">
        <f>H3906-G3907</f>
        <v/>
      </c>
      <c r="I3907" s="568" t="n"/>
      <c r="J3907" s="568" t="n"/>
      <c r="K3907" s="568" t="n"/>
      <c r="L3907" s="568" t="n"/>
    </row>
    <row r="3908">
      <c r="A3908" s="568" t="n"/>
      <c r="B3908" s="392" t="n"/>
      <c r="C3908" s="392" t="n"/>
      <c r="D3908" s="392" t="n"/>
      <c r="E3908" s="392" t="n"/>
      <c r="F3908" s="392" t="n"/>
      <c r="G3908" s="392" t="n"/>
      <c r="H3908" s="52">
        <f>H3907-G3908</f>
        <v/>
      </c>
      <c r="I3908" s="568" t="n"/>
      <c r="J3908" s="568" t="n"/>
      <c r="K3908" s="568" t="n"/>
      <c r="L3908" s="568" t="n"/>
    </row>
    <row r="3909">
      <c r="A3909" s="568" t="n"/>
      <c r="B3909" s="392" t="n"/>
      <c r="C3909" s="392" t="n"/>
      <c r="D3909" s="392" t="n"/>
      <c r="E3909" s="392" t="n"/>
      <c r="F3909" s="392" t="n"/>
      <c r="G3909" s="392" t="n"/>
      <c r="H3909" s="52">
        <f>H3908-G3909</f>
        <v/>
      </c>
      <c r="I3909" s="568" t="n"/>
      <c r="J3909" s="568" t="n"/>
      <c r="K3909" s="568" t="n"/>
      <c r="L3909" s="568" t="n"/>
    </row>
    <row r="3910">
      <c r="A3910" s="568" t="n"/>
      <c r="B3910" s="392" t="n"/>
      <c r="C3910" s="392" t="n"/>
      <c r="D3910" s="392" t="n"/>
      <c r="E3910" s="392" t="n"/>
      <c r="F3910" s="392" t="n"/>
      <c r="G3910" s="392" t="n"/>
      <c r="H3910" s="52">
        <f>H3909-G3910</f>
        <v/>
      </c>
      <c r="I3910" s="568" t="n"/>
      <c r="J3910" s="568" t="n"/>
      <c r="K3910" s="568" t="n"/>
      <c r="L3910" s="568" t="n"/>
    </row>
    <row r="3911">
      <c r="A3911" s="568" t="n"/>
      <c r="B3911" s="392" t="n"/>
      <c r="C3911" s="392" t="n"/>
      <c r="D3911" s="392" t="n"/>
      <c r="E3911" s="392" t="n"/>
      <c r="F3911" s="392" t="n"/>
      <c r="G3911" s="392" t="n"/>
      <c r="H3911" s="52">
        <f>H3910-G3911</f>
        <v/>
      </c>
      <c r="I3911" s="568" t="n"/>
      <c r="J3911" s="568" t="n"/>
      <c r="K3911" s="568" t="n"/>
      <c r="L3911" s="568" t="n"/>
    </row>
    <row r="3912">
      <c r="A3912" s="568" t="n"/>
      <c r="B3912" s="392" t="n"/>
      <c r="C3912" s="392" t="n"/>
      <c r="D3912" s="392" t="n"/>
      <c r="E3912" s="392" t="n"/>
      <c r="F3912" s="392" t="n"/>
      <c r="G3912" s="392" t="n"/>
      <c r="H3912" s="52">
        <f>H3911-G3912</f>
        <v/>
      </c>
      <c r="I3912" s="568" t="n"/>
      <c r="J3912" s="568" t="n"/>
      <c r="K3912" s="568" t="n"/>
      <c r="L3912" s="568" t="n"/>
    </row>
    <row r="3913">
      <c r="A3913" s="568" t="n"/>
      <c r="B3913" s="392" t="n"/>
      <c r="C3913" s="392" t="n"/>
      <c r="D3913" s="392" t="n"/>
      <c r="E3913" s="392" t="n"/>
      <c r="F3913" s="392" t="n"/>
      <c r="G3913" s="392" t="n"/>
      <c r="H3913" s="52">
        <f>H3912-G3913</f>
        <v/>
      </c>
      <c r="I3913" s="568" t="n"/>
      <c r="J3913" s="568" t="n"/>
      <c r="K3913" s="568" t="n"/>
      <c r="L3913" s="568" t="n"/>
    </row>
    <row r="3914">
      <c r="A3914" s="568" t="n"/>
      <c r="B3914" s="392" t="n"/>
      <c r="C3914" s="392" t="n"/>
      <c r="D3914" s="392" t="n"/>
      <c r="E3914" s="392" t="n"/>
      <c r="F3914" s="392" t="n"/>
      <c r="G3914" s="392" t="n"/>
      <c r="H3914" s="52">
        <f>H3913-G3914</f>
        <v/>
      </c>
      <c r="I3914" s="568" t="n"/>
      <c r="J3914" s="568" t="n"/>
      <c r="K3914" s="568" t="n"/>
      <c r="L3914" s="568" t="n"/>
    </row>
    <row r="3915">
      <c r="A3915" s="568" t="n"/>
      <c r="B3915" s="392" t="n"/>
      <c r="C3915" s="392" t="n"/>
      <c r="D3915" s="392" t="n"/>
      <c r="E3915" s="392" t="n"/>
      <c r="F3915" s="392" t="n"/>
      <c r="G3915" s="392" t="n"/>
      <c r="H3915" s="52">
        <f>H3914-G3915</f>
        <v/>
      </c>
      <c r="I3915" s="568" t="n"/>
      <c r="J3915" s="568" t="n"/>
      <c r="K3915" s="568" t="n"/>
      <c r="L3915" s="568" t="n"/>
    </row>
    <row r="3916">
      <c r="A3916" s="568" t="n"/>
      <c r="B3916" s="392" t="n"/>
      <c r="C3916" s="392" t="n"/>
      <c r="D3916" s="392" t="n"/>
      <c r="E3916" s="392" t="n"/>
      <c r="F3916" s="392" t="n"/>
      <c r="G3916" s="392" t="n"/>
      <c r="H3916" s="52">
        <f>H3915-G3916</f>
        <v/>
      </c>
      <c r="I3916" s="568" t="n"/>
      <c r="J3916" s="568" t="n"/>
      <c r="K3916" s="568" t="n"/>
      <c r="L3916" s="568" t="n"/>
    </row>
    <row r="3917">
      <c r="A3917" s="568" t="n"/>
      <c r="B3917" s="392" t="n"/>
      <c r="C3917" s="392" t="n"/>
      <c r="D3917" s="392" t="n"/>
      <c r="E3917" s="392" t="n"/>
      <c r="F3917" s="392" t="n"/>
      <c r="G3917" s="392" t="n"/>
      <c r="H3917" s="52">
        <f>H3916-G3917</f>
        <v/>
      </c>
      <c r="I3917" s="568" t="n"/>
      <c r="J3917" s="568" t="n"/>
      <c r="K3917" s="568" t="n"/>
      <c r="L3917" s="568" t="n"/>
    </row>
    <row r="3918">
      <c r="A3918" s="568" t="n"/>
      <c r="B3918" s="392" t="n"/>
      <c r="C3918" s="392" t="n"/>
      <c r="D3918" s="392" t="n"/>
      <c r="E3918" s="392" t="n"/>
      <c r="F3918" s="392" t="n"/>
      <c r="G3918" s="392" t="n"/>
      <c r="H3918" s="52">
        <f>H3917-G3918</f>
        <v/>
      </c>
      <c r="I3918" s="568" t="n"/>
      <c r="J3918" s="568" t="n"/>
      <c r="K3918" s="568" t="n"/>
      <c r="L3918" s="568" t="n"/>
    </row>
    <row r="3919">
      <c r="A3919" s="568" t="n"/>
      <c r="B3919" s="392" t="n"/>
      <c r="C3919" s="392" t="n"/>
      <c r="D3919" s="392" t="n"/>
      <c r="E3919" s="392" t="n"/>
      <c r="F3919" s="392" t="n"/>
      <c r="G3919" s="392" t="n"/>
      <c r="H3919" s="52">
        <f>H3918-G3919</f>
        <v/>
      </c>
      <c r="I3919" s="568" t="n"/>
      <c r="J3919" s="568" t="n"/>
      <c r="K3919" s="568" t="n"/>
      <c r="L3919" s="568" t="n"/>
    </row>
    <row r="3920">
      <c r="A3920" s="568" t="n"/>
      <c r="B3920" s="392" t="n"/>
      <c r="C3920" s="392" t="n"/>
      <c r="D3920" s="392" t="n"/>
      <c r="E3920" s="392" t="n"/>
      <c r="F3920" s="392" t="n"/>
      <c r="G3920" s="392" t="n"/>
      <c r="H3920" s="52">
        <f>H3919-G3920</f>
        <v/>
      </c>
      <c r="I3920" s="568" t="n"/>
      <c r="J3920" s="568" t="n"/>
      <c r="K3920" s="568" t="n"/>
      <c r="L3920" s="568" t="n"/>
    </row>
    <row r="3921">
      <c r="A3921" s="568" t="n"/>
      <c r="B3921" s="392" t="n"/>
      <c r="C3921" s="392" t="n"/>
      <c r="D3921" s="392" t="n"/>
      <c r="E3921" s="392" t="n"/>
      <c r="F3921" s="392" t="n"/>
      <c r="G3921" s="392" t="n"/>
      <c r="H3921" s="52">
        <f>H3920-G3921</f>
        <v/>
      </c>
      <c r="I3921" s="568" t="n"/>
      <c r="J3921" s="568" t="n"/>
      <c r="K3921" s="568" t="n"/>
      <c r="L3921" s="568" t="n"/>
    </row>
    <row r="3922">
      <c r="A3922" s="568" t="n"/>
      <c r="B3922" s="392" t="n"/>
      <c r="C3922" s="392" t="n"/>
      <c r="D3922" s="392" t="n"/>
      <c r="E3922" s="392" t="n"/>
      <c r="F3922" s="392" t="n"/>
      <c r="G3922" s="392" t="n"/>
      <c r="H3922" s="52">
        <f>H3921-G3922</f>
        <v/>
      </c>
      <c r="I3922" s="568" t="n"/>
      <c r="J3922" s="568" t="n"/>
      <c r="K3922" s="568" t="n"/>
      <c r="L3922" s="568" t="n"/>
    </row>
    <row r="3923">
      <c r="A3923" s="568" t="n"/>
      <c r="B3923" s="392" t="n"/>
      <c r="C3923" s="392" t="n"/>
      <c r="D3923" s="392" t="n"/>
      <c r="E3923" s="392" t="n"/>
      <c r="F3923" s="392" t="n"/>
      <c r="G3923" s="392" t="n"/>
      <c r="H3923" s="52">
        <f>H3922-G3923</f>
        <v/>
      </c>
      <c r="I3923" s="568" t="n"/>
      <c r="J3923" s="568" t="n"/>
      <c r="K3923" s="568" t="n"/>
      <c r="L3923" s="568" t="n"/>
    </row>
    <row r="3924">
      <c r="A3924" s="568" t="n"/>
      <c r="B3924" s="392" t="n"/>
      <c r="C3924" s="392" t="n"/>
      <c r="D3924" s="392" t="n"/>
      <c r="E3924" s="392" t="n"/>
      <c r="F3924" s="392" t="n"/>
      <c r="G3924" s="392" t="n"/>
      <c r="H3924" s="52">
        <f>H3923-G3924</f>
        <v/>
      </c>
      <c r="I3924" s="568" t="n"/>
      <c r="J3924" s="568" t="n"/>
      <c r="K3924" s="568" t="n"/>
      <c r="L3924" s="568" t="n"/>
    </row>
    <row r="3925">
      <c r="A3925" s="568" t="n"/>
      <c r="B3925" s="392" t="n"/>
      <c r="C3925" s="392" t="n"/>
      <c r="D3925" s="392" t="n"/>
      <c r="E3925" s="392" t="n"/>
      <c r="F3925" s="392" t="n"/>
      <c r="G3925" s="392" t="n"/>
      <c r="H3925" s="52">
        <f>H3924-G3925</f>
        <v/>
      </c>
      <c r="I3925" s="568" t="n"/>
      <c r="J3925" s="568" t="n"/>
      <c r="K3925" s="568" t="n"/>
      <c r="L3925" s="568" t="n"/>
    </row>
    <row r="3926">
      <c r="A3926" s="568" t="n"/>
      <c r="B3926" s="392" t="n"/>
      <c r="C3926" s="392" t="n"/>
      <c r="D3926" s="392" t="n"/>
      <c r="E3926" s="392" t="n"/>
      <c r="F3926" s="392" t="n"/>
      <c r="G3926" s="392" t="n"/>
      <c r="H3926" s="52">
        <f>H3925-G3926</f>
        <v/>
      </c>
      <c r="I3926" s="568" t="n"/>
      <c r="J3926" s="568" t="n"/>
      <c r="K3926" s="568" t="n"/>
      <c r="L3926" s="568" t="n"/>
    </row>
    <row r="3927">
      <c r="A3927" s="568" t="n"/>
      <c r="B3927" s="392" t="n"/>
      <c r="C3927" s="392" t="n"/>
      <c r="D3927" s="392" t="n"/>
      <c r="E3927" s="392" t="n"/>
      <c r="F3927" s="392" t="n"/>
      <c r="G3927" s="392" t="n"/>
      <c r="H3927" s="52">
        <f>H3926-G3927</f>
        <v/>
      </c>
      <c r="I3927" s="568" t="n"/>
      <c r="J3927" s="568" t="n"/>
      <c r="K3927" s="568" t="n"/>
      <c r="L3927" s="568" t="n"/>
    </row>
    <row r="3928">
      <c r="A3928" s="568" t="n"/>
      <c r="B3928" s="392" t="n"/>
      <c r="C3928" s="392" t="n"/>
      <c r="D3928" s="392" t="n"/>
      <c r="E3928" s="392" t="n"/>
      <c r="F3928" s="392" t="n"/>
      <c r="G3928" s="392" t="n"/>
      <c r="H3928" s="52">
        <f>H3927-G3928</f>
        <v/>
      </c>
      <c r="I3928" s="568" t="n"/>
      <c r="J3928" s="568" t="n"/>
      <c r="K3928" s="568" t="n"/>
      <c r="L3928" s="568" t="n"/>
    </row>
    <row r="3929">
      <c r="A3929" s="568" t="n"/>
      <c r="B3929" s="392" t="n"/>
      <c r="C3929" s="392" t="n"/>
      <c r="D3929" s="392" t="n"/>
      <c r="E3929" s="392" t="n"/>
      <c r="F3929" s="392" t="n"/>
      <c r="G3929" s="392" t="n"/>
      <c r="H3929" s="52">
        <f>H3928-G3929</f>
        <v/>
      </c>
      <c r="I3929" s="568" t="n"/>
      <c r="J3929" s="568" t="n"/>
      <c r="K3929" s="568" t="n"/>
      <c r="L3929" s="568" t="n"/>
    </row>
    <row r="3930">
      <c r="A3930" s="568" t="n"/>
      <c r="B3930" s="392" t="n"/>
      <c r="C3930" s="392" t="n"/>
      <c r="D3930" s="392" t="n"/>
      <c r="E3930" s="392" t="n"/>
      <c r="F3930" s="392" t="n"/>
      <c r="G3930" s="392" t="n"/>
      <c r="H3930" s="52">
        <f>H3929-G3930</f>
        <v/>
      </c>
      <c r="I3930" s="568" t="n"/>
      <c r="J3930" s="568" t="n"/>
      <c r="K3930" s="568" t="n"/>
      <c r="L3930" s="568" t="n"/>
    </row>
    <row r="3931">
      <c r="A3931" s="568" t="n"/>
      <c r="B3931" s="392" t="n"/>
      <c r="C3931" s="392" t="n"/>
      <c r="D3931" s="392" t="n"/>
      <c r="E3931" s="392" t="n"/>
      <c r="F3931" s="392" t="n"/>
      <c r="G3931" s="392" t="n"/>
      <c r="H3931" s="52">
        <f>H3930-G3931</f>
        <v/>
      </c>
      <c r="I3931" s="568" t="n"/>
      <c r="J3931" s="568" t="n"/>
      <c r="K3931" s="568" t="n"/>
      <c r="L3931" s="568" t="n"/>
    </row>
    <row r="3932">
      <c r="A3932" s="568" t="n"/>
      <c r="B3932" s="392" t="n"/>
      <c r="C3932" s="392" t="n"/>
      <c r="D3932" s="392" t="n"/>
      <c r="E3932" s="392" t="n"/>
      <c r="F3932" s="392" t="n"/>
      <c r="G3932" s="392" t="n"/>
      <c r="H3932" s="52">
        <f>H3931-G3932</f>
        <v/>
      </c>
      <c r="I3932" s="568" t="n"/>
      <c r="J3932" s="568" t="n"/>
      <c r="K3932" s="568" t="n"/>
      <c r="L3932" s="568" t="n"/>
    </row>
    <row r="3933">
      <c r="A3933" s="568" t="n"/>
      <c r="B3933" s="392" t="n"/>
      <c r="C3933" s="392" t="n"/>
      <c r="D3933" s="392" t="n"/>
      <c r="E3933" s="392" t="n"/>
      <c r="F3933" s="392" t="n"/>
      <c r="G3933" s="392" t="n"/>
      <c r="H3933" s="52">
        <f>H3932-G3933</f>
        <v/>
      </c>
      <c r="I3933" s="568" t="n"/>
      <c r="J3933" s="568" t="n"/>
      <c r="K3933" s="568" t="n"/>
      <c r="L3933" s="568" t="n"/>
    </row>
    <row r="3934">
      <c r="A3934" s="568" t="n"/>
      <c r="B3934" s="392" t="n"/>
      <c r="C3934" s="392" t="n"/>
      <c r="D3934" s="392" t="n"/>
      <c r="E3934" s="392" t="n"/>
      <c r="F3934" s="392" t="n"/>
      <c r="G3934" s="392" t="n"/>
      <c r="H3934" s="52">
        <f>H3933-G3934</f>
        <v/>
      </c>
      <c r="I3934" s="568" t="n"/>
      <c r="J3934" s="568" t="n"/>
      <c r="K3934" s="568" t="n"/>
      <c r="L3934" s="568" t="n"/>
    </row>
    <row r="3935">
      <c r="A3935" s="568" t="n"/>
      <c r="B3935" s="392" t="n"/>
      <c r="C3935" s="392" t="n"/>
      <c r="D3935" s="392" t="n"/>
      <c r="E3935" s="392" t="n"/>
      <c r="F3935" s="392" t="n"/>
      <c r="G3935" s="392" t="n"/>
      <c r="H3935" s="52">
        <f>H3934-G3935</f>
        <v/>
      </c>
      <c r="I3935" s="568" t="n"/>
      <c r="J3935" s="568" t="n"/>
      <c r="K3935" s="568" t="n"/>
      <c r="L3935" s="568" t="n"/>
    </row>
    <row r="3936">
      <c r="A3936" s="568" t="n"/>
      <c r="B3936" s="392" t="n"/>
      <c r="C3936" s="392" t="n"/>
      <c r="D3936" s="392" t="n"/>
      <c r="E3936" s="392" t="n"/>
      <c r="F3936" s="392" t="n"/>
      <c r="G3936" s="392" t="n"/>
      <c r="H3936" s="52">
        <f>H3935-G3936</f>
        <v/>
      </c>
      <c r="I3936" s="568" t="n"/>
      <c r="J3936" s="568" t="n"/>
      <c r="K3936" s="568" t="n"/>
      <c r="L3936" s="568" t="n"/>
    </row>
    <row r="3937">
      <c r="A3937" s="568" t="n"/>
      <c r="B3937" s="392" t="n"/>
      <c r="C3937" s="392" t="n"/>
      <c r="D3937" s="392" t="n"/>
      <c r="E3937" s="392" t="n"/>
      <c r="F3937" s="392" t="n"/>
      <c r="G3937" s="392" t="n"/>
      <c r="H3937" s="52">
        <f>H3936-G3937</f>
        <v/>
      </c>
      <c r="I3937" s="568" t="n"/>
      <c r="J3937" s="568" t="n"/>
      <c r="K3937" s="568" t="n"/>
      <c r="L3937" s="568" t="n"/>
    </row>
    <row r="3938">
      <c r="A3938" s="568" t="n"/>
      <c r="B3938" s="392" t="n"/>
      <c r="C3938" s="392" t="n"/>
      <c r="D3938" s="392" t="n"/>
      <c r="E3938" s="392" t="n"/>
      <c r="F3938" s="392" t="n"/>
      <c r="G3938" s="392" t="n"/>
      <c r="H3938" s="52">
        <f>H3937-G3938</f>
        <v/>
      </c>
      <c r="I3938" s="568" t="n"/>
      <c r="J3938" s="568" t="n"/>
      <c r="K3938" s="568" t="n"/>
      <c r="L3938" s="568" t="n"/>
    </row>
    <row r="3939">
      <c r="A3939" s="568" t="n"/>
      <c r="B3939" s="392" t="n"/>
      <c r="C3939" s="392" t="n"/>
      <c r="D3939" s="392" t="n"/>
      <c r="E3939" s="392" t="n"/>
      <c r="F3939" s="392" t="n"/>
      <c r="G3939" s="392" t="n"/>
      <c r="H3939" s="52">
        <f>H3938-G3939</f>
        <v/>
      </c>
      <c r="I3939" s="568" t="n"/>
      <c r="J3939" s="568" t="n"/>
      <c r="K3939" s="568" t="n"/>
      <c r="L3939" s="568" t="n"/>
    </row>
    <row r="3940">
      <c r="A3940" s="568" t="n"/>
      <c r="B3940" s="392" t="n"/>
      <c r="C3940" s="392" t="n"/>
      <c r="D3940" s="392" t="n"/>
      <c r="E3940" s="392" t="n"/>
      <c r="F3940" s="392" t="n"/>
      <c r="G3940" s="392" t="n"/>
      <c r="H3940" s="52">
        <f>H3939-G3940</f>
        <v/>
      </c>
      <c r="I3940" s="568" t="n"/>
      <c r="J3940" s="568" t="n"/>
      <c r="K3940" s="568" t="n"/>
      <c r="L3940" s="568" t="n"/>
    </row>
    <row r="3941">
      <c r="A3941" s="568" t="n"/>
      <c r="B3941" s="392" t="n"/>
      <c r="C3941" s="392" t="n"/>
      <c r="D3941" s="392" t="n"/>
      <c r="E3941" s="392" t="n"/>
      <c r="F3941" s="392" t="n"/>
      <c r="G3941" s="392" t="n"/>
      <c r="H3941" s="52">
        <f>H3940-G3941</f>
        <v/>
      </c>
      <c r="I3941" s="568" t="n"/>
      <c r="J3941" s="568" t="n"/>
      <c r="K3941" s="568" t="n"/>
      <c r="L3941" s="568" t="n"/>
    </row>
    <row r="3942">
      <c r="A3942" s="568" t="n"/>
      <c r="B3942" s="392" t="n"/>
      <c r="C3942" s="392" t="n"/>
      <c r="D3942" s="392" t="n"/>
      <c r="E3942" s="392" t="n"/>
      <c r="F3942" s="392" t="n"/>
      <c r="G3942" s="392" t="n"/>
      <c r="H3942" s="52">
        <f>H3941-G3942</f>
        <v/>
      </c>
      <c r="I3942" s="568" t="n"/>
      <c r="J3942" s="568" t="n"/>
      <c r="K3942" s="568" t="n"/>
      <c r="L3942" s="568" t="n"/>
    </row>
    <row r="3943">
      <c r="A3943" s="568" t="n"/>
      <c r="B3943" s="392" t="n"/>
      <c r="C3943" s="392" t="n"/>
      <c r="D3943" s="392" t="n"/>
      <c r="E3943" s="392" t="n"/>
      <c r="F3943" s="392" t="n"/>
      <c r="G3943" s="392" t="n"/>
      <c r="H3943" s="52">
        <f>H3942-G3943</f>
        <v/>
      </c>
      <c r="I3943" s="568" t="n"/>
      <c r="J3943" s="568" t="n"/>
      <c r="K3943" s="568" t="n"/>
      <c r="L3943" s="568" t="n"/>
    </row>
    <row r="3944">
      <c r="A3944" s="568" t="n"/>
      <c r="B3944" s="392" t="n"/>
      <c r="C3944" s="392" t="n"/>
      <c r="D3944" s="392" t="n"/>
      <c r="E3944" s="392" t="n"/>
      <c r="F3944" s="392" t="n"/>
      <c r="G3944" s="392" t="n"/>
      <c r="H3944" s="52">
        <f>H3943-G3944</f>
        <v/>
      </c>
      <c r="I3944" s="568" t="n"/>
      <c r="J3944" s="568" t="n"/>
      <c r="K3944" s="568" t="n"/>
      <c r="L3944" s="568" t="n"/>
    </row>
    <row r="3945">
      <c r="A3945" s="568" t="n"/>
      <c r="B3945" s="392" t="n"/>
      <c r="C3945" s="392" t="n"/>
      <c r="D3945" s="392" t="n"/>
      <c r="E3945" s="392" t="n"/>
      <c r="F3945" s="392" t="n"/>
      <c r="G3945" s="392" t="n"/>
      <c r="H3945" s="52">
        <f>H3944-G3945</f>
        <v/>
      </c>
      <c r="I3945" s="568" t="n"/>
      <c r="J3945" s="568" t="n"/>
      <c r="K3945" s="568" t="n"/>
      <c r="L3945" s="568" t="n"/>
    </row>
    <row r="3946">
      <c r="A3946" s="568" t="n"/>
      <c r="B3946" s="392" t="n"/>
      <c r="C3946" s="392" t="n"/>
      <c r="D3946" s="392" t="n"/>
      <c r="E3946" s="392" t="n"/>
      <c r="F3946" s="392" t="n"/>
      <c r="G3946" s="392" t="n"/>
      <c r="H3946" s="52">
        <f>H3945-G3946</f>
        <v/>
      </c>
      <c r="I3946" s="568" t="n"/>
      <c r="J3946" s="568" t="n"/>
      <c r="K3946" s="568" t="n"/>
      <c r="L3946" s="568" t="n"/>
    </row>
    <row r="3947">
      <c r="A3947" s="568" t="n"/>
      <c r="B3947" s="392" t="n"/>
      <c r="C3947" s="392" t="n"/>
      <c r="D3947" s="392" t="n"/>
      <c r="E3947" s="392" t="n"/>
      <c r="F3947" s="392" t="n"/>
      <c r="G3947" s="392" t="n"/>
      <c r="H3947" s="52">
        <f>H3946-G3947</f>
        <v/>
      </c>
      <c r="I3947" s="568" t="n"/>
      <c r="J3947" s="568" t="n"/>
      <c r="K3947" s="568" t="n"/>
      <c r="L3947" s="568" t="n"/>
    </row>
    <row r="3948">
      <c r="A3948" s="568" t="n"/>
      <c r="B3948" s="392" t="n"/>
      <c r="C3948" s="392" t="n"/>
      <c r="D3948" s="392" t="n"/>
      <c r="E3948" s="392" t="n"/>
      <c r="F3948" s="392" t="n"/>
      <c r="G3948" s="392" t="n"/>
      <c r="H3948" s="52">
        <f>H3947-G3948</f>
        <v/>
      </c>
      <c r="I3948" s="568" t="n"/>
      <c r="J3948" s="568" t="n"/>
      <c r="K3948" s="568" t="n"/>
      <c r="L3948" s="568" t="n"/>
    </row>
    <row r="3949">
      <c r="A3949" s="568" t="n"/>
      <c r="B3949" s="392" t="n"/>
      <c r="C3949" s="392" t="n"/>
      <c r="D3949" s="392" t="n"/>
      <c r="E3949" s="392" t="n"/>
      <c r="F3949" s="392" t="n"/>
      <c r="G3949" s="392" t="n"/>
      <c r="H3949" s="52">
        <f>H3948-G3949</f>
        <v/>
      </c>
      <c r="I3949" s="568" t="n"/>
      <c r="J3949" s="568" t="n"/>
      <c r="K3949" s="568" t="n"/>
      <c r="L3949" s="568" t="n"/>
    </row>
    <row r="3950">
      <c r="A3950" s="568" t="n"/>
      <c r="B3950" s="392" t="n"/>
      <c r="C3950" s="392" t="n"/>
      <c r="D3950" s="392" t="n"/>
      <c r="E3950" s="392" t="n"/>
      <c r="F3950" s="392" t="n"/>
      <c r="G3950" s="392" t="n"/>
      <c r="H3950" s="52">
        <f>H3949-G3950</f>
        <v/>
      </c>
      <c r="I3950" s="568" t="n"/>
      <c r="J3950" s="568" t="n"/>
      <c r="K3950" s="568" t="n"/>
      <c r="L3950" s="568" t="n"/>
    </row>
    <row r="3951">
      <c r="A3951" s="568" t="n"/>
      <c r="B3951" s="392" t="n"/>
      <c r="C3951" s="392" t="n"/>
      <c r="D3951" s="392" t="n"/>
      <c r="E3951" s="392" t="n"/>
      <c r="F3951" s="392" t="n"/>
      <c r="G3951" s="392" t="n"/>
      <c r="H3951" s="52">
        <f>H3950-G3951</f>
        <v/>
      </c>
      <c r="I3951" s="568" t="n"/>
      <c r="J3951" s="568" t="n"/>
      <c r="K3951" s="568" t="n"/>
      <c r="L3951" s="568" t="n"/>
    </row>
    <row r="3952">
      <c r="A3952" s="568" t="n"/>
      <c r="B3952" s="392" t="n"/>
      <c r="C3952" s="392" t="n"/>
      <c r="D3952" s="392" t="n"/>
      <c r="E3952" s="392" t="n"/>
      <c r="F3952" s="392" t="n"/>
      <c r="G3952" s="392" t="n"/>
      <c r="H3952" s="52">
        <f>H3951-G3952</f>
        <v/>
      </c>
      <c r="I3952" s="568" t="n"/>
      <c r="J3952" s="568" t="n"/>
      <c r="K3952" s="568" t="n"/>
      <c r="L3952" s="568" t="n"/>
    </row>
    <row r="3953">
      <c r="A3953" s="568" t="n"/>
      <c r="B3953" s="392" t="n"/>
      <c r="C3953" s="392" t="n"/>
      <c r="D3953" s="392" t="n"/>
      <c r="E3953" s="392" t="n"/>
      <c r="F3953" s="392" t="n"/>
      <c r="G3953" s="392" t="n"/>
      <c r="H3953" s="52">
        <f>H3952-G3953</f>
        <v/>
      </c>
      <c r="I3953" s="568" t="n"/>
      <c r="J3953" s="568" t="n"/>
      <c r="K3953" s="568" t="n"/>
      <c r="L3953" s="568" t="n"/>
    </row>
    <row r="3954">
      <c r="A3954" s="568" t="n"/>
      <c r="B3954" s="392" t="n"/>
      <c r="C3954" s="392" t="n"/>
      <c r="D3954" s="392" t="n"/>
      <c r="E3954" s="392" t="n"/>
      <c r="F3954" s="392" t="n"/>
      <c r="G3954" s="392" t="n"/>
      <c r="H3954" s="52">
        <f>H3953-G3954</f>
        <v/>
      </c>
      <c r="I3954" s="568" t="n"/>
      <c r="J3954" s="568" t="n"/>
      <c r="K3954" s="568" t="n"/>
      <c r="L3954" s="568" t="n"/>
    </row>
    <row r="3955">
      <c r="A3955" s="568" t="n"/>
      <c r="B3955" s="392" t="n"/>
      <c r="C3955" s="392" t="n"/>
      <c r="D3955" s="392" t="n"/>
      <c r="E3955" s="392" t="n"/>
      <c r="F3955" s="392" t="n"/>
      <c r="G3955" s="392" t="n"/>
      <c r="H3955" s="52">
        <f>H3954-G3955</f>
        <v/>
      </c>
      <c r="I3955" s="568" t="n"/>
      <c r="J3955" s="568" t="n"/>
      <c r="K3955" s="568" t="n"/>
      <c r="L3955" s="568" t="n"/>
    </row>
    <row r="3956">
      <c r="A3956" s="568" t="n"/>
      <c r="B3956" s="392" t="n"/>
      <c r="C3956" s="392" t="n"/>
      <c r="D3956" s="392" t="n"/>
      <c r="E3956" s="392" t="n"/>
      <c r="F3956" s="392" t="n"/>
      <c r="G3956" s="392" t="n"/>
      <c r="H3956" s="52">
        <f>H3955-G3956</f>
        <v/>
      </c>
      <c r="I3956" s="568" t="n"/>
      <c r="J3956" s="568" t="n"/>
      <c r="K3956" s="568" t="n"/>
      <c r="L3956" s="568" t="n"/>
    </row>
    <row r="3957">
      <c r="A3957" s="568" t="n"/>
      <c r="B3957" s="392" t="n"/>
      <c r="C3957" s="392" t="n"/>
      <c r="D3957" s="392" t="n"/>
      <c r="E3957" s="392" t="n"/>
      <c r="F3957" s="392" t="n"/>
      <c r="G3957" s="392" t="n"/>
      <c r="H3957" s="52">
        <f>H3956-G3957</f>
        <v/>
      </c>
      <c r="I3957" s="568" t="n"/>
      <c r="J3957" s="568" t="n"/>
      <c r="K3957" s="568" t="n"/>
      <c r="L3957" s="568" t="n"/>
    </row>
    <row r="3958">
      <c r="A3958" s="568" t="n"/>
      <c r="B3958" s="392" t="n"/>
      <c r="C3958" s="392" t="n"/>
      <c r="D3958" s="392" t="n"/>
      <c r="E3958" s="392" t="n"/>
      <c r="F3958" s="392" t="n"/>
      <c r="G3958" s="392" t="n"/>
      <c r="H3958" s="52">
        <f>H3957-G3958</f>
        <v/>
      </c>
      <c r="I3958" s="568" t="n"/>
      <c r="J3958" s="568" t="n"/>
      <c r="K3958" s="568" t="n"/>
      <c r="L3958" s="568" t="n"/>
    </row>
    <row r="3959">
      <c r="A3959" s="568" t="n"/>
      <c r="B3959" s="392" t="n"/>
      <c r="C3959" s="392" t="n"/>
      <c r="D3959" s="392" t="n"/>
      <c r="E3959" s="392" t="n"/>
      <c r="F3959" s="392" t="n"/>
      <c r="G3959" s="392" t="n"/>
      <c r="H3959" s="52">
        <f>H3958-G3959</f>
        <v/>
      </c>
      <c r="I3959" s="568" t="n"/>
      <c r="J3959" s="568" t="n"/>
      <c r="K3959" s="568" t="n"/>
      <c r="L3959" s="568" t="n"/>
    </row>
    <row r="3960">
      <c r="A3960" s="568" t="n"/>
      <c r="B3960" s="392" t="n"/>
      <c r="C3960" s="392" t="n"/>
      <c r="D3960" s="392" t="n"/>
      <c r="E3960" s="392" t="n"/>
      <c r="F3960" s="392" t="n"/>
      <c r="G3960" s="392" t="n"/>
      <c r="H3960" s="52">
        <f>H3959-G3960</f>
        <v/>
      </c>
      <c r="I3960" s="568" t="n"/>
      <c r="J3960" s="568" t="n"/>
      <c r="K3960" s="568" t="n"/>
      <c r="L3960" s="568" t="n"/>
    </row>
    <row r="3961">
      <c r="A3961" s="568" t="n"/>
      <c r="B3961" s="392" t="n"/>
      <c r="C3961" s="392" t="n"/>
      <c r="D3961" s="392" t="n"/>
      <c r="E3961" s="392" t="n"/>
      <c r="F3961" s="392" t="n"/>
      <c r="G3961" s="392" t="n"/>
      <c r="H3961" s="52">
        <f>H3960-G3961</f>
        <v/>
      </c>
      <c r="I3961" s="568" t="n"/>
      <c r="J3961" s="568" t="n"/>
      <c r="K3961" s="568" t="n"/>
      <c r="L3961" s="568" t="n"/>
    </row>
    <row r="3962">
      <c r="A3962" s="568" t="n"/>
      <c r="B3962" s="392" t="n"/>
      <c r="C3962" s="392" t="n"/>
      <c r="D3962" s="392" t="n"/>
      <c r="E3962" s="392" t="n"/>
      <c r="F3962" s="392" t="n"/>
      <c r="G3962" s="392" t="n"/>
      <c r="H3962" s="52">
        <f>H3961-G3962</f>
        <v/>
      </c>
      <c r="I3962" s="568" t="n"/>
      <c r="J3962" s="568" t="n"/>
      <c r="K3962" s="568" t="n"/>
      <c r="L3962" s="568" t="n"/>
    </row>
    <row r="3963">
      <c r="A3963" s="568" t="n"/>
      <c r="B3963" s="392" t="n"/>
      <c r="C3963" s="392" t="n"/>
      <c r="D3963" s="392" t="n"/>
      <c r="E3963" s="392" t="n"/>
      <c r="F3963" s="392" t="n"/>
      <c r="G3963" s="392" t="n"/>
      <c r="H3963" s="52">
        <f>H3962-G3963</f>
        <v/>
      </c>
      <c r="I3963" s="568" t="n"/>
      <c r="J3963" s="568" t="n"/>
      <c r="K3963" s="568" t="n"/>
      <c r="L3963" s="568" t="n"/>
    </row>
    <row r="3964">
      <c r="A3964" s="568" t="n"/>
      <c r="B3964" s="392" t="n"/>
      <c r="C3964" s="392" t="n"/>
      <c r="D3964" s="392" t="n"/>
      <c r="E3964" s="392" t="n"/>
      <c r="F3964" s="392" t="n"/>
      <c r="G3964" s="392" t="n"/>
      <c r="H3964" s="52">
        <f>H3963-G3964</f>
        <v/>
      </c>
      <c r="I3964" s="568" t="n"/>
      <c r="J3964" s="568" t="n"/>
      <c r="K3964" s="568" t="n"/>
      <c r="L3964" s="568" t="n"/>
    </row>
    <row r="3965">
      <c r="A3965" s="568" t="n"/>
      <c r="B3965" s="392" t="n"/>
      <c r="C3965" s="392" t="n"/>
      <c r="D3965" s="392" t="n"/>
      <c r="E3965" s="392" t="n"/>
      <c r="F3965" s="392" t="n"/>
      <c r="G3965" s="392" t="n"/>
      <c r="H3965" s="52">
        <f>H3964-G3965</f>
        <v/>
      </c>
      <c r="I3965" s="568" t="n"/>
      <c r="J3965" s="568" t="n"/>
      <c r="K3965" s="568" t="n"/>
      <c r="L3965" s="568" t="n"/>
    </row>
    <row r="3966">
      <c r="A3966" s="568" t="n"/>
      <c r="B3966" s="392" t="n"/>
      <c r="C3966" s="392" t="n"/>
      <c r="D3966" s="392" t="n"/>
      <c r="E3966" s="392" t="n"/>
      <c r="F3966" s="392" t="n"/>
      <c r="G3966" s="392" t="n"/>
      <c r="H3966" s="52">
        <f>H3965-G3966</f>
        <v/>
      </c>
      <c r="I3966" s="568" t="n"/>
      <c r="J3966" s="568" t="n"/>
      <c r="K3966" s="568" t="n"/>
      <c r="L3966" s="568" t="n"/>
    </row>
    <row r="3967">
      <c r="A3967" s="568" t="n"/>
      <c r="B3967" s="392" t="n"/>
      <c r="C3967" s="392" t="n"/>
      <c r="D3967" s="392" t="n"/>
      <c r="E3967" s="392" t="n"/>
      <c r="F3967" s="392" t="n"/>
      <c r="G3967" s="392" t="n"/>
      <c r="H3967" s="52">
        <f>H3966-G3967</f>
        <v/>
      </c>
      <c r="I3967" s="568" t="n"/>
      <c r="J3967" s="568" t="n"/>
      <c r="K3967" s="568" t="n"/>
      <c r="L3967" s="568" t="n"/>
    </row>
    <row r="3968">
      <c r="A3968" s="568" t="n"/>
      <c r="B3968" s="392" t="n"/>
      <c r="C3968" s="392" t="n"/>
      <c r="D3968" s="392" t="n"/>
      <c r="E3968" s="392" t="n"/>
      <c r="F3968" s="392" t="n"/>
      <c r="G3968" s="392" t="n"/>
      <c r="H3968" s="52">
        <f>H3967-G3968</f>
        <v/>
      </c>
      <c r="I3968" s="568" t="n"/>
      <c r="J3968" s="568" t="n"/>
      <c r="K3968" s="568" t="n"/>
      <c r="L3968" s="568" t="n"/>
    </row>
    <row r="3969">
      <c r="A3969" s="568" t="n"/>
      <c r="B3969" s="392" t="n"/>
      <c r="C3969" s="392" t="n"/>
      <c r="D3969" s="392" t="n"/>
      <c r="E3969" s="392" t="n"/>
      <c r="F3969" s="392" t="n"/>
      <c r="G3969" s="392" t="n"/>
      <c r="H3969" s="52">
        <f>H3968-G3969</f>
        <v/>
      </c>
      <c r="I3969" s="568" t="n"/>
      <c r="J3969" s="568" t="n"/>
      <c r="K3969" s="568" t="n"/>
      <c r="L3969" s="568" t="n"/>
    </row>
    <row r="3970">
      <c r="A3970" s="568" t="n"/>
      <c r="B3970" s="392" t="n"/>
      <c r="C3970" s="392" t="n"/>
      <c r="D3970" s="392" t="n"/>
      <c r="E3970" s="392" t="n"/>
      <c r="F3970" s="392" t="n"/>
      <c r="G3970" s="392" t="n"/>
      <c r="H3970" s="52">
        <f>H3969-G3970</f>
        <v/>
      </c>
      <c r="I3970" s="568" t="n"/>
      <c r="J3970" s="568" t="n"/>
      <c r="K3970" s="568" t="n"/>
      <c r="L3970" s="568" t="n"/>
    </row>
    <row r="3971">
      <c r="A3971" s="568" t="n"/>
      <c r="B3971" s="392" t="n"/>
      <c r="C3971" s="392" t="n"/>
      <c r="D3971" s="392" t="n"/>
      <c r="E3971" s="392" t="n"/>
      <c r="F3971" s="392" t="n"/>
      <c r="G3971" s="392" t="n"/>
      <c r="H3971" s="52">
        <f>H3970-G3971</f>
        <v/>
      </c>
      <c r="I3971" s="568" t="n"/>
      <c r="J3971" s="568" t="n"/>
      <c r="K3971" s="568" t="n"/>
      <c r="L3971" s="568" t="n"/>
    </row>
    <row r="3972">
      <c r="A3972" s="568" t="n"/>
      <c r="B3972" s="392" t="n"/>
      <c r="C3972" s="392" t="n"/>
      <c r="D3972" s="392" t="n"/>
      <c r="E3972" s="392" t="n"/>
      <c r="F3972" s="392" t="n"/>
      <c r="G3972" s="392" t="n"/>
      <c r="H3972" s="52">
        <f>H3971-G3972</f>
        <v/>
      </c>
      <c r="I3972" s="568" t="n"/>
      <c r="J3972" s="568" t="n"/>
      <c r="K3972" s="568" t="n"/>
      <c r="L3972" s="568" t="n"/>
    </row>
    <row r="3973">
      <c r="A3973" s="568" t="n"/>
      <c r="B3973" s="392" t="n"/>
      <c r="C3973" s="392" t="n"/>
      <c r="D3973" s="392" t="n"/>
      <c r="E3973" s="392" t="n"/>
      <c r="F3973" s="392" t="n"/>
      <c r="G3973" s="392" t="n"/>
      <c r="H3973" s="52">
        <f>H3972-G3973</f>
        <v/>
      </c>
      <c r="I3973" s="568" t="n"/>
      <c r="J3973" s="568" t="n"/>
      <c r="K3973" s="568" t="n"/>
      <c r="L3973" s="568" t="n"/>
    </row>
    <row r="3974">
      <c r="A3974" s="568" t="n"/>
      <c r="B3974" s="392" t="n"/>
      <c r="C3974" s="392" t="n"/>
      <c r="D3974" s="392" t="n"/>
      <c r="E3974" s="392" t="n"/>
      <c r="F3974" s="392" t="n"/>
      <c r="G3974" s="392" t="n"/>
      <c r="H3974" s="52">
        <f>H3973-G3974</f>
        <v/>
      </c>
      <c r="I3974" s="568" t="n"/>
      <c r="J3974" s="568" t="n"/>
      <c r="K3974" s="568" t="n"/>
      <c r="L3974" s="568" t="n"/>
    </row>
    <row r="3975">
      <c r="A3975" s="568" t="n"/>
      <c r="B3975" s="392" t="n"/>
      <c r="C3975" s="392" t="n"/>
      <c r="D3975" s="392" t="n"/>
      <c r="E3975" s="392" t="n"/>
      <c r="F3975" s="392" t="n"/>
      <c r="G3975" s="392" t="n"/>
      <c r="H3975" s="52">
        <f>H3974-G3975</f>
        <v/>
      </c>
      <c r="I3975" s="568" t="n"/>
      <c r="J3975" s="568" t="n"/>
      <c r="K3975" s="568" t="n"/>
      <c r="L3975" s="568" t="n"/>
    </row>
    <row r="3976">
      <c r="A3976" s="568" t="n"/>
      <c r="B3976" s="392" t="n"/>
      <c r="C3976" s="392" t="n"/>
      <c r="D3976" s="392" t="n"/>
      <c r="E3976" s="392" t="n"/>
      <c r="F3976" s="392" t="n"/>
      <c r="G3976" s="392" t="n"/>
      <c r="H3976" s="52">
        <f>H3975-G3976</f>
        <v/>
      </c>
      <c r="I3976" s="568" t="n"/>
      <c r="J3976" s="568" t="n"/>
      <c r="K3976" s="568" t="n"/>
      <c r="L3976" s="568" t="n"/>
    </row>
    <row r="3977">
      <c r="A3977" s="568" t="n"/>
      <c r="B3977" s="392" t="n"/>
      <c r="C3977" s="392" t="n"/>
      <c r="D3977" s="392" t="n"/>
      <c r="E3977" s="392" t="n"/>
      <c r="F3977" s="392" t="n"/>
      <c r="G3977" s="392" t="n"/>
      <c r="H3977" s="52">
        <f>H3976-G3977</f>
        <v/>
      </c>
      <c r="I3977" s="568" t="n"/>
      <c r="J3977" s="568" t="n"/>
      <c r="K3977" s="568" t="n"/>
      <c r="L3977" s="568" t="n"/>
    </row>
    <row r="3978">
      <c r="A3978" s="568" t="n"/>
      <c r="B3978" s="392" t="n"/>
      <c r="C3978" s="392" t="n"/>
      <c r="D3978" s="392" t="n"/>
      <c r="E3978" s="392" t="n"/>
      <c r="F3978" s="392" t="n"/>
      <c r="G3978" s="392" t="n"/>
      <c r="H3978" s="52">
        <f>H3977-G3978</f>
        <v/>
      </c>
      <c r="I3978" s="568" t="n"/>
      <c r="J3978" s="568" t="n"/>
      <c r="K3978" s="568" t="n"/>
      <c r="L3978" s="568" t="n"/>
    </row>
    <row r="3979">
      <c r="A3979" s="568" t="n"/>
      <c r="B3979" s="392" t="n"/>
      <c r="C3979" s="392" t="n"/>
      <c r="D3979" s="392" t="n"/>
      <c r="E3979" s="392" t="n"/>
      <c r="F3979" s="392" t="n"/>
      <c r="G3979" s="392" t="n"/>
      <c r="H3979" s="52">
        <f>H3978-G3979</f>
        <v/>
      </c>
      <c r="I3979" s="568" t="n"/>
      <c r="J3979" s="568" t="n"/>
      <c r="K3979" s="568" t="n"/>
      <c r="L3979" s="568" t="n"/>
    </row>
    <row r="3980">
      <c r="A3980" s="568" t="n"/>
      <c r="B3980" s="392" t="n"/>
      <c r="C3980" s="392" t="n"/>
      <c r="D3980" s="392" t="n"/>
      <c r="E3980" s="392" t="n"/>
      <c r="F3980" s="392" t="n"/>
      <c r="G3980" s="392" t="n"/>
      <c r="H3980" s="52">
        <f>H3979-G3980</f>
        <v/>
      </c>
      <c r="I3980" s="568" t="n"/>
      <c r="J3980" s="568" t="n"/>
      <c r="K3980" s="568" t="n"/>
      <c r="L3980" s="568" t="n"/>
    </row>
    <row r="3981">
      <c r="A3981" s="568" t="n"/>
      <c r="B3981" s="392" t="n"/>
      <c r="C3981" s="392" t="n"/>
      <c r="D3981" s="392" t="n"/>
      <c r="E3981" s="392" t="n"/>
      <c r="F3981" s="392" t="n"/>
      <c r="G3981" s="392" t="n"/>
      <c r="H3981" s="52">
        <f>H3980-G3981</f>
        <v/>
      </c>
      <c r="I3981" s="568" t="n"/>
      <c r="J3981" s="568" t="n"/>
      <c r="K3981" s="568" t="n"/>
      <c r="L3981" s="568" t="n"/>
    </row>
    <row r="3982">
      <c r="A3982" s="568" t="n"/>
      <c r="B3982" s="392" t="n"/>
      <c r="C3982" s="392" t="n"/>
      <c r="D3982" s="392" t="n"/>
      <c r="E3982" s="392" t="n"/>
      <c r="F3982" s="392" t="n"/>
      <c r="G3982" s="392" t="n"/>
      <c r="H3982" s="52">
        <f>H3981-G3982</f>
        <v/>
      </c>
      <c r="I3982" s="568" t="n"/>
      <c r="J3982" s="568" t="n"/>
      <c r="K3982" s="568" t="n"/>
      <c r="L3982" s="568" t="n"/>
    </row>
    <row r="3983">
      <c r="A3983" s="568" t="n"/>
      <c r="B3983" s="392" t="n"/>
      <c r="C3983" s="392" t="n"/>
      <c r="D3983" s="392" t="n"/>
      <c r="E3983" s="392" t="n"/>
      <c r="F3983" s="392" t="n"/>
      <c r="G3983" s="392" t="n"/>
      <c r="H3983" s="52">
        <f>H3982-G3983</f>
        <v/>
      </c>
      <c r="I3983" s="568" t="n"/>
      <c r="J3983" s="568" t="n"/>
      <c r="K3983" s="568" t="n"/>
      <c r="L3983" s="568" t="n"/>
    </row>
    <row r="3984">
      <c r="A3984" s="568" t="n"/>
      <c r="B3984" s="392" t="n"/>
      <c r="C3984" s="392" t="n"/>
      <c r="D3984" s="392" t="n"/>
      <c r="E3984" s="392" t="n"/>
      <c r="F3984" s="392" t="n"/>
      <c r="G3984" s="392" t="n"/>
      <c r="H3984" s="52">
        <f>H3983-G3984</f>
        <v/>
      </c>
      <c r="I3984" s="568" t="n"/>
      <c r="J3984" s="568" t="n"/>
      <c r="K3984" s="568" t="n"/>
      <c r="L3984" s="568" t="n"/>
    </row>
    <row r="3985">
      <c r="A3985" s="568" t="n"/>
      <c r="B3985" s="392" t="n"/>
      <c r="C3985" s="392" t="n"/>
      <c r="D3985" s="392" t="n"/>
      <c r="E3985" s="392" t="n"/>
      <c r="F3985" s="392" t="n"/>
      <c r="G3985" s="392" t="n"/>
      <c r="H3985" s="52">
        <f>H3984-G3985</f>
        <v/>
      </c>
      <c r="I3985" s="568" t="n"/>
      <c r="J3985" s="568" t="n"/>
      <c r="K3985" s="568" t="n"/>
      <c r="L3985" s="568" t="n"/>
    </row>
    <row r="3986">
      <c r="A3986" s="568" t="n"/>
      <c r="B3986" s="392" t="n"/>
      <c r="C3986" s="392" t="n"/>
      <c r="D3986" s="392" t="n"/>
      <c r="E3986" s="392" t="n"/>
      <c r="F3986" s="392" t="n"/>
      <c r="G3986" s="392" t="n"/>
      <c r="H3986" s="52">
        <f>H3985-G3986</f>
        <v/>
      </c>
      <c r="I3986" s="568" t="n"/>
      <c r="J3986" s="568" t="n"/>
      <c r="K3986" s="568" t="n"/>
      <c r="L3986" s="568" t="n"/>
    </row>
    <row r="3987">
      <c r="A3987" s="568" t="n"/>
      <c r="B3987" s="392" t="n"/>
      <c r="C3987" s="392" t="n"/>
      <c r="D3987" s="392" t="n"/>
      <c r="E3987" s="392" t="n"/>
      <c r="F3987" s="392" t="n"/>
      <c r="G3987" s="392" t="n"/>
      <c r="H3987" s="52">
        <f>H3986-G3987</f>
        <v/>
      </c>
      <c r="I3987" s="568" t="n"/>
      <c r="J3987" s="568" t="n"/>
      <c r="K3987" s="568" t="n"/>
      <c r="L3987" s="568" t="n"/>
    </row>
    <row r="3988">
      <c r="A3988" s="568" t="n"/>
      <c r="B3988" s="392" t="n"/>
      <c r="C3988" s="392" t="n"/>
      <c r="D3988" s="392" t="n"/>
      <c r="E3988" s="392" t="n"/>
      <c r="F3988" s="392" t="n"/>
      <c r="G3988" s="392" t="n"/>
      <c r="H3988" s="52">
        <f>H3987-G3988</f>
        <v/>
      </c>
      <c r="I3988" s="568" t="n"/>
      <c r="J3988" s="568" t="n"/>
      <c r="K3988" s="568" t="n"/>
      <c r="L3988" s="568" t="n"/>
    </row>
    <row r="3989">
      <c r="A3989" s="568" t="n"/>
      <c r="B3989" s="392" t="n"/>
      <c r="C3989" s="392" t="n"/>
      <c r="D3989" s="392" t="n"/>
      <c r="E3989" s="392" t="n"/>
      <c r="F3989" s="392" t="n"/>
      <c r="G3989" s="392" t="n"/>
      <c r="H3989" s="52">
        <f>H3988-G3989</f>
        <v/>
      </c>
      <c r="I3989" s="568" t="n"/>
      <c r="J3989" s="568" t="n"/>
      <c r="K3989" s="568" t="n"/>
      <c r="L3989" s="568" t="n"/>
    </row>
    <row r="3990">
      <c r="A3990" s="568" t="n"/>
      <c r="B3990" s="392" t="n"/>
      <c r="C3990" s="392" t="n"/>
      <c r="D3990" s="392" t="n"/>
      <c r="E3990" s="392" t="n"/>
      <c r="F3990" s="392" t="n"/>
      <c r="G3990" s="392" t="n"/>
      <c r="H3990" s="52">
        <f>H3989-G3990</f>
        <v/>
      </c>
      <c r="I3990" s="568" t="n"/>
      <c r="J3990" s="568" t="n"/>
      <c r="K3990" s="568" t="n"/>
      <c r="L3990" s="568" t="n"/>
    </row>
    <row r="3991">
      <c r="A3991" s="568" t="n"/>
      <c r="B3991" s="392" t="n"/>
      <c r="C3991" s="392" t="n"/>
      <c r="D3991" s="392" t="n"/>
      <c r="E3991" s="392" t="n"/>
      <c r="F3991" s="392" t="n"/>
      <c r="G3991" s="392" t="n"/>
      <c r="H3991" s="52">
        <f>H3990-G3991</f>
        <v/>
      </c>
      <c r="I3991" s="568" t="n"/>
      <c r="J3991" s="568" t="n"/>
      <c r="K3991" s="568" t="n"/>
      <c r="L3991" s="568" t="n"/>
    </row>
    <row r="3992">
      <c r="A3992" s="568" t="n"/>
      <c r="B3992" s="392" t="n"/>
      <c r="C3992" s="392" t="n"/>
      <c r="D3992" s="392" t="n"/>
      <c r="E3992" s="392" t="n"/>
      <c r="F3992" s="392" t="n"/>
      <c r="G3992" s="392" t="n"/>
      <c r="H3992" s="52">
        <f>H3991-G3992</f>
        <v/>
      </c>
      <c r="I3992" s="568" t="n"/>
      <c r="J3992" s="568" t="n"/>
      <c r="K3992" s="568" t="n"/>
      <c r="L3992" s="568" t="n"/>
    </row>
    <row r="3993">
      <c r="A3993" s="568" t="n"/>
      <c r="B3993" s="392" t="n"/>
      <c r="C3993" s="392" t="n"/>
      <c r="D3993" s="392" t="n"/>
      <c r="E3993" s="392" t="n"/>
      <c r="F3993" s="392" t="n"/>
      <c r="G3993" s="392" t="n"/>
      <c r="H3993" s="52">
        <f>H3992-G3993</f>
        <v/>
      </c>
      <c r="I3993" s="568" t="n"/>
      <c r="J3993" s="568" t="n"/>
      <c r="K3993" s="568" t="n"/>
      <c r="L3993" s="568" t="n"/>
    </row>
    <row r="3994">
      <c r="A3994" s="568" t="n"/>
      <c r="B3994" s="392" t="n"/>
      <c r="C3994" s="392" t="n"/>
      <c r="D3994" s="392" t="n"/>
      <c r="E3994" s="392" t="n"/>
      <c r="F3994" s="392" t="n"/>
      <c r="G3994" s="392" t="n"/>
      <c r="H3994" s="52">
        <f>H3993-G3994</f>
        <v/>
      </c>
      <c r="I3994" s="568" t="n"/>
      <c r="J3994" s="568" t="n"/>
      <c r="K3994" s="568" t="n"/>
      <c r="L3994" s="568" t="n"/>
    </row>
    <row r="3995">
      <c r="A3995" s="568" t="n"/>
      <c r="B3995" s="392" t="n"/>
      <c r="C3995" s="392" t="n"/>
      <c r="D3995" s="392" t="n"/>
      <c r="E3995" s="392" t="n"/>
      <c r="F3995" s="392" t="n"/>
      <c r="G3995" s="392" t="n"/>
      <c r="H3995" s="52">
        <f>H3994-G3995</f>
        <v/>
      </c>
      <c r="I3995" s="568" t="n"/>
      <c r="J3995" s="568" t="n"/>
      <c r="K3995" s="568" t="n"/>
      <c r="L3995" s="568" t="n"/>
    </row>
    <row r="3996">
      <c r="A3996" s="568" t="n"/>
      <c r="B3996" s="392" t="n"/>
      <c r="C3996" s="392" t="n"/>
      <c r="D3996" s="392" t="n"/>
      <c r="E3996" s="392" t="n"/>
      <c r="F3996" s="392" t="n"/>
      <c r="G3996" s="392" t="n"/>
      <c r="H3996" s="52">
        <f>H3995-G3996</f>
        <v/>
      </c>
      <c r="I3996" s="568" t="n"/>
      <c r="J3996" s="568" t="n"/>
      <c r="K3996" s="568" t="n"/>
      <c r="L3996" s="568" t="n"/>
    </row>
    <row r="3997">
      <c r="A3997" s="568" t="n"/>
      <c r="B3997" s="392" t="n"/>
      <c r="C3997" s="392" t="n"/>
      <c r="D3997" s="392" t="n"/>
      <c r="E3997" s="392" t="n"/>
      <c r="F3997" s="392" t="n"/>
      <c r="G3997" s="392" t="n"/>
      <c r="H3997" s="52">
        <f>H3996-G3997</f>
        <v/>
      </c>
      <c r="I3997" s="568" t="n"/>
      <c r="J3997" s="568" t="n"/>
      <c r="K3997" s="568" t="n"/>
      <c r="L3997" s="568" t="n"/>
    </row>
    <row r="3998">
      <c r="A3998" s="568" t="n"/>
      <c r="B3998" s="392" t="n"/>
      <c r="C3998" s="392" t="n"/>
      <c r="D3998" s="392" t="n"/>
      <c r="E3998" s="392" t="n"/>
      <c r="F3998" s="392" t="n"/>
      <c r="G3998" s="392" t="n"/>
      <c r="H3998" s="52">
        <f>H3997-G3998</f>
        <v/>
      </c>
      <c r="I3998" s="568" t="n"/>
      <c r="J3998" s="568" t="n"/>
      <c r="K3998" s="568" t="n"/>
      <c r="L3998" s="568" t="n"/>
    </row>
    <row r="3999">
      <c r="A3999" s="568" t="n"/>
      <c r="B3999" s="392" t="n"/>
      <c r="C3999" s="392" t="n"/>
      <c r="D3999" s="392" t="n"/>
      <c r="E3999" s="392" t="n"/>
      <c r="F3999" s="392" t="n"/>
      <c r="G3999" s="392" t="n"/>
      <c r="H3999" s="52">
        <f>H3998-G3999</f>
        <v/>
      </c>
      <c r="I3999" s="568" t="n"/>
      <c r="J3999" s="568" t="n"/>
      <c r="K3999" s="568" t="n"/>
      <c r="L3999" s="568" t="n"/>
    </row>
    <row r="4000">
      <c r="A4000" s="568" t="n"/>
      <c r="B4000" s="392" t="n"/>
      <c r="C4000" s="392" t="n"/>
      <c r="D4000" s="392" t="n"/>
      <c r="E4000" s="392" t="n"/>
      <c r="F4000" s="392" t="n"/>
      <c r="G4000" s="392" t="n"/>
      <c r="H4000" s="52">
        <f>H3999-G4000</f>
        <v/>
      </c>
      <c r="I4000" s="568" t="n"/>
      <c r="J4000" s="568" t="n"/>
      <c r="K4000" s="568" t="n"/>
      <c r="L4000" s="568" t="n"/>
    </row>
    <row r="4001">
      <c r="A4001" s="568" t="n"/>
      <c r="B4001" s="392" t="n"/>
      <c r="C4001" s="392" t="n"/>
      <c r="D4001" s="392" t="n"/>
      <c r="E4001" s="392" t="n"/>
      <c r="F4001" s="392" t="n"/>
      <c r="G4001" s="392" t="n"/>
      <c r="H4001" s="52">
        <f>H4000-G4001</f>
        <v/>
      </c>
      <c r="I4001" s="568" t="n"/>
      <c r="J4001" s="568" t="n"/>
      <c r="K4001" s="568" t="n"/>
      <c r="L4001" s="568" t="n"/>
    </row>
  </sheetData>
  <mergeCells count="1448">
    <mergeCell ref="A2748:A2751"/>
    <mergeCell ref="I1387:I1388"/>
    <mergeCell ref="A3469:L3469"/>
    <mergeCell ref="A1384:L1384"/>
    <mergeCell ref="F482:H483"/>
    <mergeCell ref="G897:G898"/>
    <mergeCell ref="A779:A782"/>
    <mergeCell ref="B3605:B3608"/>
    <mergeCell ref="A1715:A1718"/>
    <mergeCell ref="F662:F663"/>
    <mergeCell ref="A2007:L2007"/>
    <mergeCell ref="J2750:K2750"/>
    <mergeCell ref="J2748:L2749"/>
    <mergeCell ref="C1054:C1057"/>
    <mergeCell ref="A2778:A2781"/>
    <mergeCell ref="F71:H72"/>
    <mergeCell ref="D2257:E2259"/>
    <mergeCell ref="A1091:L1091"/>
    <mergeCell ref="I2957:I2958"/>
    <mergeCell ref="A1891:A1894"/>
    <mergeCell ref="G2555:G2556"/>
    <mergeCell ref="B1715:B1718"/>
    <mergeCell ref="G2011:G2012"/>
    <mergeCell ref="A3849:L3849"/>
    <mergeCell ref="I2959:I2960"/>
    <mergeCell ref="C4:C7"/>
    <mergeCell ref="I71:I72"/>
    <mergeCell ref="I2830:I2831"/>
    <mergeCell ref="I1893:I1894"/>
    <mergeCell ref="G524:G525"/>
    <mergeCell ref="J2778:L2779"/>
    <mergeCell ref="I73:I74"/>
    <mergeCell ref="A2708:A2711"/>
    <mergeCell ref="A1019:L1019"/>
    <mergeCell ref="D612:E614"/>
    <mergeCell ref="F1185:H1186"/>
    <mergeCell ref="G1853:G1854"/>
    <mergeCell ref="B1130:B1133"/>
    <mergeCell ref="I2367:I2368"/>
    <mergeCell ref="C2606:C2609"/>
    <mergeCell ref="I1185:I1186"/>
    <mergeCell ref="J2708:L2709"/>
    <mergeCell ref="J1634:K1634"/>
    <mergeCell ref="D3213:E3215"/>
    <mergeCell ref="A3605:A3608"/>
    <mergeCell ref="I1187:I1188"/>
    <mergeCell ref="A3165:L3165"/>
    <mergeCell ref="C692:C695"/>
    <mergeCell ref="A2431:L2431"/>
    <mergeCell ref="A1347:L1347"/>
    <mergeCell ref="A2860:L2860"/>
    <mergeCell ref="A1461:L1461"/>
    <mergeCell ref="F3473:F3474"/>
    <mergeCell ref="F2897:H2898"/>
    <mergeCell ref="I442:I443"/>
    <mergeCell ref="J584:K584"/>
    <mergeCell ref="G2927:G2928"/>
    <mergeCell ref="J3605:L3606"/>
    <mergeCell ref="I3331:I3332"/>
    <mergeCell ref="J3473:K3473"/>
    <mergeCell ref="A1792:L1792"/>
    <mergeCell ref="D2778:E2780"/>
    <mergeCell ref="F2011:F2012"/>
    <mergeCell ref="B738:B741"/>
    <mergeCell ref="I3020:I3021"/>
    <mergeCell ref="I2897:I2898"/>
    <mergeCell ref="J3746:L3747"/>
    <mergeCell ref="F3799:F3800"/>
    <mergeCell ref="A3635:L3635"/>
    <mergeCell ref="A1848:L1848"/>
    <mergeCell ref="B2257:B2260"/>
    <mergeCell ref="A2148:L2148"/>
    <mergeCell ref="A3636:L3636"/>
    <mergeCell ref="I524:I525"/>
    <mergeCell ref="F1853:F1854"/>
    <mergeCell ref="I3799:I3800"/>
    <mergeCell ref="I822:I823"/>
    <mergeCell ref="A3847:L3847"/>
    <mergeCell ref="D582:E584"/>
    <mergeCell ref="A1418:L1418"/>
    <mergeCell ref="I824:I825"/>
    <mergeCell ref="F2338:H2339"/>
    <mergeCell ref="C1185:C1188"/>
    <mergeCell ref="B1207:B1210"/>
    <mergeCell ref="A1419:L1419"/>
    <mergeCell ref="A2472:L2472"/>
    <mergeCell ref="B1555:B1558"/>
    <mergeCell ref="F3514:F3515"/>
    <mergeCell ref="A3689:L3689"/>
    <mergeCell ref="G1511:G1512"/>
    <mergeCell ref="I552:I553"/>
    <mergeCell ref="B149:B152"/>
    <mergeCell ref="I2338:I2339"/>
    <mergeCell ref="A2507:L2507"/>
    <mergeCell ref="A3560:L3560"/>
    <mergeCell ref="J1717:K1717"/>
    <mergeCell ref="G2476:G2477"/>
    <mergeCell ref="I2365:I2366"/>
    <mergeCell ref="J3514:K3514"/>
    <mergeCell ref="J3512:L3513"/>
    <mergeCell ref="C2150:C2153"/>
    <mergeCell ref="F2927:F2928"/>
    <mergeCell ref="F2991:H2992"/>
    <mergeCell ref="A2106:L2106"/>
    <mergeCell ref="I694:I695"/>
    <mergeCell ref="J2927:K2927"/>
    <mergeCell ref="I482:I483"/>
    <mergeCell ref="G1557:G1558"/>
    <mergeCell ref="A1459:L1459"/>
    <mergeCell ref="J265:L266"/>
    <mergeCell ref="I1298:I1299"/>
    <mergeCell ref="D2897:E2899"/>
    <mergeCell ref="I1955:I1956"/>
    <mergeCell ref="I1509:I1510"/>
    <mergeCell ref="I2991:I2992"/>
    <mergeCell ref="A3604:L3604"/>
    <mergeCell ref="A3:L3"/>
    <mergeCell ref="F311:F312"/>
    <mergeCell ref="C1891:C1894"/>
    <mergeCell ref="F3425:F3426"/>
    <mergeCell ref="B2553:B2556"/>
    <mergeCell ref="I924:I925"/>
    <mergeCell ref="A1555:A1558"/>
    <mergeCell ref="I584:I585"/>
    <mergeCell ref="J311:K311"/>
    <mergeCell ref="A1092:A1095"/>
    <mergeCell ref="I2710:I2711"/>
    <mergeCell ref="I1678:I1679"/>
    <mergeCell ref="F1511:F1512"/>
    <mergeCell ref="A1232:L1232"/>
    <mergeCell ref="D2664:E2666"/>
    <mergeCell ref="A777:L777"/>
    <mergeCell ref="B2708:B2711"/>
    <mergeCell ref="B1632:B1635"/>
    <mergeCell ref="A1749:L1749"/>
    <mergeCell ref="J1511:K1511"/>
    <mergeCell ref="G1598:G1599"/>
    <mergeCell ref="G3331:G3332"/>
    <mergeCell ref="G1634:G1635"/>
    <mergeCell ref="B1092:B1095"/>
    <mergeCell ref="C442:C445"/>
    <mergeCell ref="A1128:L1128"/>
    <mergeCell ref="D2508:E2510"/>
    <mergeCell ref="C1632:C1635"/>
    <mergeCell ref="A3073:L3073"/>
    <mergeCell ref="F351:H352"/>
    <mergeCell ref="A3373:L3373"/>
    <mergeCell ref="F2778:H2779"/>
    <mergeCell ref="A861:L861"/>
    <mergeCell ref="A3244:L3244"/>
    <mergeCell ref="G3473:G3474"/>
    <mergeCell ref="I2476:I2477"/>
    <mergeCell ref="A398:L398"/>
    <mergeCell ref="B1234:B1237"/>
    <mergeCell ref="C3043:C3046"/>
    <mergeCell ref="I3748:I3749"/>
    <mergeCell ref="I2050:I2051"/>
    <mergeCell ref="F1464:F1465"/>
    <mergeCell ref="F1893:F1894"/>
    <mergeCell ref="I862:I863"/>
    <mergeCell ref="A109:L109"/>
    <mergeCell ref="F2708:H2709"/>
    <mergeCell ref="F3245:H3246"/>
    <mergeCell ref="J2957:L2958"/>
    <mergeCell ref="D4:E6"/>
    <mergeCell ref="A3603:L3603"/>
    <mergeCell ref="J1462:L1463"/>
    <mergeCell ref="D2606:E2608"/>
    <mergeCell ref="F2666:F2667"/>
    <mergeCell ref="I582:I583"/>
    <mergeCell ref="J3286:L3287"/>
    <mergeCell ref="I2708:I2709"/>
    <mergeCell ref="J3425:K3425"/>
    <mergeCell ref="C1271:C1274"/>
    <mergeCell ref="A2255:L2255"/>
    <mergeCell ref="F3718:F3719"/>
    <mergeCell ref="F3605:H3606"/>
    <mergeCell ref="J2666:K2666"/>
    <mergeCell ref="A3018:L3018"/>
    <mergeCell ref="B2664:B2667"/>
    <mergeCell ref="A3773:L3773"/>
    <mergeCell ref="A3745:L3745"/>
    <mergeCell ref="A1952:L1952"/>
    <mergeCell ref="A2924:L2924"/>
    <mergeCell ref="B3638:B3641"/>
    <mergeCell ref="A3774:L3774"/>
    <mergeCell ref="F3778:F3779"/>
    <mergeCell ref="J1185:L1186"/>
    <mergeCell ref="I1389:I1390"/>
    <mergeCell ref="I3605:I3606"/>
    <mergeCell ref="A1234:A1237"/>
    <mergeCell ref="B1316:B1319"/>
    <mergeCell ref="A2925:A2928"/>
    <mergeCell ref="A69:L69"/>
    <mergeCell ref="I959:I960"/>
    <mergeCell ref="G3146:G3147"/>
    <mergeCell ref="A3371:L3371"/>
    <mergeCell ref="G1955:G1956"/>
    <mergeCell ref="I1259:I1260"/>
    <mergeCell ref="I662:I663"/>
    <mergeCell ref="I1715:I1716"/>
    <mergeCell ref="F3376:F3377"/>
    <mergeCell ref="A1269:L1269"/>
    <mergeCell ref="D862:E864"/>
    <mergeCell ref="C1316:C1319"/>
    <mergeCell ref="C895:C898"/>
    <mergeCell ref="C3144:C3147"/>
    <mergeCell ref="F1678:F1679"/>
    <mergeCell ref="A209:L209"/>
    <mergeCell ref="D3286:E3288"/>
    <mergeCell ref="J779:L780"/>
    <mergeCell ref="G614:G615"/>
    <mergeCell ref="C924:C927"/>
    <mergeCell ref="A1270:L1270"/>
    <mergeCell ref="A211:L211"/>
    <mergeCell ref="A1183:L1183"/>
    <mergeCell ref="G311:G312"/>
    <mergeCell ref="A1595:L1595"/>
    <mergeCell ref="J524:K524"/>
    <mergeCell ref="I1130:I1131"/>
    <mergeCell ref="B2433:B2436"/>
    <mergeCell ref="G3668:G3669"/>
    <mergeCell ref="J824:K824"/>
    <mergeCell ref="A552:A555"/>
    <mergeCell ref="A2664:A2667"/>
    <mergeCell ref="C2553:C2556"/>
    <mergeCell ref="J1891:L1892"/>
    <mergeCell ref="C309:C312"/>
    <mergeCell ref="F265:H266"/>
    <mergeCell ref="G1056:G1057"/>
    <mergeCell ref="B1296:B1299"/>
    <mergeCell ref="B1271:B1274"/>
    <mergeCell ref="J1298:K1298"/>
    <mergeCell ref="A265:A268"/>
    <mergeCell ref="J2338:L2339"/>
    <mergeCell ref="A2508:A2511"/>
    <mergeCell ref="F3146:F3147"/>
    <mergeCell ref="A580:L580"/>
    <mergeCell ref="J3718:K3718"/>
    <mergeCell ref="A1021:A1024"/>
    <mergeCell ref="D1953:E1955"/>
    <mergeCell ref="A2396:L2396"/>
    <mergeCell ref="D2925:E2927"/>
    <mergeCell ref="A581:L581"/>
    <mergeCell ref="A611:L611"/>
    <mergeCell ref="B3144:B3147"/>
    <mergeCell ref="C1296:C1299"/>
    <mergeCell ref="A2397:L2397"/>
    <mergeCell ref="A306:L306"/>
    <mergeCell ref="C2778:C2781"/>
    <mergeCell ref="F2830:F2831"/>
    <mergeCell ref="A2363:L2363"/>
    <mergeCell ref="J2710:K2710"/>
    <mergeCell ref="G554:G555"/>
    <mergeCell ref="B3471:B3474"/>
    <mergeCell ref="D822:E824"/>
    <mergeCell ref="J1021:L1022"/>
    <mergeCell ref="I2555:I2556"/>
    <mergeCell ref="I2474:I2475"/>
    <mergeCell ref="C2925:C2928"/>
    <mergeCell ref="A2433:A2436"/>
    <mergeCell ref="A182:L182"/>
    <mergeCell ref="J3020:L3021"/>
    <mergeCell ref="B309:B312"/>
    <mergeCell ref="G1754:G1755"/>
    <mergeCell ref="A1268:L1268"/>
    <mergeCell ref="A3511:L3511"/>
    <mergeCell ref="C2708:C2711"/>
    <mergeCell ref="G2400:G2401"/>
    <mergeCell ref="F3512:H3513"/>
    <mergeCell ref="F1056:F1057"/>
    <mergeCell ref="I3640:I3641"/>
    <mergeCell ref="I1555:I1556"/>
    <mergeCell ref="G267:G268"/>
    <mergeCell ref="I1853:I1854"/>
    <mergeCell ref="F214:F215"/>
    <mergeCell ref="A3850:A3853"/>
    <mergeCell ref="A1271:A1274"/>
    <mergeCell ref="J2433:L2434"/>
    <mergeCell ref="F1389:F1390"/>
    <mergeCell ref="A3108:L3108"/>
    <mergeCell ref="C3605:C3608"/>
    <mergeCell ref="J2476:K2476"/>
    <mergeCell ref="I1154:I1155"/>
    <mergeCell ref="A520:L520"/>
    <mergeCell ref="J3850:L3851"/>
    <mergeCell ref="I1752:I1753"/>
    <mergeCell ref="J1271:L1272"/>
    <mergeCell ref="A551:L551"/>
    <mergeCell ref="C1851:C1854"/>
    <mergeCell ref="F2476:F2477"/>
    <mergeCell ref="I2927:I2928"/>
    <mergeCell ref="F1596:H1597"/>
    <mergeCell ref="A3880:L3880"/>
    <mergeCell ref="J2365:L2366"/>
    <mergeCell ref="F1462:H1463"/>
    <mergeCell ref="A3471:A3474"/>
    <mergeCell ref="C2474:C2477"/>
    <mergeCell ref="B2925:B2928"/>
    <mergeCell ref="A1348:A1351"/>
    <mergeCell ref="F3286:H3287"/>
    <mergeCell ref="A1462:A1465"/>
    <mergeCell ref="A2395:L2395"/>
    <mergeCell ref="I3329:I3330"/>
    <mergeCell ref="A3420:L3420"/>
    <mergeCell ref="F2400:F2401"/>
    <mergeCell ref="I2553:I2554"/>
    <mergeCell ref="A1231:L1231"/>
    <mergeCell ref="A1345:L1345"/>
    <mergeCell ref="A3142:L3142"/>
    <mergeCell ref="B3881:B3884"/>
    <mergeCell ref="A1233:L1233"/>
    <mergeCell ref="A2746:L2746"/>
    <mergeCell ref="A3019:L3019"/>
    <mergeCell ref="A3509:L3509"/>
    <mergeCell ref="D3850:E3852"/>
    <mergeCell ref="C522:C525"/>
    <mergeCell ref="J582:L583"/>
    <mergeCell ref="D3423:E3425"/>
    <mergeCell ref="D3512:E3514"/>
    <mergeCell ref="G694:G695"/>
    <mergeCell ref="D1421:E1423"/>
    <mergeCell ref="C822:C825"/>
    <mergeCell ref="A348:L348"/>
    <mergeCell ref="A923:L923"/>
    <mergeCell ref="D2365:E2367"/>
    <mergeCell ref="A2047:L2047"/>
    <mergeCell ref="G1023:G1024"/>
    <mergeCell ref="I781:I782"/>
    <mergeCell ref="C3881:C3884"/>
    <mergeCell ref="B1509:B1512"/>
    <mergeCell ref="F1234:H1235"/>
    <mergeCell ref="A349:L349"/>
    <mergeCell ref="F1955:F1956"/>
    <mergeCell ref="B1054:B1057"/>
    <mergeCell ref="I484:I485"/>
    <mergeCell ref="F779:H780"/>
    <mergeCell ref="D3109:E3111"/>
    <mergeCell ref="J662:K662"/>
    <mergeCell ref="J1389:K1389"/>
    <mergeCell ref="A3820:L3820"/>
    <mergeCell ref="G3288:G3289"/>
    <mergeCell ref="A988:A991"/>
    <mergeCell ref="I2206:I2207"/>
    <mergeCell ref="A3212:L3212"/>
    <mergeCell ref="A1849:L1849"/>
    <mergeCell ref="C2991:C2994"/>
    <mergeCell ref="I2925:I2926"/>
    <mergeCell ref="A2364:L2364"/>
    <mergeCell ref="F1891:H1892"/>
    <mergeCell ref="F3075:H3076"/>
    <mergeCell ref="J959:L960"/>
    <mergeCell ref="J1257:L1258"/>
    <mergeCell ref="A3848:L3848"/>
    <mergeCell ref="A2828:A2831"/>
    <mergeCell ref="J988:L989"/>
    <mergeCell ref="D309:E311"/>
    <mergeCell ref="J1715:L1716"/>
    <mergeCell ref="A1130:A1133"/>
    <mergeCell ref="B522:B525"/>
    <mergeCell ref="C1555:C1558"/>
    <mergeCell ref="F2664:H2665"/>
    <mergeCell ref="D3797:E3799"/>
    <mergeCell ref="B3666:B3669"/>
    <mergeCell ref="A1018:L1018"/>
    <mergeCell ref="F694:F695"/>
    <mergeCell ref="B822:B825"/>
    <mergeCell ref="A2506:L2506"/>
    <mergeCell ref="A1020:L1020"/>
    <mergeCell ref="J2828:L2829"/>
    <mergeCell ref="F1023:F1024"/>
    <mergeCell ref="G2152:G2153"/>
    <mergeCell ref="A3017:L3017"/>
    <mergeCell ref="G2608:G2609"/>
    <mergeCell ref="I3425:I3426"/>
    <mergeCell ref="J1130:L1131"/>
    <mergeCell ref="I2664:I2665"/>
    <mergeCell ref="B692:B695"/>
    <mergeCell ref="A1054:A1057"/>
    <mergeCell ref="A860:L860"/>
    <mergeCell ref="I2666:I2667"/>
    <mergeCell ref="B2508:B2511"/>
    <mergeCell ref="I3638:I3639"/>
    <mergeCell ref="A2430:L2430"/>
    <mergeCell ref="A1675:L1675"/>
    <mergeCell ref="A2859:L2859"/>
    <mergeCell ref="I3022:I3023"/>
    <mergeCell ref="J3170:K3170"/>
    <mergeCell ref="A2256:L2256"/>
    <mergeCell ref="I151:I152"/>
    <mergeCell ref="C1257:C1260"/>
    <mergeCell ref="A2432:L2432"/>
    <mergeCell ref="G2959:G2960"/>
    <mergeCell ref="D2048:E2050"/>
    <mergeCell ref="G3564:G3565"/>
    <mergeCell ref="D2206:E2208"/>
    <mergeCell ref="J1054:L1055"/>
    <mergeCell ref="I897:I898"/>
    <mergeCell ref="G2830:G2831"/>
    <mergeCell ref="I3778:I3779"/>
    <mergeCell ref="F3020:H3021"/>
    <mergeCell ref="G73:G74"/>
    <mergeCell ref="A2257:A2260"/>
    <mergeCell ref="F3374:H3375"/>
    <mergeCell ref="A1090:L1090"/>
    <mergeCell ref="F2433:H2434"/>
    <mergeCell ref="B4:B7"/>
    <mergeCell ref="J3640:K3640"/>
    <mergeCell ref="I2009:I2010"/>
    <mergeCell ref="J1853:K1853"/>
    <mergeCell ref="A3328:L3328"/>
    <mergeCell ref="D1462:E1464"/>
    <mergeCell ref="A658:L658"/>
    <mergeCell ref="I3045:I3046"/>
    <mergeCell ref="A2606:A2609"/>
    <mergeCell ref="I2011:I2012"/>
    <mergeCell ref="J2009:L2010"/>
    <mergeCell ref="I522:I523"/>
    <mergeCell ref="G1187:G1188"/>
    <mergeCell ref="F2152:F2153"/>
    <mergeCell ref="F3640:F3641"/>
    <mergeCell ref="I2433:I2434"/>
    <mergeCell ref="J3852:K3852"/>
    <mergeCell ref="F2608:F2609"/>
    <mergeCell ref="I3247:I3248"/>
    <mergeCell ref="J1423:K1423"/>
    <mergeCell ref="F1271:H1272"/>
    <mergeCell ref="G484:G485"/>
    <mergeCell ref="C3638:C3641"/>
    <mergeCell ref="B1387:B1390"/>
    <mergeCell ref="J3668:K3668"/>
    <mergeCell ref="B2150:B2153"/>
    <mergeCell ref="J2608:K2608"/>
    <mergeCell ref="B2606:B2609"/>
    <mergeCell ref="A2954:L2954"/>
    <mergeCell ref="F2365:H2366"/>
    <mergeCell ref="I3692:I3693"/>
    <mergeCell ref="A3559:L3559"/>
    <mergeCell ref="A1154:A1157"/>
    <mergeCell ref="I3850:I3851"/>
    <mergeCell ref="I3423:I3424"/>
    <mergeCell ref="A3283:L3283"/>
    <mergeCell ref="A70:L70"/>
    <mergeCell ref="F2959:F2960"/>
    <mergeCell ref="I3852:I3853"/>
    <mergeCell ref="J694:K694"/>
    <mergeCell ref="F3564:F3565"/>
    <mergeCell ref="F692:H693"/>
    <mergeCell ref="A3285:L3285"/>
    <mergeCell ref="A3714:L3714"/>
    <mergeCell ref="A737:L737"/>
    <mergeCell ref="A397:L397"/>
    <mergeCell ref="A61:E61"/>
    <mergeCell ref="B2957:B2960"/>
    <mergeCell ref="J1154:L1155"/>
    <mergeCell ref="B3562:B3565"/>
    <mergeCell ref="J2111:K2111"/>
    <mergeCell ref="J1350:K1350"/>
    <mergeCell ref="A2825:L2825"/>
    <mergeCell ref="A738:A741"/>
    <mergeCell ref="A1182:L1182"/>
    <mergeCell ref="J1752:L1753"/>
    <mergeCell ref="C2009:C2012"/>
    <mergeCell ref="I265:I266"/>
    <mergeCell ref="A1053:L1053"/>
    <mergeCell ref="I3776:I3777"/>
    <mergeCell ref="A1184:L1184"/>
    <mergeCell ref="I3471:I3472"/>
    <mergeCell ref="F582:H583"/>
    <mergeCell ref="A2553:A2556"/>
    <mergeCell ref="I1348:I1349"/>
    <mergeCell ref="I614:I615"/>
    <mergeCell ref="I3075:I3076"/>
    <mergeCell ref="J1797:K1797"/>
    <mergeCell ref="I1676:I1677"/>
    <mergeCell ref="D3245:E3247"/>
    <mergeCell ref="J738:L739"/>
    <mergeCell ref="A582:A585"/>
    <mergeCell ref="G1156:G1157"/>
    <mergeCell ref="A3326:L3326"/>
    <mergeCell ref="J862:L863"/>
    <mergeCell ref="A2296:L2296"/>
    <mergeCell ref="D183:E185"/>
    <mergeCell ref="A2150:A2153"/>
    <mergeCell ref="J2553:L2554"/>
    <mergeCell ref="A2894:L2894"/>
    <mergeCell ref="I3376:I3377"/>
    <mergeCell ref="F3331:F3332"/>
    <mergeCell ref="C552:C555"/>
    <mergeCell ref="G113:G114"/>
    <mergeCell ref="A892:L892"/>
    <mergeCell ref="C2338:C2341"/>
    <mergeCell ref="A2896:L2896"/>
    <mergeCell ref="A2923:L2923"/>
    <mergeCell ref="G1209:G1210"/>
    <mergeCell ref="F897:F898"/>
    <mergeCell ref="B442:B445"/>
    <mergeCell ref="G1298:G1299"/>
    <mergeCell ref="I1056:I1057"/>
    <mergeCell ref="J2150:L2151"/>
    <mergeCell ref="I3821:I3822"/>
    <mergeCell ref="C1752:C1755"/>
    <mergeCell ref="I1273:I1274"/>
    <mergeCell ref="A3562:A3565"/>
    <mergeCell ref="J1555:L1556"/>
    <mergeCell ref="D3716:E3718"/>
    <mergeCell ref="J1092:L1093"/>
    <mergeCell ref="C265:C268"/>
    <mergeCell ref="A1127:L1127"/>
    <mergeCell ref="G3170:G3171"/>
    <mergeCell ref="C482:C485"/>
    <mergeCell ref="A2206:A2209"/>
    <mergeCell ref="F988:H989"/>
    <mergeCell ref="A2006:L2006"/>
    <mergeCell ref="A1129:L1129"/>
    <mergeCell ref="B3043:B3046"/>
    <mergeCell ref="F1715:H1716"/>
    <mergeCell ref="D738:E740"/>
    <mergeCell ref="A3284:L3284"/>
    <mergeCell ref="G3045:G3046"/>
    <mergeCell ref="I2048:I2049"/>
    <mergeCell ref="G2710:G2711"/>
    <mergeCell ref="A2337:L2337"/>
    <mergeCell ref="I988:I989"/>
    <mergeCell ref="F402:F403"/>
    <mergeCell ref="J1234:L1235"/>
    <mergeCell ref="J2206:L2207"/>
    <mergeCell ref="J1893:K1893"/>
    <mergeCell ref="F2828:H2829"/>
    <mergeCell ref="A1507:L1507"/>
    <mergeCell ref="F1130:H1131"/>
    <mergeCell ref="A108:L108"/>
    <mergeCell ref="G3823:G3824"/>
    <mergeCell ref="B552:B555"/>
    <mergeCell ref="F113:F114"/>
    <mergeCell ref="A2107:L2107"/>
    <mergeCell ref="I1462:I1463"/>
    <mergeCell ref="A263:L263"/>
    <mergeCell ref="I2400:I2401"/>
    <mergeCell ref="D1555:E1557"/>
    <mergeCell ref="A1632:A1635"/>
    <mergeCell ref="A922:L922"/>
    <mergeCell ref="J113:K113"/>
    <mergeCell ref="A894:L894"/>
    <mergeCell ref="C3850:C3853"/>
    <mergeCell ref="G961:G962"/>
    <mergeCell ref="F1054:H1055"/>
    <mergeCell ref="D212:E214"/>
    <mergeCell ref="A2254:L2254"/>
    <mergeCell ref="B2398:B2401"/>
    <mergeCell ref="B265:B268"/>
    <mergeCell ref="A1346:L1346"/>
    <mergeCell ref="B482:B485"/>
    <mergeCell ref="A1951:L1951"/>
    <mergeCell ref="F2259:F2260"/>
    <mergeCell ref="C2365:C2368"/>
    <mergeCell ref="J2664:L2665"/>
    <mergeCell ref="J1632:L1633"/>
    <mergeCell ref="I1054:I1055"/>
    <mergeCell ref="F442:H443"/>
    <mergeCell ref="D2957:E2959"/>
    <mergeCell ref="C2048:C2051"/>
    <mergeCell ref="C2206:C2209"/>
    <mergeCell ref="J3638:L3639"/>
    <mergeCell ref="B1953:B1956"/>
    <mergeCell ref="A1554:L1554"/>
    <mergeCell ref="C3109:C3112"/>
    <mergeCell ref="A180:L180"/>
    <mergeCell ref="A68:L68"/>
    <mergeCell ref="G1350:G1351"/>
    <mergeCell ref="A2336:L2336"/>
    <mergeCell ref="I353:I354"/>
    <mergeCell ref="C3776:C3779"/>
    <mergeCell ref="A480:L480"/>
    <mergeCell ref="J3045:K3045"/>
    <mergeCell ref="J3778:K3778"/>
    <mergeCell ref="A2474:A2477"/>
    <mergeCell ref="B924:B927"/>
    <mergeCell ref="D1795:E1797"/>
    <mergeCell ref="A3819:L3819"/>
    <mergeCell ref="C2109:C2112"/>
    <mergeCell ref="C1348:C1351"/>
    <mergeCell ref="C1953:C1956"/>
    <mergeCell ref="A1294:L1294"/>
    <mergeCell ref="A2662:L2662"/>
    <mergeCell ref="A210:L210"/>
    <mergeCell ref="B3821:B3824"/>
    <mergeCell ref="D2553:E2555"/>
    <mergeCell ref="A3074:L3074"/>
    <mergeCell ref="A1594:L1594"/>
    <mergeCell ref="J2474:L2475"/>
    <mergeCell ref="A2663:L2663"/>
    <mergeCell ref="I3245:I3246"/>
    <mergeCell ref="A2777:L2777"/>
    <mergeCell ref="F961:F962"/>
    <mergeCell ref="I2828:I2829"/>
    <mergeCell ref="A350:L350"/>
    <mergeCell ref="D3638:E3640"/>
    <mergeCell ref="A859:L859"/>
    <mergeCell ref="G2780:G2781"/>
    <mergeCell ref="A1315:L1315"/>
    <mergeCell ref="I2510:I2511"/>
    <mergeCell ref="J961:K961"/>
    <mergeCell ref="A3746:A3749"/>
    <mergeCell ref="A264:L264"/>
    <mergeCell ref="B3109:B3112"/>
    <mergeCell ref="I1023:I1024"/>
    <mergeCell ref="F2508:H2509"/>
    <mergeCell ref="G662:G663"/>
    <mergeCell ref="A1316:A1319"/>
    <mergeCell ref="A3144:A3147"/>
    <mergeCell ref="A1673:L1673"/>
    <mergeCell ref="C959:C962"/>
    <mergeCell ref="F738:H739"/>
    <mergeCell ref="F862:H863"/>
    <mergeCell ref="C988:C991"/>
    <mergeCell ref="B1462:B1465"/>
    <mergeCell ref="B3168:B3171"/>
    <mergeCell ref="J2830:K2830"/>
    <mergeCell ref="A3795:L3795"/>
    <mergeCell ref="A146:L146"/>
    <mergeCell ref="I2435:I2436"/>
    <mergeCell ref="J1316:L1317"/>
    <mergeCell ref="J895:L896"/>
    <mergeCell ref="I738:I739"/>
    <mergeCell ref="J3144:L3145"/>
    <mergeCell ref="A2147:L2147"/>
    <mergeCell ref="F614:F615"/>
    <mergeCell ref="D522:E524"/>
    <mergeCell ref="B1795:B1798"/>
    <mergeCell ref="D552:E554"/>
    <mergeCell ref="G402:G403"/>
    <mergeCell ref="C2828:C2831"/>
    <mergeCell ref="D2338:E2340"/>
    <mergeCell ref="G6:G7"/>
    <mergeCell ref="F2150:H2151"/>
    <mergeCell ref="F2606:H2607"/>
    <mergeCell ref="C1130:C1133"/>
    <mergeCell ref="J614:K614"/>
    <mergeCell ref="A2747:L2747"/>
    <mergeCell ref="A3421:L3421"/>
    <mergeCell ref="A1387:A1390"/>
    <mergeCell ref="F1555:H1556"/>
    <mergeCell ref="F1092:H1093"/>
    <mergeCell ref="J1273:K1273"/>
    <mergeCell ref="I1423:I1424"/>
    <mergeCell ref="J309:L310"/>
    <mergeCell ref="I3797:I3798"/>
    <mergeCell ref="I2150:I2151"/>
    <mergeCell ref="A2661:L2661"/>
    <mergeCell ref="A987:L987"/>
    <mergeCell ref="I2606:I2607"/>
    <mergeCell ref="I3668:I3669"/>
    <mergeCell ref="I2152:I2153"/>
    <mergeCell ref="I2608:I2609"/>
    <mergeCell ref="A3561:L3561"/>
    <mergeCell ref="A2775:L2775"/>
    <mergeCell ref="A690:L690"/>
    <mergeCell ref="F2748:H2749"/>
    <mergeCell ref="F3562:H3563"/>
    <mergeCell ref="A3106:L3106"/>
    <mergeCell ref="A1313:L1313"/>
    <mergeCell ref="B1851:B1854"/>
    <mergeCell ref="A2957:A2960"/>
    <mergeCell ref="F2206:H2207"/>
    <mergeCell ref="D1316:E1318"/>
    <mergeCell ref="A3168:A3171"/>
    <mergeCell ref="G3077:G3078"/>
    <mergeCell ref="I3562:I3563"/>
    <mergeCell ref="I3564:I3565"/>
    <mergeCell ref="J1296:L1297"/>
    <mergeCell ref="I864:I865"/>
    <mergeCell ref="A1:L1"/>
    <mergeCell ref="I1350:I1351"/>
    <mergeCell ref="G3376:G3377"/>
    <mergeCell ref="D1676:E1678"/>
    <mergeCell ref="J3109:L3110"/>
    <mergeCell ref="F524:F525"/>
    <mergeCell ref="J2400:K2400"/>
    <mergeCell ref="I1795:I1796"/>
    <mergeCell ref="D2009:E2011"/>
    <mergeCell ref="C3374:C3377"/>
    <mergeCell ref="F824:F825"/>
    <mergeCell ref="A3602:L3602"/>
    <mergeCell ref="J1156:K1156"/>
    <mergeCell ref="F1632:H1633"/>
    <mergeCell ref="J3471:L3472"/>
    <mergeCell ref="A3470:L3470"/>
    <mergeCell ref="G3247:G3248"/>
    <mergeCell ref="J1754:K1754"/>
    <mergeCell ref="J185:K185"/>
    <mergeCell ref="F1209:F1210"/>
    <mergeCell ref="A3638:A3641"/>
    <mergeCell ref="D1092:E1094"/>
    <mergeCell ref="A1851:A1854"/>
    <mergeCell ref="C1154:C1157"/>
    <mergeCell ref="J1209:K1209"/>
    <mergeCell ref="I1236:I1237"/>
    <mergeCell ref="A351:A354"/>
    <mergeCell ref="I3690:I3691"/>
    <mergeCell ref="D3562:E3564"/>
    <mergeCell ref="G3748:G3749"/>
    <mergeCell ref="J1851:L1852"/>
    <mergeCell ref="F353:F354"/>
    <mergeCell ref="B2991:B2994"/>
    <mergeCell ref="A399:L399"/>
    <mergeCell ref="F2474:H2475"/>
    <mergeCell ref="A3211:L3211"/>
    <mergeCell ref="C738:C741"/>
    <mergeCell ref="F400:H401"/>
    <mergeCell ref="A1460:L1460"/>
    <mergeCell ref="J351:L352"/>
    <mergeCell ref="D3776:E3778"/>
    <mergeCell ref="B3374:B3377"/>
    <mergeCell ref="A2009:A2012"/>
    <mergeCell ref="C3329:C3332"/>
    <mergeCell ref="I3077:I3078"/>
    <mergeCell ref="A3242:L3242"/>
    <mergeCell ref="A522:A525"/>
    <mergeCell ref="I400:I401"/>
    <mergeCell ref="G3640:G3641"/>
    <mergeCell ref="J1094:K1094"/>
    <mergeCell ref="A822:A825"/>
    <mergeCell ref="F3247:F3248"/>
    <mergeCell ref="I402:I403"/>
    <mergeCell ref="C582:C585"/>
    <mergeCell ref="F3668:F3669"/>
    <mergeCell ref="D2299:E2301"/>
    <mergeCell ref="G781:G782"/>
    <mergeCell ref="A3881:A3884"/>
    <mergeCell ref="A3687:L3687"/>
    <mergeCell ref="J2510:K2510"/>
    <mergeCell ref="C3797:C3800"/>
    <mergeCell ref="G214:G215"/>
    <mergeCell ref="J522:L523"/>
    <mergeCell ref="A2955:L2955"/>
    <mergeCell ref="J1023:K1023"/>
    <mergeCell ref="B1154:B1157"/>
    <mergeCell ref="F3692:F3693"/>
    <mergeCell ref="A3423:A3426"/>
    <mergeCell ref="I113:I114"/>
    <mergeCell ref="J822:L823"/>
    <mergeCell ref="C212:C215"/>
    <mergeCell ref="J2208:K2208"/>
    <mergeCell ref="F3748:F3749"/>
    <mergeCell ref="D959:E961"/>
    <mergeCell ref="J3881:L3882"/>
    <mergeCell ref="A440:L440"/>
    <mergeCell ref="C2299:C2302"/>
    <mergeCell ref="A1509:A1512"/>
    <mergeCell ref="A2991:A2994"/>
    <mergeCell ref="F1316:H1317"/>
    <mergeCell ref="F3144:H3145"/>
    <mergeCell ref="A308:L308"/>
    <mergeCell ref="D1715:E1717"/>
    <mergeCell ref="A2551:L2551"/>
    <mergeCell ref="F924:H925"/>
    <mergeCell ref="G444:G445"/>
    <mergeCell ref="J2864:K2864"/>
    <mergeCell ref="I2259:I2260"/>
    <mergeCell ref="B3329:B3332"/>
    <mergeCell ref="C111:C114"/>
    <mergeCell ref="A1552:L1552"/>
    <mergeCell ref="J1509:L1510"/>
    <mergeCell ref="A1508:L1508"/>
    <mergeCell ref="J2991:L2992"/>
    <mergeCell ref="D2828:E2830"/>
    <mergeCell ref="A3663:L3663"/>
    <mergeCell ref="A3665:L3665"/>
    <mergeCell ref="B582:B585"/>
    <mergeCell ref="D400:E402"/>
    <mergeCell ref="A181:L181"/>
    <mergeCell ref="G3607:G3608"/>
    <mergeCell ref="B3776:B3779"/>
    <mergeCell ref="G3425:G3426"/>
    <mergeCell ref="A3327:L3327"/>
    <mergeCell ref="A481:L481"/>
    <mergeCell ref="A1751:L1751"/>
    <mergeCell ref="F484:F485"/>
    <mergeCell ref="J4:L5"/>
    <mergeCell ref="J2152:K2152"/>
    <mergeCell ref="G2666:G2667"/>
    <mergeCell ref="B183:B186"/>
    <mergeCell ref="A3666:A3669"/>
    <mergeCell ref="D3881:E3883"/>
    <mergeCell ref="A2922:L2922"/>
    <mergeCell ref="B212:B215"/>
    <mergeCell ref="G185:G186"/>
    <mergeCell ref="G3022:G3023"/>
    <mergeCell ref="B2299:B2302"/>
    <mergeCell ref="G151:G152"/>
    <mergeCell ref="C1207:C1210"/>
    <mergeCell ref="F1296:H1297"/>
    <mergeCell ref="G3778:G3779"/>
    <mergeCell ref="F1259:F1260"/>
    <mergeCell ref="C183:C186"/>
    <mergeCell ref="J3666:L3667"/>
    <mergeCell ref="J2959:K2959"/>
    <mergeCell ref="C612:C615"/>
    <mergeCell ref="D1509:E1511"/>
    <mergeCell ref="J3564:K3564"/>
    <mergeCell ref="J2606:L2607"/>
    <mergeCell ref="D3329:E3331"/>
    <mergeCell ref="A550:L550"/>
    <mergeCell ref="D1054:E1056"/>
    <mergeCell ref="A736:L736"/>
    <mergeCell ref="B959:B962"/>
    <mergeCell ref="J1259:K1259"/>
    <mergeCell ref="F3109:H3110"/>
    <mergeCell ref="B1257:B1260"/>
    <mergeCell ref="J444:K444"/>
    <mergeCell ref="F895:H896"/>
    <mergeCell ref="I3746:I3747"/>
    <mergeCell ref="I3168:I3169"/>
    <mergeCell ref="D924:E926"/>
    <mergeCell ref="F3471:H3472"/>
    <mergeCell ref="A3776:A3779"/>
    <mergeCell ref="J3562:L3563"/>
    <mergeCell ref="A2604:L2604"/>
    <mergeCell ref="F309:H310"/>
    <mergeCell ref="A1205:L1205"/>
    <mergeCell ref="A3744:L3744"/>
    <mergeCell ref="I1797:I1798"/>
    <mergeCell ref="J3776:L3777"/>
    <mergeCell ref="F3797:H3798"/>
    <mergeCell ref="F151:F152"/>
    <mergeCell ref="D3666:E3668"/>
    <mergeCell ref="G3852:G3853"/>
    <mergeCell ref="D1154:E1156"/>
    <mergeCell ref="J3331:K3331"/>
    <mergeCell ref="J2301:K2301"/>
    <mergeCell ref="F3638:H3639"/>
    <mergeCell ref="F1851:H1852"/>
    <mergeCell ref="B612:B615"/>
    <mergeCell ref="D1752:E1754"/>
    <mergeCell ref="I3512:I3513"/>
    <mergeCell ref="G2993:G2994"/>
    <mergeCell ref="J897:K897"/>
    <mergeCell ref="D111:E113"/>
    <mergeCell ref="A959:A962"/>
    <mergeCell ref="I3215:I3216"/>
    <mergeCell ref="A1257:A1260"/>
    <mergeCell ref="I1851:I1852"/>
    <mergeCell ref="A3690:A3693"/>
    <mergeCell ref="C3746:C3749"/>
    <mergeCell ref="J1387:L1388"/>
    <mergeCell ref="D1296:E1298"/>
    <mergeCell ref="C1234:C1237"/>
    <mergeCell ref="A521:L521"/>
    <mergeCell ref="D2109:E2111"/>
    <mergeCell ref="D1596:E1598"/>
    <mergeCell ref="F3045:F3046"/>
    <mergeCell ref="A821:L821"/>
    <mergeCell ref="G2864:G2865"/>
    <mergeCell ref="G2111:G2112"/>
    <mergeCell ref="F2925:H2926"/>
    <mergeCell ref="J2011:K2011"/>
    <mergeCell ref="B2009:B2012"/>
    <mergeCell ref="J3690:L3691"/>
    <mergeCell ref="D895:E897"/>
    <mergeCell ref="J402:K402"/>
    <mergeCell ref="J3799:K3799"/>
    <mergeCell ref="F522:H523"/>
    <mergeCell ref="D2708:E2710"/>
    <mergeCell ref="A1295:L1295"/>
    <mergeCell ref="C3075:C3078"/>
    <mergeCell ref="C1676:C1679"/>
    <mergeCell ref="D3471:E3473"/>
    <mergeCell ref="F822:H823"/>
    <mergeCell ref="F3852:F3853"/>
    <mergeCell ref="A3713:L3713"/>
    <mergeCell ref="A2988:L2988"/>
    <mergeCell ref="A148:L148"/>
    <mergeCell ref="A1630:L1630"/>
    <mergeCell ref="F3883:F3884"/>
    <mergeCell ref="F3881:H3882"/>
    <mergeCell ref="I740:I741"/>
    <mergeCell ref="I6:I7"/>
    <mergeCell ref="A612:A615"/>
    <mergeCell ref="A1752:A1755"/>
    <mergeCell ref="F2993:F2994"/>
    <mergeCell ref="A2989:L2989"/>
    <mergeCell ref="B3850:B3853"/>
    <mergeCell ref="G3692:G3693"/>
    <mergeCell ref="J400:L401"/>
    <mergeCell ref="C1387:C1390"/>
    <mergeCell ref="B3423:B3426"/>
    <mergeCell ref="J552:L553"/>
    <mergeCell ref="I3881:I3882"/>
    <mergeCell ref="F3716:H3717"/>
    <mergeCell ref="F1509:H1510"/>
    <mergeCell ref="F926:F927"/>
    <mergeCell ref="B1752:B1755"/>
    <mergeCell ref="A3042:L3042"/>
    <mergeCell ref="C660:C663"/>
    <mergeCell ref="I1209:I1210"/>
    <mergeCell ref="I3213:I3214"/>
    <mergeCell ref="A1674:L1674"/>
    <mergeCell ref="F3170:F3171"/>
    <mergeCell ref="F2111:F2112"/>
    <mergeCell ref="F1350:F1351"/>
    <mergeCell ref="J482:L483"/>
    <mergeCell ref="J926:K926"/>
    <mergeCell ref="J3146:K3146"/>
    <mergeCell ref="C2957:C2960"/>
    <mergeCell ref="C3562:C3565"/>
    <mergeCell ref="A3043:A3046"/>
    <mergeCell ref="I779:I780"/>
    <mergeCell ref="F4:H5"/>
    <mergeCell ref="B2109:B2112"/>
    <mergeCell ref="B1348:B1351"/>
    <mergeCell ref="B3075:B3078"/>
    <mergeCell ref="B1676:B1679"/>
    <mergeCell ref="I351:I352"/>
    <mergeCell ref="C400:C403"/>
    <mergeCell ref="A3818:L3818"/>
    <mergeCell ref="J3043:L3044"/>
    <mergeCell ref="I1891:I1892"/>
    <mergeCell ref="J924:L925"/>
    <mergeCell ref="C2862:C2865"/>
    <mergeCell ref="A1714:L1714"/>
    <mergeCell ref="F3823:F3824"/>
    <mergeCell ref="A986:L986"/>
    <mergeCell ref="J2340:K2340"/>
    <mergeCell ref="I1464:I1465"/>
    <mergeCell ref="F3666:H3667"/>
    <mergeCell ref="A2362:L2362"/>
    <mergeCell ref="D1207:E1209"/>
    <mergeCell ref="F1154:H1155"/>
    <mergeCell ref="J3821:L3822"/>
    <mergeCell ref="F2780:F2781"/>
    <mergeCell ref="D149:E151"/>
    <mergeCell ref="I3666:I3667"/>
    <mergeCell ref="A2046:L2046"/>
    <mergeCell ref="A2398:A2401"/>
    <mergeCell ref="B660:B663"/>
    <mergeCell ref="A3109:A3112"/>
    <mergeCell ref="G1717:G1718"/>
    <mergeCell ref="A3468:L3468"/>
    <mergeCell ref="G353:G354"/>
    <mergeCell ref="A1314:L1314"/>
    <mergeCell ref="D2748:E2750"/>
    <mergeCell ref="J864:K864"/>
    <mergeCell ref="B2048:B2051"/>
    <mergeCell ref="A2109:A2112"/>
    <mergeCell ref="B2206:B2209"/>
    <mergeCell ref="C351:C354"/>
    <mergeCell ref="A1953:A1956"/>
    <mergeCell ref="J2398:L2399"/>
    <mergeCell ref="D3043:E3045"/>
    <mergeCell ref="G1132:G1133"/>
    <mergeCell ref="J3423:L3424"/>
    <mergeCell ref="J1678:K1678"/>
    <mergeCell ref="F3776:H3777"/>
    <mergeCell ref="C71:C74"/>
    <mergeCell ref="B2862:B2865"/>
    <mergeCell ref="J2109:L2110"/>
    <mergeCell ref="J1348:L1349"/>
    <mergeCell ref="F3607:F3608"/>
    <mergeCell ref="C3286:C3289"/>
    <mergeCell ref="J1464:K1464"/>
    <mergeCell ref="J1953:L1954"/>
    <mergeCell ref="I895:I896"/>
    <mergeCell ref="A1385:L1385"/>
    <mergeCell ref="F1797:F1798"/>
    <mergeCell ref="A659:L659"/>
    <mergeCell ref="G2510:G2511"/>
    <mergeCell ref="A1386:L1386"/>
    <mergeCell ref="A3166:L3166"/>
    <mergeCell ref="F1387:H1388"/>
    <mergeCell ref="J1795:L1796"/>
    <mergeCell ref="J3797:L3798"/>
    <mergeCell ref="A3512:A3515"/>
    <mergeCell ref="A1421:A1424"/>
    <mergeCell ref="J1236:K1236"/>
    <mergeCell ref="I214:I215"/>
    <mergeCell ref="C2398:C2401"/>
    <mergeCell ref="F959:H960"/>
    <mergeCell ref="F1257:H1258"/>
    <mergeCell ref="C3423:C3426"/>
    <mergeCell ref="F3690:H3691"/>
    <mergeCell ref="D3144:E3146"/>
    <mergeCell ref="G2259:G2260"/>
    <mergeCell ref="C3213:C3216"/>
    <mergeCell ref="G2899:G2900"/>
    <mergeCell ref="B1421:B1424"/>
    <mergeCell ref="C1509:C1512"/>
    <mergeCell ref="J353:K353"/>
    <mergeCell ref="J2780:K2780"/>
    <mergeCell ref="F2957:H2958"/>
    <mergeCell ref="I1257:I1258"/>
    <mergeCell ref="I3718:I3719"/>
    <mergeCell ref="J3111:K3111"/>
    <mergeCell ref="C779:C782"/>
    <mergeCell ref="B71:B74"/>
    <mergeCell ref="C2897:C2900"/>
    <mergeCell ref="A2862:A2865"/>
    <mergeCell ref="A1152:L1152"/>
    <mergeCell ref="A2505:L2505"/>
    <mergeCell ref="A1750:L1750"/>
    <mergeCell ref="F552:H553"/>
    <mergeCell ref="I2257:I2258"/>
    <mergeCell ref="G1423:G1424"/>
    <mergeCell ref="I1318:I1319"/>
    <mergeCell ref="J3247:K3247"/>
    <mergeCell ref="B3245:B3248"/>
    <mergeCell ref="G3883:G3884"/>
    <mergeCell ref="A1795:A1798"/>
    <mergeCell ref="B2828:B2831"/>
    <mergeCell ref="F6:F7"/>
    <mergeCell ref="F612:H613"/>
    <mergeCell ref="B1185:B1188"/>
    <mergeCell ref="A1051:L1051"/>
    <mergeCell ref="J3607:K3607"/>
    <mergeCell ref="C3666:C3669"/>
    <mergeCell ref="A1052:L1052"/>
    <mergeCell ref="J6:K6"/>
    <mergeCell ref="A149:A152"/>
    <mergeCell ref="G1273:G1274"/>
    <mergeCell ref="I612:I613"/>
    <mergeCell ref="D660:E662"/>
    <mergeCell ref="I2301:I2302"/>
    <mergeCell ref="D1387:E1389"/>
    <mergeCell ref="A893:L893"/>
    <mergeCell ref="A2895:L2895"/>
    <mergeCell ref="A482:A485"/>
    <mergeCell ref="A3637:L3637"/>
    <mergeCell ref="A1850:L1850"/>
    <mergeCell ref="A3040:L3040"/>
    <mergeCell ref="B2897:B2900"/>
    <mergeCell ref="J149:L150"/>
    <mergeCell ref="B895:B898"/>
    <mergeCell ref="F3043:H3044"/>
    <mergeCell ref="A3374:A3377"/>
    <mergeCell ref="C3020:C3023"/>
    <mergeCell ref="D3168:E3170"/>
    <mergeCell ref="A3245:A3248"/>
    <mergeCell ref="A2605:L2605"/>
    <mergeCell ref="I3043:I3044"/>
    <mergeCell ref="F2009:H2010"/>
    <mergeCell ref="A820:L820"/>
    <mergeCell ref="G1094:G1095"/>
    <mergeCell ref="F3850:H3851"/>
    <mergeCell ref="A691:L691"/>
    <mergeCell ref="A2204:L2204"/>
    <mergeCell ref="J3376:K3376"/>
    <mergeCell ref="J3374:L3375"/>
    <mergeCell ref="B3797:B3800"/>
    <mergeCell ref="F1273:F1274"/>
    <mergeCell ref="A1593:L1593"/>
    <mergeCell ref="A2108:L2108"/>
    <mergeCell ref="F1752:H1753"/>
    <mergeCell ref="G1236:G1237"/>
    <mergeCell ref="G2208:G2209"/>
    <mergeCell ref="F1598:F1599"/>
    <mergeCell ref="J3692:K3692"/>
    <mergeCell ref="F2398:H2399"/>
    <mergeCell ref="I3883:I3884"/>
    <mergeCell ref="F3423:H3424"/>
    <mergeCell ref="I1511:I1512"/>
    <mergeCell ref="D351:E353"/>
    <mergeCell ref="D482:E484"/>
    <mergeCell ref="I2993:I2994"/>
    <mergeCell ref="J3245:L3246"/>
    <mergeCell ref="A1950:L1950"/>
    <mergeCell ref="I2398:I2399"/>
    <mergeCell ref="G2050:G2051"/>
    <mergeCell ref="F2109:H2110"/>
    <mergeCell ref="F444:F445"/>
    <mergeCell ref="F1348:H1349"/>
    <mergeCell ref="I267:I268"/>
    <mergeCell ref="C3690:C3693"/>
    <mergeCell ref="A2706:L2706"/>
    <mergeCell ref="F1953:H1954"/>
    <mergeCell ref="G3111:G3112"/>
    <mergeCell ref="A3329:A3332"/>
    <mergeCell ref="A2550:L2550"/>
    <mergeCell ref="B111:B114"/>
    <mergeCell ref="A2:L2"/>
    <mergeCell ref="I926:I927"/>
    <mergeCell ref="I2864:I2865"/>
    <mergeCell ref="I2109:I2110"/>
    <mergeCell ref="F2555:F2556"/>
    <mergeCell ref="J3748:K3748"/>
    <mergeCell ref="I1953:I1954"/>
    <mergeCell ref="I3170:I3171"/>
    <mergeCell ref="I2111:I2112"/>
    <mergeCell ref="C862:C865"/>
    <mergeCell ref="J1557:K1557"/>
    <mergeCell ref="J3329:L3330"/>
    <mergeCell ref="A3797:A3800"/>
    <mergeCell ref="J781:K781"/>
    <mergeCell ref="A3664:L3664"/>
    <mergeCell ref="F3821:H3822"/>
    <mergeCell ref="F2553:H2554"/>
    <mergeCell ref="F1236:F1237"/>
    <mergeCell ref="J484:K484"/>
    <mergeCell ref="A212:A215"/>
    <mergeCell ref="C3245:C3248"/>
    <mergeCell ref="I2340:I2341"/>
    <mergeCell ref="F185:F186"/>
    <mergeCell ref="A3821:A3824"/>
    <mergeCell ref="F781:F782"/>
    <mergeCell ref="A2299:A2302"/>
    <mergeCell ref="I1094:I1095"/>
    <mergeCell ref="I3823:I3824"/>
    <mergeCell ref="A1888:L1888"/>
    <mergeCell ref="I660:I661"/>
    <mergeCell ref="G2750:G2751"/>
    <mergeCell ref="A3072:L3072"/>
    <mergeCell ref="F2048:H2049"/>
    <mergeCell ref="B3690:B3693"/>
    <mergeCell ref="J212:L213"/>
    <mergeCell ref="J214:K214"/>
    <mergeCell ref="A1890:L1890"/>
    <mergeCell ref="A3716:A3719"/>
    <mergeCell ref="A3372:L3372"/>
    <mergeCell ref="A111:A114"/>
    <mergeCell ref="I2780:I2781"/>
    <mergeCell ref="J2299:L2300"/>
    <mergeCell ref="F3077:F3078"/>
    <mergeCell ref="C2748:C2751"/>
    <mergeCell ref="B351:B354"/>
    <mergeCell ref="F1021:H1022"/>
    <mergeCell ref="I2208:I2209"/>
    <mergeCell ref="A2335:L2335"/>
    <mergeCell ref="I3109:I3110"/>
    <mergeCell ref="B1596:B1599"/>
    <mergeCell ref="B862:B865"/>
    <mergeCell ref="I2508:I2509"/>
    <mergeCell ref="G2435:G2436"/>
    <mergeCell ref="D1348:E1350"/>
    <mergeCell ref="F554:F555"/>
    <mergeCell ref="J3716:L3717"/>
    <mergeCell ref="F3168:H3169"/>
    <mergeCell ref="C1715:C1718"/>
    <mergeCell ref="I1021:I1022"/>
    <mergeCell ref="I2862:I2863"/>
    <mergeCell ref="A1629:L1629"/>
    <mergeCell ref="F1795:H1796"/>
    <mergeCell ref="A1631:L1631"/>
    <mergeCell ref="F267:F268"/>
    <mergeCell ref="A2603:L2603"/>
    <mergeCell ref="A1207:A1210"/>
    <mergeCell ref="A2298:L2298"/>
    <mergeCell ref="J2257:L2258"/>
    <mergeCell ref="J151:K151"/>
    <mergeCell ref="I3607:I3608"/>
    <mergeCell ref="A183:A186"/>
    <mergeCell ref="D3821:E3823"/>
    <mergeCell ref="A957:L957"/>
    <mergeCell ref="A1255:L1255"/>
    <mergeCell ref="F3022:F3023"/>
    <mergeCell ref="A1553:L1553"/>
    <mergeCell ref="A3775:L3775"/>
    <mergeCell ref="I961:I962"/>
    <mergeCell ref="J1207:L1208"/>
    <mergeCell ref="A2745:L2745"/>
    <mergeCell ref="I149:I150"/>
    <mergeCell ref="A1296:A1299"/>
    <mergeCell ref="A958:L958"/>
    <mergeCell ref="A1256:L1256"/>
    <mergeCell ref="J183:L184"/>
    <mergeCell ref="I1717:I1718"/>
    <mergeCell ref="D2991:E2993"/>
    <mergeCell ref="J612:L613"/>
    <mergeCell ref="A1596:A1599"/>
    <mergeCell ref="I1421:I1422"/>
    <mergeCell ref="F2750:F2751"/>
    <mergeCell ref="F2435:F2436"/>
    <mergeCell ref="F2864:F2865"/>
    <mergeCell ref="D988:E990"/>
    <mergeCell ref="C3168:C3171"/>
    <mergeCell ref="B2778:B2781"/>
    <mergeCell ref="G3799:G3800"/>
    <mergeCell ref="I1132:I1133"/>
    <mergeCell ref="J1596:L1597"/>
    <mergeCell ref="G1797:G1798"/>
    <mergeCell ref="F2367:F2368"/>
    <mergeCell ref="C1795:C1798"/>
    <mergeCell ref="J554:K554"/>
    <mergeCell ref="A3107:L3107"/>
    <mergeCell ref="J3883:K3883"/>
    <mergeCell ref="G3514:G3515"/>
    <mergeCell ref="J2367:K2367"/>
    <mergeCell ref="G3215:G3216"/>
    <mergeCell ref="J2993:K2993"/>
    <mergeCell ref="F1423:F1424"/>
    <mergeCell ref="F1634:F1635"/>
    <mergeCell ref="A2827:L2827"/>
    <mergeCell ref="C3512:C3515"/>
    <mergeCell ref="C1421:C1424"/>
    <mergeCell ref="J267:K267"/>
    <mergeCell ref="D3690:E3692"/>
    <mergeCell ref="A921:L921"/>
    <mergeCell ref="G990:G991"/>
    <mergeCell ref="A3794:L3794"/>
    <mergeCell ref="I1092:I1093"/>
    <mergeCell ref="A610:L610"/>
    <mergeCell ref="F584:F585"/>
    <mergeCell ref="A3041:L3041"/>
    <mergeCell ref="B3746:B3749"/>
    <mergeCell ref="A1254:L1254"/>
    <mergeCell ref="F3329:H3330"/>
    <mergeCell ref="I2899:I2900"/>
    <mergeCell ref="J3022:K3022"/>
    <mergeCell ref="A307:L307"/>
    <mergeCell ref="C2508:C2511"/>
    <mergeCell ref="D1257:E1259"/>
    <mergeCell ref="B2474:B2477"/>
    <mergeCell ref="A3075:A3078"/>
    <mergeCell ref="A1676:A1679"/>
    <mergeCell ref="D2474:E2476"/>
    <mergeCell ref="A2149:L2149"/>
    <mergeCell ref="G584:G585"/>
    <mergeCell ref="I1557:I1558"/>
    <mergeCell ref="J2435:K2435"/>
    <mergeCell ref="A3210:L3210"/>
    <mergeCell ref="A3510:L3510"/>
    <mergeCell ref="J3075:L3076"/>
    <mergeCell ref="F3215:F3216"/>
    <mergeCell ref="J1676:L1677"/>
    <mergeCell ref="I3374:I3375"/>
    <mergeCell ref="A1420:L1420"/>
    <mergeCell ref="F212:H213"/>
    <mergeCell ref="J3823:K3823"/>
    <mergeCell ref="D2398:E2400"/>
    <mergeCell ref="I1156:I1157"/>
    <mergeCell ref="A985:L985"/>
    <mergeCell ref="F2299:H2300"/>
    <mergeCell ref="B3512:B3515"/>
    <mergeCell ref="A1712:L1712"/>
    <mergeCell ref="A1293:L1293"/>
    <mergeCell ref="J3215:K3215"/>
    <mergeCell ref="I1754:I1755"/>
    <mergeCell ref="F990:F991"/>
    <mergeCell ref="A660:A663"/>
    <mergeCell ref="F1717:F1718"/>
    <mergeCell ref="C1092:C1095"/>
    <mergeCell ref="C149:C152"/>
    <mergeCell ref="A110:L110"/>
    <mergeCell ref="A3167:L3167"/>
    <mergeCell ref="J990:K990"/>
    <mergeCell ref="F111:H112"/>
    <mergeCell ref="A2826:L2826"/>
    <mergeCell ref="I1598:I1599"/>
    <mergeCell ref="A3879:L3879"/>
    <mergeCell ref="A1794:L1794"/>
    <mergeCell ref="J660:L661"/>
    <mergeCell ref="F1132:F1133"/>
    <mergeCell ref="A2707:L2707"/>
    <mergeCell ref="I111:I112"/>
    <mergeCell ref="F3288:F3289"/>
    <mergeCell ref="A2552:L2552"/>
    <mergeCell ref="F740:F741"/>
    <mergeCell ref="A1153:L1153"/>
    <mergeCell ref="J2048:L2049"/>
    <mergeCell ref="A4:A7"/>
    <mergeCell ref="F2257:H2258"/>
    <mergeCell ref="G1464:G1465"/>
    <mergeCell ref="B3286:B3289"/>
    <mergeCell ref="I3473:I3474"/>
    <mergeCell ref="B400:B403"/>
    <mergeCell ref="G740:G741"/>
    <mergeCell ref="C1462:C1465"/>
    <mergeCell ref="D2150:E2152"/>
    <mergeCell ref="F1207:H1208"/>
    <mergeCell ref="J2862:L2863"/>
    <mergeCell ref="F183:H184"/>
    <mergeCell ref="A2776:L2776"/>
    <mergeCell ref="G2367:G2368"/>
    <mergeCell ref="A2473:L2473"/>
    <mergeCell ref="F2301:F2302"/>
    <mergeCell ref="C2664:C2667"/>
    <mergeCell ref="I183:I184"/>
    <mergeCell ref="A692:A695"/>
    <mergeCell ref="D1021:E1023"/>
    <mergeCell ref="B3213:B3216"/>
    <mergeCell ref="I185:I186"/>
    <mergeCell ref="I212:I213"/>
    <mergeCell ref="I2299:I2300"/>
    <mergeCell ref="B779:B782"/>
    <mergeCell ref="I1296:I1297"/>
    <mergeCell ref="A71:A74"/>
    <mergeCell ref="J692:L693"/>
    <mergeCell ref="I1596:I1597"/>
    <mergeCell ref="A3286:A3289"/>
    <mergeCell ref="A63:L63"/>
    <mergeCell ref="A1889:L1889"/>
    <mergeCell ref="I3111:I3112"/>
    <mergeCell ref="F73:F74"/>
    <mergeCell ref="I3716:I3717"/>
    <mergeCell ref="J1421:L1422"/>
    <mergeCell ref="D2433:E2435"/>
    <mergeCell ref="A400:A403"/>
    <mergeCell ref="A1151:L1151"/>
    <mergeCell ref="B1891:B1894"/>
    <mergeCell ref="J1132:K1132"/>
    <mergeCell ref="J73:K73"/>
    <mergeCell ref="A1793:L1793"/>
    <mergeCell ref="J71:L72"/>
    <mergeCell ref="G824:G825"/>
    <mergeCell ref="F1156:F1157"/>
    <mergeCell ref="A2205:L2205"/>
    <mergeCell ref="J3288:K3288"/>
    <mergeCell ref="G1893:G1894"/>
    <mergeCell ref="J740:K740"/>
    <mergeCell ref="F1754:F1755"/>
    <mergeCell ref="F1187:F1188"/>
    <mergeCell ref="A1206:L1206"/>
    <mergeCell ref="A147:L147"/>
    <mergeCell ref="F2510:F2511"/>
    <mergeCell ref="F3746:H3747"/>
    <mergeCell ref="I309:I310"/>
    <mergeCell ref="A2861:L2861"/>
    <mergeCell ref="A1506:L1506"/>
    <mergeCell ref="A3213:A3216"/>
    <mergeCell ref="C3821:C3824"/>
    <mergeCell ref="J1056:K1056"/>
    <mergeCell ref="D1851:E1853"/>
    <mergeCell ref="J1187:K1187"/>
    <mergeCell ref="I311:I312"/>
    <mergeCell ref="A778:L778"/>
    <mergeCell ref="F149:H150"/>
    <mergeCell ref="D692:E694"/>
    <mergeCell ref="G3718:G3719"/>
    <mergeCell ref="F864:F865"/>
    <mergeCell ref="D265:E267"/>
    <mergeCell ref="I1207:I1208"/>
    <mergeCell ref="A2897:A2900"/>
    <mergeCell ref="I1234:I1235"/>
    <mergeCell ref="J3213:L3214"/>
    <mergeCell ref="C3716:C3719"/>
    <mergeCell ref="B1021:B1024"/>
    <mergeCell ref="F2899:F2900"/>
    <mergeCell ref="J2259:K2259"/>
    <mergeCell ref="F1676:H1677"/>
    <mergeCell ref="A3243:L3243"/>
    <mergeCell ref="G864:G865"/>
    <mergeCell ref="A1089:L1089"/>
    <mergeCell ref="B3020:B3023"/>
    <mergeCell ref="I2748:I2749"/>
    <mergeCell ref="J2899:K2899"/>
    <mergeCell ref="I2778:I2779"/>
    <mergeCell ref="J2897:L2898"/>
    <mergeCell ref="I2750:I2751"/>
    <mergeCell ref="F1557:F1558"/>
    <mergeCell ref="F1094:F1095"/>
    <mergeCell ref="C1021:C1024"/>
    <mergeCell ref="A2297:L2297"/>
    <mergeCell ref="A3688:L3688"/>
    <mergeCell ref="D2862:E2864"/>
    <mergeCell ref="C2257:C2260"/>
    <mergeCell ref="G1678:G1679"/>
    <mergeCell ref="A2338:A2341"/>
    <mergeCell ref="A2956:L2956"/>
    <mergeCell ref="J2925:L2926"/>
    <mergeCell ref="G2301:G2302"/>
    <mergeCell ref="A2203:L2203"/>
    <mergeCell ref="F2340:F2341"/>
    <mergeCell ref="I554:I555"/>
    <mergeCell ref="A1185:A1188"/>
    <mergeCell ref="A441:L441"/>
    <mergeCell ref="F2208:F2209"/>
    <mergeCell ref="C2433:C2436"/>
    <mergeCell ref="A1204:L1204"/>
    <mergeCell ref="B2338:B2341"/>
    <mergeCell ref="A2990:L2990"/>
    <mergeCell ref="J1598:K1598"/>
    <mergeCell ref="B2365:B2368"/>
    <mergeCell ref="B3716:B3719"/>
    <mergeCell ref="A442:A445"/>
    <mergeCell ref="D1234:E1236"/>
    <mergeCell ref="F1298:F1299"/>
    <mergeCell ref="I1632:I1633"/>
    <mergeCell ref="A2048:A2051"/>
    <mergeCell ref="D779:E781"/>
    <mergeCell ref="F3111:F3112"/>
    <mergeCell ref="I1634:I1635"/>
    <mergeCell ref="A3020:A3023"/>
    <mergeCell ref="F1318:F1319"/>
    <mergeCell ref="C1596:C1599"/>
    <mergeCell ref="J1955:K1955"/>
    <mergeCell ref="A895:A898"/>
    <mergeCell ref="A2705:L2705"/>
    <mergeCell ref="J442:L443"/>
    <mergeCell ref="D71:E73"/>
    <mergeCell ref="F2710:F2711"/>
    <mergeCell ref="D1891:E1893"/>
    <mergeCell ref="I444:I445"/>
    <mergeCell ref="J2555:K2555"/>
    <mergeCell ref="D3075:E3077"/>
    <mergeCell ref="G1318:G1319"/>
    <mergeCell ref="J111:L112"/>
    <mergeCell ref="C3471:C3474"/>
    <mergeCell ref="D3374:E3376"/>
    <mergeCell ref="D1185:E1187"/>
    <mergeCell ref="J3168:L3169"/>
    <mergeCell ref="A956:L956"/>
    <mergeCell ref="A2365:A2368"/>
    <mergeCell ref="I1271:I1272"/>
    <mergeCell ref="I3514:I3515"/>
    <mergeCell ref="A2471:L2471"/>
    <mergeCell ref="A2008:L2008"/>
    <mergeCell ref="D3605:E3607"/>
    <mergeCell ref="F660:H661"/>
    <mergeCell ref="F1421:H1422"/>
    <mergeCell ref="D442:E444"/>
    <mergeCell ref="G1389:G1390"/>
    <mergeCell ref="D1632:E1634"/>
    <mergeCell ref="A3796:L3796"/>
    <mergeCell ref="A3743:L3743"/>
    <mergeCell ref="G926:G927"/>
    <mergeCell ref="A3715:L3715"/>
    <mergeCell ref="B2748:B2751"/>
    <mergeCell ref="A2045:L2045"/>
    <mergeCell ref="I3144:I3145"/>
    <mergeCell ref="D3746:E3748"/>
    <mergeCell ref="A1713:L1713"/>
    <mergeCell ref="I692:I693"/>
    <mergeCell ref="I990:I991"/>
    <mergeCell ref="J3077:K3077"/>
    <mergeCell ref="I3146:I3147"/>
    <mergeCell ref="F2050:F2051"/>
    <mergeCell ref="A862:A865"/>
    <mergeCell ref="B988:B991"/>
    <mergeCell ref="D3020:E3022"/>
    <mergeCell ref="J2508:L2509"/>
    <mergeCell ref="G1259:G1260"/>
    <mergeCell ref="J2050:K2050"/>
    <mergeCell ref="A3422:L3422"/>
    <mergeCell ref="A3878:L3878"/>
    <mergeCell ref="I1316:I1317"/>
    <mergeCell ref="B62:L62"/>
    <mergeCell ref="I3286:I3287"/>
    <mergeCell ref="J1318:K1318"/>
    <mergeCell ref="A924:A927"/>
    <mergeCell ref="F2862:H2863"/>
    <mergeCell ref="G2340:G2341"/>
    <mergeCell ref="I3288:I3289"/>
    <mergeCell ref="D1130:E1132"/>
    <mergeCell ref="A262:L262"/>
    <mergeCell ref="A3141:L3141"/>
    <mergeCell ref="I4:I5"/>
    <mergeCell ref="A309:A312"/>
    <mergeCell ref="A3143:L3143"/>
    <mergeCell ref="D1271:E1273"/>
    <mergeCell ref="F3213:H3214"/>
  </mergeCells>
  <printOptions horizontalCentered="1"/>
  <pageMargins left="0.03937007874015748" right="0.03937007874015748" top="0.03937007874015748" bottom="0.03937007874015748" header="0.03937007874015748" footer="0.03937007874015748"/>
  <pageSetup orientation="landscape" paperSize="9" scale="95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L1548"/>
  <sheetViews>
    <sheetView tabSelected="1" topLeftCell="A1474" workbookViewId="0">
      <selection activeCell="F1493" sqref="F1493"/>
    </sheetView>
  </sheetViews>
  <sheetFormatPr baseColWidth="8" defaultRowHeight="15"/>
  <cols>
    <col width="21.28515625" customWidth="1" style="436" min="1" max="1"/>
    <col width="15.42578125" customWidth="1" style="436" min="2" max="2"/>
    <col width="12.5703125" customWidth="1" style="436" min="3" max="3"/>
    <col width="16.140625" customWidth="1" style="436" min="4" max="4"/>
    <col width="14" customWidth="1" style="436" min="5" max="5"/>
    <col width="10.7109375" bestFit="1" customWidth="1" style="436" min="6" max="7"/>
    <col width="21" bestFit="1" customWidth="1" style="436" min="8" max="8"/>
    <col width="20" customWidth="1" style="436" min="11" max="11"/>
    <col width="27.85546875" customWidth="1" style="436" min="12" max="12"/>
  </cols>
  <sheetData>
    <row r="1" ht="24" customHeight="1" s="436" thickBot="1">
      <c r="A1" s="745" t="inlineStr">
        <is>
          <t xml:space="preserve">  PRÉ MISTURA - PÃO DOCE - 25 KG</t>
        </is>
      </c>
      <c r="B1" s="737" t="n"/>
      <c r="C1" s="737" t="n"/>
      <c r="D1" s="737" t="n"/>
      <c r="E1" s="737" t="n"/>
      <c r="F1" s="737" t="n"/>
      <c r="G1" s="737" t="n"/>
      <c r="H1" s="737" t="n"/>
      <c r="I1" s="737" t="n"/>
      <c r="J1" s="737" t="n"/>
      <c r="K1" s="737" t="n"/>
      <c r="L1" s="736" t="n"/>
    </row>
    <row r="2">
      <c r="A2" s="746" t="inlineStr">
        <is>
          <t>DATA</t>
        </is>
      </c>
      <c r="B2" s="3" t="inlineStr">
        <is>
          <t>N.F.</t>
        </is>
      </c>
      <c r="C2" s="3" t="inlineStr">
        <is>
          <t>TIPO</t>
        </is>
      </c>
      <c r="D2" s="3" t="inlineStr">
        <is>
          <t>PREÇO UNITÁRIO</t>
        </is>
      </c>
      <c r="E2" s="736" t="n"/>
      <c r="F2" s="3" t="inlineStr">
        <is>
          <t> </t>
        </is>
      </c>
      <c r="G2" s="737" t="n"/>
      <c r="H2" s="736" t="n"/>
      <c r="I2" s="631" t="inlineStr">
        <is>
          <t>PREÇO</t>
        </is>
      </c>
      <c r="J2" s="631" t="inlineStr">
        <is>
          <t>VALORES</t>
        </is>
      </c>
      <c r="K2" s="737" t="n"/>
      <c r="L2" s="736" t="n"/>
    </row>
    <row r="3" ht="15.75" customHeight="1" s="436" thickBot="1">
      <c r="A3" s="703" t="n"/>
      <c r="B3" s="704" t="n"/>
      <c r="C3" s="704" t="n"/>
      <c r="D3" s="703" t="n"/>
      <c r="E3" s="701" t="n"/>
      <c r="F3" s="705" t="n"/>
      <c r="G3" s="706" t="n"/>
      <c r="H3" s="707" t="n"/>
      <c r="I3" s="704" t="n"/>
      <c r="J3" s="703" t="n"/>
      <c r="L3" s="701" t="n"/>
    </row>
    <row r="4" ht="15.75" customHeight="1" s="436" thickBot="1">
      <c r="A4" s="703" t="n"/>
      <c r="B4" s="704" t="n"/>
      <c r="C4" s="704" t="n"/>
      <c r="D4" s="705" t="n"/>
      <c r="E4" s="707" t="n"/>
      <c r="F4" s="3" t="inlineStr">
        <is>
          <t>ENTRADA</t>
        </is>
      </c>
      <c r="G4" s="3" t="inlineStr">
        <is>
          <t>SAÍDA</t>
        </is>
      </c>
      <c r="H4" s="640" t="n"/>
      <c r="I4" s="633" t="inlineStr">
        <is>
          <t>MÉDIO</t>
        </is>
      </c>
      <c r="J4" s="652" t="inlineStr">
        <is>
          <t>SALDO EM 30/11/2017</t>
        </is>
      </c>
      <c r="K4" s="706" t="n"/>
      <c r="L4" s="17" t="n"/>
    </row>
    <row r="5" ht="15.75" customHeight="1" s="436" thickBot="1">
      <c r="A5" s="705" t="n"/>
      <c r="B5" s="695" t="n"/>
      <c r="C5" s="695" t="n"/>
      <c r="D5" s="3" t="inlineStr">
        <is>
          <t>C/ICMS</t>
        </is>
      </c>
      <c r="E5" s="3" t="inlineStr">
        <is>
          <t>S/ICMS</t>
        </is>
      </c>
      <c r="F5" s="695" t="n"/>
      <c r="G5" s="695" t="n"/>
      <c r="H5" s="18" t="inlineStr">
        <is>
          <t>Saldo em 31/08/2019</t>
        </is>
      </c>
      <c r="I5" s="695" t="n"/>
      <c r="J5" s="645" t="inlineStr">
        <is>
          <t>ENTRADA</t>
        </is>
      </c>
      <c r="K5" s="633" t="inlineStr">
        <is>
          <t>SAÍDA / CMV</t>
        </is>
      </c>
      <c r="L5" s="633" t="inlineStr">
        <is>
          <t>SALDO</t>
        </is>
      </c>
    </row>
    <row r="6">
      <c r="A6" s="48" t="n"/>
      <c r="B6" s="49" t="n"/>
      <c r="C6" s="50" t="n"/>
      <c r="D6" s="51" t="n"/>
      <c r="E6" s="51" t="n"/>
      <c r="F6" s="52" t="n"/>
      <c r="G6" s="52" t="n">
        <v>0</v>
      </c>
      <c r="H6" s="52" t="n"/>
      <c r="I6" s="51" t="n"/>
      <c r="J6" s="749">
        <f>F6*I6</f>
        <v/>
      </c>
      <c r="K6" s="749" t="n">
        <v>0</v>
      </c>
      <c r="L6" s="748">
        <f>J6-K6</f>
        <v/>
      </c>
    </row>
    <row r="7">
      <c r="A7" s="92" t="n">
        <v>43709</v>
      </c>
      <c r="B7" s="93" t="n"/>
      <c r="C7" s="93" t="n"/>
      <c r="D7" s="94" t="n"/>
      <c r="E7" s="94" t="n"/>
      <c r="F7" s="95" t="n"/>
      <c r="G7" s="55" t="n"/>
      <c r="H7" s="95" t="n">
        <v>400</v>
      </c>
      <c r="I7" s="71" t="n"/>
      <c r="J7" s="749" t="n"/>
      <c r="K7" s="747">
        <f>#REF!*D7</f>
        <v/>
      </c>
      <c r="L7" s="748" t="n"/>
    </row>
    <row r="8">
      <c r="A8" s="48" t="n">
        <v>43717</v>
      </c>
      <c r="B8" s="49" t="inlineStr">
        <is>
          <t>6767</t>
        </is>
      </c>
      <c r="C8" s="49" t="n"/>
      <c r="D8" s="71" t="n">
        <v>52</v>
      </c>
      <c r="E8" s="71" t="n"/>
      <c r="F8" s="55" t="n"/>
      <c r="G8" s="55" t="n">
        <v>20</v>
      </c>
      <c r="H8" s="55">
        <f>H7-G8</f>
        <v/>
      </c>
      <c r="I8" s="71" t="n"/>
      <c r="J8" s="749" t="n"/>
      <c r="K8" s="747" t="n"/>
      <c r="L8" s="748" t="n"/>
    </row>
    <row r="9">
      <c r="A9" s="48" t="n">
        <v>43717</v>
      </c>
      <c r="B9" s="49" t="inlineStr">
        <is>
          <t>6772</t>
        </is>
      </c>
      <c r="C9" s="49" t="n"/>
      <c r="D9" s="71" t="n">
        <v>56</v>
      </c>
      <c r="E9" s="71" t="n"/>
      <c r="F9" s="55" t="n"/>
      <c r="G9" s="55" t="n">
        <v>20</v>
      </c>
      <c r="H9" s="55">
        <f>H8-G9</f>
        <v/>
      </c>
      <c r="I9" s="71" t="n"/>
      <c r="J9" s="749" t="n"/>
      <c r="K9" s="747" t="n"/>
      <c r="L9" s="748" t="n"/>
    </row>
    <row r="10">
      <c r="A10" s="48" t="n">
        <v>43719</v>
      </c>
      <c r="B10" s="49" t="inlineStr">
        <is>
          <t>6782</t>
        </is>
      </c>
      <c r="C10" s="50" t="n"/>
      <c r="D10" s="51" t="n">
        <v>56</v>
      </c>
      <c r="E10" s="51" t="n"/>
      <c r="F10" s="52" t="n"/>
      <c r="G10" s="52" t="n">
        <v>10</v>
      </c>
      <c r="H10" s="55">
        <f>H9-G10</f>
        <v/>
      </c>
      <c r="I10" s="51" t="n"/>
      <c r="J10" s="749" t="n"/>
      <c r="K10" s="747">
        <f>G10*D10</f>
        <v/>
      </c>
      <c r="L10" s="748" t="n"/>
    </row>
    <row r="11">
      <c r="A11" s="48" t="n">
        <v>43738</v>
      </c>
      <c r="B11" s="49" t="inlineStr">
        <is>
          <t>6824</t>
        </is>
      </c>
      <c r="C11" s="50" t="n"/>
      <c r="D11" s="51" t="n">
        <v>55</v>
      </c>
      <c r="E11" s="51" t="n"/>
      <c r="F11" s="52" t="n"/>
      <c r="G11" s="52" t="n">
        <v>20</v>
      </c>
      <c r="H11" s="55">
        <f>H10-G11</f>
        <v/>
      </c>
      <c r="I11" s="51" t="n"/>
      <c r="J11" s="749" t="n"/>
      <c r="K11" s="747">
        <f>G11*D11</f>
        <v/>
      </c>
      <c r="L11" s="748" t="n"/>
    </row>
    <row r="12">
      <c r="A12" s="48" t="n"/>
      <c r="B12" s="49" t="n"/>
      <c r="C12" s="50" t="n"/>
      <c r="D12" s="51" t="n"/>
      <c r="E12" s="51" t="n"/>
      <c r="F12" s="52" t="n"/>
      <c r="G12" s="52" t="n"/>
      <c r="H12" s="55">
        <f>H11-G12</f>
        <v/>
      </c>
      <c r="I12" s="51" t="n"/>
      <c r="J12" s="749" t="n"/>
      <c r="K12" s="747">
        <f>G12*D12</f>
        <v/>
      </c>
      <c r="L12" s="748" t="n"/>
    </row>
    <row r="13">
      <c r="A13" s="48" t="n"/>
      <c r="B13" s="49" t="n"/>
      <c r="C13" s="50" t="n"/>
      <c r="D13" s="51" t="n"/>
      <c r="E13" s="51" t="n"/>
      <c r="F13" s="52" t="n"/>
      <c r="G13" s="52" t="n"/>
      <c r="H13" s="55">
        <f>H12-G13</f>
        <v/>
      </c>
      <c r="I13" s="51" t="n"/>
      <c r="J13" s="749" t="n"/>
      <c r="K13" s="747">
        <f>G13*D13</f>
        <v/>
      </c>
      <c r="L13" s="748" t="n"/>
    </row>
    <row r="14">
      <c r="A14" s="48" t="n"/>
      <c r="B14" s="49" t="n"/>
      <c r="C14" s="50" t="n"/>
      <c r="D14" s="51" t="n"/>
      <c r="E14" s="51" t="n"/>
      <c r="F14" s="52" t="n"/>
      <c r="G14" s="52" t="n"/>
      <c r="H14" s="55">
        <f>H13-G14</f>
        <v/>
      </c>
      <c r="I14" s="51" t="n"/>
      <c r="J14" s="749" t="n"/>
      <c r="K14" s="747">
        <f>G14*D14</f>
        <v/>
      </c>
      <c r="L14" s="748" t="n"/>
    </row>
    <row r="15">
      <c r="A15" s="48" t="n"/>
      <c r="B15" s="49" t="n"/>
      <c r="C15" s="50" t="n"/>
      <c r="D15" s="51" t="n"/>
      <c r="E15" s="51" t="n"/>
      <c r="F15" s="52" t="n"/>
      <c r="G15" s="52" t="n"/>
      <c r="H15" s="55" t="n"/>
      <c r="I15" s="51" t="n"/>
      <c r="J15" s="749" t="n"/>
      <c r="K15" s="747" t="n"/>
      <c r="L15" s="748" t="n"/>
    </row>
    <row r="16">
      <c r="A16" s="48" t="n"/>
      <c r="B16" s="49" t="n"/>
      <c r="C16" s="50" t="n"/>
      <c r="D16" s="51" t="n"/>
      <c r="E16" s="51" t="n"/>
      <c r="F16" s="52" t="n"/>
      <c r="G16" s="52" t="n"/>
      <c r="H16" s="55" t="n"/>
      <c r="I16" s="51" t="n"/>
      <c r="J16" s="749" t="n"/>
      <c r="K16" s="747" t="n"/>
      <c r="L16" s="748" t="n"/>
    </row>
    <row r="17">
      <c r="A17" s="48" t="n"/>
      <c r="B17" s="49" t="n"/>
      <c r="C17" s="50" t="n"/>
      <c r="D17" s="51" t="n"/>
      <c r="E17" s="51" t="n"/>
      <c r="F17" s="52" t="n"/>
      <c r="G17" s="52" t="n"/>
      <c r="H17" s="55" t="n"/>
      <c r="I17" s="51" t="n"/>
      <c r="J17" s="749" t="n"/>
      <c r="K17" s="747" t="n"/>
      <c r="L17" s="748" t="n"/>
    </row>
    <row r="18">
      <c r="A18" s="48" t="n"/>
      <c r="B18" s="49" t="n"/>
      <c r="C18" s="50" t="n"/>
      <c r="D18" s="51" t="n"/>
      <c r="E18" s="51" t="n"/>
      <c r="F18" s="52" t="n"/>
      <c r="G18" s="52" t="n"/>
      <c r="H18" s="55" t="n"/>
      <c r="I18" s="51" t="n"/>
      <c r="J18" s="749" t="n"/>
      <c r="K18" s="747" t="n"/>
      <c r="L18" s="748" t="n"/>
    </row>
    <row r="19">
      <c r="A19" s="259" t="n"/>
      <c r="B19" s="256" t="n"/>
      <c r="C19" s="256" t="n"/>
      <c r="D19" s="257" t="n"/>
      <c r="E19" s="257" t="n"/>
      <c r="F19" s="171" t="n"/>
      <c r="G19" s="171" t="n"/>
      <c r="H19" s="171" t="n"/>
      <c r="I19" s="257" t="n"/>
      <c r="J19" s="756" t="n"/>
      <c r="K19" s="756" t="n"/>
      <c r="L19" s="760" t="n"/>
    </row>
    <row r="20" ht="15.75" customHeight="1" s="436" thickBot="1">
      <c r="A20" s="259" t="n"/>
      <c r="B20" s="256" t="n"/>
      <c r="C20" s="256" t="n"/>
      <c r="D20" s="257" t="n"/>
      <c r="E20" s="257" t="n"/>
      <c r="F20" s="171" t="n"/>
      <c r="G20" s="171" t="n"/>
      <c r="H20" s="171" t="n"/>
      <c r="I20" s="257" t="n"/>
      <c r="J20" s="756" t="n"/>
      <c r="K20" s="756" t="n"/>
      <c r="L20" s="760" t="n"/>
    </row>
    <row r="21" ht="24" customHeight="1" s="436" thickBot="1">
      <c r="A21" s="745" t="inlineStr">
        <is>
          <t>Outubro</t>
        </is>
      </c>
      <c r="B21" s="737" t="n"/>
      <c r="C21" s="737" t="n"/>
      <c r="D21" s="737" t="n"/>
      <c r="E21" s="737" t="n"/>
      <c r="F21" s="737" t="n"/>
      <c r="G21" s="737" t="n"/>
      <c r="H21" s="737" t="n"/>
      <c r="I21" s="737" t="n"/>
      <c r="J21" s="737" t="n"/>
      <c r="K21" s="737" t="n"/>
      <c r="L21" s="736" t="n"/>
    </row>
    <row r="22" ht="24" customHeight="1" s="436" thickBot="1">
      <c r="A22" s="745" t="inlineStr">
        <is>
          <t xml:space="preserve">  PRÉ MISTURA -  Pão Doce 25 KG</t>
        </is>
      </c>
      <c r="B22" s="737" t="n"/>
      <c r="C22" s="737" t="n"/>
      <c r="D22" s="737" t="n"/>
      <c r="E22" s="737" t="n"/>
      <c r="F22" s="737" t="n"/>
      <c r="G22" s="737" t="n"/>
      <c r="H22" s="737" t="n"/>
      <c r="I22" s="737" t="n"/>
      <c r="J22" s="737" t="n"/>
      <c r="K22" s="737" t="n"/>
      <c r="L22" s="736" t="n"/>
    </row>
    <row r="23">
      <c r="A23" s="746" t="inlineStr">
        <is>
          <t>DATA</t>
        </is>
      </c>
      <c r="B23" s="3" t="inlineStr">
        <is>
          <t>N.F.</t>
        </is>
      </c>
      <c r="C23" s="3" t="inlineStr">
        <is>
          <t>TIPO</t>
        </is>
      </c>
      <c r="D23" s="3" t="inlineStr">
        <is>
          <t>PREÇO UNITÁRIO</t>
        </is>
      </c>
      <c r="E23" s="736" t="n"/>
      <c r="F23" s="3" t="inlineStr">
        <is>
          <t>QUANTIDADE / KG</t>
        </is>
      </c>
      <c r="G23" s="737" t="n"/>
      <c r="H23" s="736" t="n"/>
      <c r="I23" s="631" t="inlineStr">
        <is>
          <t>PREÇO</t>
        </is>
      </c>
      <c r="J23" s="631" t="inlineStr">
        <is>
          <t>VALORES</t>
        </is>
      </c>
      <c r="K23" s="737" t="n"/>
      <c r="L23" s="736" t="n"/>
    </row>
    <row r="24" ht="15.75" customHeight="1" s="436" thickBot="1">
      <c r="A24" s="703" t="n"/>
      <c r="B24" s="704" t="n"/>
      <c r="C24" s="704" t="n"/>
      <c r="D24" s="703" t="n"/>
      <c r="E24" s="701" t="n"/>
      <c r="F24" s="705" t="n"/>
      <c r="G24" s="706" t="n"/>
      <c r="H24" s="707" t="n"/>
      <c r="I24" s="704" t="n"/>
      <c r="J24" s="703" t="n"/>
      <c r="L24" s="701" t="n"/>
    </row>
    <row r="25" ht="15.75" customHeight="1" s="436" thickBot="1">
      <c r="A25" s="703" t="n"/>
      <c r="B25" s="704" t="n"/>
      <c r="C25" s="704" t="n"/>
      <c r="D25" s="705" t="n"/>
      <c r="E25" s="707" t="n"/>
      <c r="F25" s="3" t="inlineStr">
        <is>
          <t>ENTRADA</t>
        </is>
      </c>
      <c r="G25" s="3" t="inlineStr">
        <is>
          <t>SAÍDA</t>
        </is>
      </c>
      <c r="H25" s="640" t="n"/>
      <c r="I25" s="633" t="inlineStr">
        <is>
          <t>MÉDIO</t>
        </is>
      </c>
      <c r="J25" s="652" t="inlineStr">
        <is>
          <t>SALDO EM 30/12/2017</t>
        </is>
      </c>
      <c r="K25" s="706" t="n"/>
      <c r="L25" s="17" t="n"/>
    </row>
    <row r="26" ht="15.75" customHeight="1" s="436" thickBot="1">
      <c r="A26" s="705" t="n"/>
      <c r="B26" s="695" t="n"/>
      <c r="C26" s="695" t="n"/>
      <c r="D26" s="3" t="inlineStr">
        <is>
          <t>C/ICMS</t>
        </is>
      </c>
      <c r="E26" s="3" t="inlineStr">
        <is>
          <t>S/ICMS</t>
        </is>
      </c>
      <c r="F26" s="695" t="n"/>
      <c r="G26" s="695" t="n"/>
      <c r="H26" s="18" t="inlineStr">
        <is>
          <t>Saldo em 30/09/2019</t>
        </is>
      </c>
      <c r="I26" s="695" t="n"/>
      <c r="J26" s="645" t="inlineStr">
        <is>
          <t>ENTRADA</t>
        </is>
      </c>
      <c r="K26" s="633" t="inlineStr">
        <is>
          <t>SAÍDA / CMV</t>
        </is>
      </c>
      <c r="L26" s="633" t="inlineStr">
        <is>
          <t>SALDO</t>
        </is>
      </c>
    </row>
    <row r="27">
      <c r="A27" s="48" t="n"/>
      <c r="B27" s="49" t="n"/>
      <c r="C27" s="49" t="n"/>
      <c r="D27" s="71" t="n"/>
      <c r="E27" s="71" t="n"/>
      <c r="F27" s="55" t="n"/>
      <c r="G27" s="55" t="n">
        <v>0</v>
      </c>
      <c r="H27" s="95" t="n">
        <v>330</v>
      </c>
      <c r="I27" s="71" t="n"/>
      <c r="J27" s="747">
        <f>F27*I27</f>
        <v/>
      </c>
      <c r="K27" s="747" t="n">
        <v>0</v>
      </c>
      <c r="L27" s="748">
        <f>J27-K27</f>
        <v/>
      </c>
    </row>
    <row r="28">
      <c r="A28" s="48" t="n">
        <v>43739</v>
      </c>
      <c r="B28" s="49" t="inlineStr">
        <is>
          <t>6831</t>
        </is>
      </c>
      <c r="C28" s="96" t="n"/>
      <c r="D28" s="51" t="n">
        <v>54.2</v>
      </c>
      <c r="E28" s="97" t="n"/>
      <c r="F28" s="98" t="n"/>
      <c r="G28" s="52" t="n">
        <v>25</v>
      </c>
      <c r="H28" s="55">
        <f>H27-G28</f>
        <v/>
      </c>
      <c r="I28" s="51" t="n"/>
      <c r="J28" s="749" t="n"/>
      <c r="K28" s="749">
        <f>G28*D28</f>
        <v/>
      </c>
      <c r="L28" s="748" t="n"/>
    </row>
    <row r="29">
      <c r="A29" s="92" t="n">
        <v>43745</v>
      </c>
      <c r="B29" s="93" t="inlineStr">
        <is>
          <t>126211</t>
        </is>
      </c>
      <c r="C29" s="96" t="n"/>
      <c r="D29" s="97" t="n">
        <v>44.81</v>
      </c>
      <c r="E29" s="97" t="n"/>
      <c r="F29" s="98" t="n">
        <v>150</v>
      </c>
      <c r="G29" s="98" t="n"/>
      <c r="H29" s="95" t="n">
        <v>455</v>
      </c>
      <c r="I29" s="51" t="n"/>
      <c r="J29" s="749" t="n"/>
      <c r="K29" s="749" t="n"/>
      <c r="L29" s="748" t="n"/>
    </row>
    <row r="30">
      <c r="A30" s="48" t="n">
        <v>43745</v>
      </c>
      <c r="B30" s="49" t="inlineStr">
        <is>
          <t>6832</t>
        </is>
      </c>
      <c r="C30" s="50" t="n"/>
      <c r="D30" s="51" t="n">
        <v>52</v>
      </c>
      <c r="E30" s="51" t="n"/>
      <c r="F30" s="52" t="n"/>
      <c r="G30" s="52" t="n">
        <v>30</v>
      </c>
      <c r="H30" s="55">
        <f>H29-G30</f>
        <v/>
      </c>
      <c r="I30" s="51" t="n"/>
      <c r="J30" s="749" t="n"/>
      <c r="K30" s="749" t="n"/>
      <c r="L30" s="748" t="n"/>
    </row>
    <row r="31">
      <c r="A31" s="48" t="n">
        <v>43745</v>
      </c>
      <c r="B31" s="49" t="inlineStr">
        <is>
          <t>6833</t>
        </is>
      </c>
      <c r="C31" s="50" t="n"/>
      <c r="D31" s="51" t="n">
        <v>56</v>
      </c>
      <c r="E31" s="51" t="n"/>
      <c r="F31" s="52" t="n"/>
      <c r="G31" s="52" t="n">
        <v>10</v>
      </c>
      <c r="H31" s="55">
        <f>H30-G31</f>
        <v/>
      </c>
      <c r="I31" s="51" t="n"/>
      <c r="J31" s="749" t="n"/>
      <c r="K31" s="749" t="n"/>
      <c r="L31" s="748" t="n"/>
    </row>
    <row r="32">
      <c r="A32" s="48" t="n">
        <v>43745</v>
      </c>
      <c r="B32" s="49" t="inlineStr">
        <is>
          <t>6835</t>
        </is>
      </c>
      <c r="C32" s="50" t="n"/>
      <c r="D32" s="51" t="n">
        <v>48</v>
      </c>
      <c r="E32" s="51" t="n"/>
      <c r="F32" s="52" t="n"/>
      <c r="G32" s="52" t="n">
        <v>30</v>
      </c>
      <c r="H32" s="55">
        <f>H30-G32</f>
        <v/>
      </c>
      <c r="I32" s="51" t="n"/>
      <c r="J32" s="749" t="n"/>
      <c r="K32" s="749" t="n"/>
      <c r="L32" s="748" t="n"/>
    </row>
    <row r="33">
      <c r="A33" s="48" t="n">
        <v>43748</v>
      </c>
      <c r="B33" s="49" t="inlineStr">
        <is>
          <t>6842</t>
        </is>
      </c>
      <c r="C33" s="50" t="n"/>
      <c r="D33" s="51" t="n">
        <v>52.2</v>
      </c>
      <c r="E33" s="51" t="n"/>
      <c r="F33" s="52" t="n"/>
      <c r="G33" s="52" t="n">
        <v>21</v>
      </c>
      <c r="H33" s="55">
        <f>H32-G33</f>
        <v/>
      </c>
      <c r="I33" s="51" t="n"/>
      <c r="J33" s="749" t="n"/>
      <c r="K33" s="749">
        <f>G33*D33</f>
        <v/>
      </c>
      <c r="L33" s="748" t="n"/>
    </row>
    <row r="34">
      <c r="A34" s="48" t="n">
        <v>43752</v>
      </c>
      <c r="B34" s="49" t="inlineStr">
        <is>
          <t>6849</t>
        </is>
      </c>
      <c r="C34" s="49" t="n"/>
      <c r="D34" s="117" t="n">
        <v>60</v>
      </c>
      <c r="E34" s="71" t="n"/>
      <c r="F34" s="55" t="n"/>
      <c r="G34" s="55" t="n">
        <v>20</v>
      </c>
      <c r="H34" s="55">
        <f>H33-G34</f>
        <v/>
      </c>
      <c r="I34" s="71" t="n"/>
      <c r="J34" s="749" t="n"/>
      <c r="K34" s="749">
        <f>G34*D34</f>
        <v/>
      </c>
      <c r="L34" s="748" t="n"/>
    </row>
    <row r="35">
      <c r="A35" s="48" t="n">
        <v>43752</v>
      </c>
      <c r="B35" s="49" t="inlineStr">
        <is>
          <t>6850</t>
        </is>
      </c>
      <c r="C35" s="49" t="n"/>
      <c r="D35" s="71" t="n">
        <v>56</v>
      </c>
      <c r="E35" s="71" t="n"/>
      <c r="F35" s="55" t="n"/>
      <c r="G35" s="55" t="n">
        <v>10</v>
      </c>
      <c r="H35" s="55">
        <f>H34-G35</f>
        <v/>
      </c>
      <c r="I35" s="71" t="n"/>
      <c r="J35" s="749" t="n"/>
      <c r="K35" s="749">
        <f>G35*D35</f>
        <v/>
      </c>
      <c r="L35" s="748" t="n"/>
    </row>
    <row r="36">
      <c r="A36" s="48" t="n">
        <v>43752</v>
      </c>
      <c r="B36" s="49" t="inlineStr">
        <is>
          <t>6851</t>
        </is>
      </c>
      <c r="C36" s="49" t="n"/>
      <c r="D36" s="71" t="n">
        <v>56</v>
      </c>
      <c r="E36" s="71" t="n"/>
      <c r="F36" s="55" t="n"/>
      <c r="G36" s="55" t="n">
        <v>30</v>
      </c>
      <c r="H36" s="55">
        <f>H35-G36</f>
        <v/>
      </c>
      <c r="I36" s="71" t="n"/>
      <c r="J36" s="749" t="n"/>
      <c r="K36" s="749">
        <f>G36*D36</f>
        <v/>
      </c>
      <c r="L36" s="748" t="n"/>
    </row>
    <row r="37">
      <c r="A37" s="48" t="n">
        <v>43753</v>
      </c>
      <c r="B37" s="49" t="inlineStr">
        <is>
          <t>6855</t>
        </is>
      </c>
      <c r="C37" s="49" t="n"/>
      <c r="D37" s="71" t="n">
        <v>55</v>
      </c>
      <c r="E37" s="71" t="n"/>
      <c r="F37" s="55" t="n"/>
      <c r="G37" s="55" t="n">
        <v>30</v>
      </c>
      <c r="H37" s="55">
        <f>H36-G37</f>
        <v/>
      </c>
      <c r="I37" s="71" t="n"/>
      <c r="J37" s="749" t="n"/>
      <c r="K37" s="749">
        <f>G37*D37</f>
        <v/>
      </c>
      <c r="L37" s="748" t="n"/>
    </row>
    <row r="38">
      <c r="A38" s="48" t="n">
        <v>43754</v>
      </c>
      <c r="B38" s="49" t="inlineStr">
        <is>
          <t>6856</t>
        </is>
      </c>
      <c r="C38" s="49" t="n"/>
      <c r="D38" s="71" t="n">
        <v>50</v>
      </c>
      <c r="E38" s="71" t="n"/>
      <c r="F38" s="55" t="n"/>
      <c r="G38" s="55" t="n">
        <v>20</v>
      </c>
      <c r="H38" s="55">
        <f>H37-G38</f>
        <v/>
      </c>
      <c r="I38" s="71" t="n"/>
      <c r="J38" s="749" t="n"/>
      <c r="K38" s="749">
        <f>G38*D38</f>
        <v/>
      </c>
      <c r="L38" s="748" t="n"/>
    </row>
    <row r="39">
      <c r="A39" s="48" t="n">
        <v>43759</v>
      </c>
      <c r="B39" s="49" t="inlineStr">
        <is>
          <t>6864</t>
        </is>
      </c>
      <c r="C39" s="49" t="n"/>
      <c r="D39" s="71" t="n">
        <v>53.7</v>
      </c>
      <c r="E39" s="71" t="n"/>
      <c r="F39" s="55" t="n"/>
      <c r="G39" s="55" t="n">
        <v>40</v>
      </c>
      <c r="H39" s="55">
        <f>H38-G39</f>
        <v/>
      </c>
      <c r="I39" s="71" t="n"/>
      <c r="J39" s="749" t="n"/>
      <c r="K39" s="749">
        <f>G39*D39</f>
        <v/>
      </c>
      <c r="L39" s="748" t="n"/>
    </row>
    <row r="40">
      <c r="A40" s="48" t="n">
        <v>43761</v>
      </c>
      <c r="B40" s="49" t="inlineStr">
        <is>
          <t>6867</t>
        </is>
      </c>
      <c r="C40" s="49" t="n"/>
      <c r="D40" s="71" t="n">
        <v>51</v>
      </c>
      <c r="E40" s="71" t="n"/>
      <c r="F40" s="55" t="n"/>
      <c r="G40" s="55" t="n">
        <v>30</v>
      </c>
      <c r="H40" s="55">
        <f>H39-G40</f>
        <v/>
      </c>
      <c r="I40" s="71" t="n"/>
      <c r="J40" s="749" t="n"/>
      <c r="K40" s="749">
        <f>G40*D40</f>
        <v/>
      </c>
      <c r="L40" s="748" t="n"/>
    </row>
    <row r="41">
      <c r="A41" s="48" t="n">
        <v>43761</v>
      </c>
      <c r="B41" s="49" t="inlineStr">
        <is>
          <t>6870</t>
        </is>
      </c>
      <c r="C41" s="49" t="n"/>
      <c r="D41" s="71" t="n">
        <v>53</v>
      </c>
      <c r="E41" s="71" t="n"/>
      <c r="F41" s="55" t="n"/>
      <c r="G41" s="55" t="n">
        <v>20</v>
      </c>
      <c r="H41" s="55">
        <f>H40-G41</f>
        <v/>
      </c>
      <c r="I41" s="71" t="n"/>
      <c r="J41" s="749" t="n"/>
      <c r="K41" s="749">
        <f>G41*D41</f>
        <v/>
      </c>
      <c r="L41" s="748" t="n"/>
    </row>
    <row r="42">
      <c r="A42" s="92" t="n">
        <v>43767</v>
      </c>
      <c r="B42" s="93" t="inlineStr">
        <is>
          <t>127533</t>
        </is>
      </c>
      <c r="C42" s="93" t="n"/>
      <c r="D42" s="94" t="n">
        <v>44.81</v>
      </c>
      <c r="E42" s="94" t="n"/>
      <c r="F42" s="95" t="n">
        <v>50</v>
      </c>
      <c r="G42" s="95" t="n"/>
      <c r="H42" s="95" t="n">
        <v>224</v>
      </c>
      <c r="I42" s="71" t="n"/>
      <c r="J42" s="749" t="n"/>
      <c r="K42" s="749">
        <f>G42*D42</f>
        <v/>
      </c>
      <c r="L42" s="748" t="n"/>
    </row>
    <row r="43">
      <c r="A43" s="48" t="n"/>
      <c r="B43" s="49" t="n"/>
      <c r="C43" s="49" t="n"/>
      <c r="D43" s="71" t="n"/>
      <c r="E43" s="71" t="n"/>
      <c r="F43" s="55" t="n"/>
      <c r="G43" s="55" t="n"/>
      <c r="H43" s="55">
        <f>H42-G43</f>
        <v/>
      </c>
      <c r="I43" s="71" t="n"/>
      <c r="J43" s="749" t="n"/>
      <c r="K43" s="749">
        <f>G43*D43</f>
        <v/>
      </c>
      <c r="L43" s="748" t="n"/>
    </row>
    <row r="44">
      <c r="A44" s="48" t="n"/>
      <c r="B44" s="49" t="n"/>
      <c r="C44" s="49" t="n"/>
      <c r="D44" s="71" t="n"/>
      <c r="E44" s="71" t="n"/>
      <c r="F44" s="55" t="n"/>
      <c r="G44" s="55" t="n"/>
      <c r="H44" s="55">
        <f>H43-G44</f>
        <v/>
      </c>
      <c r="I44" s="71" t="n"/>
      <c r="J44" s="749" t="n"/>
      <c r="K44" s="749">
        <f>G44*D44</f>
        <v/>
      </c>
      <c r="L44" s="748" t="n"/>
    </row>
    <row r="45">
      <c r="A45" s="48" t="n"/>
      <c r="B45" s="49" t="n"/>
      <c r="C45" s="49" t="n"/>
      <c r="D45" s="71" t="n"/>
      <c r="E45" s="71" t="n"/>
      <c r="F45" s="55" t="n"/>
      <c r="G45" s="55" t="n"/>
      <c r="H45" s="55">
        <f>H44-G45</f>
        <v/>
      </c>
      <c r="I45" s="71" t="n"/>
      <c r="J45" s="749" t="n"/>
      <c r="K45" s="749">
        <f>G45*D45</f>
        <v/>
      </c>
      <c r="L45" s="748" t="n"/>
    </row>
    <row r="46" ht="15.75" customHeight="1" s="436" thickBot="1">
      <c r="A46" s="48" t="n"/>
      <c r="B46" s="49" t="n"/>
      <c r="C46" s="49" t="n"/>
      <c r="D46" s="71" t="n"/>
      <c r="E46" s="71" t="n"/>
      <c r="F46" s="55" t="n"/>
      <c r="G46" s="55" t="n"/>
      <c r="H46" s="55">
        <f>H45-G46</f>
        <v/>
      </c>
      <c r="I46" s="71" t="n"/>
      <c r="J46" s="749" t="n"/>
      <c r="K46" s="749">
        <f>G46*D46</f>
        <v/>
      </c>
      <c r="L46" s="748" t="n"/>
    </row>
    <row r="47" ht="24" customHeight="1" s="436" thickBot="1">
      <c r="A47" s="745" t="inlineStr">
        <is>
          <t>Novembro</t>
        </is>
      </c>
      <c r="B47" s="737" t="n"/>
      <c r="C47" s="737" t="n"/>
      <c r="D47" s="737" t="n"/>
      <c r="E47" s="737" t="n"/>
      <c r="F47" s="737" t="n"/>
      <c r="G47" s="737" t="n"/>
      <c r="H47" s="737" t="n"/>
      <c r="I47" s="737" t="n"/>
      <c r="J47" s="737" t="n"/>
      <c r="K47" s="737" t="n"/>
      <c r="L47" s="736" t="n"/>
    </row>
    <row r="48" ht="24" customHeight="1" s="436" thickBot="1">
      <c r="A48" s="745" t="inlineStr">
        <is>
          <t xml:space="preserve">  PRÉ MISTURA -  Pão Doce 25 KG</t>
        </is>
      </c>
      <c r="B48" s="737" t="n"/>
      <c r="C48" s="737" t="n"/>
      <c r="D48" s="737" t="n"/>
      <c r="E48" s="737" t="n"/>
      <c r="F48" s="737" t="n"/>
      <c r="G48" s="737" t="n"/>
      <c r="H48" s="737" t="n"/>
      <c r="I48" s="737" t="n"/>
      <c r="J48" s="737" t="n"/>
      <c r="K48" s="737" t="n"/>
      <c r="L48" s="736" t="n"/>
    </row>
    <row r="49">
      <c r="A49" s="746" t="inlineStr">
        <is>
          <t>DATA</t>
        </is>
      </c>
      <c r="B49" s="3" t="inlineStr">
        <is>
          <t>N.F.</t>
        </is>
      </c>
      <c r="C49" s="3" t="inlineStr">
        <is>
          <t>TIPO</t>
        </is>
      </c>
      <c r="D49" s="3" t="inlineStr">
        <is>
          <t>PREÇO UNITÁRIO</t>
        </is>
      </c>
      <c r="E49" s="736" t="n"/>
      <c r="F49" s="3" t="inlineStr">
        <is>
          <t>QUANTIDADE / KG</t>
        </is>
      </c>
      <c r="G49" s="737" t="n"/>
      <c r="H49" s="736" t="n"/>
      <c r="I49" s="631" t="inlineStr">
        <is>
          <t>PREÇO</t>
        </is>
      </c>
      <c r="J49" s="631" t="inlineStr">
        <is>
          <t>VALORES</t>
        </is>
      </c>
      <c r="K49" s="737" t="n"/>
      <c r="L49" s="736" t="n"/>
    </row>
    <row r="50" ht="15.75" customHeight="1" s="436" thickBot="1">
      <c r="A50" s="703" t="n"/>
      <c r="B50" s="704" t="n"/>
      <c r="C50" s="704" t="n"/>
      <c r="D50" s="703" t="n"/>
      <c r="E50" s="701" t="n"/>
      <c r="F50" s="705" t="n"/>
      <c r="G50" s="706" t="n"/>
      <c r="H50" s="707" t="n"/>
      <c r="I50" s="704" t="n"/>
      <c r="J50" s="703" t="n"/>
      <c r="L50" s="701" t="n"/>
    </row>
    <row r="51" ht="15.75" customHeight="1" s="436" thickBot="1">
      <c r="A51" s="703" t="n"/>
      <c r="B51" s="704" t="n"/>
      <c r="C51" s="704" t="n"/>
      <c r="D51" s="705" t="n"/>
      <c r="E51" s="707" t="n"/>
      <c r="F51" s="3" t="inlineStr">
        <is>
          <t>ENTRADA</t>
        </is>
      </c>
      <c r="G51" s="3" t="inlineStr">
        <is>
          <t>SAÍDA</t>
        </is>
      </c>
      <c r="H51" s="640" t="n"/>
      <c r="I51" s="633" t="inlineStr">
        <is>
          <t>MÉDIO</t>
        </is>
      </c>
      <c r="J51" s="652" t="inlineStr">
        <is>
          <t>SALDO EM 30/12/2017</t>
        </is>
      </c>
      <c r="K51" s="706" t="n"/>
      <c r="L51" s="17" t="n"/>
    </row>
    <row r="52" ht="15.75" customHeight="1" s="436" thickBot="1">
      <c r="A52" s="705" t="n"/>
      <c r="B52" s="695" t="n"/>
      <c r="C52" s="695" t="n"/>
      <c r="D52" s="3" t="inlineStr">
        <is>
          <t>C/ICMS</t>
        </is>
      </c>
      <c r="E52" s="3" t="inlineStr">
        <is>
          <t>S/ICMS</t>
        </is>
      </c>
      <c r="F52" s="695" t="n"/>
      <c r="G52" s="695" t="n"/>
      <c r="H52" s="18" t="inlineStr">
        <is>
          <t>Saldo em 30/09/2019</t>
        </is>
      </c>
      <c r="I52" s="695" t="n"/>
      <c r="J52" s="645" t="inlineStr">
        <is>
          <t>ENTRADA</t>
        </is>
      </c>
      <c r="K52" s="633" t="inlineStr">
        <is>
          <t>SAÍDA / CMV</t>
        </is>
      </c>
      <c r="L52" s="633" t="inlineStr">
        <is>
          <t>SALDO</t>
        </is>
      </c>
    </row>
    <row r="53">
      <c r="A53" s="48" t="n">
        <v>43769</v>
      </c>
      <c r="B53" s="49" t="n"/>
      <c r="C53" s="49" t="n"/>
      <c r="D53" s="71" t="n"/>
      <c r="E53" s="71" t="n"/>
      <c r="F53" s="55" t="n"/>
      <c r="G53" s="55" t="n">
        <v>0</v>
      </c>
      <c r="H53" s="95" t="n">
        <v>330</v>
      </c>
      <c r="I53" s="71" t="n"/>
      <c r="J53" s="747">
        <f>F53*I53</f>
        <v/>
      </c>
      <c r="K53" s="747" t="n"/>
      <c r="L53" s="748" t="n"/>
    </row>
    <row r="54">
      <c r="A54" s="48" t="n">
        <v>43773</v>
      </c>
      <c r="B54" s="49" t="inlineStr">
        <is>
          <t>6898</t>
        </is>
      </c>
      <c r="C54" s="49" t="n"/>
      <c r="D54" s="71" t="n">
        <v>55</v>
      </c>
      <c r="E54" s="71" t="n"/>
      <c r="F54" s="55" t="n"/>
      <c r="G54" s="55" t="n">
        <v>20</v>
      </c>
      <c r="H54" s="95">
        <f>H53-G54</f>
        <v/>
      </c>
      <c r="I54" s="71" t="n"/>
      <c r="J54" s="747">
        <f>F54*I54</f>
        <v/>
      </c>
      <c r="K54" s="747" t="n"/>
      <c r="L54" s="748" t="n"/>
    </row>
    <row r="55">
      <c r="A55" s="48" t="n">
        <v>43776</v>
      </c>
      <c r="B55" s="49" t="inlineStr">
        <is>
          <t>6901</t>
        </is>
      </c>
      <c r="C55" s="49" t="n"/>
      <c r="D55" s="71" t="n">
        <v>54</v>
      </c>
      <c r="E55" s="71" t="n"/>
      <c r="F55" s="55" t="n"/>
      <c r="G55" s="55" t="n">
        <v>20</v>
      </c>
      <c r="H55" s="95">
        <f>H54-G55</f>
        <v/>
      </c>
      <c r="I55" s="71" t="n"/>
      <c r="J55" s="747">
        <f>F55*I55</f>
        <v/>
      </c>
      <c r="K55" s="747" t="n"/>
      <c r="L55" s="748" t="n"/>
    </row>
    <row r="56">
      <c r="A56" s="92" t="n">
        <v>43781</v>
      </c>
      <c r="B56" s="93" t="inlineStr">
        <is>
          <t>128637</t>
        </is>
      </c>
      <c r="C56" s="93" t="n"/>
      <c r="D56" s="94" t="n">
        <v>44.61</v>
      </c>
      <c r="E56" s="94" t="n"/>
      <c r="F56" s="95" t="n">
        <v>50</v>
      </c>
      <c r="G56" s="95" t="n"/>
      <c r="H56" s="95" t="n">
        <v>340</v>
      </c>
      <c r="I56" s="71" t="n"/>
      <c r="J56" s="747" t="n"/>
      <c r="K56" s="747" t="n"/>
      <c r="L56" s="748" t="n"/>
    </row>
    <row r="57">
      <c r="A57" s="48" t="n">
        <v>43780</v>
      </c>
      <c r="B57" s="49" t="inlineStr">
        <is>
          <t>6915</t>
        </is>
      </c>
      <c r="C57" s="49" t="n"/>
      <c r="D57" s="71" t="n">
        <v>56</v>
      </c>
      <c r="E57" s="71" t="n"/>
      <c r="F57" s="55" t="n"/>
      <c r="G57" s="55" t="n">
        <v>10</v>
      </c>
      <c r="H57" s="95">
        <f>H56-G57</f>
        <v/>
      </c>
      <c r="I57" s="71" t="n"/>
      <c r="J57" s="747">
        <f>F57*I57</f>
        <v/>
      </c>
      <c r="K57" s="747" t="n"/>
      <c r="L57" s="748" t="n"/>
    </row>
    <row r="58">
      <c r="A58" s="48" t="n">
        <v>43789</v>
      </c>
      <c r="B58" s="49" t="inlineStr">
        <is>
          <t>6939</t>
        </is>
      </c>
      <c r="C58" s="49" t="n"/>
      <c r="D58" s="71" t="n">
        <v>50</v>
      </c>
      <c r="E58" s="71" t="n"/>
      <c r="F58" s="55" t="n"/>
      <c r="G58" s="55" t="n">
        <v>15</v>
      </c>
      <c r="H58" s="95">
        <f>H57-G58</f>
        <v/>
      </c>
      <c r="I58" s="71" t="n"/>
      <c r="J58" s="747">
        <f>F58*I58</f>
        <v/>
      </c>
      <c r="K58" s="747" t="n"/>
      <c r="L58" s="748" t="n"/>
    </row>
    <row r="59">
      <c r="A59" s="48" t="n">
        <v>43795</v>
      </c>
      <c r="B59" s="49" t="inlineStr">
        <is>
          <t>6947</t>
        </is>
      </c>
      <c r="C59" s="49" t="n"/>
      <c r="D59" s="71" t="n">
        <v>52</v>
      </c>
      <c r="E59" s="71" t="n"/>
      <c r="F59" s="55" t="n"/>
      <c r="G59" s="55" t="n">
        <v>20</v>
      </c>
      <c r="H59" s="95">
        <f>H58-G59</f>
        <v/>
      </c>
      <c r="I59" s="71" t="n"/>
      <c r="J59" s="747">
        <f>F59*I59</f>
        <v/>
      </c>
      <c r="K59" s="747" t="n"/>
      <c r="L59" s="748" t="n"/>
    </row>
    <row r="60">
      <c r="A60" s="48" t="n">
        <v>43797</v>
      </c>
      <c r="B60" s="49" t="inlineStr">
        <is>
          <t>6952</t>
        </is>
      </c>
      <c r="C60" s="49" t="n"/>
      <c r="D60" s="71" t="n">
        <v>50</v>
      </c>
      <c r="E60" s="71" t="n"/>
      <c r="F60" s="55" t="n"/>
      <c r="G60" s="55" t="n">
        <v>10</v>
      </c>
      <c r="H60" s="95">
        <f>H59-G60</f>
        <v/>
      </c>
      <c r="I60" s="71" t="n"/>
      <c r="J60" s="747">
        <f>F60*I60</f>
        <v/>
      </c>
      <c r="K60" s="747" t="n"/>
      <c r="L60" s="748" t="n"/>
    </row>
    <row r="61">
      <c r="A61" s="48" t="n"/>
      <c r="B61" s="49" t="n"/>
      <c r="C61" s="49" t="n"/>
      <c r="D61" s="71" t="n"/>
      <c r="E61" s="71" t="n"/>
      <c r="F61" s="55" t="n"/>
      <c r="G61" s="55" t="n">
        <v>0</v>
      </c>
      <c r="H61" s="95">
        <f>H60-G61</f>
        <v/>
      </c>
      <c r="I61" s="71" t="n"/>
      <c r="J61" s="747">
        <f>F61*I61</f>
        <v/>
      </c>
      <c r="K61" s="747" t="n"/>
      <c r="L61" s="748" t="n"/>
    </row>
    <row r="62">
      <c r="A62" s="48" t="n"/>
      <c r="B62" s="49" t="n"/>
      <c r="C62" s="49" t="n"/>
      <c r="D62" s="71" t="n"/>
      <c r="E62" s="71" t="n"/>
      <c r="F62" s="55" t="n"/>
      <c r="G62" s="55" t="n">
        <v>0</v>
      </c>
      <c r="H62" s="95">
        <f>H61-G62</f>
        <v/>
      </c>
      <c r="I62" s="71" t="n"/>
      <c r="J62" s="747">
        <f>F62*I62</f>
        <v/>
      </c>
      <c r="K62" s="747" t="n"/>
      <c r="L62" s="748" t="n"/>
    </row>
    <row r="63">
      <c r="A63" s="48" t="n"/>
      <c r="B63" s="49" t="n"/>
      <c r="C63" s="49" t="n"/>
      <c r="D63" s="71" t="n"/>
      <c r="E63" s="71" t="n"/>
      <c r="F63" s="55" t="n"/>
      <c r="G63" s="55" t="n">
        <v>0</v>
      </c>
      <c r="H63" s="95">
        <f>H62-G63</f>
        <v/>
      </c>
      <c r="I63" s="71" t="n"/>
      <c r="J63" s="747">
        <f>F63*I63</f>
        <v/>
      </c>
      <c r="K63" s="747" t="n"/>
      <c r="L63" s="748" t="n"/>
    </row>
    <row r="64">
      <c r="A64" s="48" t="n"/>
      <c r="B64" s="49" t="n"/>
      <c r="C64" s="49" t="n"/>
      <c r="D64" s="71" t="n"/>
      <c r="E64" s="71" t="n"/>
      <c r="F64" s="55" t="n"/>
      <c r="G64" s="55" t="n">
        <v>0</v>
      </c>
      <c r="H64" s="95">
        <f>H63-G64</f>
        <v/>
      </c>
      <c r="I64" s="71" t="n"/>
      <c r="J64" s="747">
        <f>F64*I64</f>
        <v/>
      </c>
      <c r="K64" s="747" t="n"/>
      <c r="L64" s="748" t="n"/>
    </row>
    <row r="65" ht="15.75" customHeight="1" s="436" thickBot="1"/>
    <row r="66" ht="24" customHeight="1" s="436" thickBot="1">
      <c r="A66" s="745" t="inlineStr">
        <is>
          <t>Dezembro</t>
        </is>
      </c>
      <c r="B66" s="737" t="n"/>
      <c r="C66" s="737" t="n"/>
      <c r="D66" s="737" t="n"/>
      <c r="E66" s="737" t="n"/>
      <c r="F66" s="737" t="n"/>
      <c r="G66" s="737" t="n"/>
      <c r="H66" s="737" t="n"/>
      <c r="I66" s="737" t="n"/>
      <c r="J66" s="737" t="n"/>
      <c r="K66" s="737" t="n"/>
      <c r="L66" s="736" t="n"/>
    </row>
    <row r="67" ht="24" customHeight="1" s="436" thickBot="1">
      <c r="A67" s="745" t="inlineStr">
        <is>
          <t xml:space="preserve">  PRÉ MISTURA -  Pão Doce 25 KG</t>
        </is>
      </c>
      <c r="B67" s="737" t="n"/>
      <c r="C67" s="737" t="n"/>
      <c r="D67" s="737" t="n"/>
      <c r="E67" s="737" t="n"/>
      <c r="F67" s="737" t="n"/>
      <c r="G67" s="737" t="n"/>
      <c r="H67" s="737" t="n"/>
      <c r="I67" s="737" t="n"/>
      <c r="J67" s="737" t="n"/>
      <c r="K67" s="737" t="n"/>
      <c r="L67" s="736" t="n"/>
    </row>
    <row r="68">
      <c r="A68" s="746" t="inlineStr">
        <is>
          <t>DATA</t>
        </is>
      </c>
      <c r="B68" s="3" t="inlineStr">
        <is>
          <t>N.F.</t>
        </is>
      </c>
      <c r="C68" s="3" t="inlineStr">
        <is>
          <t>TIPO</t>
        </is>
      </c>
      <c r="D68" s="3" t="inlineStr">
        <is>
          <t>PREÇO UNITÁRIO</t>
        </is>
      </c>
      <c r="E68" s="736" t="n"/>
      <c r="F68" s="3" t="inlineStr">
        <is>
          <t>QUANTIDADE / KG</t>
        </is>
      </c>
      <c r="G68" s="737" t="n"/>
      <c r="H68" s="736" t="n"/>
      <c r="I68" s="631" t="inlineStr">
        <is>
          <t>PREÇO</t>
        </is>
      </c>
      <c r="J68" s="631" t="inlineStr">
        <is>
          <t>VALORES</t>
        </is>
      </c>
      <c r="K68" s="737" t="n"/>
      <c r="L68" s="736" t="n"/>
    </row>
    <row r="69" ht="15.75" customHeight="1" s="436" thickBot="1">
      <c r="A69" s="703" t="n"/>
      <c r="B69" s="704" t="n"/>
      <c r="C69" s="704" t="n"/>
      <c r="D69" s="703" t="n"/>
      <c r="E69" s="701" t="n"/>
      <c r="F69" s="705" t="n"/>
      <c r="G69" s="706" t="n"/>
      <c r="H69" s="707" t="n"/>
      <c r="I69" s="704" t="n"/>
      <c r="J69" s="703" t="n"/>
      <c r="L69" s="701" t="n"/>
    </row>
    <row r="70" ht="15.75" customHeight="1" s="436" thickBot="1">
      <c r="A70" s="703" t="n"/>
      <c r="B70" s="704" t="n"/>
      <c r="C70" s="704" t="n"/>
      <c r="D70" s="705" t="n"/>
      <c r="E70" s="707" t="n"/>
      <c r="F70" s="3" t="inlineStr">
        <is>
          <t>ENTRADA</t>
        </is>
      </c>
      <c r="G70" s="3" t="inlineStr">
        <is>
          <t>SAÍDA</t>
        </is>
      </c>
      <c r="H70" s="640" t="n"/>
      <c r="I70" s="633" t="inlineStr">
        <is>
          <t>MÉDIO</t>
        </is>
      </c>
      <c r="J70" s="652" t="inlineStr">
        <is>
          <t>SALDO EM 30/12/2017</t>
        </is>
      </c>
      <c r="K70" s="706" t="n"/>
      <c r="L70" s="17" t="n"/>
    </row>
    <row r="71" ht="15.75" customHeight="1" s="436" thickBot="1">
      <c r="A71" s="705" t="n"/>
      <c r="B71" s="695" t="n"/>
      <c r="C71" s="695" t="n"/>
      <c r="D71" s="3" t="inlineStr">
        <is>
          <t>C/ICMS</t>
        </is>
      </c>
      <c r="E71" s="3" t="inlineStr">
        <is>
          <t>S/ICMS</t>
        </is>
      </c>
      <c r="F71" s="695" t="n"/>
      <c r="G71" s="695" t="n"/>
      <c r="H71" s="18" t="inlineStr">
        <is>
          <t>Saldo em 30/11/2019</t>
        </is>
      </c>
      <c r="I71" s="695" t="n"/>
      <c r="J71" s="645" t="inlineStr">
        <is>
          <t>ENTRADA</t>
        </is>
      </c>
      <c r="K71" s="633" t="inlineStr">
        <is>
          <t>SAÍDA / CMV</t>
        </is>
      </c>
      <c r="L71" s="633" t="inlineStr">
        <is>
          <t>SALDO</t>
        </is>
      </c>
    </row>
    <row r="72">
      <c r="A72" s="48" t="n">
        <v>43799</v>
      </c>
      <c r="B72" s="49" t="n"/>
      <c r="C72" s="49" t="n"/>
      <c r="D72" s="71" t="n"/>
      <c r="E72" s="71" t="n"/>
      <c r="F72" s="55" t="n"/>
      <c r="G72" s="55" t="n">
        <v>0</v>
      </c>
      <c r="H72" s="95" t="n">
        <v>285</v>
      </c>
      <c r="I72" s="71" t="n"/>
      <c r="J72" s="747">
        <f>F72*I72</f>
        <v/>
      </c>
      <c r="K72" s="747" t="n"/>
      <c r="L72" s="748" t="n"/>
    </row>
    <row r="73">
      <c r="A73" s="48" t="n">
        <v>43802</v>
      </c>
      <c r="B73" s="49" t="inlineStr">
        <is>
          <t>6958</t>
        </is>
      </c>
      <c r="C73" s="49" t="n"/>
      <c r="D73" s="71" t="n">
        <v>50</v>
      </c>
      <c r="E73" s="71" t="n"/>
      <c r="F73" s="55" t="n"/>
      <c r="G73" s="55" t="n">
        <v>10</v>
      </c>
      <c r="H73" s="95">
        <f>H72-G73</f>
        <v/>
      </c>
      <c r="I73" s="71" t="n"/>
      <c r="J73" s="747">
        <f>F73*I73</f>
        <v/>
      </c>
      <c r="K73" s="747" t="n"/>
      <c r="L73" s="748" t="n"/>
    </row>
    <row r="74">
      <c r="A74" s="48" t="n">
        <v>43804</v>
      </c>
      <c r="B74" s="49" t="inlineStr">
        <is>
          <t>6970</t>
        </is>
      </c>
      <c r="C74" s="49" t="n"/>
      <c r="D74" s="71" t="n">
        <v>52.4</v>
      </c>
      <c r="E74" s="71" t="n"/>
      <c r="F74" s="55" t="n"/>
      <c r="G74" s="55" t="n">
        <v>25</v>
      </c>
      <c r="H74" s="95">
        <f>H73-G74</f>
        <v/>
      </c>
      <c r="I74" s="71" t="n"/>
      <c r="J74" s="747">
        <f>F74*I74</f>
        <v/>
      </c>
      <c r="K74" s="747" t="n"/>
      <c r="L74" s="748" t="n"/>
    </row>
    <row r="75">
      <c r="A75" s="273" t="n">
        <v>43809</v>
      </c>
      <c r="B75" s="274" t="inlineStr">
        <is>
          <t>130909</t>
        </is>
      </c>
      <c r="C75" s="274" t="n"/>
      <c r="D75" s="279" t="n">
        <v>44.61</v>
      </c>
      <c r="E75" s="279" t="n"/>
      <c r="F75" s="278" t="n">
        <v>150</v>
      </c>
      <c r="G75" s="278" t="n"/>
      <c r="H75" s="278" t="n">
        <v>400</v>
      </c>
      <c r="I75" s="71" t="n"/>
      <c r="J75" s="747" t="n"/>
      <c r="K75" s="747" t="n"/>
      <c r="L75" s="748" t="n"/>
    </row>
    <row r="76">
      <c r="A76" s="48" t="n">
        <v>43809</v>
      </c>
      <c r="B76" s="49" t="inlineStr">
        <is>
          <t>6974</t>
        </is>
      </c>
      <c r="C76" s="49" t="n"/>
      <c r="D76" s="71" t="n">
        <v>57.4</v>
      </c>
      <c r="E76" s="71" t="n"/>
      <c r="F76" s="55" t="n"/>
      <c r="G76" s="55" t="n">
        <v>100</v>
      </c>
      <c r="H76" s="95">
        <f>H75-G76</f>
        <v/>
      </c>
      <c r="I76" s="71" t="n"/>
      <c r="J76" s="747">
        <f>F76*I76</f>
        <v/>
      </c>
      <c r="K76" s="747" t="n"/>
      <c r="L76" s="748" t="n"/>
    </row>
    <row r="77">
      <c r="A77" s="48" t="n">
        <v>43810</v>
      </c>
      <c r="B77" s="49" t="inlineStr">
        <is>
          <t>6979</t>
        </is>
      </c>
      <c r="C77" s="49" t="n"/>
      <c r="D77" s="71" t="n">
        <v>50</v>
      </c>
      <c r="E77" s="71" t="n"/>
      <c r="F77" s="55" t="n"/>
      <c r="G77" s="55" t="n">
        <v>20</v>
      </c>
      <c r="H77" s="95">
        <f>H76-G77</f>
        <v/>
      </c>
      <c r="I77" s="71" t="n"/>
      <c r="J77" s="747">
        <f>F77*I77</f>
        <v/>
      </c>
      <c r="K77" s="747" t="n"/>
      <c r="L77" s="748" t="n"/>
    </row>
    <row r="78">
      <c r="A78" s="48" t="n">
        <v>43810</v>
      </c>
      <c r="B78" s="49" t="inlineStr">
        <is>
          <t>6984</t>
        </is>
      </c>
      <c r="C78" s="49" t="n"/>
      <c r="D78" s="71" t="n">
        <v>52.4</v>
      </c>
      <c r="E78" s="71" t="n"/>
      <c r="F78" s="55" t="n"/>
      <c r="G78" s="55" t="n">
        <v>25</v>
      </c>
      <c r="H78" s="95">
        <f>H77-G78</f>
        <v/>
      </c>
      <c r="I78" s="71" t="n"/>
      <c r="J78" s="747">
        <f>F78*I78</f>
        <v/>
      </c>
      <c r="K78" s="747" t="n"/>
      <c r="L78" s="748" t="n"/>
    </row>
    <row r="79">
      <c r="A79" s="48" t="n">
        <v>43810</v>
      </c>
      <c r="B79" s="49" t="inlineStr">
        <is>
          <t>6985</t>
        </is>
      </c>
      <c r="C79" s="49" t="n"/>
      <c r="D79" s="71" t="n">
        <v>55</v>
      </c>
      <c r="E79" s="71" t="n"/>
      <c r="F79" s="55" t="n"/>
      <c r="G79" s="55" t="n">
        <v>15</v>
      </c>
      <c r="H79" s="95">
        <f>H78-G79</f>
        <v/>
      </c>
      <c r="I79" s="71" t="n"/>
      <c r="J79" s="747">
        <f>F79*I79</f>
        <v/>
      </c>
      <c r="K79" s="747" t="n"/>
      <c r="L79" s="748" t="n"/>
    </row>
    <row r="80">
      <c r="A80" s="48" t="n">
        <v>43812</v>
      </c>
      <c r="B80" s="49" t="inlineStr">
        <is>
          <t>6987</t>
        </is>
      </c>
      <c r="C80" s="49" t="n"/>
      <c r="D80" s="71" t="n">
        <v>53</v>
      </c>
      <c r="E80" s="71" t="n"/>
      <c r="F80" s="55" t="n"/>
      <c r="G80" s="55" t="n">
        <v>50</v>
      </c>
      <c r="H80" s="95">
        <f>H79-G80</f>
        <v/>
      </c>
      <c r="I80" s="71" t="n"/>
      <c r="J80" s="747">
        <f>F80*I80</f>
        <v/>
      </c>
      <c r="K80" s="747" t="n"/>
      <c r="L80" s="748" t="n"/>
    </row>
    <row r="81">
      <c r="A81" s="48" t="n">
        <v>43815</v>
      </c>
      <c r="B81" s="49" t="inlineStr">
        <is>
          <t>6993</t>
        </is>
      </c>
      <c r="C81" s="49" t="n"/>
      <c r="D81" s="71" t="n">
        <v>56</v>
      </c>
      <c r="E81" s="71" t="n"/>
      <c r="F81" s="55" t="n"/>
      <c r="G81" s="55" t="n">
        <v>10</v>
      </c>
      <c r="H81" s="95">
        <f>H80-G81</f>
        <v/>
      </c>
      <c r="I81" s="71" t="n"/>
      <c r="J81" s="747">
        <f>F81*I81</f>
        <v/>
      </c>
      <c r="K81" s="747" t="n"/>
      <c r="L81" s="748" t="n"/>
    </row>
    <row r="82">
      <c r="A82" s="48" t="n"/>
      <c r="B82" s="49" t="n"/>
      <c r="C82" s="49" t="n"/>
      <c r="D82" s="71" t="n"/>
      <c r="E82" s="71" t="n"/>
      <c r="F82" s="55" t="n"/>
      <c r="G82" s="55" t="n"/>
      <c r="H82" s="95">
        <f>H81-G82</f>
        <v/>
      </c>
      <c r="I82" s="71" t="n"/>
      <c r="J82" s="747">
        <f>F82*I82</f>
        <v/>
      </c>
      <c r="K82" s="747" t="n"/>
      <c r="L82" s="748" t="n"/>
    </row>
    <row r="83" ht="15.75" customHeight="1" s="436" thickBot="1">
      <c r="A83" s="48" t="n"/>
      <c r="B83" s="49" t="n"/>
      <c r="C83" s="49" t="n"/>
      <c r="D83" s="71" t="n"/>
      <c r="E83" s="71" t="n"/>
      <c r="F83" s="55" t="n"/>
      <c r="G83" s="55" t="n"/>
      <c r="H83" s="95">
        <f>H82-G83</f>
        <v/>
      </c>
      <c r="I83" s="71" t="n"/>
      <c r="J83" s="747">
        <f>F83*I83</f>
        <v/>
      </c>
      <c r="K83" s="747" t="n"/>
      <c r="L83" s="748" t="n"/>
    </row>
    <row r="84" ht="24" customHeight="1" s="436" thickBot="1">
      <c r="A84" s="745" t="inlineStr">
        <is>
          <t>Janeiro</t>
        </is>
      </c>
      <c r="B84" s="737" t="n"/>
      <c r="C84" s="737" t="n"/>
      <c r="D84" s="737" t="n"/>
      <c r="E84" s="737" t="n"/>
      <c r="F84" s="737" t="n"/>
      <c r="G84" s="737" t="n"/>
      <c r="H84" s="737" t="n"/>
      <c r="I84" s="737" t="n"/>
      <c r="J84" s="737" t="n"/>
      <c r="K84" s="737" t="n"/>
      <c r="L84" s="736" t="n"/>
    </row>
    <row r="85" ht="24" customHeight="1" s="436" thickBot="1">
      <c r="A85" s="745" t="inlineStr">
        <is>
          <t xml:space="preserve">  PRÉ MISTURA -  Pão Doce 25 KG</t>
        </is>
      </c>
      <c r="B85" s="737" t="n"/>
      <c r="C85" s="737" t="n"/>
      <c r="D85" s="737" t="n"/>
      <c r="E85" s="737" t="n"/>
      <c r="F85" s="737" t="n"/>
      <c r="G85" s="737" t="n"/>
      <c r="H85" s="737" t="n"/>
      <c r="I85" s="737" t="n"/>
      <c r="J85" s="737" t="n"/>
      <c r="K85" s="737" t="n"/>
      <c r="L85" s="736" t="n"/>
    </row>
    <row r="86">
      <c r="A86" s="746" t="inlineStr">
        <is>
          <t>DATA</t>
        </is>
      </c>
      <c r="B86" s="3" t="inlineStr">
        <is>
          <t>N.F.</t>
        </is>
      </c>
      <c r="C86" s="3" t="inlineStr">
        <is>
          <t>TIPO</t>
        </is>
      </c>
      <c r="D86" s="3" t="inlineStr">
        <is>
          <t>PREÇO UNITÁRIO</t>
        </is>
      </c>
      <c r="E86" s="736" t="n"/>
      <c r="F86" s="3" t="inlineStr">
        <is>
          <t>QUANTIDADE / KG</t>
        </is>
      </c>
      <c r="G86" s="737" t="n"/>
      <c r="H86" s="736" t="n"/>
      <c r="I86" s="631" t="inlineStr">
        <is>
          <t>PREÇO</t>
        </is>
      </c>
      <c r="J86" s="631" t="inlineStr">
        <is>
          <t>VALORES</t>
        </is>
      </c>
      <c r="K86" s="737" t="n"/>
      <c r="L86" s="736" t="n"/>
    </row>
    <row r="87" ht="15.75" customHeight="1" s="436" thickBot="1">
      <c r="A87" s="703" t="n"/>
      <c r="B87" s="704" t="n"/>
      <c r="C87" s="704" t="n"/>
      <c r="D87" s="703" t="n"/>
      <c r="E87" s="701" t="n"/>
      <c r="F87" s="705" t="n"/>
      <c r="G87" s="706" t="n"/>
      <c r="H87" s="707" t="n"/>
      <c r="I87" s="704" t="n"/>
      <c r="J87" s="703" t="n"/>
      <c r="L87" s="701" t="n"/>
    </row>
    <row r="88" ht="15.75" customHeight="1" s="436" thickBot="1">
      <c r="A88" s="703" t="n"/>
      <c r="B88" s="704" t="n"/>
      <c r="C88" s="704" t="n"/>
      <c r="D88" s="705" t="n"/>
      <c r="E88" s="707" t="n"/>
      <c r="F88" s="3" t="inlineStr">
        <is>
          <t>ENTRADA</t>
        </is>
      </c>
      <c r="G88" s="3" t="inlineStr">
        <is>
          <t>SAÍDA</t>
        </is>
      </c>
      <c r="H88" s="640" t="n"/>
      <c r="I88" s="633" t="inlineStr">
        <is>
          <t>MÉDIO</t>
        </is>
      </c>
      <c r="J88" s="652" t="inlineStr">
        <is>
          <t>SALDO EM 30/12/2017</t>
        </is>
      </c>
      <c r="K88" s="706" t="n"/>
      <c r="L88" s="17" t="n"/>
    </row>
    <row r="89" ht="15.75" customHeight="1" s="436" thickBot="1">
      <c r="A89" s="705" t="n"/>
      <c r="B89" s="695" t="n"/>
      <c r="C89" s="695" t="n"/>
      <c r="D89" s="3" t="inlineStr">
        <is>
          <t>C/ICMS</t>
        </is>
      </c>
      <c r="E89" s="3" t="inlineStr">
        <is>
          <t>S/ICMS</t>
        </is>
      </c>
      <c r="F89" s="695" t="n"/>
      <c r="G89" s="695" t="n"/>
      <c r="H89" s="18" t="inlineStr">
        <is>
          <t>Saldo em 30/11/2019</t>
        </is>
      </c>
      <c r="I89" s="695" t="n"/>
      <c r="J89" s="645" t="inlineStr">
        <is>
          <t>ENTRADA</t>
        </is>
      </c>
      <c r="K89" s="633" t="inlineStr">
        <is>
          <t>SAÍDA / CMV</t>
        </is>
      </c>
      <c r="L89" s="633" t="inlineStr">
        <is>
          <t>SALDO</t>
        </is>
      </c>
    </row>
    <row r="90">
      <c r="A90" s="48" t="n">
        <v>43830</v>
      </c>
      <c r="B90" s="49" t="n"/>
      <c r="C90" s="49" t="n"/>
      <c r="D90" s="71" t="n"/>
      <c r="E90" s="71" t="n"/>
      <c r="F90" s="55" t="n"/>
      <c r="G90" s="55" t="n">
        <v>0</v>
      </c>
      <c r="H90" s="95" t="n">
        <v>180</v>
      </c>
      <c r="I90" s="71" t="n"/>
      <c r="J90" s="747">
        <f>F90*I90</f>
        <v/>
      </c>
      <c r="K90" s="747" t="n"/>
      <c r="L90" s="748" t="n"/>
    </row>
    <row r="91">
      <c r="A91" s="48" t="n">
        <v>43831</v>
      </c>
      <c r="B91" s="49" t="inlineStr">
        <is>
          <t>7010</t>
        </is>
      </c>
      <c r="C91" s="49" t="n"/>
      <c r="D91" s="71" t="n">
        <v>51.76</v>
      </c>
      <c r="E91" s="71" t="n"/>
      <c r="F91" s="55" t="n"/>
      <c r="G91" s="55" t="n">
        <v>50</v>
      </c>
      <c r="H91" s="95">
        <f>H90-G91</f>
        <v/>
      </c>
      <c r="I91" s="71" t="n"/>
      <c r="J91" s="747" t="n"/>
      <c r="K91" s="747" t="n"/>
      <c r="L91" s="748" t="n"/>
    </row>
    <row r="92">
      <c r="A92" s="273" t="n">
        <v>43833</v>
      </c>
      <c r="B92" s="274" t="inlineStr">
        <is>
          <t>132788</t>
        </is>
      </c>
      <c r="C92" s="274" t="n"/>
      <c r="D92" s="279" t="n">
        <v>44.61</v>
      </c>
      <c r="E92" s="279" t="n"/>
      <c r="F92" s="278" t="n">
        <v>150</v>
      </c>
      <c r="G92" s="278" t="n"/>
      <c r="H92" s="278" t="n">
        <v>280</v>
      </c>
      <c r="I92" s="71" t="n"/>
      <c r="J92" s="747" t="n"/>
      <c r="K92" s="747" t="n"/>
      <c r="L92" s="748" t="n"/>
    </row>
    <row r="93">
      <c r="A93" s="48" t="n">
        <v>43836</v>
      </c>
      <c r="B93" s="49" t="inlineStr">
        <is>
          <t>7029</t>
        </is>
      </c>
      <c r="C93" s="49" t="n"/>
      <c r="D93" s="71" t="n">
        <v>50</v>
      </c>
      <c r="E93" s="71" t="n"/>
      <c r="F93" s="55" t="n"/>
      <c r="G93" s="55" t="n">
        <v>30</v>
      </c>
      <c r="H93" s="95">
        <f>H92-G93</f>
        <v/>
      </c>
      <c r="I93" s="71" t="n"/>
      <c r="J93" s="747">
        <f>F93*I93</f>
        <v/>
      </c>
      <c r="K93" s="747" t="n"/>
      <c r="L93" s="748" t="n"/>
    </row>
    <row r="94">
      <c r="A94" s="48" t="n">
        <v>43844</v>
      </c>
      <c r="B94" s="49" t="inlineStr">
        <is>
          <t>7040</t>
        </is>
      </c>
      <c r="C94" s="49" t="n"/>
      <c r="D94" s="71" t="n">
        <v>53</v>
      </c>
      <c r="E94" s="71" t="n"/>
      <c r="F94" s="55" t="n"/>
      <c r="G94" s="55" t="n">
        <v>30</v>
      </c>
      <c r="H94" s="95">
        <f>H93-G94</f>
        <v/>
      </c>
      <c r="I94" s="71" t="n"/>
      <c r="J94" s="747">
        <f>F94*I94</f>
        <v/>
      </c>
      <c r="K94" s="747" t="n"/>
      <c r="L94" s="748" t="n"/>
    </row>
    <row r="95">
      <c r="A95" s="48" t="n">
        <v>43857</v>
      </c>
      <c r="B95" s="49" t="inlineStr">
        <is>
          <t>7062</t>
        </is>
      </c>
      <c r="C95" s="49" t="n"/>
      <c r="D95" s="71" t="n">
        <v>50</v>
      </c>
      <c r="E95" s="71" t="n"/>
      <c r="F95" s="55" t="n"/>
      <c r="G95" s="55" t="n">
        <v>20</v>
      </c>
      <c r="H95" s="95">
        <f>H94-G95</f>
        <v/>
      </c>
      <c r="I95" s="71" t="n"/>
      <c r="J95" s="747">
        <f>F95*I95</f>
        <v/>
      </c>
      <c r="K95" s="747" t="n"/>
      <c r="L95" s="748" t="n"/>
    </row>
    <row r="96">
      <c r="A96" s="48" t="n">
        <v>43857</v>
      </c>
      <c r="B96" s="49" t="inlineStr">
        <is>
          <t>7065</t>
        </is>
      </c>
      <c r="C96" s="49" t="n"/>
      <c r="D96" s="71" t="n">
        <v>56</v>
      </c>
      <c r="E96" s="71" t="n"/>
      <c r="F96" s="55" t="n"/>
      <c r="G96" s="55" t="n">
        <v>10</v>
      </c>
      <c r="H96" s="95">
        <f>H95-G96</f>
        <v/>
      </c>
      <c r="I96" s="71" t="n"/>
      <c r="J96" s="747">
        <f>F96*I96</f>
        <v/>
      </c>
      <c r="K96" s="747" t="n"/>
      <c r="L96" s="748" t="n"/>
    </row>
    <row r="97">
      <c r="A97" s="48" t="n">
        <v>43859</v>
      </c>
      <c r="B97" s="49" t="inlineStr">
        <is>
          <t>7072</t>
        </is>
      </c>
      <c r="C97" s="49" t="n"/>
      <c r="D97" s="71" t="n">
        <v>56</v>
      </c>
      <c r="E97" s="71" t="n"/>
      <c r="F97" s="55" t="n"/>
      <c r="G97" s="55" t="n">
        <v>20</v>
      </c>
      <c r="H97" s="95">
        <f>H96-G97</f>
        <v/>
      </c>
      <c r="I97" s="71" t="n"/>
      <c r="J97" s="747">
        <f>F97*I97</f>
        <v/>
      </c>
      <c r="K97" s="747" t="n"/>
      <c r="L97" s="748" t="n"/>
    </row>
    <row r="98">
      <c r="A98" s="48" t="n">
        <v>43859</v>
      </c>
      <c r="B98" s="49" t="inlineStr">
        <is>
          <t>7076</t>
        </is>
      </c>
      <c r="C98" s="49" t="n"/>
      <c r="D98" s="71" t="n">
        <v>58</v>
      </c>
      <c r="E98" s="71" t="n"/>
      <c r="F98" s="55" t="n"/>
      <c r="G98" s="55" t="n">
        <v>20</v>
      </c>
      <c r="H98" s="95">
        <f>H97-G98</f>
        <v/>
      </c>
      <c r="I98" s="71" t="n"/>
      <c r="J98" s="747">
        <f>F98*I98</f>
        <v/>
      </c>
      <c r="K98" s="747" t="n"/>
      <c r="L98" s="748" t="n"/>
    </row>
    <row r="99">
      <c r="A99" s="284" t="n">
        <v>43860</v>
      </c>
      <c r="B99" s="285" t="inlineStr">
        <is>
          <t>134919</t>
        </is>
      </c>
      <c r="C99" s="285" t="n"/>
      <c r="D99" s="286" t="n">
        <v>45.61</v>
      </c>
      <c r="E99" s="286" t="n"/>
      <c r="F99" s="287" t="n">
        <v>40</v>
      </c>
      <c r="G99" s="287" t="n"/>
      <c r="H99" s="287" t="n">
        <v>190</v>
      </c>
      <c r="I99" s="71" t="n"/>
      <c r="J99" s="747">
        <f>F99*I99</f>
        <v/>
      </c>
      <c r="K99" s="747" t="n"/>
      <c r="L99" s="748" t="n"/>
    </row>
    <row r="100">
      <c r="A100" s="48" t="n"/>
      <c r="B100" s="49" t="n"/>
      <c r="C100" s="49" t="n"/>
      <c r="D100" s="71" t="n"/>
      <c r="E100" s="71" t="n"/>
      <c r="F100" s="55" t="n"/>
      <c r="G100" s="55" t="n"/>
      <c r="H100" s="95">
        <f>H99-G100</f>
        <v/>
      </c>
      <c r="I100" s="71" t="n"/>
      <c r="J100" s="747">
        <f>F100*I100</f>
        <v/>
      </c>
      <c r="K100" s="747" t="n"/>
      <c r="L100" s="748" t="n"/>
    </row>
    <row r="101">
      <c r="A101" s="48" t="n"/>
      <c r="B101" s="49" t="n"/>
      <c r="C101" s="49" t="n"/>
      <c r="D101" s="71" t="n"/>
      <c r="E101" s="71" t="n"/>
      <c r="F101" s="55" t="n"/>
      <c r="G101" s="55" t="n"/>
      <c r="H101" s="95">
        <f>H100-G101</f>
        <v/>
      </c>
      <c r="I101" s="71" t="n"/>
      <c r="J101" s="747">
        <f>F101*I101</f>
        <v/>
      </c>
      <c r="K101" s="747" t="n"/>
      <c r="L101" s="748" t="n"/>
    </row>
    <row r="102">
      <c r="A102" s="48" t="n"/>
      <c r="B102" s="49" t="n"/>
      <c r="C102" s="49" t="n"/>
      <c r="D102" s="71" t="n"/>
      <c r="E102" s="71" t="n"/>
      <c r="F102" s="55" t="n"/>
      <c r="G102" s="55" t="n"/>
      <c r="H102" s="95">
        <f>H101-G102</f>
        <v/>
      </c>
      <c r="I102" s="71" t="n"/>
      <c r="J102" s="747">
        <f>F102*I102</f>
        <v/>
      </c>
      <c r="K102" s="747" t="n"/>
      <c r="L102" s="748" t="n"/>
    </row>
    <row r="103" ht="15.75" customHeight="1" s="436" thickBot="1">
      <c r="A103" s="48" t="n"/>
      <c r="B103" s="49" t="n"/>
      <c r="C103" s="49" t="n"/>
      <c r="D103" s="71" t="n"/>
      <c r="E103" s="71" t="n"/>
      <c r="F103" s="55" t="n"/>
      <c r="G103" s="55" t="n"/>
      <c r="H103" s="95">
        <f>H102-G103</f>
        <v/>
      </c>
      <c r="I103" s="71" t="n"/>
      <c r="J103" s="747">
        <f>F103*I103</f>
        <v/>
      </c>
      <c r="K103" s="747" t="n"/>
      <c r="L103" s="748" t="n"/>
    </row>
    <row r="104" ht="24" customHeight="1" s="436" thickBot="1">
      <c r="A104" s="745" t="inlineStr">
        <is>
          <t>Fevereiro</t>
        </is>
      </c>
      <c r="B104" s="737" t="n"/>
      <c r="C104" s="737" t="n"/>
      <c r="D104" s="737" t="n"/>
      <c r="E104" s="737" t="n"/>
      <c r="F104" s="737" t="n"/>
      <c r="G104" s="737" t="n"/>
      <c r="H104" s="737" t="n"/>
      <c r="I104" s="737" t="n"/>
      <c r="J104" s="737" t="n"/>
      <c r="K104" s="737" t="n"/>
      <c r="L104" s="736" t="n"/>
    </row>
    <row r="105" ht="24" customHeight="1" s="436" thickBot="1">
      <c r="A105" s="745" t="inlineStr">
        <is>
          <t xml:space="preserve">  PRÉ MISTURA -  Pão Doce 25 KG</t>
        </is>
      </c>
      <c r="B105" s="737" t="n"/>
      <c r="C105" s="737" t="n"/>
      <c r="D105" s="737" t="n"/>
      <c r="E105" s="737" t="n"/>
      <c r="F105" s="737" t="n"/>
      <c r="G105" s="737" t="n"/>
      <c r="H105" s="737" t="n"/>
      <c r="I105" s="737" t="n"/>
      <c r="J105" s="737" t="n"/>
      <c r="K105" s="737" t="n"/>
      <c r="L105" s="736" t="n"/>
    </row>
    <row r="106">
      <c r="A106" s="746" t="inlineStr">
        <is>
          <t>DATA</t>
        </is>
      </c>
      <c r="B106" s="3" t="inlineStr">
        <is>
          <t>N.F.</t>
        </is>
      </c>
      <c r="C106" s="3" t="inlineStr">
        <is>
          <t>TIPO</t>
        </is>
      </c>
      <c r="D106" s="3" t="inlineStr">
        <is>
          <t>PREÇO UNITÁRIO</t>
        </is>
      </c>
      <c r="E106" s="736" t="n"/>
      <c r="F106" s="3" t="inlineStr">
        <is>
          <t>QUANTIDADE / KG</t>
        </is>
      </c>
      <c r="G106" s="737" t="n"/>
      <c r="H106" s="736" t="n"/>
      <c r="I106" s="631" t="inlineStr">
        <is>
          <t>PREÇO</t>
        </is>
      </c>
      <c r="J106" s="631" t="inlineStr">
        <is>
          <t>VALORES</t>
        </is>
      </c>
      <c r="K106" s="737" t="n"/>
      <c r="L106" s="736" t="n"/>
    </row>
    <row r="107" ht="15.75" customHeight="1" s="436" thickBot="1">
      <c r="A107" s="703" t="n"/>
      <c r="B107" s="704" t="n"/>
      <c r="C107" s="704" t="n"/>
      <c r="D107" s="703" t="n"/>
      <c r="E107" s="701" t="n"/>
      <c r="F107" s="705" t="n"/>
      <c r="G107" s="706" t="n"/>
      <c r="H107" s="707" t="n"/>
      <c r="I107" s="704" t="n"/>
      <c r="J107" s="703" t="n"/>
      <c r="L107" s="701" t="n"/>
    </row>
    <row r="108" ht="15.75" customHeight="1" s="436" thickBot="1">
      <c r="A108" s="703" t="n"/>
      <c r="B108" s="704" t="n"/>
      <c r="C108" s="704" t="n"/>
      <c r="D108" s="705" t="n"/>
      <c r="E108" s="707" t="n"/>
      <c r="F108" s="3" t="inlineStr">
        <is>
          <t>ENTRADA</t>
        </is>
      </c>
      <c r="G108" s="3" t="inlineStr">
        <is>
          <t>SAÍDA</t>
        </is>
      </c>
      <c r="H108" s="640" t="n"/>
      <c r="I108" s="633" t="inlineStr">
        <is>
          <t>MÉDIO</t>
        </is>
      </c>
      <c r="J108" s="652" t="inlineStr">
        <is>
          <t>SALDO EM 30/12/2017</t>
        </is>
      </c>
      <c r="K108" s="706" t="n"/>
      <c r="L108" s="17" t="n"/>
    </row>
    <row r="109" ht="15.75" customHeight="1" s="436" thickBot="1">
      <c r="A109" s="705" t="n"/>
      <c r="B109" s="695" t="n"/>
      <c r="C109" s="695" t="n"/>
      <c r="D109" s="3" t="inlineStr">
        <is>
          <t>C/ICMS</t>
        </is>
      </c>
      <c r="E109" s="3" t="inlineStr">
        <is>
          <t>S/ICMS</t>
        </is>
      </c>
      <c r="F109" s="695" t="n"/>
      <c r="G109" s="695" t="n"/>
      <c r="H109" s="18" t="inlineStr">
        <is>
          <t>Saldo em 30/11/2019</t>
        </is>
      </c>
      <c r="I109" s="695" t="n"/>
      <c r="J109" s="645" t="inlineStr">
        <is>
          <t>ENTRADA</t>
        </is>
      </c>
      <c r="K109" s="633" t="inlineStr">
        <is>
          <t>SAÍDA / CMV</t>
        </is>
      </c>
      <c r="L109" s="633" t="inlineStr">
        <is>
          <t>SALDO</t>
        </is>
      </c>
    </row>
    <row r="110">
      <c r="A110" s="48" t="n">
        <v>43861</v>
      </c>
      <c r="B110" s="49" t="n"/>
      <c r="C110" s="49" t="n"/>
      <c r="D110" s="71" t="n"/>
      <c r="E110" s="71" t="n"/>
      <c r="F110" s="55" t="n"/>
      <c r="G110" s="55" t="n">
        <v>0</v>
      </c>
      <c r="H110" s="95" t="n">
        <v>190</v>
      </c>
      <c r="I110" s="71" t="n"/>
      <c r="J110" s="747">
        <f>F110*I110</f>
        <v/>
      </c>
      <c r="K110" s="747" t="n"/>
      <c r="L110" s="748" t="n"/>
    </row>
    <row r="111">
      <c r="A111" s="48" t="n">
        <v>43865</v>
      </c>
      <c r="B111" s="49" t="inlineStr">
        <is>
          <t>7080</t>
        </is>
      </c>
      <c r="C111" s="49" t="n"/>
      <c r="D111" s="71" t="n">
        <v>55</v>
      </c>
      <c r="E111" s="71" t="n"/>
      <c r="F111" s="55" t="n"/>
      <c r="G111" s="55" t="n">
        <v>20</v>
      </c>
      <c r="H111" s="95">
        <f>H110-G111</f>
        <v/>
      </c>
      <c r="I111" s="71" t="n"/>
      <c r="J111" s="747" t="n"/>
      <c r="K111" s="747" t="n"/>
      <c r="L111" s="748" t="n"/>
    </row>
    <row r="112">
      <c r="A112" s="48" t="n">
        <v>43865</v>
      </c>
      <c r="B112" s="49" t="inlineStr">
        <is>
          <t>7082</t>
        </is>
      </c>
      <c r="C112" s="49" t="n"/>
      <c r="D112" s="71" t="n">
        <v>56</v>
      </c>
      <c r="E112" s="71" t="n"/>
      <c r="F112" s="55" t="n"/>
      <c r="G112" s="55" t="n">
        <v>20</v>
      </c>
      <c r="H112" s="95">
        <f>H111-G112</f>
        <v/>
      </c>
      <c r="I112" s="71" t="n"/>
      <c r="J112" s="747">
        <f>F112*I112</f>
        <v/>
      </c>
      <c r="K112" s="747" t="n"/>
      <c r="L112" s="748" t="n"/>
    </row>
    <row r="113">
      <c r="A113" s="48" t="n">
        <v>43865</v>
      </c>
      <c r="B113" s="49" t="inlineStr">
        <is>
          <t>7087</t>
        </is>
      </c>
      <c r="C113" s="49" t="n"/>
      <c r="D113" s="71" t="n">
        <v>58</v>
      </c>
      <c r="E113" s="71" t="n"/>
      <c r="F113" s="55" t="n"/>
      <c r="G113" s="55" t="n">
        <v>10</v>
      </c>
      <c r="H113" s="95">
        <f>H112-G113</f>
        <v/>
      </c>
      <c r="I113" s="71" t="n"/>
      <c r="J113" s="747">
        <f>F113*I113</f>
        <v/>
      </c>
      <c r="K113" s="747" t="n"/>
      <c r="L113" s="748" t="n"/>
    </row>
    <row r="114">
      <c r="A114" s="48" t="n">
        <v>43880</v>
      </c>
      <c r="B114" s="49" t="inlineStr">
        <is>
          <t>7115</t>
        </is>
      </c>
      <c r="C114" s="49" t="n"/>
      <c r="D114" s="71" t="n">
        <v>58</v>
      </c>
      <c r="E114" s="71" t="n"/>
      <c r="F114" s="55" t="n"/>
      <c r="G114" s="55" t="n">
        <v>20</v>
      </c>
      <c r="H114" s="95">
        <f>H113-G114</f>
        <v/>
      </c>
      <c r="I114" s="71" t="n"/>
      <c r="J114" s="747">
        <f>F114*I114</f>
        <v/>
      </c>
      <c r="K114" s="747" t="n"/>
      <c r="L114" s="748" t="n"/>
    </row>
    <row r="115">
      <c r="A115" s="48" t="n">
        <v>43880</v>
      </c>
      <c r="B115" s="49" t="inlineStr">
        <is>
          <t>7118</t>
        </is>
      </c>
      <c r="C115" s="49" t="n"/>
      <c r="D115" s="71" t="n">
        <v>55</v>
      </c>
      <c r="E115" s="71" t="n"/>
      <c r="F115" s="55" t="n"/>
      <c r="G115" s="55" t="n">
        <v>20</v>
      </c>
      <c r="H115" s="95">
        <f>H114-G115</f>
        <v/>
      </c>
      <c r="I115" s="71" t="n"/>
      <c r="J115" s="747">
        <f>F115*I115</f>
        <v/>
      </c>
      <c r="K115" s="747" t="n"/>
      <c r="L115" s="748" t="n"/>
    </row>
    <row r="116">
      <c r="A116" s="273" t="n">
        <v>43886</v>
      </c>
      <c r="B116" s="274" t="inlineStr">
        <is>
          <t>137076</t>
        </is>
      </c>
      <c r="C116" s="275" t="n"/>
      <c r="D116" s="276" t="n">
        <v>51</v>
      </c>
      <c r="E116" s="279" t="n"/>
      <c r="F116" s="278" t="n">
        <v>100</v>
      </c>
      <c r="G116" s="278" t="n"/>
      <c r="H116" s="278" t="n">
        <v>200</v>
      </c>
      <c r="I116" s="71" t="n"/>
      <c r="J116" s="747">
        <f>F116*I116</f>
        <v/>
      </c>
      <c r="K116" s="747" t="n"/>
      <c r="L116" s="748" t="n"/>
    </row>
    <row r="117">
      <c r="A117" s="48" t="n"/>
      <c r="B117" s="49" t="n"/>
      <c r="C117" s="49" t="n"/>
      <c r="D117" s="71" t="n"/>
      <c r="E117" s="71" t="n"/>
      <c r="F117" s="55" t="n"/>
      <c r="G117" s="55" t="n"/>
      <c r="H117" s="95">
        <f>H116-G117</f>
        <v/>
      </c>
      <c r="I117" s="71" t="n"/>
      <c r="J117" s="747">
        <f>F117*I117</f>
        <v/>
      </c>
      <c r="K117" s="747" t="n"/>
      <c r="L117" s="748" t="n"/>
    </row>
    <row r="118">
      <c r="A118" s="48" t="n"/>
      <c r="B118" s="49" t="n"/>
      <c r="C118" s="49" t="n"/>
      <c r="D118" s="71" t="n"/>
      <c r="E118" s="71" t="n"/>
      <c r="F118" s="55" t="n"/>
      <c r="G118" s="55" t="n"/>
      <c r="H118" s="95">
        <f>H117-G118</f>
        <v/>
      </c>
      <c r="I118" s="71" t="n"/>
      <c r="J118" s="747">
        <f>F118*I118</f>
        <v/>
      </c>
      <c r="K118" s="747" t="n"/>
      <c r="L118" s="748" t="n"/>
    </row>
    <row r="119">
      <c r="A119" s="48" t="n"/>
      <c r="B119" s="49" t="n"/>
      <c r="C119" s="49" t="n"/>
      <c r="D119" s="71" t="n"/>
      <c r="E119" s="71" t="n"/>
      <c r="F119" s="55" t="n"/>
      <c r="G119" s="55" t="n"/>
      <c r="H119" s="95">
        <f>H118-G119</f>
        <v/>
      </c>
      <c r="I119" s="71" t="n"/>
      <c r="J119" s="747">
        <f>F119*I119</f>
        <v/>
      </c>
      <c r="K119" s="747" t="n"/>
      <c r="L119" s="748" t="n"/>
    </row>
    <row r="120">
      <c r="A120" s="48" t="n"/>
      <c r="B120" s="49" t="n"/>
      <c r="C120" s="49" t="n"/>
      <c r="D120" s="71" t="n"/>
      <c r="E120" s="71" t="n"/>
      <c r="F120" s="55" t="n"/>
      <c r="G120" s="55" t="n"/>
      <c r="H120" s="95">
        <f>H119-G120</f>
        <v/>
      </c>
      <c r="I120" s="71" t="n"/>
      <c r="J120" s="747">
        <f>F120*I120</f>
        <v/>
      </c>
      <c r="K120" s="747" t="n"/>
      <c r="L120" s="748" t="n"/>
    </row>
    <row r="121"/>
    <row r="122" ht="15.75" customHeight="1" s="436" thickBot="1"/>
    <row r="123" ht="24" customHeight="1" s="436" thickBot="1">
      <c r="A123" s="745" t="inlineStr">
        <is>
          <t>Março</t>
        </is>
      </c>
      <c r="B123" s="737" t="n"/>
      <c r="C123" s="737" t="n"/>
      <c r="D123" s="737" t="n"/>
      <c r="E123" s="737" t="n"/>
      <c r="F123" s="737" t="n"/>
      <c r="G123" s="737" t="n"/>
      <c r="H123" s="737" t="n"/>
      <c r="I123" s="737" t="n"/>
      <c r="J123" s="737" t="n"/>
      <c r="K123" s="737" t="n"/>
      <c r="L123" s="736" t="n"/>
    </row>
    <row r="124" ht="24" customHeight="1" s="436" thickBot="1">
      <c r="A124" s="745" t="inlineStr">
        <is>
          <t xml:space="preserve">  PRÉ MISTURA -  Pão Doce 25 KG</t>
        </is>
      </c>
      <c r="B124" s="737" t="n"/>
      <c r="C124" s="737" t="n"/>
      <c r="D124" s="737" t="n"/>
      <c r="E124" s="737" t="n"/>
      <c r="F124" s="737" t="n"/>
      <c r="G124" s="737" t="n"/>
      <c r="H124" s="737" t="n"/>
      <c r="I124" s="737" t="n"/>
      <c r="J124" s="737" t="n"/>
      <c r="K124" s="737" t="n"/>
      <c r="L124" s="736" t="n"/>
    </row>
    <row r="125">
      <c r="A125" s="746" t="inlineStr">
        <is>
          <t>DATA</t>
        </is>
      </c>
      <c r="B125" s="3" t="inlineStr">
        <is>
          <t>N.F.</t>
        </is>
      </c>
      <c r="C125" s="3" t="inlineStr">
        <is>
          <t>TIPO</t>
        </is>
      </c>
      <c r="D125" s="3" t="inlineStr">
        <is>
          <t>PREÇO UNITÁRIO</t>
        </is>
      </c>
      <c r="E125" s="736" t="n"/>
      <c r="F125" s="3" t="inlineStr">
        <is>
          <t>QUANTIDADE / KG</t>
        </is>
      </c>
      <c r="G125" s="737" t="n"/>
      <c r="H125" s="736" t="n"/>
      <c r="I125" s="631" t="inlineStr">
        <is>
          <t>PREÇO</t>
        </is>
      </c>
      <c r="J125" s="631" t="inlineStr">
        <is>
          <t>VALORES</t>
        </is>
      </c>
      <c r="K125" s="737" t="n"/>
      <c r="L125" s="736" t="n"/>
    </row>
    <row r="126" ht="15.75" customHeight="1" s="436" thickBot="1">
      <c r="A126" s="703" t="n"/>
      <c r="B126" s="704" t="n"/>
      <c r="C126" s="704" t="n"/>
      <c r="D126" s="703" t="n"/>
      <c r="E126" s="701" t="n"/>
      <c r="F126" s="705" t="n"/>
      <c r="G126" s="706" t="n"/>
      <c r="H126" s="707" t="n"/>
      <c r="I126" s="704" t="n"/>
      <c r="J126" s="703" t="n"/>
      <c r="L126" s="701" t="n"/>
    </row>
    <row r="127" ht="15.75" customHeight="1" s="436" thickBot="1">
      <c r="A127" s="703" t="n"/>
      <c r="B127" s="704" t="n"/>
      <c r="C127" s="704" t="n"/>
      <c r="D127" s="705" t="n"/>
      <c r="E127" s="707" t="n"/>
      <c r="F127" s="3" t="inlineStr">
        <is>
          <t>ENTRADA</t>
        </is>
      </c>
      <c r="G127" s="3" t="inlineStr">
        <is>
          <t>SAÍDA</t>
        </is>
      </c>
      <c r="H127" s="640" t="n"/>
      <c r="I127" s="633" t="inlineStr">
        <is>
          <t>MÉDIO</t>
        </is>
      </c>
      <c r="J127" s="652" t="inlineStr">
        <is>
          <t>SALDO EM 30/12/2017</t>
        </is>
      </c>
      <c r="K127" s="706" t="n"/>
      <c r="L127" s="17" t="n"/>
    </row>
    <row r="128" ht="15.75" customHeight="1" s="436" thickBot="1">
      <c r="A128" s="705" t="n"/>
      <c r="B128" s="695" t="n"/>
      <c r="C128" s="695" t="n"/>
      <c r="D128" s="3" t="inlineStr">
        <is>
          <t>C/ICMS</t>
        </is>
      </c>
      <c r="E128" s="3" t="inlineStr">
        <is>
          <t>S/ICMS</t>
        </is>
      </c>
      <c r="F128" s="695" t="n"/>
      <c r="G128" s="695" t="n"/>
      <c r="H128" s="18" t="inlineStr">
        <is>
          <t>Saldo em 29/02/2020</t>
        </is>
      </c>
      <c r="I128" s="695" t="n"/>
      <c r="J128" s="645" t="inlineStr">
        <is>
          <t>ENTRADA</t>
        </is>
      </c>
      <c r="K128" s="633" t="inlineStr">
        <is>
          <t>SAÍDA / CMV</t>
        </is>
      </c>
      <c r="L128" s="633" t="inlineStr">
        <is>
          <t>SALDO</t>
        </is>
      </c>
    </row>
    <row r="129">
      <c r="A129" s="48" t="n">
        <v>43890</v>
      </c>
      <c r="B129" s="49" t="n"/>
      <c r="C129" s="49" t="n"/>
      <c r="D129" s="71" t="n"/>
      <c r="E129" s="71" t="n"/>
      <c r="F129" s="55" t="n"/>
      <c r="G129" s="55" t="n">
        <v>0</v>
      </c>
      <c r="H129" s="95" t="n">
        <v>200</v>
      </c>
      <c r="I129" s="71" t="n"/>
      <c r="J129" s="747">
        <f>F129*I129</f>
        <v/>
      </c>
      <c r="K129" s="747" t="n"/>
      <c r="L129" s="748" t="n"/>
    </row>
    <row r="130">
      <c r="A130" s="92" t="n">
        <v>43893</v>
      </c>
      <c r="B130" s="93" t="inlineStr">
        <is>
          <t>7141</t>
        </is>
      </c>
      <c r="C130" s="96" t="n"/>
      <c r="D130" s="97" t="n">
        <v>58</v>
      </c>
      <c r="E130" s="97" t="n"/>
      <c r="F130" s="98" t="n"/>
      <c r="G130" s="98" t="n">
        <v>20</v>
      </c>
      <c r="H130" s="95">
        <f>H129-G130</f>
        <v/>
      </c>
      <c r="I130" s="71" t="n"/>
      <c r="J130" s="747" t="n"/>
      <c r="K130" s="747" t="n"/>
      <c r="L130" s="748" t="n"/>
    </row>
    <row r="131">
      <c r="A131" s="92" t="n">
        <v>43895</v>
      </c>
      <c r="B131" s="93" t="inlineStr">
        <is>
          <t>7146</t>
        </is>
      </c>
      <c r="C131" s="96" t="n"/>
      <c r="D131" s="97" t="n">
        <v>54.25</v>
      </c>
      <c r="E131" s="97" t="n"/>
      <c r="F131" s="98" t="n"/>
      <c r="G131" s="98" t="n">
        <v>40</v>
      </c>
      <c r="H131" s="95">
        <f>H130-G131</f>
        <v/>
      </c>
      <c r="I131" s="71" t="n"/>
      <c r="J131" s="747" t="n"/>
      <c r="K131" s="747" t="n"/>
      <c r="L131" s="748" t="n"/>
    </row>
    <row r="132">
      <c r="A132" s="273" t="n">
        <v>43902</v>
      </c>
      <c r="B132" s="274" t="inlineStr">
        <is>
          <t>138080</t>
        </is>
      </c>
      <c r="C132" s="274" t="n"/>
      <c r="D132" s="279" t="n">
        <v>50.5</v>
      </c>
      <c r="E132" s="279" t="n"/>
      <c r="F132" s="278" t="n">
        <v>150</v>
      </c>
      <c r="G132" s="278" t="n"/>
      <c r="H132" s="278" t="n">
        <v>290</v>
      </c>
      <c r="I132" s="71" t="n"/>
      <c r="J132" s="747" t="n"/>
      <c r="K132" s="747" t="n"/>
      <c r="L132" s="748" t="n"/>
    </row>
    <row r="133">
      <c r="A133" s="48" t="n">
        <v>43913</v>
      </c>
      <c r="B133" s="49" t="inlineStr">
        <is>
          <t>7174</t>
        </is>
      </c>
      <c r="C133" s="49" t="n"/>
      <c r="D133" s="71" t="n">
        <v>50</v>
      </c>
      <c r="E133" s="71" t="n"/>
      <c r="F133" s="55" t="n"/>
      <c r="G133" s="55" t="n">
        <v>30</v>
      </c>
      <c r="H133" s="95">
        <f>H132-G133</f>
        <v/>
      </c>
      <c r="I133" s="71" t="n"/>
      <c r="J133" s="747" t="n"/>
      <c r="K133" s="747" t="n"/>
      <c r="L133" s="748" t="n"/>
    </row>
    <row r="134">
      <c r="A134" s="48" t="n">
        <v>43913</v>
      </c>
      <c r="B134" s="49" t="inlineStr">
        <is>
          <t>7178</t>
        </is>
      </c>
      <c r="C134" s="49" t="n"/>
      <c r="D134" s="71" t="n">
        <v>50</v>
      </c>
      <c r="E134" s="71" t="n"/>
      <c r="F134" s="55" t="n"/>
      <c r="G134" s="55" t="n">
        <v>15</v>
      </c>
      <c r="H134" s="95">
        <f>H133-G134</f>
        <v/>
      </c>
      <c r="I134" s="71" t="n"/>
      <c r="J134" s="747" t="n"/>
      <c r="K134" s="747" t="n"/>
      <c r="L134" s="748" t="n"/>
    </row>
    <row r="135">
      <c r="A135" s="48" t="n"/>
      <c r="B135" s="49" t="n"/>
      <c r="C135" s="49" t="n"/>
      <c r="D135" s="71" t="n"/>
      <c r="E135" s="71" t="n"/>
      <c r="F135" s="55" t="n"/>
      <c r="G135" s="55" t="n"/>
      <c r="H135" s="95">
        <f>H134-G135</f>
        <v/>
      </c>
      <c r="I135" s="71" t="n"/>
      <c r="J135" s="747" t="n"/>
      <c r="K135" s="747" t="n"/>
      <c r="L135" s="748" t="n"/>
    </row>
    <row r="136">
      <c r="A136" s="48" t="n"/>
      <c r="B136" s="49" t="n"/>
      <c r="C136" s="49" t="n"/>
      <c r="D136" s="71" t="n"/>
      <c r="E136" s="71" t="n"/>
      <c r="F136" s="55" t="n"/>
      <c r="G136" s="55" t="n"/>
      <c r="H136" s="95">
        <f>H135-G136</f>
        <v/>
      </c>
      <c r="I136" s="71" t="n"/>
      <c r="J136" s="747" t="n"/>
      <c r="K136" s="747" t="n"/>
      <c r="L136" s="748" t="n"/>
    </row>
    <row r="137">
      <c r="A137" s="48" t="n"/>
      <c r="B137" s="49" t="n"/>
      <c r="C137" s="49" t="n"/>
      <c r="D137" s="71" t="n"/>
      <c r="E137" s="71" t="n"/>
      <c r="F137" s="55" t="n"/>
      <c r="G137" s="55" t="n"/>
      <c r="H137" s="95">
        <f>H136-G137</f>
        <v/>
      </c>
      <c r="I137" s="71" t="n"/>
      <c r="J137" s="747" t="n"/>
      <c r="K137" s="747" t="n"/>
      <c r="L137" s="748" t="n"/>
    </row>
    <row r="138">
      <c r="A138" s="48" t="n"/>
      <c r="B138" s="49" t="n"/>
      <c r="C138" s="49" t="n"/>
      <c r="D138" s="71" t="n"/>
      <c r="E138" s="71" t="n"/>
      <c r="F138" s="55" t="n"/>
      <c r="G138" s="55" t="n"/>
      <c r="H138" s="95">
        <f>H137-G138</f>
        <v/>
      </c>
      <c r="I138" s="71" t="n"/>
      <c r="J138" s="747" t="n"/>
      <c r="K138" s="747" t="n"/>
      <c r="L138" s="748" t="n"/>
    </row>
    <row r="139" ht="15.75" customHeight="1" s="436" thickBot="1"/>
    <row r="140" ht="24" customHeight="1" s="436" thickBot="1">
      <c r="A140" s="745" t="inlineStr">
        <is>
          <t>Abril</t>
        </is>
      </c>
      <c r="B140" s="737" t="n"/>
      <c r="C140" s="737" t="n"/>
      <c r="D140" s="737" t="n"/>
      <c r="E140" s="737" t="n"/>
      <c r="F140" s="737" t="n"/>
      <c r="G140" s="737" t="n"/>
      <c r="H140" s="737" t="n"/>
      <c r="I140" s="737" t="n"/>
      <c r="J140" s="737" t="n"/>
      <c r="K140" s="737" t="n"/>
      <c r="L140" s="736" t="n"/>
    </row>
    <row r="141" ht="24" customHeight="1" s="436" thickBot="1">
      <c r="A141" s="745" t="inlineStr">
        <is>
          <t xml:space="preserve">  PRÉ MISTURA -  Pão Doce 25 KG</t>
        </is>
      </c>
      <c r="B141" s="737" t="n"/>
      <c r="C141" s="737" t="n"/>
      <c r="D141" s="737" t="n"/>
      <c r="E141" s="737" t="n"/>
      <c r="F141" s="737" t="n"/>
      <c r="G141" s="737" t="n"/>
      <c r="H141" s="737" t="n"/>
      <c r="I141" s="737" t="n"/>
      <c r="J141" s="737" t="n"/>
      <c r="K141" s="737" t="n"/>
      <c r="L141" s="736" t="n"/>
    </row>
    <row r="142">
      <c r="A142" s="746" t="inlineStr">
        <is>
          <t>DATA</t>
        </is>
      </c>
      <c r="B142" s="3" t="inlineStr">
        <is>
          <t>N.F.</t>
        </is>
      </c>
      <c r="C142" s="3" t="inlineStr">
        <is>
          <t>TIPO</t>
        </is>
      </c>
      <c r="D142" s="3" t="inlineStr">
        <is>
          <t>PREÇO UNITÁRIO</t>
        </is>
      </c>
      <c r="E142" s="736" t="n"/>
      <c r="F142" s="3" t="inlineStr">
        <is>
          <t>QUANTIDADE / KG</t>
        </is>
      </c>
      <c r="G142" s="737" t="n"/>
      <c r="H142" s="736" t="n"/>
      <c r="I142" s="631" t="inlineStr">
        <is>
          <t>PREÇO</t>
        </is>
      </c>
      <c r="J142" s="631" t="inlineStr">
        <is>
          <t>VALORES</t>
        </is>
      </c>
      <c r="K142" s="737" t="n"/>
      <c r="L142" s="736" t="n"/>
    </row>
    <row r="143" ht="15.75" customHeight="1" s="436" thickBot="1">
      <c r="A143" s="703" t="n"/>
      <c r="B143" s="704" t="n"/>
      <c r="C143" s="704" t="n"/>
      <c r="D143" s="703" t="n"/>
      <c r="E143" s="701" t="n"/>
      <c r="F143" s="705" t="n"/>
      <c r="G143" s="706" t="n"/>
      <c r="H143" s="707" t="n"/>
      <c r="I143" s="704" t="n"/>
      <c r="J143" s="703" t="n"/>
      <c r="L143" s="701" t="n"/>
    </row>
    <row r="144" ht="15.75" customHeight="1" s="436" thickBot="1">
      <c r="A144" s="703" t="n"/>
      <c r="B144" s="704" t="n"/>
      <c r="C144" s="704" t="n"/>
      <c r="D144" s="705" t="n"/>
      <c r="E144" s="707" t="n"/>
      <c r="F144" s="3" t="inlineStr">
        <is>
          <t>ENTRADA</t>
        </is>
      </c>
      <c r="G144" s="3" t="inlineStr">
        <is>
          <t>SAÍDA</t>
        </is>
      </c>
      <c r="H144" s="640" t="n"/>
      <c r="I144" s="633" t="inlineStr">
        <is>
          <t>MÉDIO</t>
        </is>
      </c>
      <c r="J144" s="652" t="inlineStr">
        <is>
          <t>SALDO EM 30/12/2017</t>
        </is>
      </c>
      <c r="K144" s="706" t="n"/>
      <c r="L144" s="17" t="n"/>
    </row>
    <row r="145" ht="15.75" customHeight="1" s="436" thickBot="1">
      <c r="A145" s="705" t="n"/>
      <c r="B145" s="695" t="n"/>
      <c r="C145" s="695" t="n"/>
      <c r="D145" s="3" t="inlineStr">
        <is>
          <t>C/ICMS</t>
        </is>
      </c>
      <c r="E145" s="3" t="inlineStr">
        <is>
          <t>S/ICMS</t>
        </is>
      </c>
      <c r="F145" s="695" t="n"/>
      <c r="G145" s="695" t="n"/>
      <c r="H145" s="18" t="inlineStr">
        <is>
          <t>Saldo em 29/02/2020</t>
        </is>
      </c>
      <c r="I145" s="695" t="n"/>
      <c r="J145" s="645" t="inlineStr">
        <is>
          <t>ENTRADA</t>
        </is>
      </c>
      <c r="K145" s="633" t="inlineStr">
        <is>
          <t>SAÍDA / CMV</t>
        </is>
      </c>
      <c r="L145" s="633" t="inlineStr">
        <is>
          <t>SALDO</t>
        </is>
      </c>
    </row>
    <row r="146">
      <c r="A146" s="48" t="n">
        <v>43921</v>
      </c>
      <c r="B146" s="49" t="n"/>
      <c r="C146" s="49" t="n"/>
      <c r="D146" s="71" t="n"/>
      <c r="E146" s="71" t="n"/>
      <c r="F146" s="55" t="n"/>
      <c r="G146" s="55" t="n">
        <v>0</v>
      </c>
      <c r="H146" s="95" t="n">
        <v>245</v>
      </c>
      <c r="I146" s="71" t="n"/>
      <c r="J146" s="747">
        <f>F146*I146</f>
        <v/>
      </c>
      <c r="K146" s="747" t="n"/>
      <c r="L146" s="748" t="n"/>
    </row>
    <row r="147">
      <c r="A147" s="92" t="n">
        <v>43928</v>
      </c>
      <c r="B147" s="93" t="inlineStr">
        <is>
          <t>7199</t>
        </is>
      </c>
      <c r="C147" s="96" t="n"/>
      <c r="D147" s="97" t="n">
        <v>56.34</v>
      </c>
      <c r="E147" s="97" t="n"/>
      <c r="F147" s="98" t="n"/>
      <c r="G147" s="98" t="n">
        <v>30</v>
      </c>
      <c r="H147" s="95">
        <f>H146-G147</f>
        <v/>
      </c>
      <c r="I147" s="71" t="n"/>
      <c r="J147" s="747" t="n"/>
      <c r="K147" s="747" t="n"/>
      <c r="L147" s="748" t="n"/>
    </row>
    <row r="148">
      <c r="A148" s="568" t="n">
        <v>43928</v>
      </c>
      <c r="B148" s="392" t="n">
        <v>7207</v>
      </c>
      <c r="C148" s="392" t="n"/>
      <c r="D148" s="97" t="n">
        <v>55</v>
      </c>
      <c r="E148" s="392" t="n"/>
      <c r="F148" s="392" t="n"/>
      <c r="G148" s="392" t="n">
        <v>10</v>
      </c>
      <c r="H148" s="95">
        <f>H147-G148</f>
        <v/>
      </c>
      <c r="I148" s="392" t="n"/>
      <c r="J148" s="392" t="n"/>
      <c r="K148" s="392" t="n"/>
      <c r="L148" s="392" t="n"/>
    </row>
    <row r="149">
      <c r="A149" s="304" t="n">
        <v>43938</v>
      </c>
      <c r="B149" s="401" t="n">
        <v>139928</v>
      </c>
      <c r="C149" s="401" t="n"/>
      <c r="D149" s="276" t="n">
        <v>51.7</v>
      </c>
      <c r="E149" s="401" t="n"/>
      <c r="F149" s="401" t="n">
        <v>440</v>
      </c>
      <c r="G149" s="401" t="n"/>
      <c r="H149" s="278" t="n">
        <v>645</v>
      </c>
      <c r="I149" s="392" t="n"/>
      <c r="J149" s="392" t="n"/>
      <c r="K149" s="392" t="n"/>
      <c r="L149" s="392" t="n"/>
    </row>
    <row r="150">
      <c r="A150" s="568" t="n">
        <v>43942</v>
      </c>
      <c r="B150" s="392" t="n">
        <v>7234</v>
      </c>
      <c r="C150" s="392" t="n"/>
      <c r="D150" s="392" t="n">
        <v>57.84</v>
      </c>
      <c r="E150" s="392" t="n"/>
      <c r="F150" s="392" t="n"/>
      <c r="G150" s="392" t="n">
        <v>30</v>
      </c>
      <c r="H150" s="95">
        <f>H149-G150</f>
        <v/>
      </c>
      <c r="I150" s="392" t="n"/>
      <c r="J150" s="392" t="n"/>
      <c r="K150" s="392" t="n"/>
      <c r="L150" s="392" t="n"/>
    </row>
    <row r="151">
      <c r="A151" s="568" t="n">
        <v>43942</v>
      </c>
      <c r="B151" s="392" t="n">
        <v>7236</v>
      </c>
      <c r="C151" s="392" t="n"/>
      <c r="D151" s="392" t="n">
        <v>55</v>
      </c>
      <c r="E151" s="392" t="n"/>
      <c r="F151" s="392" t="n"/>
      <c r="G151" s="392" t="n">
        <v>10</v>
      </c>
      <c r="H151" s="95">
        <f>H150-G151</f>
        <v/>
      </c>
      <c r="I151" s="392" t="n"/>
      <c r="J151" s="392" t="n"/>
      <c r="K151" s="392" t="n"/>
      <c r="L151" s="392" t="n"/>
    </row>
    <row r="152">
      <c r="A152" s="392" t="n"/>
      <c r="B152" s="392" t="n"/>
      <c r="C152" s="392" t="n"/>
      <c r="D152" s="392" t="n"/>
      <c r="E152" s="392" t="n"/>
      <c r="F152" s="392" t="n"/>
      <c r="G152" s="392" t="n"/>
      <c r="H152" s="95">
        <f>H151-G152</f>
        <v/>
      </c>
      <c r="I152" s="392" t="n"/>
      <c r="J152" s="392" t="n"/>
      <c r="K152" s="392" t="n"/>
      <c r="L152" s="392" t="n"/>
    </row>
    <row r="153">
      <c r="A153" s="392" t="n"/>
      <c r="B153" s="392" t="n"/>
      <c r="C153" s="392" t="n"/>
      <c r="D153" s="392" t="n"/>
      <c r="E153" s="392" t="n"/>
      <c r="F153" s="392" t="n"/>
      <c r="G153" s="392" t="n"/>
      <c r="H153" s="95">
        <f>H152-G153</f>
        <v/>
      </c>
      <c r="I153" s="392" t="n"/>
      <c r="J153" s="392" t="n"/>
      <c r="K153" s="392" t="n"/>
      <c r="L153" s="392" t="n"/>
    </row>
    <row r="154">
      <c r="A154" s="392" t="n"/>
      <c r="B154" s="392" t="n"/>
      <c r="C154" s="392" t="n"/>
      <c r="D154" s="392" t="n"/>
      <c r="E154" s="392" t="n"/>
      <c r="F154" s="392" t="n"/>
      <c r="G154" s="392" t="n"/>
      <c r="H154" s="95">
        <f>H153-G154</f>
        <v/>
      </c>
      <c r="I154" s="392" t="n"/>
      <c r="J154" s="392" t="n"/>
      <c r="K154" s="392" t="n"/>
      <c r="L154" s="392" t="n"/>
    </row>
    <row r="155">
      <c r="A155" s="392" t="n"/>
      <c r="B155" s="392" t="n"/>
      <c r="C155" s="392" t="n"/>
      <c r="D155" s="392" t="n"/>
      <c r="E155" s="392" t="n"/>
      <c r="F155" s="392" t="n"/>
      <c r="G155" s="392" t="n"/>
      <c r="H155" s="95">
        <f>H154-G155</f>
        <v/>
      </c>
      <c r="I155" s="392" t="n"/>
      <c r="J155" s="392" t="n"/>
      <c r="K155" s="392" t="n"/>
      <c r="L155" s="392" t="n"/>
    </row>
    <row r="156">
      <c r="A156" s="392" t="n"/>
      <c r="B156" s="392" t="n"/>
      <c r="C156" s="392" t="n"/>
      <c r="D156" s="392" t="n"/>
      <c r="E156" s="392" t="n"/>
      <c r="F156" s="392" t="n"/>
      <c r="G156" s="392" t="n"/>
      <c r="H156" s="95">
        <f>H155-G156</f>
        <v/>
      </c>
      <c r="I156" s="392" t="n"/>
      <c r="J156" s="392" t="n"/>
      <c r="K156" s="392" t="n"/>
      <c r="L156" s="392" t="n"/>
    </row>
    <row r="157">
      <c r="A157" s="392" t="n"/>
      <c r="B157" s="392" t="n"/>
      <c r="C157" s="392" t="n"/>
      <c r="D157" s="392" t="n"/>
      <c r="E157" s="392" t="n"/>
      <c r="F157" s="392" t="n"/>
      <c r="G157" s="392" t="n"/>
      <c r="H157" s="95">
        <f>H156-G157</f>
        <v/>
      </c>
      <c r="I157" s="392" t="n"/>
      <c r="J157" s="392" t="n"/>
      <c r="K157" s="392" t="n"/>
      <c r="L157" s="392" t="n"/>
    </row>
    <row r="158">
      <c r="A158" s="392" t="n"/>
      <c r="B158" s="392" t="n"/>
      <c r="C158" s="392" t="n"/>
      <c r="D158" s="392" t="n"/>
      <c r="E158" s="392" t="n"/>
      <c r="F158" s="392" t="n"/>
      <c r="G158" s="392" t="n"/>
      <c r="H158" s="95">
        <f>H157-G158</f>
        <v/>
      </c>
      <c r="I158" s="392" t="n"/>
      <c r="J158" s="392" t="n"/>
      <c r="K158" s="392" t="n"/>
      <c r="L158" s="392" t="n"/>
    </row>
    <row r="159">
      <c r="A159" s="392" t="n"/>
      <c r="B159" s="392" t="n"/>
      <c r="C159" s="392" t="n"/>
      <c r="D159" s="392" t="n"/>
      <c r="E159" s="392" t="n"/>
      <c r="F159" s="392" t="n"/>
      <c r="G159" s="392" t="n"/>
      <c r="H159" s="95">
        <f>H158-G159</f>
        <v/>
      </c>
      <c r="I159" s="392" t="n"/>
      <c r="J159" s="392" t="n"/>
      <c r="K159" s="392" t="n"/>
      <c r="L159" s="392" t="n"/>
    </row>
    <row r="160" ht="15.75" customHeight="1" s="436" thickBot="1"/>
    <row r="161" ht="24" customHeight="1" s="436" thickBot="1">
      <c r="A161" s="745" t="inlineStr">
        <is>
          <t>Maio</t>
        </is>
      </c>
      <c r="B161" s="737" t="n"/>
      <c r="C161" s="737" t="n"/>
      <c r="D161" s="737" t="n"/>
      <c r="E161" s="737" t="n"/>
      <c r="F161" s="737" t="n"/>
      <c r="G161" s="737" t="n"/>
      <c r="H161" s="737" t="n"/>
      <c r="I161" s="737" t="n"/>
      <c r="J161" s="737" t="n"/>
      <c r="K161" s="737" t="n"/>
      <c r="L161" s="736" t="n"/>
    </row>
    <row r="162" ht="24" customHeight="1" s="436" thickBot="1">
      <c r="A162" s="745" t="inlineStr">
        <is>
          <t xml:space="preserve">  PRÉ MISTURA -  Pão Doce 25 KG</t>
        </is>
      </c>
      <c r="B162" s="737" t="n"/>
      <c r="C162" s="737" t="n"/>
      <c r="D162" s="737" t="n"/>
      <c r="E162" s="737" t="n"/>
      <c r="F162" s="737" t="n"/>
      <c r="G162" s="737" t="n"/>
      <c r="H162" s="737" t="n"/>
      <c r="I162" s="737" t="n"/>
      <c r="J162" s="737" t="n"/>
      <c r="K162" s="737" t="n"/>
      <c r="L162" s="736" t="n"/>
    </row>
    <row r="163">
      <c r="A163" s="746" t="inlineStr">
        <is>
          <t>DATA</t>
        </is>
      </c>
      <c r="B163" s="3" t="inlineStr">
        <is>
          <t>N.F.</t>
        </is>
      </c>
      <c r="C163" s="3" t="inlineStr">
        <is>
          <t>TIPO</t>
        </is>
      </c>
      <c r="D163" s="3" t="inlineStr">
        <is>
          <t>PREÇO UNITÁRIO</t>
        </is>
      </c>
      <c r="E163" s="736" t="n"/>
      <c r="F163" s="3" t="inlineStr">
        <is>
          <t>QUANTIDADE / KG</t>
        </is>
      </c>
      <c r="G163" s="737" t="n"/>
      <c r="H163" s="736" t="n"/>
      <c r="I163" s="631" t="inlineStr">
        <is>
          <t>PREÇO</t>
        </is>
      </c>
      <c r="J163" s="631" t="inlineStr">
        <is>
          <t>VALORES</t>
        </is>
      </c>
      <c r="K163" s="737" t="n"/>
      <c r="L163" s="736" t="n"/>
    </row>
    <row r="164" ht="15.75" customHeight="1" s="436" thickBot="1">
      <c r="A164" s="703" t="n"/>
      <c r="B164" s="704" t="n"/>
      <c r="C164" s="704" t="n"/>
      <c r="D164" s="703" t="n"/>
      <c r="E164" s="701" t="n"/>
      <c r="F164" s="705" t="n"/>
      <c r="G164" s="706" t="n"/>
      <c r="H164" s="707" t="n"/>
      <c r="I164" s="704" t="n"/>
      <c r="J164" s="703" t="n"/>
      <c r="L164" s="701" t="n"/>
    </row>
    <row r="165" ht="15.75" customHeight="1" s="436" thickBot="1">
      <c r="A165" s="703" t="n"/>
      <c r="B165" s="704" t="n"/>
      <c r="C165" s="704" t="n"/>
      <c r="D165" s="705" t="n"/>
      <c r="E165" s="707" t="n"/>
      <c r="F165" s="3" t="inlineStr">
        <is>
          <t>ENTRADA</t>
        </is>
      </c>
      <c r="G165" s="3" t="inlineStr">
        <is>
          <t>SAÍDA</t>
        </is>
      </c>
      <c r="H165" s="640" t="n"/>
      <c r="I165" s="633" t="inlineStr">
        <is>
          <t>MÉDIO</t>
        </is>
      </c>
      <c r="J165" s="652" t="inlineStr">
        <is>
          <t>SALDO EM 30/12/2017</t>
        </is>
      </c>
      <c r="K165" s="706" t="n"/>
      <c r="L165" s="17" t="n"/>
    </row>
    <row r="166" ht="15.75" customHeight="1" s="436" thickBot="1">
      <c r="A166" s="705" t="n"/>
      <c r="B166" s="695" t="n"/>
      <c r="C166" s="695" t="n"/>
      <c r="D166" s="3" t="inlineStr">
        <is>
          <t>C/ICMS</t>
        </is>
      </c>
      <c r="E166" s="3" t="inlineStr">
        <is>
          <t>S/ICMS</t>
        </is>
      </c>
      <c r="F166" s="695" t="n"/>
      <c r="G166" s="695" t="n"/>
      <c r="H166" s="18" t="inlineStr">
        <is>
          <t>Saldo em 29/02/2020</t>
        </is>
      </c>
      <c r="I166" s="695" t="n"/>
      <c r="J166" s="645" t="inlineStr">
        <is>
          <t>ENTRADA</t>
        </is>
      </c>
      <c r="K166" s="633" t="inlineStr">
        <is>
          <t>SAÍDA / CMV</t>
        </is>
      </c>
      <c r="L166" s="633" t="inlineStr">
        <is>
          <t>SALDO</t>
        </is>
      </c>
    </row>
    <row r="167">
      <c r="A167" s="48" t="n">
        <v>43951</v>
      </c>
      <c r="B167" s="49" t="n"/>
      <c r="C167" s="49" t="n"/>
      <c r="D167" s="71" t="n"/>
      <c r="E167" s="71" t="n"/>
      <c r="F167" s="55" t="n"/>
      <c r="G167" s="55" t="n">
        <v>0</v>
      </c>
      <c r="H167" s="95" t="n">
        <v>605</v>
      </c>
      <c r="I167" s="71" t="n"/>
      <c r="J167" s="747">
        <f>F167*I167</f>
        <v/>
      </c>
      <c r="K167" s="747" t="n"/>
      <c r="L167" s="748" t="n"/>
    </row>
    <row r="168">
      <c r="A168" s="92" t="n">
        <v>43952</v>
      </c>
      <c r="B168" s="93" t="inlineStr">
        <is>
          <t>7253</t>
        </is>
      </c>
      <c r="C168" s="96" t="n"/>
      <c r="D168" s="97" t="n">
        <v>62</v>
      </c>
      <c r="E168" s="97" t="n"/>
      <c r="F168" s="98" t="n"/>
      <c r="G168" s="98" t="n">
        <v>10</v>
      </c>
      <c r="H168" s="95">
        <f>H167-G168</f>
        <v/>
      </c>
      <c r="I168" s="71" t="n"/>
      <c r="J168" s="747" t="n"/>
      <c r="K168" s="747" t="n"/>
      <c r="L168" s="748" t="n"/>
    </row>
    <row r="169">
      <c r="A169" s="307" t="n">
        <v>43956</v>
      </c>
      <c r="B169" s="93" t="inlineStr">
        <is>
          <t>7259</t>
        </is>
      </c>
      <c r="C169" s="96" t="n"/>
      <c r="D169" s="97" t="n">
        <v>55</v>
      </c>
      <c r="E169" s="97" t="n"/>
      <c r="F169" s="98" t="n"/>
      <c r="G169" s="98" t="n">
        <v>10</v>
      </c>
      <c r="H169" s="95">
        <f>H168-G169</f>
        <v/>
      </c>
      <c r="I169" s="71" t="n"/>
      <c r="J169" s="747" t="n"/>
      <c r="K169" s="747" t="n"/>
      <c r="L169" s="758" t="n"/>
    </row>
    <row r="170">
      <c r="A170" s="307" t="n">
        <v>43958</v>
      </c>
      <c r="B170" s="93" t="inlineStr">
        <is>
          <t>7268</t>
        </is>
      </c>
      <c r="C170" s="96" t="n"/>
      <c r="D170" s="97" t="n">
        <v>55</v>
      </c>
      <c r="E170" s="97" t="n"/>
      <c r="F170" s="98" t="n"/>
      <c r="G170" s="98" t="n">
        <v>20</v>
      </c>
      <c r="H170" s="95">
        <f>H169-G170</f>
        <v/>
      </c>
      <c r="I170" s="71" t="n"/>
      <c r="J170" s="747" t="n"/>
      <c r="K170" s="747" t="n"/>
      <c r="L170" s="758" t="n"/>
    </row>
    <row r="171">
      <c r="A171" s="307" t="n">
        <v>43958</v>
      </c>
      <c r="B171" s="93" t="inlineStr">
        <is>
          <t>7273</t>
        </is>
      </c>
      <c r="C171" s="96" t="n"/>
      <c r="D171" s="97" t="n">
        <v>60</v>
      </c>
      <c r="E171" s="97" t="n"/>
      <c r="F171" s="98" t="n"/>
      <c r="G171" s="98" t="n">
        <v>30</v>
      </c>
      <c r="H171" s="95">
        <f>H170-G171</f>
        <v/>
      </c>
      <c r="I171" s="71" t="n"/>
      <c r="J171" s="747" t="n"/>
      <c r="K171" s="747" t="n"/>
      <c r="L171" s="758" t="n"/>
    </row>
    <row r="172">
      <c r="A172" s="307" t="n">
        <v>43962</v>
      </c>
      <c r="B172" s="93" t="inlineStr">
        <is>
          <t>7281</t>
        </is>
      </c>
      <c r="C172" s="96" t="n"/>
      <c r="D172" s="97" t="n">
        <v>58.84</v>
      </c>
      <c r="E172" s="97" t="n"/>
      <c r="F172" s="98" t="n"/>
      <c r="G172" s="98" t="n">
        <v>12</v>
      </c>
      <c r="H172" s="95">
        <f>H171-G172</f>
        <v/>
      </c>
      <c r="I172" s="71" t="n"/>
      <c r="J172" s="747" t="n"/>
      <c r="K172" s="747" t="n"/>
      <c r="L172" s="758" t="n"/>
    </row>
    <row r="173">
      <c r="A173" s="309" t="n">
        <v>43965</v>
      </c>
      <c r="B173" s="274" t="inlineStr">
        <is>
          <t>141556</t>
        </is>
      </c>
      <c r="C173" s="275" t="n"/>
      <c r="D173" s="276" t="n">
        <v>54.2</v>
      </c>
      <c r="E173" s="276" t="n"/>
      <c r="F173" s="277" t="n">
        <v>280</v>
      </c>
      <c r="G173" s="277" t="n"/>
      <c r="H173" s="278" t="n">
        <v>803</v>
      </c>
      <c r="I173" s="71" t="n"/>
      <c r="J173" s="747" t="n"/>
      <c r="K173" s="747" t="n"/>
      <c r="L173" s="758" t="n"/>
    </row>
    <row r="174">
      <c r="A174" s="307" t="n">
        <v>43962</v>
      </c>
      <c r="B174" s="93" t="inlineStr">
        <is>
          <t>7282</t>
        </is>
      </c>
      <c r="C174" s="96" t="n"/>
      <c r="D174" s="97" t="n">
        <v>62</v>
      </c>
      <c r="E174" s="97" t="n"/>
      <c r="F174" s="98" t="n"/>
      <c r="G174" s="98" t="n">
        <v>20</v>
      </c>
      <c r="H174" s="95">
        <f>H173-G174</f>
        <v/>
      </c>
      <c r="I174" s="71" t="n"/>
      <c r="J174" s="747" t="n"/>
      <c r="K174" s="747" t="n"/>
      <c r="L174" s="758" t="n"/>
    </row>
    <row r="175">
      <c r="A175" s="307" t="n">
        <v>43971</v>
      </c>
      <c r="B175" s="93" t="inlineStr">
        <is>
          <t>7290</t>
        </is>
      </c>
      <c r="C175" s="96" t="n"/>
      <c r="D175" s="97" t="n">
        <v>59.34</v>
      </c>
      <c r="E175" s="97" t="n"/>
      <c r="F175" s="98" t="n"/>
      <c r="G175" s="98" t="n">
        <v>30</v>
      </c>
      <c r="H175" s="95">
        <f>H174-G175</f>
        <v/>
      </c>
      <c r="I175" s="71" t="n"/>
      <c r="J175" s="747" t="n"/>
      <c r="K175" s="747" t="n"/>
      <c r="L175" s="758" t="n"/>
    </row>
    <row r="176">
      <c r="A176" s="307" t="n">
        <v>43971</v>
      </c>
      <c r="B176" s="93" t="inlineStr">
        <is>
          <t>7294</t>
        </is>
      </c>
      <c r="C176" s="96" t="n"/>
      <c r="D176" s="97" t="n">
        <v>58</v>
      </c>
      <c r="E176" s="97" t="n"/>
      <c r="F176" s="98" t="n"/>
      <c r="G176" s="98" t="n">
        <v>50</v>
      </c>
      <c r="H176" s="95">
        <f>H175-G176</f>
        <v/>
      </c>
      <c r="I176" s="71" t="n"/>
      <c r="J176" s="747" t="n"/>
      <c r="K176" s="747" t="n"/>
      <c r="L176" s="758" t="n"/>
    </row>
    <row r="177">
      <c r="A177" s="307" t="n">
        <v>43977</v>
      </c>
      <c r="B177" s="93" t="inlineStr">
        <is>
          <t>7299</t>
        </is>
      </c>
      <c r="C177" s="96" t="n"/>
      <c r="D177" s="97" t="n">
        <v>60</v>
      </c>
      <c r="E177" s="97" t="n"/>
      <c r="F177" s="98" t="n"/>
      <c r="G177" s="98" t="n">
        <v>30</v>
      </c>
      <c r="H177" s="95">
        <f>H176-G177</f>
        <v/>
      </c>
      <c r="I177" s="71" t="n"/>
      <c r="J177" s="747" t="n"/>
      <c r="K177" s="747" t="n"/>
      <c r="L177" s="758" t="n"/>
    </row>
    <row r="178">
      <c r="A178" s="307" t="n">
        <v>43977</v>
      </c>
      <c r="B178" s="93" t="inlineStr">
        <is>
          <t>7307</t>
        </is>
      </c>
      <c r="C178" s="96" t="n"/>
      <c r="D178" s="97" t="n">
        <v>62</v>
      </c>
      <c r="E178" s="97" t="n"/>
      <c r="F178" s="98" t="n"/>
      <c r="G178" s="98" t="n">
        <v>15</v>
      </c>
      <c r="H178" s="95">
        <f>H177-G178</f>
        <v/>
      </c>
      <c r="I178" s="71" t="n"/>
      <c r="J178" s="747" t="n"/>
      <c r="K178" s="747" t="n"/>
      <c r="L178" s="758" t="n"/>
    </row>
    <row r="179">
      <c r="A179" s="307" t="n">
        <v>43977</v>
      </c>
      <c r="B179" s="93" t="inlineStr">
        <is>
          <t>7308</t>
        </is>
      </c>
      <c r="C179" s="96" t="n"/>
      <c r="D179" s="97" t="n">
        <v>58</v>
      </c>
      <c r="E179" s="97" t="n"/>
      <c r="F179" s="98" t="n"/>
      <c r="G179" s="98" t="n">
        <v>20</v>
      </c>
      <c r="H179" s="95">
        <f>H178-G179</f>
        <v/>
      </c>
      <c r="I179" s="71" t="n"/>
      <c r="J179" s="747" t="n"/>
      <c r="K179" s="747" t="n"/>
      <c r="L179" s="758" t="n"/>
    </row>
    <row r="180">
      <c r="A180" s="307" t="n"/>
      <c r="B180" s="93" t="n"/>
      <c r="C180" s="96" t="n"/>
      <c r="D180" s="97" t="n"/>
      <c r="E180" s="97" t="n"/>
      <c r="F180" s="98" t="n"/>
      <c r="G180" s="98" t="n"/>
      <c r="H180" s="95">
        <f>H179-G180</f>
        <v/>
      </c>
      <c r="I180" s="71" t="n"/>
      <c r="J180" s="747" t="n"/>
      <c r="K180" s="747" t="n"/>
      <c r="L180" s="758" t="n"/>
    </row>
    <row r="181">
      <c r="A181" s="307" t="n"/>
      <c r="B181" s="93" t="n"/>
      <c r="C181" s="96" t="n"/>
      <c r="D181" s="97" t="n"/>
      <c r="E181" s="97" t="n"/>
      <c r="F181" s="98" t="n"/>
      <c r="G181" s="98" t="n"/>
      <c r="H181" s="95">
        <f>H180-G181</f>
        <v/>
      </c>
      <c r="I181" s="71" t="n"/>
      <c r="J181" s="747" t="n"/>
      <c r="K181" s="747" t="n"/>
      <c r="L181" s="758" t="n"/>
    </row>
    <row r="182">
      <c r="A182" s="307" t="n"/>
      <c r="B182" s="93" t="n"/>
      <c r="C182" s="96" t="n"/>
      <c r="D182" s="97" t="n"/>
      <c r="E182" s="97" t="n"/>
      <c r="F182" s="98" t="n"/>
      <c r="G182" s="98" t="n"/>
      <c r="H182" s="95">
        <f>H181-G182</f>
        <v/>
      </c>
      <c r="I182" s="71" t="n"/>
      <c r="J182" s="747" t="n"/>
      <c r="K182" s="747" t="n"/>
      <c r="L182" s="758" t="n"/>
    </row>
    <row r="183">
      <c r="A183" s="307" t="n"/>
      <c r="B183" s="93" t="n"/>
      <c r="C183" s="96" t="n"/>
      <c r="D183" s="97" t="n"/>
      <c r="E183" s="97" t="n"/>
      <c r="F183" s="98" t="n"/>
      <c r="G183" s="98" t="n"/>
      <c r="H183" s="95">
        <f>H182-G183</f>
        <v/>
      </c>
      <c r="I183" s="71" t="n"/>
      <c r="J183" s="747" t="n"/>
      <c r="K183" s="747" t="n"/>
      <c r="L183" s="758" t="n"/>
    </row>
    <row r="184" ht="15.75" customHeight="1" s="436" thickBot="1">
      <c r="A184" s="568" t="n"/>
      <c r="B184" s="392" t="n"/>
      <c r="C184" s="392" t="n"/>
      <c r="D184" s="97" t="n"/>
      <c r="E184" s="392" t="n"/>
      <c r="F184" s="392" t="n"/>
      <c r="G184" s="392" t="n"/>
      <c r="H184" s="95">
        <f>H183-G184</f>
        <v/>
      </c>
      <c r="I184" s="392" t="n"/>
      <c r="J184" s="392" t="n"/>
      <c r="K184" s="392" t="n"/>
      <c r="L184" s="392" t="n"/>
    </row>
    <row r="185" ht="24" customHeight="1" s="436" thickBot="1">
      <c r="A185" s="745" t="inlineStr">
        <is>
          <t>Junho</t>
        </is>
      </c>
      <c r="B185" s="737" t="n"/>
      <c r="C185" s="737" t="n"/>
      <c r="D185" s="737" t="n"/>
      <c r="E185" s="737" t="n"/>
      <c r="F185" s="737" t="n"/>
      <c r="G185" s="737" t="n"/>
      <c r="H185" s="737" t="n"/>
      <c r="I185" s="737" t="n"/>
      <c r="J185" s="737" t="n"/>
      <c r="K185" s="737" t="n"/>
      <c r="L185" s="736" t="n"/>
    </row>
    <row r="186" ht="24" customHeight="1" s="436" thickBot="1">
      <c r="A186" s="745" t="inlineStr">
        <is>
          <t xml:space="preserve">  PRÉ MISTURA -  Pão Doce 25 KG</t>
        </is>
      </c>
      <c r="B186" s="737" t="n"/>
      <c r="C186" s="737" t="n"/>
      <c r="D186" s="737" t="n"/>
      <c r="E186" s="737" t="n"/>
      <c r="F186" s="737" t="n"/>
      <c r="G186" s="737" t="n"/>
      <c r="H186" s="737" t="n"/>
      <c r="I186" s="737" t="n"/>
      <c r="J186" s="737" t="n"/>
      <c r="K186" s="737" t="n"/>
      <c r="L186" s="736" t="n"/>
    </row>
    <row r="187">
      <c r="A187" s="746" t="inlineStr">
        <is>
          <t>DATA</t>
        </is>
      </c>
      <c r="B187" s="3" t="inlineStr">
        <is>
          <t>N.F.</t>
        </is>
      </c>
      <c r="C187" s="3" t="inlineStr">
        <is>
          <t>TIPO</t>
        </is>
      </c>
      <c r="D187" s="3" t="inlineStr">
        <is>
          <t>PREÇO UNITÁRIO</t>
        </is>
      </c>
      <c r="E187" s="736" t="n"/>
      <c r="F187" s="3" t="inlineStr">
        <is>
          <t>QUANTIDADE / KG</t>
        </is>
      </c>
      <c r="G187" s="737" t="n"/>
      <c r="H187" s="736" t="n"/>
      <c r="I187" s="631" t="inlineStr">
        <is>
          <t>PREÇO</t>
        </is>
      </c>
      <c r="J187" s="631" t="inlineStr">
        <is>
          <t>VALORES</t>
        </is>
      </c>
      <c r="K187" s="737" t="n"/>
      <c r="L187" s="736" t="n"/>
    </row>
    <row r="188" ht="15.75" customHeight="1" s="436" thickBot="1">
      <c r="A188" s="703" t="n"/>
      <c r="B188" s="704" t="n"/>
      <c r="C188" s="704" t="n"/>
      <c r="D188" s="703" t="n"/>
      <c r="E188" s="701" t="n"/>
      <c r="F188" s="705" t="n"/>
      <c r="G188" s="706" t="n"/>
      <c r="H188" s="707" t="n"/>
      <c r="I188" s="704" t="n"/>
      <c r="J188" s="703" t="n"/>
      <c r="L188" s="701" t="n"/>
    </row>
    <row r="189" ht="15.75" customHeight="1" s="436" thickBot="1">
      <c r="A189" s="703" t="n"/>
      <c r="B189" s="704" t="n"/>
      <c r="C189" s="704" t="n"/>
      <c r="D189" s="705" t="n"/>
      <c r="E189" s="707" t="n"/>
      <c r="F189" s="3" t="inlineStr">
        <is>
          <t>ENTRADA</t>
        </is>
      </c>
      <c r="G189" s="3" t="inlineStr">
        <is>
          <t>SAÍDA</t>
        </is>
      </c>
      <c r="H189" s="640" t="n"/>
      <c r="I189" s="633" t="inlineStr">
        <is>
          <t>MÉDIO</t>
        </is>
      </c>
      <c r="J189" s="652" t="inlineStr">
        <is>
          <t>SALDO EM 30/12/2017</t>
        </is>
      </c>
      <c r="K189" s="706" t="n"/>
      <c r="L189" s="17" t="n"/>
    </row>
    <row r="190" ht="15.75" customHeight="1" s="436" thickBot="1">
      <c r="A190" s="705" t="n"/>
      <c r="B190" s="695" t="n"/>
      <c r="C190" s="695" t="n"/>
      <c r="D190" s="3" t="inlineStr">
        <is>
          <t>C/ICMS</t>
        </is>
      </c>
      <c r="E190" s="3" t="inlineStr">
        <is>
          <t>S/ICMS</t>
        </is>
      </c>
      <c r="F190" s="695" t="n"/>
      <c r="G190" s="695" t="n"/>
      <c r="H190" s="18" t="inlineStr">
        <is>
          <t>Saldo em 29/02/2020</t>
        </is>
      </c>
      <c r="I190" s="695" t="n"/>
      <c r="J190" s="645" t="inlineStr">
        <is>
          <t>ENTRADA</t>
        </is>
      </c>
      <c r="K190" s="633" t="inlineStr">
        <is>
          <t>SAÍDA / CMV</t>
        </is>
      </c>
      <c r="L190" s="633" t="inlineStr">
        <is>
          <t>SALDO</t>
        </is>
      </c>
    </row>
    <row r="191">
      <c r="A191" s="48" t="n">
        <v>43982</v>
      </c>
      <c r="B191" s="49" t="n"/>
      <c r="C191" s="49" t="n"/>
      <c r="D191" s="71" t="n"/>
      <c r="E191" s="71" t="n"/>
      <c r="F191" s="55" t="n"/>
      <c r="G191" s="55" t="n">
        <v>0</v>
      </c>
      <c r="H191" s="95" t="n">
        <v>638</v>
      </c>
      <c r="I191" s="71" t="n"/>
      <c r="J191" s="747">
        <f>F191*I191</f>
        <v/>
      </c>
      <c r="K191" s="747" t="n"/>
      <c r="L191" s="748" t="n"/>
    </row>
    <row r="192">
      <c r="A192" s="297" t="n">
        <v>43985</v>
      </c>
      <c r="B192" s="96" t="inlineStr">
        <is>
          <t>7324</t>
        </is>
      </c>
      <c r="C192" s="96" t="n"/>
      <c r="D192" s="97" t="n">
        <v>55</v>
      </c>
      <c r="E192" s="97" t="n"/>
      <c r="F192" s="98" t="n"/>
      <c r="G192" s="98" t="n">
        <v>35</v>
      </c>
      <c r="H192" s="98">
        <f>H191-G192</f>
        <v/>
      </c>
      <c r="I192" s="51" t="n"/>
      <c r="J192" s="749" t="n"/>
      <c r="K192" s="749" t="n"/>
      <c r="L192" s="749" t="n"/>
    </row>
    <row r="193">
      <c r="A193" s="297" t="n">
        <v>43985</v>
      </c>
      <c r="B193" s="96" t="n">
        <v>7326</v>
      </c>
      <c r="C193" s="96" t="n"/>
      <c r="D193" s="97" t="n">
        <v>59.34</v>
      </c>
      <c r="E193" s="97" t="n"/>
      <c r="F193" s="98" t="n"/>
      <c r="G193" s="98" t="n">
        <v>30</v>
      </c>
      <c r="H193" s="98">
        <f>H192-G193</f>
        <v/>
      </c>
      <c r="I193" s="392" t="n"/>
      <c r="J193" s="392" t="n"/>
      <c r="K193" s="392" t="n"/>
      <c r="L193" s="392" t="n"/>
    </row>
    <row r="194">
      <c r="A194" s="297" t="n">
        <v>43992</v>
      </c>
      <c r="B194" s="96" t="inlineStr">
        <is>
          <t>7337</t>
        </is>
      </c>
      <c r="C194" s="96" t="n"/>
      <c r="D194" s="97" t="n">
        <v>61.1</v>
      </c>
      <c r="E194" s="97" t="n"/>
      <c r="F194" s="98" t="n"/>
      <c r="G194" s="98" t="n">
        <v>24</v>
      </c>
      <c r="H194" s="98">
        <f>H193-G194</f>
        <v/>
      </c>
      <c r="I194" s="392" t="n"/>
      <c r="J194" s="392" t="n"/>
      <c r="K194" s="392" t="n"/>
      <c r="L194" s="392" t="n"/>
    </row>
    <row r="195">
      <c r="A195" s="297" t="n">
        <v>43992</v>
      </c>
      <c r="B195" s="96" t="n">
        <v>7343</v>
      </c>
      <c r="C195" s="96" t="n"/>
      <c r="D195" s="97" t="n">
        <v>58.34</v>
      </c>
      <c r="E195" s="97" t="n"/>
      <c r="F195" s="98" t="n"/>
      <c r="G195" s="98" t="n">
        <v>15</v>
      </c>
      <c r="H195" s="98">
        <f>H194-G195</f>
        <v/>
      </c>
      <c r="I195" s="392" t="n"/>
      <c r="J195" s="392" t="n"/>
      <c r="K195" s="392" t="n"/>
      <c r="L195" s="392" t="n"/>
    </row>
    <row r="196">
      <c r="A196" s="297" t="n">
        <v>43998</v>
      </c>
      <c r="B196" s="96" t="n">
        <v>7347</v>
      </c>
      <c r="C196" s="96" t="n"/>
      <c r="D196" s="97" t="n">
        <v>55</v>
      </c>
      <c r="E196" s="97" t="n"/>
      <c r="F196" s="98" t="n"/>
      <c r="G196" s="98" t="n">
        <v>10</v>
      </c>
      <c r="H196" s="98">
        <f>H195-G196</f>
        <v/>
      </c>
      <c r="I196" s="392" t="n"/>
      <c r="J196" s="392" t="n"/>
      <c r="K196" s="392" t="n"/>
      <c r="L196" s="392" t="n"/>
    </row>
    <row r="197">
      <c r="A197" s="297" t="n">
        <v>43998</v>
      </c>
      <c r="B197" s="96" t="n">
        <v>7356</v>
      </c>
      <c r="C197" s="96" t="n"/>
      <c r="D197" s="97" t="n">
        <v>62</v>
      </c>
      <c r="E197" s="97" t="n"/>
      <c r="F197" s="98" t="n"/>
      <c r="G197" s="98" t="n">
        <v>20</v>
      </c>
      <c r="H197" s="98">
        <f>H196-G197</f>
        <v/>
      </c>
      <c r="I197" s="392" t="n"/>
      <c r="J197" s="392" t="n"/>
      <c r="K197" s="392" t="n"/>
      <c r="L197" s="392" t="n"/>
    </row>
    <row r="198">
      <c r="A198" s="297" t="n">
        <v>43998</v>
      </c>
      <c r="B198" s="96" t="inlineStr">
        <is>
          <t>7357</t>
        </is>
      </c>
      <c r="C198" s="96" t="n"/>
      <c r="D198" s="97" t="n">
        <v>60</v>
      </c>
      <c r="E198" s="97" t="n"/>
      <c r="F198" s="98" t="n"/>
      <c r="G198" s="98" t="n">
        <v>30</v>
      </c>
      <c r="H198" s="98">
        <f>H197-G198</f>
        <v/>
      </c>
      <c r="I198" s="392" t="n"/>
      <c r="J198" s="392" t="n"/>
      <c r="K198" s="392" t="n"/>
      <c r="L198" s="392" t="n"/>
    </row>
    <row r="199">
      <c r="A199" s="297" t="n">
        <v>44000</v>
      </c>
      <c r="B199" s="96" t="inlineStr">
        <is>
          <t>7365</t>
        </is>
      </c>
      <c r="C199" s="96" t="n"/>
      <c r="D199" s="97" t="n">
        <v>50</v>
      </c>
      <c r="E199" s="97" t="n"/>
      <c r="F199" s="98" t="n"/>
      <c r="G199" s="98" t="n">
        <v>20</v>
      </c>
      <c r="H199" s="98">
        <f>H198-G199</f>
        <v/>
      </c>
      <c r="I199" s="392" t="n"/>
      <c r="J199" s="392" t="n"/>
      <c r="K199" s="392" t="n"/>
      <c r="L199" s="392" t="n"/>
    </row>
    <row r="200">
      <c r="A200" s="297" t="n">
        <v>44004</v>
      </c>
      <c r="B200" s="96" t="inlineStr">
        <is>
          <t>7378</t>
        </is>
      </c>
      <c r="C200" s="96" t="n"/>
      <c r="D200" s="97" t="n">
        <v>60</v>
      </c>
      <c r="E200" s="97" t="n"/>
      <c r="F200" s="98" t="n"/>
      <c r="G200" s="98" t="n">
        <v>15</v>
      </c>
      <c r="H200" s="98">
        <f>H199-G200</f>
        <v/>
      </c>
      <c r="I200" s="392" t="n"/>
      <c r="J200" s="392" t="n"/>
      <c r="K200" s="392" t="n"/>
      <c r="L200" s="392" t="n"/>
    </row>
    <row r="201">
      <c r="A201" s="297" t="n">
        <v>44006</v>
      </c>
      <c r="B201" s="96" t="inlineStr">
        <is>
          <t>7381</t>
        </is>
      </c>
      <c r="C201" s="96" t="n"/>
      <c r="D201" s="97" t="n">
        <v>58.2</v>
      </c>
      <c r="E201" s="97" t="n"/>
      <c r="F201" s="98" t="n"/>
      <c r="G201" s="98" t="n">
        <v>25</v>
      </c>
      <c r="H201" s="98">
        <f>H200-G201</f>
        <v/>
      </c>
      <c r="I201" s="392" t="n"/>
      <c r="J201" s="392" t="n"/>
      <c r="K201" s="392" t="n"/>
      <c r="L201" s="392" t="n"/>
    </row>
    <row r="202">
      <c r="A202" s="297" t="n">
        <v>44011</v>
      </c>
      <c r="B202" s="96" t="inlineStr">
        <is>
          <t>7389</t>
        </is>
      </c>
      <c r="C202" s="96" t="n"/>
      <c r="D202" s="97" t="n">
        <v>59.9</v>
      </c>
      <c r="E202" s="97" t="n"/>
      <c r="F202" s="98" t="n"/>
      <c r="G202" s="98" t="n">
        <v>50</v>
      </c>
      <c r="H202" s="98">
        <f>H201-G202</f>
        <v/>
      </c>
      <c r="I202" s="392" t="n"/>
      <c r="J202" s="392" t="n"/>
      <c r="K202" s="392" t="n"/>
      <c r="L202" s="392" t="n"/>
    </row>
    <row r="203">
      <c r="A203" s="297" t="n"/>
      <c r="B203" s="96" t="n"/>
      <c r="C203" s="96" t="n"/>
      <c r="D203" s="97" t="n"/>
      <c r="E203" s="97" t="n"/>
      <c r="F203" s="98" t="n"/>
      <c r="G203" s="98" t="n"/>
      <c r="H203" s="98">
        <f>H202-G203</f>
        <v/>
      </c>
      <c r="I203" s="392" t="n"/>
      <c r="J203" s="392" t="n"/>
      <c r="K203" s="392" t="n"/>
      <c r="L203" s="392" t="n"/>
    </row>
    <row r="204">
      <c r="A204" s="297" t="n"/>
      <c r="B204" s="96" t="n"/>
      <c r="C204" s="96" t="n"/>
      <c r="D204" s="97" t="n"/>
      <c r="E204" s="97" t="n"/>
      <c r="F204" s="98" t="n"/>
      <c r="G204" s="98" t="n"/>
      <c r="H204" s="98">
        <f>H203-G204</f>
        <v/>
      </c>
      <c r="I204" s="392" t="n"/>
      <c r="J204" s="392" t="n"/>
      <c r="K204" s="392" t="n"/>
      <c r="L204" s="392" t="n"/>
    </row>
    <row r="205" ht="15.75" customHeight="1" s="436" thickBot="1">
      <c r="A205" s="297" t="n"/>
      <c r="B205" s="96" t="n"/>
      <c r="C205" s="96" t="n"/>
      <c r="D205" s="97" t="n"/>
      <c r="E205" s="97" t="n"/>
      <c r="F205" s="98" t="n"/>
      <c r="G205" s="98" t="n"/>
      <c r="H205" s="98">
        <f>H204-G205</f>
        <v/>
      </c>
      <c r="I205" s="392" t="n"/>
      <c r="J205" s="392" t="n"/>
      <c r="K205" s="392" t="n"/>
      <c r="L205" s="392" t="n"/>
    </row>
    <row r="206" ht="24" customHeight="1" s="436" thickBot="1">
      <c r="A206" s="745" t="inlineStr">
        <is>
          <t>JULHO</t>
        </is>
      </c>
      <c r="B206" s="737" t="n"/>
      <c r="C206" s="737" t="n"/>
      <c r="D206" s="737" t="n"/>
      <c r="E206" s="737" t="n"/>
      <c r="F206" s="737" t="n"/>
      <c r="G206" s="737" t="n"/>
      <c r="H206" s="737" t="n"/>
      <c r="I206" s="737" t="n"/>
      <c r="J206" s="737" t="n"/>
      <c r="K206" s="737" t="n"/>
      <c r="L206" s="736" t="n"/>
    </row>
    <row r="207" ht="24" customHeight="1" s="436" thickBot="1">
      <c r="A207" s="745" t="inlineStr">
        <is>
          <t xml:space="preserve">  PRÉ MISTURA -  Pão Doce 25 KG</t>
        </is>
      </c>
      <c r="B207" s="737" t="n"/>
      <c r="C207" s="737" t="n"/>
      <c r="D207" s="737" t="n"/>
      <c r="E207" s="737" t="n"/>
      <c r="F207" s="737" t="n"/>
      <c r="G207" s="737" t="n"/>
      <c r="H207" s="737" t="n"/>
      <c r="I207" s="737" t="n"/>
      <c r="J207" s="737" t="n"/>
      <c r="K207" s="737" t="n"/>
      <c r="L207" s="736" t="n"/>
    </row>
    <row r="208">
      <c r="A208" s="746" t="inlineStr">
        <is>
          <t>DATA</t>
        </is>
      </c>
      <c r="B208" s="3" t="inlineStr">
        <is>
          <t>N.F.</t>
        </is>
      </c>
      <c r="C208" s="3" t="inlineStr">
        <is>
          <t>TIPO</t>
        </is>
      </c>
      <c r="D208" s="3" t="inlineStr">
        <is>
          <t>PREÇO UNITÁRIO</t>
        </is>
      </c>
      <c r="E208" s="736" t="n"/>
      <c r="F208" s="3" t="inlineStr">
        <is>
          <t>QUANTIDADE / KG</t>
        </is>
      </c>
      <c r="G208" s="737" t="n"/>
      <c r="H208" s="736" t="n"/>
      <c r="I208" s="631" t="inlineStr">
        <is>
          <t>PREÇO</t>
        </is>
      </c>
      <c r="J208" s="631" t="inlineStr">
        <is>
          <t>VALORES</t>
        </is>
      </c>
      <c r="K208" s="737" t="n"/>
      <c r="L208" s="736" t="n"/>
    </row>
    <row r="209" ht="15.75" customHeight="1" s="436" thickBot="1">
      <c r="A209" s="703" t="n"/>
      <c r="B209" s="704" t="n"/>
      <c r="C209" s="704" t="n"/>
      <c r="D209" s="703" t="n"/>
      <c r="E209" s="701" t="n"/>
      <c r="F209" s="705" t="n"/>
      <c r="G209" s="706" t="n"/>
      <c r="H209" s="707" t="n"/>
      <c r="I209" s="704" t="n"/>
      <c r="J209" s="703" t="n"/>
      <c r="L209" s="701" t="n"/>
    </row>
    <row r="210" ht="15.75" customHeight="1" s="436" thickBot="1">
      <c r="A210" s="703" t="n"/>
      <c r="B210" s="704" t="n"/>
      <c r="C210" s="704" t="n"/>
      <c r="D210" s="705" t="n"/>
      <c r="E210" s="707" t="n"/>
      <c r="F210" s="3" t="inlineStr">
        <is>
          <t>ENTRADA</t>
        </is>
      </c>
      <c r="G210" s="3" t="inlineStr">
        <is>
          <t>SAÍDA</t>
        </is>
      </c>
      <c r="H210" s="640" t="n"/>
      <c r="I210" s="633" t="inlineStr">
        <is>
          <t>MÉDIO</t>
        </is>
      </c>
      <c r="J210" s="652" t="inlineStr">
        <is>
          <t>SALDO EM 30/12/2017</t>
        </is>
      </c>
      <c r="K210" s="706" t="n"/>
      <c r="L210" s="17" t="n"/>
    </row>
    <row r="211" ht="15.75" customHeight="1" s="436" thickBot="1">
      <c r="A211" s="705" t="n"/>
      <c r="B211" s="695" t="n"/>
      <c r="C211" s="695" t="n"/>
      <c r="D211" s="3" t="inlineStr">
        <is>
          <t>C/ICMS</t>
        </is>
      </c>
      <c r="E211" s="3" t="inlineStr">
        <is>
          <t>S/ICMS</t>
        </is>
      </c>
      <c r="F211" s="695" t="n"/>
      <c r="G211" s="695" t="n"/>
      <c r="H211" s="18" t="inlineStr">
        <is>
          <t>Saldo em30/06/2020</t>
        </is>
      </c>
      <c r="I211" s="695" t="n"/>
      <c r="J211" s="645" t="inlineStr">
        <is>
          <t>ENTRADA</t>
        </is>
      </c>
      <c r="K211" s="633" t="inlineStr">
        <is>
          <t>SAÍDA / CMV</t>
        </is>
      </c>
      <c r="L211" s="633" t="inlineStr">
        <is>
          <t>SALDO</t>
        </is>
      </c>
    </row>
    <row r="212">
      <c r="A212" s="48" t="n"/>
      <c r="B212" s="49" t="n"/>
      <c r="C212" s="49" t="n"/>
      <c r="D212" s="71" t="n"/>
      <c r="E212" s="71" t="n"/>
      <c r="F212" s="55" t="n"/>
      <c r="G212" s="55" t="n">
        <v>0</v>
      </c>
      <c r="H212" s="95" t="n">
        <v>364</v>
      </c>
      <c r="I212" s="71" t="n"/>
      <c r="J212" s="747">
        <f>F212*I212</f>
        <v/>
      </c>
      <c r="K212" s="747" t="n"/>
      <c r="L212" s="748" t="n"/>
    </row>
    <row r="213">
      <c r="A213" s="297" t="n">
        <v>44014</v>
      </c>
      <c r="B213" s="96" t="inlineStr">
        <is>
          <t>7400</t>
        </is>
      </c>
      <c r="C213" s="96" t="n"/>
      <c r="D213" s="97" t="n">
        <v>59.75</v>
      </c>
      <c r="E213" s="97" t="n"/>
      <c r="F213" s="98" t="n"/>
      <c r="G213" s="98" t="n">
        <v>40</v>
      </c>
      <c r="H213" s="98">
        <f>H212-G213</f>
        <v/>
      </c>
      <c r="I213" s="392" t="n"/>
      <c r="J213" s="392" t="n"/>
      <c r="K213" s="392" t="n"/>
      <c r="L213" s="392" t="n"/>
    </row>
    <row r="214">
      <c r="A214" s="297" t="n">
        <v>44019</v>
      </c>
      <c r="B214" s="96" t="inlineStr">
        <is>
          <t>7410</t>
        </is>
      </c>
      <c r="C214" s="96" t="n"/>
      <c r="D214" s="97" t="n">
        <v>60</v>
      </c>
      <c r="E214" s="97" t="n"/>
      <c r="F214" s="98" t="n"/>
      <c r="G214" s="98" t="n">
        <v>40</v>
      </c>
      <c r="H214" s="98">
        <f>H213-G214</f>
        <v/>
      </c>
      <c r="I214" s="392" t="n"/>
      <c r="J214" s="392" t="n"/>
      <c r="K214" s="392" t="n"/>
      <c r="L214" s="392" t="n"/>
    </row>
    <row r="215">
      <c r="A215" s="297" t="n">
        <v>44019</v>
      </c>
      <c r="B215" s="96" t="inlineStr">
        <is>
          <t>7411</t>
        </is>
      </c>
      <c r="C215" s="96" t="n"/>
      <c r="D215" s="97" t="n">
        <v>63</v>
      </c>
      <c r="E215" s="97" t="n"/>
      <c r="F215" s="98" t="n"/>
      <c r="G215" s="98" t="n">
        <v>30</v>
      </c>
      <c r="H215" s="98">
        <f>H214-G215</f>
        <v/>
      </c>
      <c r="I215" s="392" t="n"/>
      <c r="J215" s="392" t="n"/>
      <c r="K215" s="392" t="n"/>
      <c r="L215" s="392" t="n"/>
    </row>
    <row r="216">
      <c r="A216" s="568" t="n">
        <v>44027</v>
      </c>
      <c r="B216" s="392" t="n">
        <v>7433</v>
      </c>
      <c r="C216" s="392" t="n"/>
      <c r="D216" s="97" t="n">
        <v>65</v>
      </c>
      <c r="E216" s="392" t="n"/>
      <c r="F216" s="392" t="n"/>
      <c r="G216" s="392" t="n">
        <v>20</v>
      </c>
      <c r="H216" s="98">
        <f>H215-G216</f>
        <v/>
      </c>
      <c r="I216" s="392" t="n"/>
      <c r="J216" s="392" t="n"/>
      <c r="K216" s="392" t="n"/>
      <c r="L216" s="392" t="n"/>
    </row>
    <row r="217">
      <c r="A217" s="568" t="n">
        <v>44038</v>
      </c>
      <c r="B217" s="392" t="n">
        <v>7447</v>
      </c>
      <c r="C217" s="392" t="n"/>
      <c r="D217" s="392" t="n">
        <v>61.25</v>
      </c>
      <c r="E217" s="392" t="n"/>
      <c r="F217" s="392" t="n"/>
      <c r="G217" s="392" t="n">
        <v>40</v>
      </c>
      <c r="H217" s="98">
        <f>H216-G217</f>
        <v/>
      </c>
      <c r="I217" s="392" t="n"/>
      <c r="J217" s="392" t="n"/>
      <c r="K217" s="392" t="n"/>
      <c r="L217" s="392" t="n"/>
    </row>
    <row r="218">
      <c r="A218" s="392" t="n"/>
      <c r="B218" s="392" t="n"/>
      <c r="C218" s="392" t="n"/>
      <c r="D218" s="97" t="n"/>
      <c r="E218" s="392" t="n"/>
      <c r="F218" s="392" t="n"/>
      <c r="G218" s="392" t="n"/>
      <c r="H218" s="98">
        <f>H217-G218</f>
        <v/>
      </c>
      <c r="I218" s="392" t="n"/>
      <c r="J218" s="392" t="n"/>
      <c r="K218" s="392" t="n"/>
      <c r="L218" s="392" t="n"/>
    </row>
    <row r="219">
      <c r="A219" s="392" t="n"/>
      <c r="B219" s="392" t="n"/>
      <c r="C219" s="392" t="n"/>
      <c r="D219" s="97" t="n"/>
      <c r="E219" s="392" t="n"/>
      <c r="F219" s="392" t="n"/>
      <c r="G219" s="392" t="n"/>
      <c r="H219" s="98">
        <f>H218-G219</f>
        <v/>
      </c>
      <c r="I219" s="392" t="n"/>
      <c r="J219" s="392" t="n"/>
      <c r="K219" s="392" t="n"/>
      <c r="L219" s="392" t="n"/>
    </row>
    <row r="220">
      <c r="A220" s="392" t="n"/>
      <c r="B220" s="392" t="n"/>
      <c r="C220" s="392" t="n"/>
      <c r="D220" s="97" t="n"/>
      <c r="E220" s="392" t="n"/>
      <c r="F220" s="392" t="n"/>
      <c r="G220" s="392" t="n"/>
      <c r="H220" s="98">
        <f>H219-G220</f>
        <v/>
      </c>
      <c r="I220" s="392" t="n"/>
      <c r="J220" s="392" t="n"/>
      <c r="K220" s="392" t="n"/>
      <c r="L220" s="392" t="n"/>
    </row>
    <row r="221">
      <c r="A221" s="392" t="n"/>
      <c r="B221" s="392" t="n"/>
      <c r="C221" s="392" t="n"/>
      <c r="D221" s="97" t="n"/>
      <c r="E221" s="392" t="n"/>
      <c r="F221" s="392" t="n"/>
      <c r="G221" s="392" t="n"/>
      <c r="H221" s="98">
        <f>H220-G221</f>
        <v/>
      </c>
      <c r="I221" s="392" t="n"/>
      <c r="J221" s="392" t="n"/>
      <c r="K221" s="392" t="n"/>
      <c r="L221" s="392" t="n"/>
    </row>
    <row r="222" ht="15.75" customHeight="1" s="436" thickBot="1">
      <c r="A222" s="392" t="n"/>
      <c r="B222" s="392" t="n"/>
      <c r="C222" s="392" t="n"/>
      <c r="D222" s="97" t="n"/>
      <c r="E222" s="392" t="n"/>
      <c r="F222" s="392" t="n"/>
      <c r="G222" s="392" t="n"/>
      <c r="H222" s="98">
        <f>H221-G222</f>
        <v/>
      </c>
      <c r="I222" s="392" t="n"/>
      <c r="J222" s="392" t="n"/>
      <c r="K222" s="392" t="n"/>
      <c r="L222" s="392" t="n"/>
    </row>
    <row r="223" ht="24" customHeight="1" s="436" thickBot="1">
      <c r="A223" s="745" t="inlineStr">
        <is>
          <t>AGOSTO</t>
        </is>
      </c>
      <c r="B223" s="737" t="n"/>
      <c r="C223" s="737" t="n"/>
      <c r="D223" s="737" t="n"/>
      <c r="E223" s="737" t="n"/>
      <c r="F223" s="737" t="n"/>
      <c r="G223" s="737" t="n"/>
      <c r="H223" s="737" t="n"/>
      <c r="I223" s="737" t="n"/>
      <c r="J223" s="737" t="n"/>
      <c r="K223" s="737" t="n"/>
      <c r="L223" s="736" t="n"/>
    </row>
    <row r="224" ht="24" customHeight="1" s="436" thickBot="1">
      <c r="A224" s="745" t="inlineStr">
        <is>
          <t xml:space="preserve">  PRÉ MISTURA -  Pão Doce 25 KG</t>
        </is>
      </c>
      <c r="B224" s="737" t="n"/>
      <c r="C224" s="737" t="n"/>
      <c r="D224" s="737" t="n"/>
      <c r="E224" s="737" t="n"/>
      <c r="F224" s="737" t="n"/>
      <c r="G224" s="737" t="n"/>
      <c r="H224" s="737" t="n"/>
      <c r="I224" s="737" t="n"/>
      <c r="J224" s="737" t="n"/>
      <c r="K224" s="737" t="n"/>
      <c r="L224" s="736" t="n"/>
    </row>
    <row r="225">
      <c r="A225" s="746" t="inlineStr">
        <is>
          <t>DATA</t>
        </is>
      </c>
      <c r="B225" s="3" t="inlineStr">
        <is>
          <t>N.F.</t>
        </is>
      </c>
      <c r="C225" s="3" t="inlineStr">
        <is>
          <t>TIPO</t>
        </is>
      </c>
      <c r="D225" s="3" t="inlineStr">
        <is>
          <t>PREÇO UNITÁRIO</t>
        </is>
      </c>
      <c r="E225" s="736" t="n"/>
      <c r="F225" s="3" t="inlineStr">
        <is>
          <t>QUANTIDADE / KG</t>
        </is>
      </c>
      <c r="G225" s="737" t="n"/>
      <c r="H225" s="736" t="n"/>
      <c r="I225" s="631" t="inlineStr">
        <is>
          <t>PREÇO</t>
        </is>
      </c>
      <c r="J225" s="631" t="inlineStr">
        <is>
          <t>VALORES</t>
        </is>
      </c>
      <c r="K225" s="737" t="n"/>
      <c r="L225" s="736" t="n"/>
    </row>
    <row r="226" ht="15.75" customHeight="1" s="436" thickBot="1">
      <c r="A226" s="703" t="n"/>
      <c r="B226" s="704" t="n"/>
      <c r="C226" s="704" t="n"/>
      <c r="D226" s="703" t="n"/>
      <c r="E226" s="701" t="n"/>
      <c r="F226" s="705" t="n"/>
      <c r="G226" s="706" t="n"/>
      <c r="H226" s="707" t="n"/>
      <c r="I226" s="704" t="n"/>
      <c r="J226" s="703" t="n"/>
      <c r="L226" s="701" t="n"/>
    </row>
    <row r="227" ht="15.75" customHeight="1" s="436" thickBot="1">
      <c r="A227" s="703" t="n"/>
      <c r="B227" s="704" t="n"/>
      <c r="C227" s="704" t="n"/>
      <c r="D227" s="705" t="n"/>
      <c r="E227" s="707" t="n"/>
      <c r="F227" s="3" t="inlineStr">
        <is>
          <t>ENTRADA</t>
        </is>
      </c>
      <c r="G227" s="3" t="inlineStr">
        <is>
          <t>SAÍDA</t>
        </is>
      </c>
      <c r="H227" s="640" t="n"/>
      <c r="I227" s="633" t="inlineStr">
        <is>
          <t>MÉDIO</t>
        </is>
      </c>
      <c r="J227" s="652" t="inlineStr">
        <is>
          <t>SALDO EM 30/12/2017</t>
        </is>
      </c>
      <c r="K227" s="706" t="n"/>
      <c r="L227" s="17" t="n"/>
    </row>
    <row r="228" ht="15.75" customHeight="1" s="436" thickBot="1">
      <c r="A228" s="705" t="n"/>
      <c r="B228" s="695" t="n"/>
      <c r="C228" s="695" t="n"/>
      <c r="D228" s="3" t="inlineStr">
        <is>
          <t>C/ICMS</t>
        </is>
      </c>
      <c r="E228" s="3" t="inlineStr">
        <is>
          <t>S/ICMS</t>
        </is>
      </c>
      <c r="F228" s="695" t="n"/>
      <c r="G228" s="695" t="n"/>
      <c r="H228" s="18" t="inlineStr">
        <is>
          <t>Saldo em 31/07/2020</t>
        </is>
      </c>
      <c r="I228" s="695" t="n"/>
      <c r="J228" s="645" t="inlineStr">
        <is>
          <t>ENTRADA</t>
        </is>
      </c>
      <c r="K228" s="633" t="inlineStr">
        <is>
          <t>SAÍDA / CMV</t>
        </is>
      </c>
      <c r="L228" s="633" t="inlineStr">
        <is>
          <t>SALDO</t>
        </is>
      </c>
    </row>
    <row r="229">
      <c r="A229" s="48" t="n"/>
      <c r="B229" s="49" t="n"/>
      <c r="C229" s="49" t="n"/>
      <c r="D229" s="71" t="n"/>
      <c r="E229" s="71" t="n"/>
      <c r="F229" s="55" t="n"/>
      <c r="G229" s="55" t="n">
        <v>0</v>
      </c>
      <c r="H229" s="95" t="n">
        <v>194</v>
      </c>
      <c r="I229" s="71" t="n"/>
      <c r="J229" s="747">
        <f>F229*I229</f>
        <v/>
      </c>
      <c r="K229" s="747" t="n"/>
      <c r="L229" s="748" t="n"/>
    </row>
    <row r="230">
      <c r="A230" s="297" t="n">
        <v>44046</v>
      </c>
      <c r="B230" s="96" t="inlineStr">
        <is>
          <t>7469</t>
        </is>
      </c>
      <c r="C230" s="96" t="n"/>
      <c r="D230" s="97" t="n">
        <v>59</v>
      </c>
      <c r="E230" s="97" t="n"/>
      <c r="F230" s="98" t="n"/>
      <c r="G230" s="98" t="n">
        <v>15</v>
      </c>
      <c r="H230" s="98">
        <f>H229-G230</f>
        <v/>
      </c>
      <c r="I230" s="392" t="n"/>
      <c r="J230" s="392" t="n"/>
      <c r="K230" s="392" t="n"/>
      <c r="L230" s="392" t="n"/>
    </row>
    <row r="231">
      <c r="A231" s="297" t="n">
        <v>44049</v>
      </c>
      <c r="B231" s="96" t="inlineStr">
        <is>
          <t>7485</t>
        </is>
      </c>
      <c r="C231" s="96" t="n"/>
      <c r="D231" s="97" t="n">
        <v>65</v>
      </c>
      <c r="E231" s="97" t="n"/>
      <c r="F231" s="98" t="n"/>
      <c r="G231" s="98" t="n">
        <v>20</v>
      </c>
      <c r="H231" s="98">
        <f>H230-G231</f>
        <v/>
      </c>
      <c r="I231" s="392" t="n"/>
      <c r="J231" s="392" t="n"/>
      <c r="K231" s="392" t="n"/>
      <c r="L231" s="392" t="n"/>
    </row>
    <row r="232">
      <c r="A232" s="310" t="n">
        <v>44053</v>
      </c>
      <c r="B232" s="275" t="inlineStr">
        <is>
          <t>147140</t>
        </is>
      </c>
      <c r="C232" s="275" t="n"/>
      <c r="D232" s="276" t="n">
        <v>56</v>
      </c>
      <c r="E232" s="276" t="n"/>
      <c r="F232" s="277" t="n">
        <v>100</v>
      </c>
      <c r="G232" s="277" t="n"/>
      <c r="H232" s="277" t="n">
        <v>259</v>
      </c>
      <c r="I232" s="392" t="n"/>
      <c r="J232" s="392" t="n"/>
      <c r="K232" s="392" t="n"/>
      <c r="L232" s="392" t="n"/>
    </row>
    <row r="233">
      <c r="A233" s="297" t="n">
        <v>44055</v>
      </c>
      <c r="B233" s="96" t="inlineStr">
        <is>
          <t>7499</t>
        </is>
      </c>
      <c r="C233" s="96" t="n"/>
      <c r="D233" s="97" t="n">
        <v>59.07</v>
      </c>
      <c r="E233" s="97" t="n"/>
      <c r="F233" s="98" t="n"/>
      <c r="G233" s="98" t="n">
        <v>15</v>
      </c>
      <c r="H233" s="98">
        <f>H232-G233</f>
        <v/>
      </c>
      <c r="I233" s="392" t="n"/>
      <c r="J233" s="392" t="n"/>
      <c r="K233" s="392" t="n"/>
      <c r="L233" s="392" t="n"/>
    </row>
    <row r="234">
      <c r="A234" s="297" t="n">
        <v>44055</v>
      </c>
      <c r="B234" s="96" t="n">
        <v>7501</v>
      </c>
      <c r="C234" s="96" t="n"/>
      <c r="D234" s="97" t="n">
        <v>63</v>
      </c>
      <c r="E234" s="97" t="n"/>
      <c r="F234" s="98" t="n"/>
      <c r="G234" s="98" t="n">
        <v>20</v>
      </c>
      <c r="H234" s="98">
        <f>H233-G234</f>
        <v/>
      </c>
      <c r="I234" s="392" t="n"/>
      <c r="J234" s="392" t="n"/>
      <c r="K234" s="392" t="n"/>
      <c r="L234" s="392" t="n"/>
    </row>
    <row r="235">
      <c r="A235" s="327" t="n">
        <v>44061</v>
      </c>
      <c r="B235" s="328" t="n">
        <v>7517</v>
      </c>
      <c r="C235" s="328" t="n"/>
      <c r="D235" s="328" t="n">
        <v>60</v>
      </c>
      <c r="E235" s="328" t="n"/>
      <c r="F235" s="328" t="n"/>
      <c r="G235" s="328" t="n">
        <v>20</v>
      </c>
      <c r="H235" s="98">
        <f>H234-G235</f>
        <v/>
      </c>
      <c r="I235" s="392" t="n"/>
      <c r="J235" s="392" t="n"/>
      <c r="K235" s="392" t="n"/>
      <c r="L235" s="392" t="n"/>
    </row>
    <row r="236">
      <c r="A236" s="568" t="n">
        <v>44068</v>
      </c>
      <c r="B236" s="392" t="n">
        <v>7538</v>
      </c>
      <c r="C236" s="392" t="n"/>
      <c r="D236" s="97" t="n">
        <v>61.25</v>
      </c>
      <c r="E236" s="392" t="n"/>
      <c r="F236" s="392" t="n"/>
      <c r="G236" s="392" t="n">
        <v>40</v>
      </c>
      <c r="H236" s="98">
        <f>H235-G236</f>
        <v/>
      </c>
      <c r="I236" s="392" t="n"/>
      <c r="J236" s="392" t="n"/>
      <c r="K236" s="392" t="n"/>
      <c r="L236" s="392" t="n"/>
    </row>
    <row r="237">
      <c r="A237" s="334" t="n">
        <v>44070</v>
      </c>
      <c r="B237" s="401" t="n">
        <v>148263</v>
      </c>
      <c r="C237" s="401" t="n"/>
      <c r="D237" s="276" t="n">
        <v>56</v>
      </c>
      <c r="E237" s="401" t="n"/>
      <c r="F237" s="401" t="n">
        <v>150</v>
      </c>
      <c r="G237" s="401" t="n"/>
      <c r="H237" s="277" t="n">
        <v>314</v>
      </c>
      <c r="I237" s="392" t="n"/>
      <c r="J237" s="392" t="n"/>
      <c r="K237" s="392" t="n"/>
      <c r="L237" s="392" t="n"/>
    </row>
    <row r="238">
      <c r="A238" s="392" t="n"/>
      <c r="B238" s="392" t="n"/>
      <c r="C238" s="392" t="n"/>
      <c r="D238" s="392" t="n"/>
      <c r="E238" s="392" t="n"/>
      <c r="F238" s="392" t="n"/>
      <c r="G238" s="392" t="n"/>
      <c r="H238" s="98">
        <f>H237-G238</f>
        <v/>
      </c>
      <c r="I238" s="392" t="n"/>
      <c r="J238" s="392" t="n"/>
      <c r="K238" s="392" t="n"/>
      <c r="L238" s="392" t="n"/>
    </row>
    <row r="239">
      <c r="A239" s="392" t="n"/>
      <c r="B239" s="392" t="n"/>
      <c r="C239" s="392" t="n"/>
      <c r="D239" s="392" t="n"/>
      <c r="E239" s="392" t="n"/>
      <c r="F239" s="392" t="n"/>
      <c r="G239" s="392" t="n"/>
      <c r="H239" s="98">
        <f>H238-G239</f>
        <v/>
      </c>
      <c r="I239" s="392" t="n"/>
      <c r="J239" s="392" t="n"/>
      <c r="K239" s="392" t="n"/>
      <c r="L239" s="392" t="n"/>
    </row>
    <row r="240" ht="15.75" customHeight="1" s="436" thickBot="1">
      <c r="A240" s="392" t="n"/>
      <c r="B240" s="392" t="n"/>
      <c r="C240" s="392" t="n"/>
      <c r="D240" s="392" t="n"/>
      <c r="E240" s="392" t="n"/>
      <c r="F240" s="392" t="n"/>
      <c r="G240" s="392" t="n"/>
      <c r="H240" s="98">
        <f>H239-G240</f>
        <v/>
      </c>
      <c r="I240" s="392" t="n"/>
      <c r="J240" s="392" t="n"/>
      <c r="K240" s="392" t="n"/>
      <c r="L240" s="392" t="n"/>
    </row>
    <row r="241" ht="24" customHeight="1" s="436" thickBot="1">
      <c r="A241" s="745" t="inlineStr">
        <is>
          <t>Setembro</t>
        </is>
      </c>
      <c r="B241" s="737" t="n"/>
      <c r="C241" s="737" t="n"/>
      <c r="D241" s="737" t="n"/>
      <c r="E241" s="737" t="n"/>
      <c r="F241" s="737" t="n"/>
      <c r="G241" s="737" t="n"/>
      <c r="H241" s="737" t="n"/>
      <c r="I241" s="737" t="n"/>
      <c r="J241" s="737" t="n"/>
      <c r="K241" s="737" t="n"/>
      <c r="L241" s="736" t="n"/>
    </row>
    <row r="242" ht="24" customHeight="1" s="436" thickBot="1">
      <c r="A242" s="745" t="inlineStr">
        <is>
          <t xml:space="preserve">  PRÉ MISTURA -  Pão Doce 25 KG</t>
        </is>
      </c>
      <c r="B242" s="737" t="n"/>
      <c r="C242" s="737" t="n"/>
      <c r="D242" s="737" t="n"/>
      <c r="E242" s="737" t="n"/>
      <c r="F242" s="737" t="n"/>
      <c r="G242" s="737" t="n"/>
      <c r="H242" s="737" t="n"/>
      <c r="I242" s="737" t="n"/>
      <c r="J242" s="737" t="n"/>
      <c r="K242" s="737" t="n"/>
      <c r="L242" s="736" t="n"/>
    </row>
    <row r="243">
      <c r="A243" s="746" t="inlineStr">
        <is>
          <t>DATA</t>
        </is>
      </c>
      <c r="B243" s="3" t="inlineStr">
        <is>
          <t>N.F.</t>
        </is>
      </c>
      <c r="C243" s="3" t="inlineStr">
        <is>
          <t>TIPO</t>
        </is>
      </c>
      <c r="D243" s="3" t="inlineStr">
        <is>
          <t>PREÇO UNITÁRIO</t>
        </is>
      </c>
      <c r="E243" s="736" t="n"/>
      <c r="F243" s="3" t="inlineStr">
        <is>
          <t>QUANTIDADE / KG</t>
        </is>
      </c>
      <c r="G243" s="737" t="n"/>
      <c r="H243" s="736" t="n"/>
      <c r="I243" s="631" t="inlineStr">
        <is>
          <t>PREÇO</t>
        </is>
      </c>
      <c r="J243" s="631" t="inlineStr">
        <is>
          <t>VALORES</t>
        </is>
      </c>
      <c r="K243" s="737" t="n"/>
      <c r="L243" s="736" t="n"/>
    </row>
    <row r="244" ht="15.75" customHeight="1" s="436" thickBot="1">
      <c r="A244" s="703" t="n"/>
      <c r="B244" s="704" t="n"/>
      <c r="C244" s="704" t="n"/>
      <c r="D244" s="703" t="n"/>
      <c r="E244" s="701" t="n"/>
      <c r="F244" s="705" t="n"/>
      <c r="G244" s="706" t="n"/>
      <c r="H244" s="707" t="n"/>
      <c r="I244" s="704" t="n"/>
      <c r="J244" s="703" t="n"/>
      <c r="L244" s="701" t="n"/>
    </row>
    <row r="245" ht="15.75" customHeight="1" s="436" thickBot="1">
      <c r="A245" s="703" t="n"/>
      <c r="B245" s="704" t="n"/>
      <c r="C245" s="704" t="n"/>
      <c r="D245" s="705" t="n"/>
      <c r="E245" s="707" t="n"/>
      <c r="F245" s="3" t="inlineStr">
        <is>
          <t>ENTRADA</t>
        </is>
      </c>
      <c r="G245" s="3" t="inlineStr">
        <is>
          <t>SAÍDA</t>
        </is>
      </c>
      <c r="H245" s="640" t="n"/>
      <c r="I245" s="633" t="inlineStr">
        <is>
          <t>MÉDIO</t>
        </is>
      </c>
      <c r="J245" s="652" t="inlineStr">
        <is>
          <t>SALDO EM 30/12/2017</t>
        </is>
      </c>
      <c r="K245" s="706" t="n"/>
      <c r="L245" s="17" t="n"/>
    </row>
    <row r="246" ht="15.75" customHeight="1" s="436" thickBot="1">
      <c r="A246" s="705" t="n"/>
      <c r="B246" s="695" t="n"/>
      <c r="C246" s="695" t="n"/>
      <c r="D246" s="3" t="inlineStr">
        <is>
          <t>C/ICMS</t>
        </is>
      </c>
      <c r="E246" s="3" t="inlineStr">
        <is>
          <t>S/ICMS</t>
        </is>
      </c>
      <c r="F246" s="695" t="n"/>
      <c r="G246" s="695" t="n"/>
      <c r="H246" s="18" t="inlineStr">
        <is>
          <t>Saldo em 31/08/2020</t>
        </is>
      </c>
      <c r="I246" s="695" t="n"/>
      <c r="J246" s="645" t="inlineStr">
        <is>
          <t>ENTRADA</t>
        </is>
      </c>
      <c r="K246" s="633" t="inlineStr">
        <is>
          <t>SAÍDA / CMV</t>
        </is>
      </c>
      <c r="L246" s="633" t="inlineStr">
        <is>
          <t>SALDO</t>
        </is>
      </c>
    </row>
    <row r="247">
      <c r="A247" s="48" t="n"/>
      <c r="B247" s="49" t="n"/>
      <c r="C247" s="49" t="n"/>
      <c r="D247" s="71" t="n"/>
      <c r="E247" s="71" t="n"/>
      <c r="F247" s="55" t="n"/>
      <c r="G247" s="55" t="n">
        <v>0</v>
      </c>
      <c r="H247" s="95" t="n">
        <v>314</v>
      </c>
      <c r="I247" s="71" t="n"/>
      <c r="J247" s="747">
        <f>F247*I247</f>
        <v/>
      </c>
      <c r="K247" s="747" t="n"/>
      <c r="L247" s="748" t="n"/>
    </row>
    <row r="248">
      <c r="A248" s="297" t="n">
        <v>44076</v>
      </c>
      <c r="B248" s="96" t="inlineStr">
        <is>
          <t>7551</t>
        </is>
      </c>
      <c r="C248" s="96" t="n"/>
      <c r="D248" s="97" t="n">
        <v>66</v>
      </c>
      <c r="E248" s="97" t="n"/>
      <c r="F248" s="98" t="n"/>
      <c r="G248" s="98" t="n">
        <v>50</v>
      </c>
      <c r="H248" s="98">
        <f>H247-G248</f>
        <v/>
      </c>
      <c r="I248" s="392" t="n"/>
      <c r="J248" s="392" t="n"/>
      <c r="K248" s="392" t="n"/>
      <c r="L248" s="392" t="n"/>
    </row>
    <row r="249">
      <c r="A249" s="297" t="n">
        <v>44083</v>
      </c>
      <c r="B249" s="96" t="inlineStr">
        <is>
          <t>7567</t>
        </is>
      </c>
      <c r="C249" s="96" t="n"/>
      <c r="D249" s="97" t="n">
        <v>62.58</v>
      </c>
      <c r="E249" s="97" t="n"/>
      <c r="F249" s="98" t="n"/>
      <c r="G249" s="98" t="n">
        <v>35</v>
      </c>
      <c r="H249" s="98">
        <f>H248-G249</f>
        <v/>
      </c>
      <c r="I249" s="392" t="n"/>
      <c r="J249" s="392" t="n"/>
      <c r="K249" s="392" t="n"/>
      <c r="L249" s="392" t="n"/>
    </row>
    <row r="250">
      <c r="A250" s="297" t="n">
        <v>44088</v>
      </c>
      <c r="B250" s="96" t="inlineStr">
        <is>
          <t>7575</t>
        </is>
      </c>
      <c r="C250" s="297" t="n"/>
      <c r="D250" s="96" t="n">
        <v>60</v>
      </c>
      <c r="E250" s="297" t="n"/>
      <c r="F250" s="96" t="n"/>
      <c r="G250" s="98" t="n">
        <v>10</v>
      </c>
      <c r="H250" s="98">
        <f>H249-G250</f>
        <v/>
      </c>
      <c r="I250" s="392" t="n"/>
      <c r="J250" s="392" t="n"/>
      <c r="K250" s="392" t="n"/>
      <c r="L250" s="392" t="n"/>
    </row>
    <row r="251">
      <c r="A251" s="297" t="n">
        <v>44088</v>
      </c>
      <c r="B251" s="96" t="inlineStr">
        <is>
          <t>7578</t>
        </is>
      </c>
      <c r="C251" s="96" t="n"/>
      <c r="D251" s="97" t="n">
        <v>63</v>
      </c>
      <c r="E251" s="97" t="n"/>
      <c r="F251" s="98" t="n"/>
      <c r="G251" s="98" t="n">
        <v>40</v>
      </c>
      <c r="H251" s="98">
        <f>H250-G251</f>
        <v/>
      </c>
      <c r="I251" s="392" t="n"/>
      <c r="J251" s="392" t="n"/>
      <c r="K251" s="392" t="n"/>
      <c r="L251" s="392" t="n"/>
    </row>
    <row r="252">
      <c r="A252" s="297" t="n">
        <v>44091</v>
      </c>
      <c r="B252" s="96" t="inlineStr">
        <is>
          <t>7582</t>
        </is>
      </c>
      <c r="C252" s="96" t="n"/>
      <c r="D252" s="97" t="n">
        <v>62.92</v>
      </c>
      <c r="E252" s="97" t="n"/>
      <c r="F252" s="98" t="n"/>
      <c r="G252" s="98" t="n">
        <v>35</v>
      </c>
      <c r="H252" s="98">
        <f>H251-G252</f>
        <v/>
      </c>
      <c r="I252" s="392" t="n"/>
      <c r="J252" s="392" t="n"/>
      <c r="K252" s="392" t="n"/>
      <c r="L252" s="392" t="n"/>
    </row>
    <row r="253">
      <c r="A253" s="327" t="n">
        <v>44096</v>
      </c>
      <c r="B253" s="328" t="n">
        <v>7598</v>
      </c>
      <c r="C253" s="328" t="n"/>
      <c r="D253" s="328" t="n">
        <v>64</v>
      </c>
      <c r="E253" s="328" t="n"/>
      <c r="F253" s="328" t="n"/>
      <c r="G253" s="328" t="n">
        <v>20</v>
      </c>
      <c r="H253" s="98">
        <f>H252-G253</f>
        <v/>
      </c>
      <c r="I253" s="392" t="n"/>
      <c r="J253" s="392" t="n"/>
      <c r="K253" s="392" t="n"/>
      <c r="L253" s="392" t="n"/>
    </row>
    <row r="254">
      <c r="A254" s="568" t="n">
        <v>44103</v>
      </c>
      <c r="B254" s="392" t="n">
        <v>7606</v>
      </c>
      <c r="C254" s="392" t="n"/>
      <c r="D254" s="97" t="n">
        <v>60</v>
      </c>
      <c r="E254" s="392" t="n"/>
      <c r="F254" s="392" t="n"/>
      <c r="G254" s="392" t="n">
        <v>15</v>
      </c>
      <c r="H254" s="98">
        <f>H253-G254</f>
        <v/>
      </c>
      <c r="I254" s="392" t="n"/>
      <c r="J254" s="392" t="n"/>
      <c r="K254" s="392" t="n"/>
      <c r="L254" s="392" t="n"/>
    </row>
    <row r="255">
      <c r="A255" s="568" t="n">
        <v>44103</v>
      </c>
      <c r="B255" s="401" t="n">
        <v>7607</v>
      </c>
      <c r="C255" s="401" t="n"/>
      <c r="D255" s="276" t="n">
        <v>66</v>
      </c>
      <c r="E255" s="401" t="n"/>
      <c r="F255" s="401" t="n"/>
      <c r="G255" s="401" t="n">
        <v>20</v>
      </c>
      <c r="H255" s="98">
        <f>H254-G255</f>
        <v/>
      </c>
      <c r="I255" s="392" t="n"/>
      <c r="J255" s="392" t="n"/>
      <c r="K255" s="392" t="n"/>
      <c r="L255" s="392" t="n"/>
    </row>
    <row r="256">
      <c r="A256" s="392" t="n"/>
      <c r="B256" s="392" t="n"/>
      <c r="C256" s="392" t="n"/>
      <c r="D256" s="392" t="n"/>
      <c r="E256" s="392" t="n"/>
      <c r="F256" s="392" t="n"/>
      <c r="G256" s="392" t="n"/>
      <c r="H256" s="98">
        <f>H255-G256</f>
        <v/>
      </c>
      <c r="I256" s="392" t="n"/>
      <c r="J256" s="392" t="n"/>
      <c r="K256" s="392" t="n"/>
      <c r="L256" s="392" t="n"/>
    </row>
    <row r="257" ht="15.75" customHeight="1" s="436" thickBot="1">
      <c r="A257" s="392" t="n"/>
      <c r="B257" s="392" t="n"/>
      <c r="C257" s="392" t="n"/>
      <c r="D257" s="392" t="n"/>
      <c r="E257" s="392" t="n"/>
      <c r="F257" s="392" t="n"/>
      <c r="G257" s="392" t="n"/>
      <c r="H257" s="98">
        <f>H256-G257</f>
        <v/>
      </c>
      <c r="I257" s="392" t="n"/>
      <c r="J257" s="392" t="n"/>
      <c r="K257" s="392" t="n"/>
      <c r="L257" s="392" t="n"/>
    </row>
    <row r="258" ht="24" customHeight="1" s="436" thickBot="1">
      <c r="A258" s="745" t="inlineStr">
        <is>
          <t>Outubro</t>
        </is>
      </c>
      <c r="B258" s="737" t="n"/>
      <c r="C258" s="737" t="n"/>
      <c r="D258" s="737" t="n"/>
      <c r="E258" s="737" t="n"/>
      <c r="F258" s="737" t="n"/>
      <c r="G258" s="737" t="n"/>
      <c r="H258" s="737" t="n"/>
      <c r="I258" s="737" t="n"/>
      <c r="J258" s="737" t="n"/>
      <c r="K258" s="737" t="n"/>
      <c r="L258" s="736" t="n"/>
    </row>
    <row r="259" ht="24" customHeight="1" s="436" thickBot="1">
      <c r="A259" s="745" t="inlineStr">
        <is>
          <t xml:space="preserve">  PRÉ MISTURA -  Pão Doce 25 KG</t>
        </is>
      </c>
      <c r="B259" s="737" t="n"/>
      <c r="C259" s="737" t="n"/>
      <c r="D259" s="737" t="n"/>
      <c r="E259" s="737" t="n"/>
      <c r="F259" s="737" t="n"/>
      <c r="G259" s="737" t="n"/>
      <c r="H259" s="737" t="n"/>
      <c r="I259" s="737" t="n"/>
      <c r="J259" s="737" t="n"/>
      <c r="K259" s="737" t="n"/>
      <c r="L259" s="736" t="n"/>
    </row>
    <row r="260">
      <c r="A260" s="746" t="inlineStr">
        <is>
          <t>DATA</t>
        </is>
      </c>
      <c r="B260" s="3" t="inlineStr">
        <is>
          <t>N.F.</t>
        </is>
      </c>
      <c r="C260" s="3" t="inlineStr">
        <is>
          <t>TIPO</t>
        </is>
      </c>
      <c r="D260" s="3" t="inlineStr">
        <is>
          <t>PREÇO UNITÁRIO</t>
        </is>
      </c>
      <c r="E260" s="736" t="n"/>
      <c r="F260" s="3" t="inlineStr">
        <is>
          <t>QUANTIDADE / KG</t>
        </is>
      </c>
      <c r="G260" s="737" t="n"/>
      <c r="H260" s="736" t="n"/>
      <c r="I260" s="631" t="inlineStr">
        <is>
          <t>PREÇO</t>
        </is>
      </c>
      <c r="J260" s="631" t="inlineStr">
        <is>
          <t>VALORES</t>
        </is>
      </c>
      <c r="K260" s="737" t="n"/>
      <c r="L260" s="736" t="n"/>
    </row>
    <row r="261" ht="15.75" customHeight="1" s="436" thickBot="1">
      <c r="A261" s="703" t="n"/>
      <c r="B261" s="704" t="n"/>
      <c r="C261" s="704" t="n"/>
      <c r="D261" s="703" t="n"/>
      <c r="E261" s="701" t="n"/>
      <c r="F261" s="705" t="n"/>
      <c r="G261" s="706" t="n"/>
      <c r="H261" s="707" t="n"/>
      <c r="I261" s="704" t="n"/>
      <c r="J261" s="703" t="n"/>
      <c r="L261" s="701" t="n"/>
    </row>
    <row r="262" ht="15.75" customHeight="1" s="436" thickBot="1">
      <c r="A262" s="703" t="n"/>
      <c r="B262" s="704" t="n"/>
      <c r="C262" s="704" t="n"/>
      <c r="D262" s="705" t="n"/>
      <c r="E262" s="707" t="n"/>
      <c r="F262" s="3" t="inlineStr">
        <is>
          <t>ENTRADA</t>
        </is>
      </c>
      <c r="G262" s="3" t="inlineStr">
        <is>
          <t>SAÍDA</t>
        </is>
      </c>
      <c r="H262" s="640" t="n"/>
      <c r="I262" s="633" t="inlineStr">
        <is>
          <t>MÉDIO</t>
        </is>
      </c>
      <c r="J262" s="652" t="inlineStr">
        <is>
          <t>SALDO EM 30/12/2017</t>
        </is>
      </c>
      <c r="K262" s="706" t="n"/>
      <c r="L262" s="17" t="n"/>
    </row>
    <row r="263" ht="15.75" customHeight="1" s="436" thickBot="1">
      <c r="A263" s="705" t="n"/>
      <c r="B263" s="695" t="n"/>
      <c r="C263" s="695" t="n"/>
      <c r="D263" s="3" t="inlineStr">
        <is>
          <t>C/ICMS</t>
        </is>
      </c>
      <c r="E263" s="3" t="inlineStr">
        <is>
          <t>S/ICMS</t>
        </is>
      </c>
      <c r="F263" s="695" t="n"/>
      <c r="G263" s="695" t="n"/>
      <c r="H263" s="18" t="inlineStr">
        <is>
          <t>Saldo em 30/09/2020</t>
        </is>
      </c>
      <c r="I263" s="695" t="n"/>
      <c r="J263" s="645" t="inlineStr">
        <is>
          <t>ENTRADA</t>
        </is>
      </c>
      <c r="K263" s="633" t="inlineStr">
        <is>
          <t>SAÍDA / CMV</t>
        </is>
      </c>
      <c r="L263" s="633" t="inlineStr">
        <is>
          <t>SALDO</t>
        </is>
      </c>
    </row>
    <row r="264">
      <c r="A264" s="48" t="n"/>
      <c r="B264" s="49" t="n"/>
      <c r="C264" s="49" t="n"/>
      <c r="D264" s="71" t="n"/>
      <c r="E264" s="71" t="n"/>
      <c r="F264" s="55" t="n"/>
      <c r="G264" s="55" t="n">
        <v>0</v>
      </c>
      <c r="H264" s="95" t="n">
        <v>89</v>
      </c>
      <c r="I264" s="71" t="n"/>
      <c r="J264" s="747">
        <f>F264*I264</f>
        <v/>
      </c>
      <c r="K264" s="747" t="n"/>
      <c r="L264" s="748" t="n"/>
    </row>
    <row r="265">
      <c r="A265" s="297" t="n">
        <v>44110</v>
      </c>
      <c r="B265" s="96" t="inlineStr">
        <is>
          <t>7615</t>
        </is>
      </c>
      <c r="C265" s="96" t="n"/>
      <c r="D265" s="97" t="n">
        <v>66</v>
      </c>
      <c r="E265" s="97" t="n"/>
      <c r="F265" s="98" t="n"/>
      <c r="G265" s="98" t="n">
        <v>40</v>
      </c>
      <c r="H265" s="98">
        <f>H264-G265</f>
        <v/>
      </c>
      <c r="I265" s="392" t="n"/>
      <c r="J265" s="392" t="n"/>
      <c r="K265" s="392" t="n"/>
      <c r="L265" s="392" t="n"/>
    </row>
    <row r="266">
      <c r="A266" s="310" t="n">
        <v>44120</v>
      </c>
      <c r="B266" s="275" t="inlineStr">
        <is>
          <t>151124</t>
        </is>
      </c>
      <c r="C266" s="275" t="n"/>
      <c r="D266" s="276" t="n">
        <v>58.8</v>
      </c>
      <c r="E266" s="276" t="n"/>
      <c r="F266" s="277" t="n">
        <v>200</v>
      </c>
      <c r="G266" s="277" t="n"/>
      <c r="H266" s="277" t="n">
        <v>249</v>
      </c>
      <c r="I266" s="392" t="n"/>
      <c r="J266" s="392" t="n"/>
      <c r="K266" s="392" t="n"/>
      <c r="L266" s="392" t="n"/>
    </row>
    <row r="267">
      <c r="A267" s="297" t="n">
        <v>44125</v>
      </c>
      <c r="B267" s="96" t="inlineStr">
        <is>
          <t>7646</t>
        </is>
      </c>
      <c r="C267" s="96" t="n"/>
      <c r="D267" s="97" t="n">
        <v>68</v>
      </c>
      <c r="E267" s="97" t="n"/>
      <c r="F267" s="98" t="n"/>
      <c r="G267" s="98" t="n">
        <v>20</v>
      </c>
      <c r="H267" s="98">
        <f>H266-G267</f>
        <v/>
      </c>
      <c r="I267" s="392" t="n"/>
      <c r="J267" s="392" t="n"/>
      <c r="K267" s="392" t="n"/>
      <c r="L267" s="392" t="n"/>
    </row>
    <row r="268">
      <c r="A268" s="297" t="n">
        <v>44132</v>
      </c>
      <c r="B268" s="96" t="inlineStr">
        <is>
          <t>7654</t>
        </is>
      </c>
      <c r="C268" s="96" t="n"/>
      <c r="D268" s="97" t="n">
        <v>68</v>
      </c>
      <c r="E268" s="97" t="n"/>
      <c r="F268" s="98" t="n"/>
      <c r="G268" s="98" t="n">
        <v>50</v>
      </c>
      <c r="H268" s="98">
        <f>H267-G268</f>
        <v/>
      </c>
      <c r="I268" s="392" t="n"/>
      <c r="J268" s="392" t="n"/>
      <c r="K268" s="392" t="n"/>
      <c r="L268" s="392" t="n"/>
    </row>
    <row r="269">
      <c r="A269" s="297" t="n">
        <v>44132</v>
      </c>
      <c r="B269" s="96" t="inlineStr">
        <is>
          <t>7659</t>
        </is>
      </c>
      <c r="C269" s="96" t="n"/>
      <c r="D269" s="97" t="n">
        <v>63</v>
      </c>
      <c r="E269" s="97" t="n"/>
      <c r="F269" s="98" t="n"/>
      <c r="G269" s="98" t="n">
        <v>30</v>
      </c>
      <c r="H269" s="98">
        <f>H268-G269</f>
        <v/>
      </c>
      <c r="I269" s="392" t="n"/>
      <c r="J269" s="392" t="n"/>
      <c r="K269" s="392" t="n"/>
      <c r="L269" s="392" t="n"/>
    </row>
    <row r="270">
      <c r="A270" s="297" t="n"/>
      <c r="B270" s="96" t="n"/>
      <c r="C270" s="96" t="n"/>
      <c r="D270" s="97" t="n"/>
      <c r="E270" s="97" t="n"/>
      <c r="F270" s="98" t="n"/>
      <c r="G270" s="98" t="n"/>
      <c r="H270" s="98">
        <f>H269-G270</f>
        <v/>
      </c>
      <c r="I270" s="392" t="n"/>
      <c r="J270" s="392" t="n"/>
      <c r="K270" s="392" t="n"/>
      <c r="L270" s="392" t="n"/>
    </row>
    <row r="271">
      <c r="A271" s="297" t="n"/>
      <c r="B271" s="96" t="n"/>
      <c r="C271" s="96" t="n"/>
      <c r="D271" s="97" t="n"/>
      <c r="E271" s="97" t="n"/>
      <c r="F271" s="98" t="n"/>
      <c r="G271" s="98" t="n"/>
      <c r="H271" s="98">
        <f>H270-G271</f>
        <v/>
      </c>
      <c r="I271" s="392" t="n"/>
      <c r="J271" s="392" t="n"/>
      <c r="K271" s="392" t="n"/>
      <c r="L271" s="392" t="n"/>
    </row>
    <row r="272">
      <c r="A272" s="297" t="n"/>
      <c r="B272" s="96" t="n"/>
      <c r="C272" s="96" t="n"/>
      <c r="D272" s="97" t="n"/>
      <c r="E272" s="97" t="n"/>
      <c r="F272" s="98" t="n"/>
      <c r="G272" s="98" t="n"/>
      <c r="H272" s="98">
        <f>H271-G272</f>
        <v/>
      </c>
      <c r="I272" s="392" t="n"/>
      <c r="J272" s="392" t="n"/>
      <c r="K272" s="392" t="n"/>
      <c r="L272" s="392" t="n"/>
    </row>
    <row r="273" ht="15.75" customHeight="1" s="436" thickBot="1">
      <c r="A273" s="297" t="n"/>
      <c r="B273" s="96" t="n"/>
      <c r="C273" s="96" t="n"/>
      <c r="D273" s="97" t="n"/>
      <c r="E273" s="97" t="n"/>
      <c r="F273" s="98" t="n"/>
      <c r="G273" s="98" t="n"/>
      <c r="H273" s="98">
        <f>H272-G273</f>
        <v/>
      </c>
      <c r="I273" s="392" t="n"/>
      <c r="J273" s="392" t="n"/>
      <c r="K273" s="392" t="n"/>
      <c r="L273" s="392" t="n"/>
    </row>
    <row r="274" ht="24" customHeight="1" s="436" thickBot="1">
      <c r="A274" s="745" t="inlineStr">
        <is>
          <t>Novembro</t>
        </is>
      </c>
      <c r="B274" s="737" t="n"/>
      <c r="C274" s="737" t="n"/>
      <c r="D274" s="737" t="n"/>
      <c r="E274" s="737" t="n"/>
      <c r="F274" s="737" t="n"/>
      <c r="G274" s="737" t="n"/>
      <c r="H274" s="737" t="n"/>
      <c r="I274" s="737" t="n"/>
      <c r="J274" s="737" t="n"/>
      <c r="K274" s="737" t="n"/>
      <c r="L274" s="736" t="n"/>
    </row>
    <row r="275" ht="24" customHeight="1" s="436" thickBot="1">
      <c r="A275" s="745" t="inlineStr">
        <is>
          <t xml:space="preserve">  PRÉ MISTURA -  Pão Doce 25 KG</t>
        </is>
      </c>
      <c r="B275" s="737" t="n"/>
      <c r="C275" s="737" t="n"/>
      <c r="D275" s="737" t="n"/>
      <c r="E275" s="737" t="n"/>
      <c r="F275" s="737" t="n"/>
      <c r="G275" s="737" t="n"/>
      <c r="H275" s="737" t="n"/>
      <c r="I275" s="737" t="n"/>
      <c r="J275" s="737" t="n"/>
      <c r="K275" s="737" t="n"/>
      <c r="L275" s="736" t="n"/>
    </row>
    <row r="276">
      <c r="A276" s="746" t="inlineStr">
        <is>
          <t>DATA</t>
        </is>
      </c>
      <c r="B276" s="3" t="inlineStr">
        <is>
          <t>N.F.</t>
        </is>
      </c>
      <c r="C276" s="3" t="inlineStr">
        <is>
          <t>TIPO</t>
        </is>
      </c>
      <c r="D276" s="3" t="inlineStr">
        <is>
          <t>PREÇO UNITÁRIO</t>
        </is>
      </c>
      <c r="E276" s="736" t="n"/>
      <c r="F276" s="3" t="inlineStr">
        <is>
          <t>QUANTIDADE / KG</t>
        </is>
      </c>
      <c r="G276" s="737" t="n"/>
      <c r="H276" s="736" t="n"/>
      <c r="I276" s="631" t="inlineStr">
        <is>
          <t>PREÇO</t>
        </is>
      </c>
      <c r="J276" s="631" t="inlineStr">
        <is>
          <t>VALORES</t>
        </is>
      </c>
      <c r="K276" s="737" t="n"/>
      <c r="L276" s="736" t="n"/>
    </row>
    <row r="277" ht="15.75" customHeight="1" s="436" thickBot="1">
      <c r="A277" s="703" t="n"/>
      <c r="B277" s="704" t="n"/>
      <c r="C277" s="704" t="n"/>
      <c r="D277" s="703" t="n"/>
      <c r="E277" s="701" t="n"/>
      <c r="F277" s="705" t="n"/>
      <c r="G277" s="706" t="n"/>
      <c r="H277" s="707" t="n"/>
      <c r="I277" s="704" t="n"/>
      <c r="J277" s="703" t="n"/>
      <c r="L277" s="701" t="n"/>
    </row>
    <row r="278" ht="15.75" customHeight="1" s="436" thickBot="1">
      <c r="A278" s="703" t="n"/>
      <c r="B278" s="704" t="n"/>
      <c r="C278" s="704" t="n"/>
      <c r="D278" s="705" t="n"/>
      <c r="E278" s="707" t="n"/>
      <c r="F278" s="3" t="inlineStr">
        <is>
          <t>ENTRADA</t>
        </is>
      </c>
      <c r="G278" s="3" t="inlineStr">
        <is>
          <t>SAÍDA</t>
        </is>
      </c>
      <c r="H278" s="640" t="n"/>
      <c r="I278" s="633" t="inlineStr">
        <is>
          <t>MÉDIO</t>
        </is>
      </c>
      <c r="J278" s="652" t="inlineStr">
        <is>
          <t>SALDO EM 30/12/2017</t>
        </is>
      </c>
      <c r="K278" s="706" t="n"/>
      <c r="L278" s="17" t="n"/>
    </row>
    <row r="279" ht="15.75" customHeight="1" s="436" thickBot="1">
      <c r="A279" s="705" t="n"/>
      <c r="B279" s="695" t="n"/>
      <c r="C279" s="695" t="n"/>
      <c r="D279" s="3" t="inlineStr">
        <is>
          <t>C/ICMS</t>
        </is>
      </c>
      <c r="E279" s="3" t="inlineStr">
        <is>
          <t>S/ICMS</t>
        </is>
      </c>
      <c r="F279" s="695" t="n"/>
      <c r="G279" s="695" t="n"/>
      <c r="H279" s="18" t="inlineStr">
        <is>
          <t>Saldo em 31/10/2020</t>
        </is>
      </c>
      <c r="I279" s="695" t="n"/>
      <c r="J279" s="645" t="inlineStr">
        <is>
          <t>ENTRADA</t>
        </is>
      </c>
      <c r="K279" s="633" t="inlineStr">
        <is>
          <t>SAÍDA / CMV</t>
        </is>
      </c>
      <c r="L279" s="633" t="inlineStr">
        <is>
          <t>SALDO</t>
        </is>
      </c>
    </row>
    <row r="280">
      <c r="A280" s="48" t="n"/>
      <c r="B280" s="49" t="n"/>
      <c r="C280" s="49" t="n"/>
      <c r="D280" s="71" t="n"/>
      <c r="E280" s="71" t="n"/>
      <c r="F280" s="55" t="n"/>
      <c r="G280" s="55" t="n">
        <v>0</v>
      </c>
      <c r="H280" s="95" t="n">
        <v>149</v>
      </c>
      <c r="I280" s="71" t="n"/>
      <c r="J280" s="747">
        <f>F280*I280</f>
        <v/>
      </c>
      <c r="K280" s="747" t="n"/>
      <c r="L280" s="748" t="n"/>
    </row>
    <row r="281">
      <c r="A281" s="297" t="n">
        <v>44138</v>
      </c>
      <c r="B281" s="96" t="inlineStr">
        <is>
          <t>7666</t>
        </is>
      </c>
      <c r="C281" s="96" t="n"/>
      <c r="D281" s="97" t="n">
        <v>63.6</v>
      </c>
      <c r="E281" s="97" t="n"/>
      <c r="F281" s="98" t="n"/>
      <c r="G281" s="98" t="n">
        <v>10</v>
      </c>
      <c r="H281" s="98">
        <f>H280-G281</f>
        <v/>
      </c>
      <c r="I281" s="392" t="n"/>
      <c r="J281" s="392" t="n"/>
      <c r="K281" s="392" t="n"/>
      <c r="L281" s="392" t="n"/>
    </row>
    <row r="282">
      <c r="A282" s="297" t="n">
        <v>44138</v>
      </c>
      <c r="B282" s="96" t="inlineStr">
        <is>
          <t>7668</t>
        </is>
      </c>
      <c r="C282" s="96" t="n"/>
      <c r="D282" s="97" t="n">
        <v>66</v>
      </c>
      <c r="E282" s="97" t="n"/>
      <c r="F282" s="98" t="n"/>
      <c r="G282" s="98" t="n">
        <v>40</v>
      </c>
      <c r="H282" s="98">
        <f>H281-G282</f>
        <v/>
      </c>
      <c r="I282" s="392" t="n"/>
      <c r="J282" s="392" t="n"/>
      <c r="K282" s="392" t="n"/>
      <c r="L282" s="392" t="n"/>
    </row>
    <row r="283">
      <c r="A283" s="297" t="n">
        <v>44146</v>
      </c>
      <c r="B283" s="96" t="inlineStr">
        <is>
          <t>7687</t>
        </is>
      </c>
      <c r="C283" s="96" t="n"/>
      <c r="D283" s="97" t="n">
        <v>63</v>
      </c>
      <c r="E283" s="97" t="n"/>
      <c r="F283" s="98" t="n"/>
      <c r="G283" s="98" t="n">
        <v>10</v>
      </c>
      <c r="H283" s="98">
        <f>H282-G283</f>
        <v/>
      </c>
      <c r="I283" s="392" t="n"/>
      <c r="J283" s="392" t="n"/>
      <c r="K283" s="392" t="n"/>
      <c r="L283" s="392" t="n"/>
    </row>
    <row r="284">
      <c r="A284" s="297" t="n">
        <v>44146</v>
      </c>
      <c r="B284" s="96" t="inlineStr">
        <is>
          <t>7688</t>
        </is>
      </c>
      <c r="C284" s="96" t="n"/>
      <c r="D284" s="97" t="n">
        <v>68</v>
      </c>
      <c r="E284" s="97" t="n"/>
      <c r="F284" s="98" t="n"/>
      <c r="G284" s="98" t="n">
        <v>10</v>
      </c>
      <c r="H284" s="98">
        <f>H283-G284</f>
        <v/>
      </c>
      <c r="I284" s="392" t="n"/>
      <c r="J284" s="392" t="n"/>
      <c r="K284" s="392" t="n"/>
      <c r="L284" s="392" t="n"/>
    </row>
    <row r="285">
      <c r="A285" s="297" t="n">
        <v>44146</v>
      </c>
      <c r="B285" s="96" t="inlineStr">
        <is>
          <t>7691</t>
        </is>
      </c>
      <c r="C285" s="96" t="n"/>
      <c r="D285" s="97" t="n">
        <v>68</v>
      </c>
      <c r="E285" s="97" t="n"/>
      <c r="F285" s="98" t="n"/>
      <c r="G285" s="98" t="n">
        <v>20</v>
      </c>
      <c r="H285" s="98">
        <f>H284-G285</f>
        <v/>
      </c>
      <c r="I285" s="392" t="n"/>
      <c r="J285" s="392" t="n"/>
      <c r="K285" s="392" t="n"/>
      <c r="L285" s="392" t="n"/>
    </row>
    <row r="286">
      <c r="A286" s="297" t="n">
        <v>44163</v>
      </c>
      <c r="B286" s="96" t="inlineStr">
        <is>
          <t>7720</t>
        </is>
      </c>
      <c r="C286" s="96" t="n"/>
      <c r="D286" s="97" t="n">
        <v>70</v>
      </c>
      <c r="E286" s="97" t="n"/>
      <c r="F286" s="98" t="n"/>
      <c r="G286" s="98" t="n">
        <v>20</v>
      </c>
      <c r="H286" s="98">
        <f>H285-G286</f>
        <v/>
      </c>
      <c r="I286" s="392" t="n"/>
      <c r="J286" s="392" t="n"/>
      <c r="K286" s="392" t="n"/>
      <c r="L286" s="392" t="n"/>
    </row>
    <row r="287">
      <c r="A287" s="310" t="n">
        <v>44163</v>
      </c>
      <c r="B287" s="275" t="inlineStr">
        <is>
          <t>753112</t>
        </is>
      </c>
      <c r="C287" s="275" t="n"/>
      <c r="D287" s="276" t="n">
        <v>64</v>
      </c>
      <c r="E287" s="276" t="n"/>
      <c r="F287" s="277" t="n">
        <v>240</v>
      </c>
      <c r="G287" s="277" t="n"/>
      <c r="H287" s="277" t="n">
        <v>279</v>
      </c>
      <c r="I287" s="392" t="n"/>
      <c r="J287" s="392" t="n"/>
      <c r="K287" s="392" t="n"/>
      <c r="L287" s="392" t="n"/>
    </row>
    <row r="288">
      <c r="A288" s="297" t="n"/>
      <c r="B288" s="96" t="n"/>
      <c r="C288" s="96" t="n"/>
      <c r="D288" s="97" t="n"/>
      <c r="E288" s="97" t="n"/>
      <c r="F288" s="98" t="n"/>
      <c r="G288" s="98" t="n"/>
      <c r="H288" s="98" t="n">
        <v>279</v>
      </c>
      <c r="I288" s="392" t="n"/>
      <c r="J288" s="392" t="n"/>
      <c r="K288" s="392" t="n"/>
      <c r="L288" s="392" t="n"/>
    </row>
    <row r="289">
      <c r="A289" s="297" t="n"/>
      <c r="B289" s="96" t="n"/>
      <c r="C289" s="96" t="n"/>
      <c r="D289" s="97" t="n"/>
      <c r="E289" s="97" t="n"/>
      <c r="F289" s="98" t="n"/>
      <c r="G289" s="98" t="n"/>
      <c r="H289" s="98" t="n">
        <v>279</v>
      </c>
      <c r="I289" s="392" t="n"/>
      <c r="J289" s="392" t="n"/>
      <c r="K289" s="392" t="n"/>
      <c r="L289" s="392" t="n"/>
    </row>
    <row r="290">
      <c r="A290" s="297" t="n"/>
      <c r="B290" s="96" t="n"/>
      <c r="C290" s="96" t="n"/>
      <c r="D290" s="97" t="n"/>
      <c r="E290" s="97" t="n"/>
      <c r="F290" s="98" t="n"/>
      <c r="G290" s="98" t="n"/>
      <c r="H290" s="98" t="n"/>
      <c r="I290" s="392" t="n"/>
      <c r="J290" s="392" t="n"/>
      <c r="K290" s="392" t="n"/>
      <c r="L290" s="392" t="n"/>
    </row>
    <row r="291" ht="15.75" customHeight="1" s="436" thickBot="1"/>
    <row r="292" ht="24" customHeight="1" s="436" thickBot="1">
      <c r="A292" s="745" t="inlineStr">
        <is>
          <t>Dezembro</t>
        </is>
      </c>
      <c r="B292" s="737" t="n"/>
      <c r="C292" s="737" t="n"/>
      <c r="D292" s="737" t="n"/>
      <c r="E292" s="737" t="n"/>
      <c r="F292" s="737" t="n"/>
      <c r="G292" s="737" t="n"/>
      <c r="H292" s="737" t="n"/>
      <c r="I292" s="737" t="n"/>
      <c r="J292" s="737" t="n"/>
      <c r="K292" s="737" t="n"/>
      <c r="L292" s="736" t="n"/>
    </row>
    <row r="293" ht="24" customHeight="1" s="436" thickBot="1">
      <c r="A293" s="745" t="inlineStr">
        <is>
          <t xml:space="preserve">  PRÉ MISTURA -  Pão Doce 25 KG</t>
        </is>
      </c>
      <c r="B293" s="737" t="n"/>
      <c r="C293" s="737" t="n"/>
      <c r="D293" s="737" t="n"/>
      <c r="E293" s="737" t="n"/>
      <c r="F293" s="737" t="n"/>
      <c r="G293" s="737" t="n"/>
      <c r="H293" s="737" t="n"/>
      <c r="I293" s="737" t="n"/>
      <c r="J293" s="737" t="n"/>
      <c r="K293" s="737" t="n"/>
      <c r="L293" s="736" t="n"/>
    </row>
    <row r="294">
      <c r="A294" s="746" t="inlineStr">
        <is>
          <t>DATA</t>
        </is>
      </c>
      <c r="B294" s="3" t="inlineStr">
        <is>
          <t>N.F.</t>
        </is>
      </c>
      <c r="C294" s="3" t="inlineStr">
        <is>
          <t>TIPO</t>
        </is>
      </c>
      <c r="D294" s="3" t="inlineStr">
        <is>
          <t>PREÇO UNITÁRIO</t>
        </is>
      </c>
      <c r="E294" s="736" t="n"/>
      <c r="F294" s="3" t="inlineStr">
        <is>
          <t>QUANTIDADE / KG</t>
        </is>
      </c>
      <c r="G294" s="737" t="n"/>
      <c r="H294" s="736" t="n"/>
      <c r="I294" s="631" t="inlineStr">
        <is>
          <t>PREÇO</t>
        </is>
      </c>
      <c r="J294" s="631" t="inlineStr">
        <is>
          <t>VALORES</t>
        </is>
      </c>
      <c r="K294" s="737" t="n"/>
      <c r="L294" s="736" t="n"/>
    </row>
    <row r="295" ht="15.75" customHeight="1" s="436" thickBot="1">
      <c r="A295" s="703" t="n"/>
      <c r="B295" s="704" t="n"/>
      <c r="C295" s="704" t="n"/>
      <c r="D295" s="703" t="n"/>
      <c r="E295" s="701" t="n"/>
      <c r="F295" s="705" t="n"/>
      <c r="G295" s="706" t="n"/>
      <c r="H295" s="707" t="n"/>
      <c r="I295" s="704" t="n"/>
      <c r="J295" s="703" t="n"/>
      <c r="L295" s="701" t="n"/>
    </row>
    <row r="296" ht="15.75" customHeight="1" s="436" thickBot="1">
      <c r="A296" s="703" t="n"/>
      <c r="B296" s="704" t="n"/>
      <c r="C296" s="704" t="n"/>
      <c r="D296" s="705" t="n"/>
      <c r="E296" s="707" t="n"/>
      <c r="F296" s="3" t="inlineStr">
        <is>
          <t>ENTRADA</t>
        </is>
      </c>
      <c r="G296" s="3" t="inlineStr">
        <is>
          <t>SAÍDA</t>
        </is>
      </c>
      <c r="H296" s="640" t="n"/>
      <c r="I296" s="633" t="inlineStr">
        <is>
          <t>MÉDIO</t>
        </is>
      </c>
      <c r="J296" s="652" t="inlineStr">
        <is>
          <t>SALDO EM 30/12/2017</t>
        </is>
      </c>
      <c r="K296" s="706" t="n"/>
      <c r="L296" s="17" t="n"/>
    </row>
    <row r="297" ht="15.75" customHeight="1" s="436" thickBot="1">
      <c r="A297" s="705" t="n"/>
      <c r="B297" s="695" t="n"/>
      <c r="C297" s="695" t="n"/>
      <c r="D297" s="3" t="inlineStr">
        <is>
          <t>C/ICMS</t>
        </is>
      </c>
      <c r="E297" s="3" t="inlineStr">
        <is>
          <t>S/ICMS</t>
        </is>
      </c>
      <c r="F297" s="695" t="n"/>
      <c r="G297" s="695" t="n"/>
      <c r="H297" s="18" t="inlineStr">
        <is>
          <t>Saldo em 31/10/2020</t>
        </is>
      </c>
      <c r="I297" s="695" t="n"/>
      <c r="J297" s="645" t="inlineStr">
        <is>
          <t>ENTRADA</t>
        </is>
      </c>
      <c r="K297" s="633" t="inlineStr">
        <is>
          <t>SAÍDA / CMV</t>
        </is>
      </c>
      <c r="L297" s="633" t="inlineStr">
        <is>
          <t>SALDO</t>
        </is>
      </c>
    </row>
    <row r="298">
      <c r="A298" s="48" t="n"/>
      <c r="B298" s="49" t="n"/>
      <c r="C298" s="49" t="n"/>
      <c r="D298" s="71" t="n"/>
      <c r="E298" s="71" t="n"/>
      <c r="F298" s="55" t="n"/>
      <c r="G298" s="55" t="n">
        <v>0</v>
      </c>
      <c r="H298" s="95" t="n">
        <v>279</v>
      </c>
      <c r="I298" s="71" t="n"/>
      <c r="J298" s="747">
        <f>F298*I298</f>
        <v/>
      </c>
      <c r="K298" s="747" t="n"/>
      <c r="L298" s="748" t="n"/>
    </row>
    <row r="299">
      <c r="A299" s="297" t="n">
        <v>44173</v>
      </c>
      <c r="B299" s="96" t="inlineStr">
        <is>
          <t>7739</t>
        </is>
      </c>
      <c r="C299" s="96" t="n"/>
      <c r="D299" s="97" t="n">
        <v>72</v>
      </c>
      <c r="E299" s="97" t="n"/>
      <c r="F299" s="98" t="n"/>
      <c r="G299" s="98" t="n">
        <v>20</v>
      </c>
      <c r="H299" s="98">
        <f>H298-G299</f>
        <v/>
      </c>
      <c r="I299" s="392" t="n"/>
      <c r="J299" s="392" t="n"/>
      <c r="K299" s="392" t="n"/>
      <c r="L299" s="392" t="n"/>
    </row>
    <row r="300">
      <c r="A300" s="392" t="n"/>
      <c r="B300" s="392" t="n"/>
      <c r="C300" s="392" t="n"/>
      <c r="D300" s="392" t="n"/>
      <c r="E300" s="392" t="n"/>
      <c r="F300" s="392" t="n"/>
      <c r="G300" s="392" t="n"/>
      <c r="H300" s="98">
        <f>H299-G300</f>
        <v/>
      </c>
      <c r="I300" s="392" t="n"/>
      <c r="J300" s="392" t="n"/>
      <c r="K300" s="392" t="n"/>
      <c r="L300" s="392" t="n"/>
    </row>
    <row r="301">
      <c r="A301" s="392" t="n"/>
      <c r="B301" s="392" t="n"/>
      <c r="C301" s="392" t="n"/>
      <c r="D301" s="392" t="n"/>
      <c r="E301" s="392" t="n"/>
      <c r="F301" s="392" t="n"/>
      <c r="G301" s="392" t="n"/>
      <c r="H301" s="98">
        <f>H300-G301</f>
        <v/>
      </c>
      <c r="I301" s="392" t="n"/>
      <c r="J301" s="392" t="n"/>
      <c r="K301" s="392" t="n"/>
      <c r="L301" s="392" t="n"/>
    </row>
    <row r="302" ht="15.75" customHeight="1" s="436" thickBot="1">
      <c r="A302" s="392" t="n"/>
      <c r="B302" s="392" t="n"/>
      <c r="C302" s="392" t="n"/>
      <c r="D302" s="392" t="n"/>
      <c r="E302" s="392" t="n"/>
      <c r="F302" s="392" t="n"/>
      <c r="G302" s="392" t="n"/>
      <c r="H302" s="98">
        <f>H301-G302</f>
        <v/>
      </c>
      <c r="I302" s="392" t="n"/>
      <c r="J302" s="392" t="n"/>
      <c r="K302" s="392" t="n"/>
      <c r="L302" s="392" t="n"/>
    </row>
    <row r="303" ht="24" customHeight="1" s="436" thickBot="1">
      <c r="A303" s="745" t="inlineStr">
        <is>
          <t>Janeiro</t>
        </is>
      </c>
      <c r="B303" s="737" t="n"/>
      <c r="C303" s="737" t="n"/>
      <c r="D303" s="737" t="n"/>
      <c r="E303" s="737" t="n"/>
      <c r="F303" s="737" t="n"/>
      <c r="G303" s="737" t="n"/>
      <c r="H303" s="737" t="n"/>
      <c r="I303" s="737" t="n"/>
      <c r="J303" s="737" t="n"/>
      <c r="K303" s="737" t="n"/>
      <c r="L303" s="736" t="n"/>
    </row>
    <row r="304" ht="24" customHeight="1" s="436" thickBot="1">
      <c r="A304" s="745" t="inlineStr">
        <is>
          <t xml:space="preserve">  PRÉ MISTURA -  Pão Doce 25 KG</t>
        </is>
      </c>
      <c r="B304" s="737" t="n"/>
      <c r="C304" s="737" t="n"/>
      <c r="D304" s="737" t="n"/>
      <c r="E304" s="737" t="n"/>
      <c r="F304" s="737" t="n"/>
      <c r="G304" s="737" t="n"/>
      <c r="H304" s="737" t="n"/>
      <c r="I304" s="737" t="n"/>
      <c r="J304" s="737" t="n"/>
      <c r="K304" s="737" t="n"/>
      <c r="L304" s="736" t="n"/>
    </row>
    <row r="305">
      <c r="A305" s="746" t="inlineStr">
        <is>
          <t>DATA</t>
        </is>
      </c>
      <c r="B305" s="3" t="inlineStr">
        <is>
          <t>N.F.</t>
        </is>
      </c>
      <c r="C305" s="3" t="inlineStr">
        <is>
          <t>TIPO</t>
        </is>
      </c>
      <c r="D305" s="3" t="inlineStr">
        <is>
          <t>PREÇO UNITÁRIO</t>
        </is>
      </c>
      <c r="E305" s="736" t="n"/>
      <c r="F305" s="3" t="inlineStr">
        <is>
          <t>QUANTIDADE / KG</t>
        </is>
      </c>
      <c r="G305" s="737" t="n"/>
      <c r="H305" s="736" t="n"/>
      <c r="I305" s="631" t="inlineStr">
        <is>
          <t>PREÇO</t>
        </is>
      </c>
      <c r="J305" s="631" t="inlineStr">
        <is>
          <t>VALORES</t>
        </is>
      </c>
      <c r="K305" s="737" t="n"/>
      <c r="L305" s="736" t="n"/>
    </row>
    <row r="306" ht="15.75" customHeight="1" s="436" thickBot="1">
      <c r="A306" s="703" t="n"/>
      <c r="B306" s="704" t="n"/>
      <c r="C306" s="704" t="n"/>
      <c r="D306" s="703" t="n"/>
      <c r="E306" s="701" t="n"/>
      <c r="F306" s="705" t="n"/>
      <c r="G306" s="706" t="n"/>
      <c r="H306" s="707" t="n"/>
      <c r="I306" s="704" t="n"/>
      <c r="J306" s="703" t="n"/>
      <c r="L306" s="701" t="n"/>
    </row>
    <row r="307" ht="15.75" customHeight="1" s="436" thickBot="1">
      <c r="A307" s="703" t="n"/>
      <c r="B307" s="704" t="n"/>
      <c r="C307" s="704" t="n"/>
      <c r="D307" s="705" t="n"/>
      <c r="E307" s="707" t="n"/>
      <c r="F307" s="3" t="inlineStr">
        <is>
          <t>ENTRADA</t>
        </is>
      </c>
      <c r="G307" s="3" t="inlineStr">
        <is>
          <t>SAÍDA</t>
        </is>
      </c>
      <c r="H307" s="640" t="n"/>
      <c r="I307" s="633" t="inlineStr">
        <is>
          <t>MÉDIO</t>
        </is>
      </c>
      <c r="J307" s="652" t="inlineStr">
        <is>
          <t>SALDO EM 30/12/2017</t>
        </is>
      </c>
      <c r="K307" s="706" t="n"/>
      <c r="L307" s="17" t="n"/>
    </row>
    <row r="308" ht="15.75" customHeight="1" s="436" thickBot="1">
      <c r="A308" s="705" t="n"/>
      <c r="B308" s="695" t="n"/>
      <c r="C308" s="695" t="n"/>
      <c r="D308" s="3" t="inlineStr">
        <is>
          <t>C/ICMS</t>
        </is>
      </c>
      <c r="E308" s="3" t="inlineStr">
        <is>
          <t>S/ICMS</t>
        </is>
      </c>
      <c r="F308" s="695" t="n"/>
      <c r="G308" s="695" t="n"/>
      <c r="H308" s="18" t="n">
        <v>44196</v>
      </c>
      <c r="I308" s="695" t="n"/>
      <c r="J308" s="645" t="inlineStr">
        <is>
          <t>ENTRADA</t>
        </is>
      </c>
      <c r="K308" s="633" t="inlineStr">
        <is>
          <t>SAÍDA / CMV</t>
        </is>
      </c>
      <c r="L308" s="633" t="inlineStr">
        <is>
          <t>SALDO</t>
        </is>
      </c>
    </row>
    <row r="309">
      <c r="A309" s="48" t="n"/>
      <c r="B309" s="49" t="n"/>
      <c r="C309" s="49" t="n"/>
      <c r="D309" s="71" t="n"/>
      <c r="E309" s="71" t="n"/>
      <c r="F309" s="55" t="n"/>
      <c r="G309" s="55" t="n">
        <v>0</v>
      </c>
      <c r="H309" s="95" t="n">
        <v>259</v>
      </c>
      <c r="I309" s="71" t="n"/>
      <c r="J309" s="747">
        <f>F309*I309</f>
        <v/>
      </c>
      <c r="K309" s="747" t="n"/>
      <c r="L309" s="748" t="n"/>
    </row>
    <row r="310">
      <c r="A310" s="297" t="n">
        <v>44200</v>
      </c>
      <c r="B310" s="96" t="inlineStr">
        <is>
          <t>7777</t>
        </is>
      </c>
      <c r="C310" s="96" t="n"/>
      <c r="D310" s="97" t="n">
        <v>66.84999999999999</v>
      </c>
      <c r="E310" s="97" t="n"/>
      <c r="F310" s="98" t="n"/>
      <c r="G310" s="98" t="n">
        <v>30</v>
      </c>
      <c r="H310" s="98">
        <f>H309-G310</f>
        <v/>
      </c>
      <c r="I310" s="392" t="n"/>
      <c r="J310" s="392" t="n"/>
      <c r="K310" s="392" t="n"/>
      <c r="L310" s="392" t="n"/>
    </row>
    <row r="311">
      <c r="A311" s="568" t="n">
        <v>43843</v>
      </c>
      <c r="B311" s="392" t="n">
        <v>7800</v>
      </c>
      <c r="C311" s="392" t="n"/>
      <c r="D311" s="392" t="n">
        <v>72</v>
      </c>
      <c r="E311" s="392" t="n"/>
      <c r="F311" s="392" t="n"/>
      <c r="G311" s="392" t="n">
        <v>20</v>
      </c>
      <c r="H311" s="98">
        <f>H310-G311</f>
        <v/>
      </c>
      <c r="I311" s="392" t="n"/>
      <c r="J311" s="392" t="n"/>
      <c r="K311" s="392" t="n"/>
      <c r="L311" s="392" t="n"/>
    </row>
    <row r="312">
      <c r="A312" s="334" t="n">
        <v>44210</v>
      </c>
      <c r="B312" s="401" t="n">
        <v>157436</v>
      </c>
      <c r="C312" s="401" t="n"/>
      <c r="D312" s="401" t="n">
        <v>60.5</v>
      </c>
      <c r="E312" s="401" t="n"/>
      <c r="F312" s="401" t="n">
        <v>150</v>
      </c>
      <c r="G312" s="401" t="n"/>
      <c r="H312" s="277" t="n">
        <v>359</v>
      </c>
      <c r="I312" s="392" t="n"/>
      <c r="J312" s="392" t="n"/>
      <c r="K312" s="392" t="n"/>
      <c r="L312" s="392" t="n"/>
    </row>
    <row r="313">
      <c r="A313" s="392" t="n"/>
      <c r="B313" s="392" t="n"/>
      <c r="C313" s="392" t="n"/>
      <c r="D313" s="392" t="n"/>
      <c r="E313" s="392" t="n"/>
      <c r="F313" s="392" t="n"/>
      <c r="G313" s="392" t="n"/>
      <c r="H313" s="98">
        <f>H312-G313</f>
        <v/>
      </c>
      <c r="I313" s="392" t="n"/>
      <c r="J313" s="392" t="n"/>
      <c r="K313" s="392" t="n"/>
      <c r="L313" s="392" t="n"/>
    </row>
    <row r="314">
      <c r="A314" s="392" t="n"/>
      <c r="B314" s="392" t="n"/>
      <c r="C314" s="392" t="n"/>
      <c r="D314" s="392" t="n"/>
      <c r="E314" s="392" t="n"/>
      <c r="F314" s="392" t="n"/>
      <c r="G314" s="392" t="n"/>
      <c r="H314" s="98">
        <f>H313-G314</f>
        <v/>
      </c>
      <c r="I314" s="392" t="n"/>
      <c r="J314" s="392" t="n"/>
      <c r="K314" s="392" t="n"/>
      <c r="L314" s="392" t="n"/>
    </row>
    <row r="315">
      <c r="A315" s="392" t="n"/>
      <c r="B315" s="392" t="n"/>
      <c r="C315" s="392" t="n"/>
      <c r="D315" s="392" t="n"/>
      <c r="E315" s="392" t="n"/>
      <c r="F315" s="392" t="n"/>
      <c r="G315" s="392" t="n"/>
      <c r="H315" s="98">
        <f>H314-G315</f>
        <v/>
      </c>
      <c r="I315" s="392" t="n"/>
      <c r="J315" s="392" t="n"/>
      <c r="K315" s="392" t="n"/>
      <c r="L315" s="392" t="n"/>
    </row>
    <row r="316"/>
    <row r="317" ht="15.75" customHeight="1" s="436" thickBot="1"/>
    <row r="318" ht="24" customHeight="1" s="436" thickBot="1">
      <c r="A318" s="745" t="inlineStr">
        <is>
          <t>Fevereiro</t>
        </is>
      </c>
      <c r="B318" s="737" t="n"/>
      <c r="C318" s="737" t="n"/>
      <c r="D318" s="737" t="n"/>
      <c r="E318" s="737" t="n"/>
      <c r="F318" s="737" t="n"/>
      <c r="G318" s="737" t="n"/>
      <c r="H318" s="737" t="n"/>
      <c r="I318" s="737" t="n"/>
      <c r="J318" s="737" t="n"/>
      <c r="K318" s="737" t="n"/>
      <c r="L318" s="736" t="n"/>
    </row>
    <row r="319" ht="24" customHeight="1" s="436" thickBot="1">
      <c r="A319" s="745" t="inlineStr">
        <is>
          <t xml:space="preserve">  PRÉ MISTURA -  Pão Doce 25 KG</t>
        </is>
      </c>
      <c r="B319" s="737" t="n"/>
      <c r="C319" s="737" t="n"/>
      <c r="D319" s="737" t="n"/>
      <c r="E319" s="737" t="n"/>
      <c r="F319" s="737" t="n"/>
      <c r="G319" s="737" t="n"/>
      <c r="H319" s="737" t="n"/>
      <c r="I319" s="737" t="n"/>
      <c r="J319" s="737" t="n"/>
      <c r="K319" s="737" t="n"/>
      <c r="L319" s="736" t="n"/>
    </row>
    <row r="320">
      <c r="A320" s="746" t="inlineStr">
        <is>
          <t>DATA</t>
        </is>
      </c>
      <c r="B320" s="3" t="inlineStr">
        <is>
          <t>N.F.</t>
        </is>
      </c>
      <c r="C320" s="3" t="inlineStr">
        <is>
          <t>TIPO</t>
        </is>
      </c>
      <c r="D320" s="3" t="inlineStr">
        <is>
          <t>PREÇO UNITÁRIO</t>
        </is>
      </c>
      <c r="E320" s="736" t="n"/>
      <c r="F320" s="3" t="inlineStr">
        <is>
          <t>QUANTIDADE / KG</t>
        </is>
      </c>
      <c r="G320" s="737" t="n"/>
      <c r="H320" s="736" t="n"/>
      <c r="I320" s="631" t="inlineStr">
        <is>
          <t>PREÇO</t>
        </is>
      </c>
      <c r="J320" s="631" t="inlineStr">
        <is>
          <t>VALORES</t>
        </is>
      </c>
      <c r="K320" s="737" t="n"/>
      <c r="L320" s="736" t="n"/>
    </row>
    <row r="321" ht="15.75" customHeight="1" s="436" thickBot="1">
      <c r="A321" s="703" t="n"/>
      <c r="B321" s="704" t="n"/>
      <c r="C321" s="704" t="n"/>
      <c r="D321" s="703" t="n"/>
      <c r="E321" s="701" t="n"/>
      <c r="F321" s="705" t="n"/>
      <c r="G321" s="706" t="n"/>
      <c r="H321" s="707" t="n"/>
      <c r="I321" s="704" t="n"/>
      <c r="J321" s="703" t="n"/>
      <c r="L321" s="701" t="n"/>
    </row>
    <row r="322" ht="15.75" customHeight="1" s="436" thickBot="1">
      <c r="A322" s="703" t="n"/>
      <c r="B322" s="704" t="n"/>
      <c r="C322" s="704" t="n"/>
      <c r="D322" s="705" t="n"/>
      <c r="E322" s="707" t="n"/>
      <c r="F322" s="3" t="inlineStr">
        <is>
          <t>ENTRADA</t>
        </is>
      </c>
      <c r="G322" s="3" t="inlineStr">
        <is>
          <t>SAÍDA</t>
        </is>
      </c>
      <c r="H322" s="640" t="n"/>
      <c r="I322" s="633" t="inlineStr">
        <is>
          <t>MÉDIO</t>
        </is>
      </c>
      <c r="J322" s="652" t="inlineStr">
        <is>
          <t>SALDO EM 30/12/2017</t>
        </is>
      </c>
      <c r="K322" s="706" t="n"/>
      <c r="L322" s="17" t="n"/>
    </row>
    <row r="323" ht="15.75" customHeight="1" s="436" thickBot="1">
      <c r="A323" s="705" t="n"/>
      <c r="B323" s="695" t="n"/>
      <c r="C323" s="695" t="n"/>
      <c r="D323" s="3" t="inlineStr">
        <is>
          <t>C/ICMS</t>
        </is>
      </c>
      <c r="E323" s="3" t="inlineStr">
        <is>
          <t>S/ICMS</t>
        </is>
      </c>
      <c r="F323" s="695" t="n"/>
      <c r="G323" s="695" t="n"/>
      <c r="H323" s="18" t="n">
        <v>44196</v>
      </c>
      <c r="I323" s="695" t="n"/>
      <c r="J323" s="645" t="inlineStr">
        <is>
          <t>ENTRADA</t>
        </is>
      </c>
      <c r="K323" s="633" t="inlineStr">
        <is>
          <t>SAÍDA / CMV</t>
        </is>
      </c>
      <c r="L323" s="633" t="inlineStr">
        <is>
          <t>SALDO</t>
        </is>
      </c>
    </row>
    <row r="324">
      <c r="A324" s="48" t="n"/>
      <c r="B324" s="49" t="n"/>
      <c r="C324" s="49" t="n"/>
      <c r="D324" s="71" t="n"/>
      <c r="E324" s="71" t="n"/>
      <c r="F324" s="55" t="n"/>
      <c r="G324" s="55" t="n">
        <v>0</v>
      </c>
      <c r="H324" s="95" t="n">
        <v>359</v>
      </c>
      <c r="I324" s="71" t="n"/>
      <c r="J324" s="747">
        <f>F324*I324</f>
        <v/>
      </c>
      <c r="K324" s="747" t="n"/>
      <c r="L324" s="748" t="n"/>
    </row>
    <row r="325">
      <c r="A325" s="297" t="n">
        <v>44230</v>
      </c>
      <c r="B325" s="96" t="inlineStr">
        <is>
          <t>7842</t>
        </is>
      </c>
      <c r="C325" s="96" t="n"/>
      <c r="D325" s="97" t="n">
        <v>70</v>
      </c>
      <c r="E325" s="97" t="n"/>
      <c r="F325" s="98" t="n"/>
      <c r="G325" s="98" t="n">
        <v>20</v>
      </c>
      <c r="H325" s="98">
        <f>H324-G325</f>
        <v/>
      </c>
      <c r="I325" s="392" t="n"/>
      <c r="J325" s="392" t="n"/>
      <c r="K325" s="392" t="n"/>
      <c r="L325" s="392" t="n"/>
    </row>
    <row r="326">
      <c r="A326" s="310" t="n">
        <v>44231</v>
      </c>
      <c r="B326" s="275" t="inlineStr">
        <is>
          <t>159038</t>
        </is>
      </c>
      <c r="C326" s="275" t="n"/>
      <c r="D326" s="276" t="n">
        <v>60.5</v>
      </c>
      <c r="E326" s="276" t="n"/>
      <c r="F326" s="277" t="n">
        <v>50</v>
      </c>
      <c r="G326" s="277" t="n"/>
      <c r="H326" s="277" t="n">
        <v>389</v>
      </c>
      <c r="I326" s="392" t="n"/>
      <c r="J326" s="392" t="n"/>
      <c r="K326" s="392" t="n"/>
      <c r="L326" s="392" t="n"/>
    </row>
    <row r="327">
      <c r="A327" s="568" t="n">
        <v>44236</v>
      </c>
      <c r="B327" s="392" t="n">
        <v>7849</v>
      </c>
      <c r="C327" s="392" t="n"/>
      <c r="D327" s="392" t="n">
        <v>68.12</v>
      </c>
      <c r="E327" s="392" t="n"/>
      <c r="F327" s="392" t="n"/>
      <c r="G327" s="392" t="n">
        <v>45</v>
      </c>
      <c r="H327" s="98">
        <f>H326-G327</f>
        <v/>
      </c>
      <c r="I327" s="392" t="n"/>
      <c r="J327" s="392" t="n"/>
      <c r="K327" s="392" t="n"/>
      <c r="L327" s="392" t="n"/>
    </row>
    <row r="328">
      <c r="A328" s="334" t="n">
        <v>44236</v>
      </c>
      <c r="B328" s="401" t="n">
        <v>7850</v>
      </c>
      <c r="C328" s="401" t="n"/>
      <c r="D328" s="401" t="n">
        <v>65</v>
      </c>
      <c r="E328" s="401" t="n"/>
      <c r="F328" s="401" t="n"/>
      <c r="G328" s="401" t="n">
        <v>15</v>
      </c>
      <c r="H328" s="277" t="n">
        <v>359</v>
      </c>
      <c r="I328" s="392" t="n"/>
      <c r="J328" s="392" t="n"/>
      <c r="K328" s="392" t="n"/>
      <c r="L328" s="392" t="n"/>
    </row>
    <row r="329">
      <c r="A329" s="568" t="n">
        <v>44251</v>
      </c>
      <c r="B329" s="392" t="n">
        <v>7876</v>
      </c>
      <c r="C329" s="392" t="n"/>
      <c r="D329" s="392" t="n">
        <v>66.34</v>
      </c>
      <c r="E329" s="392" t="n"/>
      <c r="F329" s="392" t="n"/>
      <c r="G329" s="392" t="n">
        <v>60</v>
      </c>
      <c r="H329" s="98">
        <f>H328-G329</f>
        <v/>
      </c>
      <c r="I329" s="392" t="n"/>
      <c r="J329" s="392" t="n"/>
      <c r="K329" s="392" t="n"/>
      <c r="L329" s="392" t="n"/>
    </row>
    <row r="330">
      <c r="A330" s="568" t="n">
        <v>44251</v>
      </c>
      <c r="B330" s="392" t="n">
        <v>7879</v>
      </c>
      <c r="C330" s="392" t="n"/>
      <c r="D330" s="392" t="n">
        <v>66.5</v>
      </c>
      <c r="E330" s="392" t="n"/>
      <c r="F330" s="392" t="n"/>
      <c r="G330" s="392" t="n">
        <v>20</v>
      </c>
      <c r="H330" s="98">
        <f>H329-G330</f>
        <v/>
      </c>
      <c r="I330" s="392" t="n"/>
      <c r="J330" s="392" t="n"/>
      <c r="K330" s="392" t="n"/>
      <c r="L330" s="392" t="n"/>
    </row>
    <row r="331">
      <c r="A331" s="568" t="n">
        <v>44252</v>
      </c>
      <c r="B331" s="392" t="n">
        <v>7893</v>
      </c>
      <c r="C331" s="392" t="n"/>
      <c r="D331" s="392" t="n">
        <v>72</v>
      </c>
      <c r="E331" s="392" t="n"/>
      <c r="F331" s="392" t="n"/>
      <c r="G331" s="392" t="n">
        <v>20</v>
      </c>
      <c r="H331" s="98">
        <f>H330-G331</f>
        <v/>
      </c>
      <c r="I331" s="392" t="n"/>
      <c r="J331" s="392" t="n"/>
      <c r="K331" s="392" t="n"/>
      <c r="L331" s="392" t="n"/>
    </row>
    <row r="332">
      <c r="A332" s="333" t="n">
        <v>44252</v>
      </c>
      <c r="B332" s="392" t="n">
        <v>160527</v>
      </c>
      <c r="C332" s="392" t="n"/>
      <c r="D332" s="392" t="n">
        <v>61.5</v>
      </c>
      <c r="E332" s="392" t="n"/>
      <c r="F332" s="392" t="n">
        <v>150</v>
      </c>
      <c r="G332" s="392" t="n"/>
      <c r="H332" s="98" t="n">
        <v>409</v>
      </c>
      <c r="I332" s="392" t="n"/>
      <c r="J332" s="392" t="n"/>
      <c r="K332" s="392" t="n"/>
      <c r="L332" s="392" t="n"/>
    </row>
    <row r="333">
      <c r="A333" s="392" t="n"/>
      <c r="B333" s="392" t="n"/>
      <c r="C333" s="392" t="n"/>
      <c r="D333" s="392" t="n"/>
      <c r="E333" s="392" t="n"/>
      <c r="F333" s="392" t="n"/>
      <c r="G333" s="392" t="n"/>
      <c r="H333" s="98">
        <f>H332-G333</f>
        <v/>
      </c>
      <c r="I333" s="392" t="n"/>
      <c r="J333" s="392" t="n"/>
      <c r="K333" s="392" t="n"/>
      <c r="L333" s="392" t="n"/>
    </row>
    <row r="334">
      <c r="A334" s="392" t="n"/>
      <c r="B334" s="392" t="n"/>
      <c r="C334" s="392" t="n"/>
      <c r="D334" s="392" t="n"/>
      <c r="E334" s="392" t="n"/>
      <c r="F334" s="392" t="n"/>
      <c r="G334" s="392" t="n"/>
      <c r="H334" s="98">
        <f>H333-G334</f>
        <v/>
      </c>
      <c r="I334" s="392" t="n"/>
      <c r="J334" s="392" t="n"/>
      <c r="K334" s="392" t="n"/>
      <c r="L334" s="392" t="n"/>
    </row>
    <row r="335" ht="15.75" customHeight="1" s="436" thickBot="1">
      <c r="A335" s="392" t="n"/>
      <c r="B335" s="392" t="n"/>
      <c r="C335" s="392" t="n"/>
      <c r="D335" s="392" t="n"/>
      <c r="E335" s="392" t="n"/>
      <c r="F335" s="392" t="n"/>
      <c r="G335" s="392" t="n"/>
      <c r="H335" s="98">
        <f>H334-G335</f>
        <v/>
      </c>
      <c r="I335" s="392" t="n"/>
      <c r="J335" s="392" t="n"/>
      <c r="K335" s="392" t="n"/>
      <c r="L335" s="392" t="n"/>
    </row>
    <row r="336" ht="24" customHeight="1" s="436" thickBot="1">
      <c r="A336" s="745" t="inlineStr">
        <is>
          <t>Março</t>
        </is>
      </c>
      <c r="B336" s="737" t="n"/>
      <c r="C336" s="737" t="n"/>
      <c r="D336" s="737" t="n"/>
      <c r="E336" s="737" t="n"/>
      <c r="F336" s="737" t="n"/>
      <c r="G336" s="737" t="n"/>
      <c r="H336" s="737" t="n"/>
      <c r="I336" s="737" t="n"/>
      <c r="J336" s="737" t="n"/>
      <c r="K336" s="737" t="n"/>
      <c r="L336" s="736" t="n"/>
    </row>
    <row r="337" ht="24" customHeight="1" s="436" thickBot="1">
      <c r="A337" s="745" t="inlineStr">
        <is>
          <t xml:space="preserve">  PRÉ MISTURA -  Pão Doce 25 KG</t>
        </is>
      </c>
      <c r="B337" s="737" t="n"/>
      <c r="C337" s="737" t="n"/>
      <c r="D337" s="737" t="n"/>
      <c r="E337" s="737" t="n"/>
      <c r="F337" s="737" t="n"/>
      <c r="G337" s="737" t="n"/>
      <c r="H337" s="737" t="n"/>
      <c r="I337" s="737" t="n"/>
      <c r="J337" s="737" t="n"/>
      <c r="K337" s="737" t="n"/>
      <c r="L337" s="736" t="n"/>
    </row>
    <row r="338">
      <c r="A338" s="746" t="inlineStr">
        <is>
          <t>DATA</t>
        </is>
      </c>
      <c r="B338" s="3" t="inlineStr">
        <is>
          <t>N.F.</t>
        </is>
      </c>
      <c r="C338" s="3" t="inlineStr">
        <is>
          <t>TIPO</t>
        </is>
      </c>
      <c r="D338" s="3" t="inlineStr">
        <is>
          <t>PREÇO UNITÁRIO</t>
        </is>
      </c>
      <c r="E338" s="736" t="n"/>
      <c r="F338" s="3" t="inlineStr">
        <is>
          <t>QUANTIDADE / KG</t>
        </is>
      </c>
      <c r="G338" s="737" t="n"/>
      <c r="H338" s="736" t="n"/>
      <c r="I338" s="631" t="inlineStr">
        <is>
          <t>PREÇO</t>
        </is>
      </c>
      <c r="J338" s="631" t="inlineStr">
        <is>
          <t>VALORES</t>
        </is>
      </c>
      <c r="K338" s="737" t="n"/>
      <c r="L338" s="736" t="n"/>
    </row>
    <row r="339" ht="15.75" customHeight="1" s="436" thickBot="1">
      <c r="A339" s="703" t="n"/>
      <c r="B339" s="704" t="n"/>
      <c r="C339" s="704" t="n"/>
      <c r="D339" s="703" t="n"/>
      <c r="E339" s="701" t="n"/>
      <c r="F339" s="705" t="n"/>
      <c r="G339" s="706" t="n"/>
      <c r="H339" s="707" t="n"/>
      <c r="I339" s="704" t="n"/>
      <c r="J339" s="703" t="n"/>
      <c r="L339" s="701" t="n"/>
    </row>
    <row r="340" ht="15.75" customHeight="1" s="436" thickBot="1">
      <c r="A340" s="703" t="n"/>
      <c r="B340" s="704" t="n"/>
      <c r="C340" s="704" t="n"/>
      <c r="D340" s="705" t="n"/>
      <c r="E340" s="707" t="n"/>
      <c r="F340" s="3" t="inlineStr">
        <is>
          <t>ENTRADA</t>
        </is>
      </c>
      <c r="G340" s="3" t="inlineStr">
        <is>
          <t>SAÍDA</t>
        </is>
      </c>
      <c r="H340" s="640" t="n"/>
      <c r="I340" s="633" t="inlineStr">
        <is>
          <t>MÉDIO</t>
        </is>
      </c>
      <c r="J340" s="652" t="inlineStr">
        <is>
          <t>SALDO EM 30/12/2017</t>
        </is>
      </c>
      <c r="K340" s="706" t="n"/>
      <c r="L340" s="17" t="n"/>
    </row>
    <row r="341" ht="15.75" customHeight="1" s="436" thickBot="1">
      <c r="A341" s="705" t="n"/>
      <c r="B341" s="695" t="n"/>
      <c r="C341" s="695" t="n"/>
      <c r="D341" s="3" t="inlineStr">
        <is>
          <t>C/ICMS</t>
        </is>
      </c>
      <c r="E341" s="3" t="inlineStr">
        <is>
          <t>S/ICMS</t>
        </is>
      </c>
      <c r="F341" s="695" t="n"/>
      <c r="G341" s="695" t="n"/>
      <c r="H341" s="361" t="n">
        <v>44255</v>
      </c>
      <c r="I341" s="695" t="n"/>
      <c r="J341" s="645" t="inlineStr">
        <is>
          <t>ENTRADA</t>
        </is>
      </c>
      <c r="K341" s="633" t="inlineStr">
        <is>
          <t>SAÍDA / CMV</t>
        </is>
      </c>
      <c r="L341" s="633" t="inlineStr">
        <is>
          <t>SALDO</t>
        </is>
      </c>
    </row>
    <row r="342">
      <c r="A342" s="48" t="n"/>
      <c r="B342" s="49" t="n"/>
      <c r="C342" s="49" t="n"/>
      <c r="D342" s="71" t="n"/>
      <c r="E342" s="71" t="n"/>
      <c r="F342" s="55" t="n"/>
      <c r="G342" s="55" t="n">
        <v>0</v>
      </c>
      <c r="H342" s="95" t="n">
        <v>409</v>
      </c>
      <c r="I342" s="71" t="n"/>
      <c r="J342" s="747">
        <f>F342*I342</f>
        <v/>
      </c>
      <c r="K342" s="747" t="n"/>
      <c r="L342" s="748" t="n"/>
    </row>
    <row r="343">
      <c r="A343" s="297" t="n">
        <v>44258</v>
      </c>
      <c r="B343" s="96" t="inlineStr">
        <is>
          <t>7905</t>
        </is>
      </c>
      <c r="C343" s="96" t="n"/>
      <c r="D343" s="97" t="n">
        <v>67.88</v>
      </c>
      <c r="E343" s="97" t="n"/>
      <c r="F343" s="98" t="n"/>
      <c r="G343" s="98" t="n">
        <v>32</v>
      </c>
      <c r="H343" s="98">
        <f>H342-G343</f>
        <v/>
      </c>
      <c r="I343" s="392" t="n"/>
      <c r="J343" s="392" t="n"/>
      <c r="K343" s="392" t="n"/>
      <c r="L343" s="392" t="n"/>
    </row>
    <row r="344">
      <c r="A344" s="310" t="n">
        <v>44272</v>
      </c>
      <c r="B344" s="275" t="inlineStr">
        <is>
          <t>7926</t>
        </is>
      </c>
      <c r="C344" s="275" t="n"/>
      <c r="D344" s="276" t="n">
        <v>71.17</v>
      </c>
      <c r="E344" s="276" t="n"/>
      <c r="F344" s="277" t="n"/>
      <c r="G344" s="277" t="n">
        <v>37</v>
      </c>
      <c r="H344" s="98">
        <f>H343-G344</f>
        <v/>
      </c>
      <c r="I344" s="392" t="n"/>
      <c r="J344" s="392" t="n"/>
      <c r="K344" s="392" t="n"/>
      <c r="L344" s="392" t="n"/>
    </row>
    <row r="345">
      <c r="A345" s="568" t="n">
        <v>44273</v>
      </c>
      <c r="B345" s="392" t="n">
        <v>7939</v>
      </c>
      <c r="C345" s="392" t="n"/>
      <c r="D345" s="392" t="n">
        <v>68.79000000000001</v>
      </c>
      <c r="E345" s="392" t="n"/>
      <c r="F345" s="392" t="n"/>
      <c r="G345" s="392" t="n">
        <v>23</v>
      </c>
      <c r="H345" s="98">
        <f>H344-G345</f>
        <v/>
      </c>
      <c r="I345" s="392" t="n"/>
      <c r="J345" s="392" t="n"/>
      <c r="K345" s="392" t="n"/>
      <c r="L345" s="392" t="n"/>
    </row>
    <row r="346">
      <c r="A346" s="568" t="n">
        <v>44279</v>
      </c>
      <c r="B346" s="392" t="n">
        <v>7949</v>
      </c>
      <c r="C346" s="392" t="n"/>
      <c r="D346" s="392" t="n">
        <v>64.5</v>
      </c>
      <c r="E346" s="392" t="n"/>
      <c r="F346" s="392" t="n"/>
      <c r="G346" s="392" t="n">
        <v>10</v>
      </c>
      <c r="H346" s="98">
        <f>H345-G346</f>
        <v/>
      </c>
      <c r="I346" s="392" t="n"/>
      <c r="J346" s="392" t="n"/>
      <c r="K346" s="392" t="n"/>
      <c r="L346" s="392" t="n"/>
    </row>
    <row r="347">
      <c r="A347" s="304" t="n">
        <v>44284</v>
      </c>
      <c r="B347" s="401" t="n">
        <v>1622539</v>
      </c>
      <c r="C347" s="401" t="n">
        <v>100</v>
      </c>
      <c r="D347" s="401" t="n">
        <v>61.5</v>
      </c>
      <c r="E347" s="401" t="n"/>
      <c r="F347" s="401" t="n"/>
      <c r="G347" s="401" t="n"/>
      <c r="H347" s="277" t="n">
        <v>407</v>
      </c>
      <c r="I347" s="392" t="n"/>
      <c r="J347" s="392" t="n"/>
      <c r="K347" s="392" t="n"/>
      <c r="L347" s="392" t="n"/>
    </row>
    <row r="348">
      <c r="A348" s="568" t="n">
        <v>44285</v>
      </c>
      <c r="B348" s="392" t="n">
        <v>7966</v>
      </c>
      <c r="C348" s="392" t="n"/>
      <c r="D348" s="392" t="n">
        <v>74</v>
      </c>
      <c r="E348" s="392" t="n"/>
      <c r="F348" s="392" t="n"/>
      <c r="G348" s="392" t="n">
        <v>20</v>
      </c>
      <c r="H348" s="98">
        <f>H347-G348</f>
        <v/>
      </c>
      <c r="I348" s="392" t="n"/>
      <c r="J348" s="392" t="n"/>
      <c r="K348" s="392" t="n"/>
      <c r="L348" s="392" t="n"/>
    </row>
    <row r="349">
      <c r="A349" s="568" t="n">
        <v>44285</v>
      </c>
      <c r="B349" s="392" t="n">
        <v>7969</v>
      </c>
      <c r="C349" s="392" t="n"/>
      <c r="D349" s="392" t="n">
        <v>64.7</v>
      </c>
      <c r="E349" s="392" t="n"/>
      <c r="F349" s="392" t="n"/>
      <c r="G349" s="392" t="n">
        <v>10</v>
      </c>
      <c r="H349" s="98">
        <f>H348-G349</f>
        <v/>
      </c>
      <c r="I349" s="392" t="n"/>
      <c r="J349" s="392" t="n"/>
      <c r="K349" s="392" t="n"/>
      <c r="L349" s="392" t="n"/>
    </row>
    <row r="350">
      <c r="A350" s="568" t="n">
        <v>44285</v>
      </c>
      <c r="B350" s="392" t="n">
        <v>7974</v>
      </c>
      <c r="C350" s="392" t="n"/>
      <c r="D350" s="392" t="n">
        <v>70.5</v>
      </c>
      <c r="E350" s="392" t="n"/>
      <c r="F350" s="392" t="n"/>
      <c r="G350" s="392" t="n">
        <v>40</v>
      </c>
      <c r="H350" s="98">
        <f>H349-G350</f>
        <v/>
      </c>
      <c r="I350" s="392" t="n"/>
      <c r="J350" s="392" t="n"/>
      <c r="K350" s="392" t="n"/>
      <c r="L350" s="392" t="n"/>
    </row>
    <row r="351">
      <c r="A351" s="392" t="n"/>
      <c r="B351" s="392" t="n"/>
      <c r="C351" s="392" t="n"/>
      <c r="D351" s="392" t="n"/>
      <c r="E351" s="392" t="n"/>
      <c r="F351" s="392" t="n"/>
      <c r="G351" s="392" t="n"/>
      <c r="H351" s="98">
        <f>H350-G351</f>
        <v/>
      </c>
      <c r="I351" s="392" t="n"/>
      <c r="J351" s="392" t="n"/>
      <c r="K351" s="392" t="n"/>
      <c r="L351" s="392" t="n"/>
    </row>
    <row r="352" ht="15.75" customHeight="1" s="436" thickBot="1">
      <c r="A352" s="392" t="n"/>
      <c r="B352" s="392" t="n"/>
      <c r="C352" s="392" t="n"/>
      <c r="D352" s="392" t="n"/>
      <c r="E352" s="392" t="n"/>
      <c r="F352" s="392" t="n"/>
      <c r="G352" s="392" t="n"/>
      <c r="H352" s="98">
        <f>H351-G352</f>
        <v/>
      </c>
      <c r="I352" s="392" t="n"/>
      <c r="J352" s="392" t="n"/>
      <c r="K352" s="392" t="n"/>
      <c r="L352" s="392" t="n"/>
    </row>
    <row r="353" ht="24" customHeight="1" s="436" thickBot="1">
      <c r="A353" s="745" t="inlineStr">
        <is>
          <t>Abril</t>
        </is>
      </c>
      <c r="B353" s="737" t="n"/>
      <c r="C353" s="737" t="n"/>
      <c r="D353" s="737" t="n"/>
      <c r="E353" s="737" t="n"/>
      <c r="F353" s="737" t="n"/>
      <c r="G353" s="737" t="n"/>
      <c r="H353" s="737" t="n"/>
      <c r="I353" s="737" t="n"/>
      <c r="J353" s="737" t="n"/>
      <c r="K353" s="737" t="n"/>
      <c r="L353" s="736" t="n"/>
    </row>
    <row r="354" ht="24" customHeight="1" s="436" thickBot="1">
      <c r="A354" s="745" t="inlineStr">
        <is>
          <t xml:space="preserve">  PRÉ MISTURA -  Pão Doce 25 KG</t>
        </is>
      </c>
      <c r="B354" s="737" t="n"/>
      <c r="C354" s="737" t="n"/>
      <c r="D354" s="737" t="n"/>
      <c r="E354" s="737" t="n"/>
      <c r="F354" s="737" t="n"/>
      <c r="G354" s="737" t="n"/>
      <c r="H354" s="737" t="n"/>
      <c r="I354" s="737" t="n"/>
      <c r="J354" s="737" t="n"/>
      <c r="K354" s="737" t="n"/>
      <c r="L354" s="736" t="n"/>
    </row>
    <row r="355">
      <c r="A355" s="746" t="inlineStr">
        <is>
          <t>DATA</t>
        </is>
      </c>
      <c r="B355" s="3" t="inlineStr">
        <is>
          <t>N.F.</t>
        </is>
      </c>
      <c r="C355" s="3" t="inlineStr">
        <is>
          <t>TIPO</t>
        </is>
      </c>
      <c r="D355" s="3" t="inlineStr">
        <is>
          <t>PREÇO UNITÁRIO</t>
        </is>
      </c>
      <c r="E355" s="736" t="n"/>
      <c r="F355" s="3" t="inlineStr">
        <is>
          <t>QUANTIDADE / KG</t>
        </is>
      </c>
      <c r="G355" s="737" t="n"/>
      <c r="H355" s="736" t="n"/>
      <c r="I355" s="631" t="inlineStr">
        <is>
          <t>PREÇO</t>
        </is>
      </c>
      <c r="J355" s="631" t="inlineStr">
        <is>
          <t>VALORES</t>
        </is>
      </c>
      <c r="K355" s="737" t="n"/>
      <c r="L355" s="736" t="n"/>
    </row>
    <row r="356" ht="15.75" customHeight="1" s="436" thickBot="1">
      <c r="A356" s="703" t="n"/>
      <c r="B356" s="704" t="n"/>
      <c r="C356" s="704" t="n"/>
      <c r="D356" s="703" t="n"/>
      <c r="E356" s="701" t="n"/>
      <c r="F356" s="705" t="n"/>
      <c r="G356" s="706" t="n"/>
      <c r="H356" s="707" t="n"/>
      <c r="I356" s="704" t="n"/>
      <c r="J356" s="703" t="n"/>
      <c r="L356" s="701" t="n"/>
    </row>
    <row r="357" ht="15.75" customHeight="1" s="436" thickBot="1">
      <c r="A357" s="703" t="n"/>
      <c r="B357" s="704" t="n"/>
      <c r="C357" s="704" t="n"/>
      <c r="D357" s="705" t="n"/>
      <c r="E357" s="707" t="n"/>
      <c r="F357" s="3" t="inlineStr">
        <is>
          <t>ENTRADA</t>
        </is>
      </c>
      <c r="G357" s="3" t="inlineStr">
        <is>
          <t>SAÍDA</t>
        </is>
      </c>
      <c r="H357" s="640" t="n"/>
      <c r="I357" s="633" t="inlineStr">
        <is>
          <t>MÉDIO</t>
        </is>
      </c>
      <c r="J357" s="652" t="inlineStr">
        <is>
          <t>SALDO EM 30/12/2017</t>
        </is>
      </c>
      <c r="K357" s="706" t="n"/>
      <c r="L357" s="17" t="n"/>
    </row>
    <row r="358" ht="15.75" customHeight="1" s="436" thickBot="1">
      <c r="A358" s="705" t="n"/>
      <c r="B358" s="695" t="n"/>
      <c r="C358" s="695" t="n"/>
      <c r="D358" s="3" t="inlineStr">
        <is>
          <t>C/ICMS</t>
        </is>
      </c>
      <c r="E358" s="3" t="inlineStr">
        <is>
          <t>S/ICMS</t>
        </is>
      </c>
      <c r="F358" s="695" t="n"/>
      <c r="G358" s="695" t="n"/>
      <c r="H358" s="361" t="n">
        <v>44316</v>
      </c>
      <c r="I358" s="695" t="n"/>
      <c r="J358" s="645" t="inlineStr">
        <is>
          <t>ENTRADA</t>
        </is>
      </c>
      <c r="K358" s="633" t="inlineStr">
        <is>
          <t>SAÍDA / CMV</t>
        </is>
      </c>
      <c r="L358" s="633" t="inlineStr">
        <is>
          <t>SALDO</t>
        </is>
      </c>
    </row>
    <row r="359">
      <c r="A359" s="48" t="n"/>
      <c r="B359" s="49" t="n"/>
      <c r="C359" s="49" t="n"/>
      <c r="D359" s="71" t="n"/>
      <c r="E359" s="71" t="n"/>
      <c r="F359" s="55" t="n"/>
      <c r="G359" s="55" t="n">
        <v>0</v>
      </c>
      <c r="H359" s="95" t="n">
        <v>337</v>
      </c>
      <c r="I359" s="71" t="n"/>
      <c r="J359" s="747">
        <f>F359*I359</f>
        <v/>
      </c>
      <c r="K359" s="747" t="n"/>
      <c r="L359" s="748" t="n"/>
    </row>
    <row r="360">
      <c r="A360" s="297" t="n">
        <v>44287</v>
      </c>
      <c r="B360" s="96" t="inlineStr">
        <is>
          <t>7081</t>
        </is>
      </c>
      <c r="C360" s="96" t="n"/>
      <c r="D360" s="97" t="n">
        <v>70.5</v>
      </c>
      <c r="E360" s="97" t="n"/>
      <c r="F360" s="98" t="n"/>
      <c r="G360" s="98" t="n">
        <v>20</v>
      </c>
      <c r="H360" s="98">
        <f>H359-G360</f>
        <v/>
      </c>
      <c r="I360" s="392" t="n"/>
      <c r="J360" s="392" t="n"/>
      <c r="K360" s="392" t="n"/>
      <c r="L360" s="392" t="n"/>
    </row>
    <row r="361">
      <c r="A361" s="568" t="n">
        <v>44293</v>
      </c>
      <c r="B361" s="392" t="n">
        <v>7090</v>
      </c>
      <c r="C361" s="392" t="n"/>
      <c r="D361" s="392" t="n">
        <v>67.55</v>
      </c>
      <c r="E361" s="392" t="n"/>
      <c r="F361" s="392" t="n"/>
      <c r="G361" s="392" t="n">
        <v>31</v>
      </c>
      <c r="H361" s="98">
        <f>H360-G361</f>
        <v/>
      </c>
      <c r="I361" s="392" t="n"/>
      <c r="J361" s="392" t="n"/>
      <c r="K361" s="392" t="n"/>
      <c r="L361" s="392" t="n"/>
    </row>
    <row r="362">
      <c r="A362" s="568" t="n">
        <v>44299</v>
      </c>
      <c r="B362" s="392" t="n">
        <v>7099</v>
      </c>
      <c r="C362" s="392" t="n"/>
      <c r="D362" s="392" t="n">
        <v>66.67</v>
      </c>
      <c r="E362" s="392" t="n"/>
      <c r="F362" s="392" t="n"/>
      <c r="G362" s="392" t="n">
        <v>15</v>
      </c>
      <c r="H362" s="98">
        <f>H361-G362</f>
        <v/>
      </c>
      <c r="I362" s="392" t="n"/>
      <c r="J362" s="392" t="n"/>
      <c r="K362" s="392" t="n"/>
      <c r="L362" s="392" t="n"/>
    </row>
    <row r="363">
      <c r="A363" s="304" t="n">
        <v>44300</v>
      </c>
      <c r="B363" s="401" t="n">
        <v>163583</v>
      </c>
      <c r="C363" s="401" t="n"/>
      <c r="D363" s="401" t="n">
        <v>62.5</v>
      </c>
      <c r="E363" s="401" t="n"/>
      <c r="F363" s="401" t="n">
        <v>250</v>
      </c>
      <c r="G363" s="401" t="n"/>
      <c r="H363" s="277" t="n">
        <v>521</v>
      </c>
      <c r="I363" s="392" t="n"/>
      <c r="J363" s="392" t="n"/>
      <c r="K363" s="392" t="n"/>
      <c r="L363" s="392" t="n"/>
    </row>
    <row r="364">
      <c r="A364" s="568" t="n">
        <v>44300</v>
      </c>
      <c r="B364" s="392" t="n">
        <v>8008</v>
      </c>
      <c r="C364" s="392" t="n"/>
      <c r="D364" s="392" t="n">
        <v>62</v>
      </c>
      <c r="E364" s="392" t="n"/>
      <c r="F364" s="392" t="n"/>
      <c r="G364" s="392" t="n">
        <v>20</v>
      </c>
      <c r="H364" s="98">
        <f>H363-G364</f>
        <v/>
      </c>
      <c r="I364" s="392" t="n"/>
      <c r="J364" s="392" t="n"/>
      <c r="K364" s="392" t="n"/>
      <c r="L364" s="392" t="n"/>
    </row>
    <row r="365">
      <c r="A365" s="568" t="n">
        <v>44306</v>
      </c>
      <c r="B365" s="392" t="n">
        <v>8020</v>
      </c>
      <c r="C365" s="392" t="n"/>
      <c r="D365" s="392" t="n">
        <v>74</v>
      </c>
      <c r="E365" s="392" t="n"/>
      <c r="F365" s="392" t="n"/>
      <c r="G365" s="392" t="n">
        <v>20</v>
      </c>
      <c r="H365" s="98">
        <f>H364-G365</f>
        <v/>
      </c>
      <c r="I365" s="392" t="n"/>
      <c r="J365" s="392" t="n"/>
      <c r="K365" s="392" t="n"/>
      <c r="L365" s="392" t="n"/>
    </row>
    <row r="366">
      <c r="A366" s="568" t="n">
        <v>44308</v>
      </c>
      <c r="B366" s="392" t="n">
        <v>8037</v>
      </c>
      <c r="C366" s="392" t="n"/>
      <c r="D366" s="392" t="n">
        <v>69.86</v>
      </c>
      <c r="E366" s="392" t="n"/>
      <c r="F366" s="392" t="n"/>
      <c r="G366" s="392" t="n">
        <v>35</v>
      </c>
      <c r="H366" s="98">
        <f>H365-G366</f>
        <v/>
      </c>
      <c r="I366" s="392" t="n"/>
      <c r="J366" s="392" t="n"/>
      <c r="K366" s="392" t="n"/>
      <c r="L366" s="392" t="n"/>
    </row>
    <row r="367">
      <c r="A367" s="568" t="n">
        <v>44313</v>
      </c>
      <c r="B367" s="392" t="n">
        <v>8040</v>
      </c>
      <c r="C367" s="392" t="n"/>
      <c r="D367" s="392" t="n">
        <v>72</v>
      </c>
      <c r="E367" s="392" t="n"/>
      <c r="F367" s="392" t="n"/>
      <c r="G367" s="392" t="n">
        <v>40</v>
      </c>
      <c r="H367" s="98">
        <f>H366-G367</f>
        <v/>
      </c>
      <c r="I367" s="392" t="n"/>
      <c r="J367" s="392" t="n"/>
      <c r="K367" s="392" t="n"/>
      <c r="L367" s="392" t="n"/>
    </row>
    <row r="368">
      <c r="A368" s="568" t="n">
        <v>44313</v>
      </c>
      <c r="B368" s="392" t="n">
        <v>8050</v>
      </c>
      <c r="C368" s="392" t="n"/>
      <c r="D368" s="392" t="n">
        <v>72</v>
      </c>
      <c r="E368" s="392" t="n"/>
      <c r="F368" s="392" t="n"/>
      <c r="G368" s="392" t="n">
        <v>20</v>
      </c>
      <c r="H368" s="98">
        <f>H367-G368</f>
        <v/>
      </c>
      <c r="I368" s="392" t="n"/>
      <c r="J368" s="392" t="n"/>
      <c r="K368" s="392" t="n"/>
      <c r="L368" s="392" t="n"/>
    </row>
    <row r="369">
      <c r="A369" s="392" t="n"/>
      <c r="B369" s="392" t="n"/>
      <c r="C369" s="392" t="n"/>
      <c r="D369" s="392" t="n"/>
      <c r="E369" s="392" t="n"/>
      <c r="F369" s="392" t="n"/>
      <c r="G369" s="392" t="n"/>
      <c r="H369" s="98">
        <f>H368-G369</f>
        <v/>
      </c>
      <c r="I369" s="392" t="n"/>
      <c r="J369" s="392" t="n"/>
      <c r="K369" s="392" t="n"/>
      <c r="L369" s="392" t="n"/>
    </row>
    <row r="370" ht="15.75" customHeight="1" s="436" thickBot="1">
      <c r="A370" s="392" t="n"/>
      <c r="B370" s="392" t="n"/>
      <c r="C370" s="392" t="n"/>
      <c r="D370" s="392" t="n"/>
      <c r="E370" s="392" t="n"/>
      <c r="F370" s="392" t="n"/>
      <c r="G370" s="392" t="n"/>
      <c r="H370" s="98">
        <f>H369-G370</f>
        <v/>
      </c>
      <c r="I370" s="392" t="n"/>
      <c r="J370" s="392" t="n"/>
      <c r="K370" s="392" t="n"/>
      <c r="L370" s="392" t="n"/>
    </row>
    <row r="371" ht="24" customHeight="1" s="436" thickBot="1">
      <c r="A371" s="745" t="inlineStr">
        <is>
          <t>Maio</t>
        </is>
      </c>
      <c r="B371" s="737" t="n"/>
      <c r="C371" s="737" t="n"/>
      <c r="D371" s="737" t="n"/>
      <c r="E371" s="737" t="n"/>
      <c r="F371" s="737" t="n"/>
      <c r="G371" s="737" t="n"/>
      <c r="H371" s="737" t="n"/>
      <c r="I371" s="737" t="n"/>
      <c r="J371" s="737" t="n"/>
      <c r="K371" s="737" t="n"/>
      <c r="L371" s="736" t="n"/>
    </row>
    <row r="372" ht="24" customHeight="1" s="436" thickBot="1">
      <c r="A372" s="745" t="inlineStr">
        <is>
          <t xml:space="preserve">  PRÉ MISTURA -  Pão Doce 25 KG</t>
        </is>
      </c>
      <c r="B372" s="737" t="n"/>
      <c r="C372" s="737" t="n"/>
      <c r="D372" s="737" t="n"/>
      <c r="E372" s="737" t="n"/>
      <c r="F372" s="737" t="n"/>
      <c r="G372" s="737" t="n"/>
      <c r="H372" s="737" t="n"/>
      <c r="I372" s="737" t="n"/>
      <c r="J372" s="737" t="n"/>
      <c r="K372" s="737" t="n"/>
      <c r="L372" s="736" t="n"/>
    </row>
    <row r="373">
      <c r="A373" s="746" t="inlineStr">
        <is>
          <t>DATA</t>
        </is>
      </c>
      <c r="B373" s="3" t="inlineStr">
        <is>
          <t>N.F.</t>
        </is>
      </c>
      <c r="C373" s="3" t="inlineStr">
        <is>
          <t>TIPO</t>
        </is>
      </c>
      <c r="D373" s="3" t="inlineStr">
        <is>
          <t>PREÇO UNITÁRIO</t>
        </is>
      </c>
      <c r="E373" s="736" t="n"/>
      <c r="F373" s="3" t="inlineStr">
        <is>
          <t>QUANTIDADE / KG</t>
        </is>
      </c>
      <c r="G373" s="737" t="n"/>
      <c r="H373" s="736" t="n"/>
      <c r="I373" s="631" t="inlineStr">
        <is>
          <t>PREÇO</t>
        </is>
      </c>
      <c r="J373" s="631" t="inlineStr">
        <is>
          <t>VALORES</t>
        </is>
      </c>
      <c r="K373" s="737" t="n"/>
      <c r="L373" s="736" t="n"/>
    </row>
    <row r="374" ht="15.75" customHeight="1" s="436" thickBot="1">
      <c r="A374" s="703" t="n"/>
      <c r="B374" s="704" t="n"/>
      <c r="C374" s="704" t="n"/>
      <c r="D374" s="703" t="n"/>
      <c r="E374" s="701" t="n"/>
      <c r="F374" s="705" t="n"/>
      <c r="G374" s="706" t="n"/>
      <c r="H374" s="707" t="n"/>
      <c r="I374" s="704" t="n"/>
      <c r="J374" s="703" t="n"/>
      <c r="L374" s="701" t="n"/>
    </row>
    <row r="375" ht="15.75" customHeight="1" s="436" thickBot="1">
      <c r="A375" s="703" t="n"/>
      <c r="B375" s="704" t="n"/>
      <c r="C375" s="704" t="n"/>
      <c r="D375" s="705" t="n"/>
      <c r="E375" s="707" t="n"/>
      <c r="F375" s="3" t="inlineStr">
        <is>
          <t>ENTRADA</t>
        </is>
      </c>
      <c r="G375" s="3" t="inlineStr">
        <is>
          <t>SAÍDA</t>
        </is>
      </c>
      <c r="H375" s="640" t="n"/>
      <c r="I375" s="633" t="inlineStr">
        <is>
          <t>MÉDIO</t>
        </is>
      </c>
      <c r="J375" s="652" t="inlineStr">
        <is>
          <t>SALDO EM 30/12/2017</t>
        </is>
      </c>
      <c r="K375" s="706" t="n"/>
      <c r="L375" s="17" t="n"/>
    </row>
    <row r="376" ht="15.75" customHeight="1" s="436" thickBot="1">
      <c r="A376" s="705" t="n"/>
      <c r="B376" s="695" t="n"/>
      <c r="C376" s="695" t="n"/>
      <c r="D376" s="3" t="inlineStr">
        <is>
          <t>C/ICMS</t>
        </is>
      </c>
      <c r="E376" s="3" t="inlineStr">
        <is>
          <t>S/ICMS</t>
        </is>
      </c>
      <c r="F376" s="695" t="n"/>
      <c r="G376" s="695" t="n"/>
      <c r="H376" s="361" t="n">
        <v>44316</v>
      </c>
      <c r="I376" s="695" t="n"/>
      <c r="J376" s="645" t="inlineStr">
        <is>
          <t>ENTRADA</t>
        </is>
      </c>
      <c r="K376" s="633" t="inlineStr">
        <is>
          <t>SAÍDA / CMV</t>
        </is>
      </c>
      <c r="L376" s="633" t="inlineStr">
        <is>
          <t>SALDO</t>
        </is>
      </c>
    </row>
    <row r="377">
      <c r="A377" s="48" t="n"/>
      <c r="B377" s="49" t="n"/>
      <c r="C377" s="49" t="n"/>
      <c r="D377" s="71" t="n"/>
      <c r="E377" s="71" t="n"/>
      <c r="F377" s="55" t="n"/>
      <c r="G377" s="55" t="n">
        <v>0</v>
      </c>
      <c r="H377" s="95" t="n">
        <v>386</v>
      </c>
      <c r="I377" s="71" t="n"/>
      <c r="J377" s="747">
        <f>F377*I377</f>
        <v/>
      </c>
      <c r="K377" s="747" t="n"/>
      <c r="L377" s="748" t="n"/>
    </row>
    <row r="378">
      <c r="A378" s="297" t="n">
        <v>44321</v>
      </c>
      <c r="B378" s="96" t="inlineStr">
        <is>
          <t>8064</t>
        </is>
      </c>
      <c r="C378" s="96" t="n"/>
      <c r="D378" s="97" t="n">
        <v>69.39</v>
      </c>
      <c r="E378" s="97" t="n"/>
      <c r="F378" s="98" t="n"/>
      <c r="G378" s="761" t="n">
        <v>26</v>
      </c>
      <c r="H378" s="98">
        <f>H377-G378</f>
        <v/>
      </c>
      <c r="I378" s="392" t="n"/>
      <c r="J378" s="392" t="n"/>
      <c r="K378" s="392" t="n"/>
      <c r="L378" s="392" t="n"/>
    </row>
    <row r="379">
      <c r="A379" s="297" t="n">
        <v>44321</v>
      </c>
      <c r="B379" s="96" t="inlineStr">
        <is>
          <t>8066</t>
        </is>
      </c>
      <c r="C379" s="96" t="n"/>
      <c r="D379" s="97" t="n">
        <v>75</v>
      </c>
      <c r="E379" s="97" t="n"/>
      <c r="F379" s="98" t="n"/>
      <c r="G379" s="98" t="n">
        <v>30</v>
      </c>
      <c r="H379" s="98">
        <f>H378-G379</f>
        <v/>
      </c>
      <c r="I379" s="392" t="n"/>
      <c r="J379" s="392" t="n"/>
      <c r="K379" s="392" t="n"/>
      <c r="L379" s="392" t="n"/>
    </row>
    <row r="380">
      <c r="A380" s="297" t="n">
        <v>44328</v>
      </c>
      <c r="B380" s="96" t="inlineStr">
        <is>
          <t>8071</t>
        </is>
      </c>
      <c r="C380" s="96" t="n"/>
      <c r="D380" s="97" t="n">
        <v>68.5</v>
      </c>
      <c r="E380" s="97" t="n"/>
      <c r="F380" s="98" t="n"/>
      <c r="G380" s="98" t="n">
        <v>20</v>
      </c>
      <c r="H380" s="98">
        <f>H379-G380</f>
        <v/>
      </c>
      <c r="I380" s="392" t="n"/>
      <c r="J380" s="392" t="n"/>
      <c r="K380" s="392" t="n"/>
      <c r="L380" s="392" t="n"/>
    </row>
    <row r="381">
      <c r="A381" s="297" t="n">
        <v>44328</v>
      </c>
      <c r="B381" s="96" t="inlineStr">
        <is>
          <t>8072</t>
        </is>
      </c>
      <c r="C381" s="96" t="n"/>
      <c r="D381" s="97" t="n">
        <v>66.75</v>
      </c>
      <c r="E381" s="97" t="n"/>
      <c r="F381" s="98" t="n"/>
      <c r="G381" s="98" t="n">
        <v>20</v>
      </c>
      <c r="H381" s="98">
        <f>H380-G381</f>
        <v/>
      </c>
      <c r="I381" s="392" t="n"/>
      <c r="J381" s="392" t="n"/>
      <c r="K381" s="392" t="n"/>
      <c r="L381" s="392" t="n"/>
    </row>
    <row r="382">
      <c r="A382" s="297" t="n">
        <v>44334</v>
      </c>
      <c r="B382" s="96" t="inlineStr">
        <is>
          <t>8090</t>
        </is>
      </c>
      <c r="C382" s="96" t="n"/>
      <c r="D382" s="97" t="n">
        <v>72</v>
      </c>
      <c r="E382" s="97" t="n"/>
      <c r="F382" s="98" t="n"/>
      <c r="G382" s="98" t="n">
        <v>40</v>
      </c>
      <c r="H382" s="98">
        <f>H381-G382</f>
        <v/>
      </c>
      <c r="I382" s="392" t="n"/>
      <c r="J382" s="392" t="n"/>
      <c r="K382" s="392" t="n"/>
      <c r="L382" s="392" t="n"/>
    </row>
    <row r="383">
      <c r="A383" s="297" t="n">
        <v>44336</v>
      </c>
      <c r="B383" s="96" t="inlineStr">
        <is>
          <t>8100</t>
        </is>
      </c>
      <c r="C383" s="96" t="n"/>
      <c r="D383" s="97" t="n">
        <v>72</v>
      </c>
      <c r="E383" s="97" t="n"/>
      <c r="F383" s="98" t="n"/>
      <c r="G383" s="98" t="n">
        <v>20</v>
      </c>
      <c r="H383" s="98">
        <f>H382-G383</f>
        <v/>
      </c>
      <c r="I383" s="392" t="n"/>
      <c r="J383" s="392" t="n"/>
      <c r="K383" s="392" t="n"/>
      <c r="L383" s="392" t="n"/>
    </row>
    <row r="384">
      <c r="A384" s="297" t="n">
        <v>44340</v>
      </c>
      <c r="B384" s="96" t="inlineStr">
        <is>
          <t>8106</t>
        </is>
      </c>
      <c r="C384" s="96" t="n"/>
      <c r="D384" s="97" t="n">
        <v>75</v>
      </c>
      <c r="E384" s="97" t="n"/>
      <c r="F384" s="98" t="n"/>
      <c r="G384" s="98" t="n">
        <v>30</v>
      </c>
      <c r="H384" s="98">
        <f>H383-G384</f>
        <v/>
      </c>
      <c r="I384" s="392" t="n"/>
      <c r="J384" s="392" t="n"/>
      <c r="K384" s="392" t="n"/>
      <c r="L384" s="392" t="n"/>
    </row>
    <row r="385">
      <c r="A385" s="297" t="n">
        <v>44340</v>
      </c>
      <c r="B385" s="96" t="inlineStr">
        <is>
          <t>8113</t>
        </is>
      </c>
      <c r="C385" s="96" t="n"/>
      <c r="D385" s="97" t="n">
        <v>69.5</v>
      </c>
      <c r="E385" s="97" t="n"/>
      <c r="F385" s="98" t="n"/>
      <c r="G385" s="98" t="n">
        <v>10</v>
      </c>
      <c r="H385" s="98">
        <f>H384-G385</f>
        <v/>
      </c>
      <c r="I385" s="392" t="n"/>
      <c r="J385" s="392" t="n"/>
      <c r="K385" s="392" t="n"/>
      <c r="L385" s="392" t="n"/>
    </row>
    <row r="386">
      <c r="A386" s="310" t="n">
        <v>44347</v>
      </c>
      <c r="B386" s="275" t="inlineStr">
        <is>
          <t>166585</t>
        </is>
      </c>
      <c r="C386" s="275" t="n"/>
      <c r="D386" s="276" t="n">
        <v>64.59999999999999</v>
      </c>
      <c r="E386" s="276" t="n"/>
      <c r="F386" s="277" t="n">
        <v>230</v>
      </c>
      <c r="G386" s="277" t="n"/>
      <c r="H386" s="277" t="n">
        <v>420</v>
      </c>
      <c r="I386" s="392" t="n"/>
      <c r="J386" s="392" t="n"/>
      <c r="K386" s="392" t="n"/>
      <c r="L386" s="392" t="n"/>
    </row>
    <row r="387">
      <c r="A387" s="297" t="n"/>
      <c r="B387" s="96" t="n"/>
      <c r="C387" s="96" t="n"/>
      <c r="D387" s="97" t="n"/>
      <c r="E387" s="97" t="n"/>
      <c r="F387" s="98" t="n"/>
      <c r="G387" s="98" t="n"/>
      <c r="H387" s="98">
        <f>H386-G387</f>
        <v/>
      </c>
      <c r="I387" s="392" t="n"/>
      <c r="J387" s="392" t="n"/>
      <c r="K387" s="392" t="n"/>
      <c r="L387" s="392" t="n"/>
    </row>
    <row r="388" ht="15.75" customHeight="1" s="436" thickBot="1">
      <c r="A388" s="297" t="n"/>
      <c r="B388" s="96" t="n"/>
      <c r="C388" s="96" t="n"/>
      <c r="D388" s="97" t="n"/>
      <c r="E388" s="97" t="n"/>
      <c r="F388" s="98" t="n"/>
      <c r="G388" s="98" t="n"/>
      <c r="H388" s="98">
        <f>H387-G388</f>
        <v/>
      </c>
      <c r="I388" s="392" t="n"/>
      <c r="J388" s="392" t="n"/>
      <c r="K388" s="392" t="n"/>
      <c r="L388" s="392" t="n"/>
    </row>
    <row r="389" ht="24" customHeight="1" s="436" thickBot="1">
      <c r="A389" s="745" t="inlineStr">
        <is>
          <t>Junho</t>
        </is>
      </c>
      <c r="B389" s="737" t="n"/>
      <c r="C389" s="737" t="n"/>
      <c r="D389" s="737" t="n"/>
      <c r="E389" s="737" t="n"/>
      <c r="F389" s="737" t="n"/>
      <c r="G389" s="737" t="n"/>
      <c r="H389" s="737" t="n"/>
      <c r="I389" s="737" t="n"/>
      <c r="J389" s="737" t="n"/>
      <c r="K389" s="737" t="n"/>
      <c r="L389" s="736" t="n"/>
    </row>
    <row r="390" ht="24" customHeight="1" s="436" thickBot="1">
      <c r="A390" s="745" t="inlineStr">
        <is>
          <t xml:space="preserve">  PRÉ MISTURA -  Pão Doce 25 KG</t>
        </is>
      </c>
      <c r="B390" s="737" t="n"/>
      <c r="C390" s="737" t="n"/>
      <c r="D390" s="737" t="n"/>
      <c r="E390" s="737" t="n"/>
      <c r="F390" s="737" t="n"/>
      <c r="G390" s="737" t="n"/>
      <c r="H390" s="737" t="n"/>
      <c r="I390" s="737" t="n"/>
      <c r="J390" s="737" t="n"/>
      <c r="K390" s="737" t="n"/>
      <c r="L390" s="736" t="n"/>
    </row>
    <row r="391">
      <c r="A391" s="746" t="inlineStr">
        <is>
          <t>DATA</t>
        </is>
      </c>
      <c r="B391" s="3" t="inlineStr">
        <is>
          <t>N.F.</t>
        </is>
      </c>
      <c r="C391" s="3" t="inlineStr">
        <is>
          <t>TIPO</t>
        </is>
      </c>
      <c r="D391" s="3" t="inlineStr">
        <is>
          <t>PREÇO UNITÁRIO</t>
        </is>
      </c>
      <c r="E391" s="736" t="n"/>
      <c r="F391" s="3" t="inlineStr">
        <is>
          <t>QUANTIDADE / KG</t>
        </is>
      </c>
      <c r="G391" s="737" t="n"/>
      <c r="H391" s="736" t="n"/>
      <c r="I391" s="631" t="inlineStr">
        <is>
          <t>PREÇO</t>
        </is>
      </c>
      <c r="J391" s="631" t="inlineStr">
        <is>
          <t>VALORES</t>
        </is>
      </c>
      <c r="K391" s="737" t="n"/>
      <c r="L391" s="736" t="n"/>
    </row>
    <row r="392" ht="15.75" customHeight="1" s="436" thickBot="1">
      <c r="A392" s="703" t="n"/>
      <c r="B392" s="704" t="n"/>
      <c r="C392" s="704" t="n"/>
      <c r="D392" s="703" t="n"/>
      <c r="E392" s="701" t="n"/>
      <c r="F392" s="705" t="n"/>
      <c r="G392" s="706" t="n"/>
      <c r="H392" s="707" t="n"/>
      <c r="I392" s="704" t="n"/>
      <c r="J392" s="703" t="n"/>
      <c r="L392" s="701" t="n"/>
    </row>
    <row r="393" ht="15.75" customHeight="1" s="436" thickBot="1">
      <c r="A393" s="703" t="n"/>
      <c r="B393" s="704" t="n"/>
      <c r="C393" s="704" t="n"/>
      <c r="D393" s="705" t="n"/>
      <c r="E393" s="707" t="n"/>
      <c r="F393" s="3" t="inlineStr">
        <is>
          <t>ENTRADA</t>
        </is>
      </c>
      <c r="G393" s="3" t="inlineStr">
        <is>
          <t>SAÍDA</t>
        </is>
      </c>
      <c r="H393" s="640" t="n"/>
      <c r="I393" s="633" t="inlineStr">
        <is>
          <t>MÉDIO</t>
        </is>
      </c>
      <c r="J393" s="652" t="inlineStr">
        <is>
          <t>SALDO EM 30/12/2017</t>
        </is>
      </c>
      <c r="K393" s="706" t="n"/>
      <c r="L393" s="17" t="n"/>
    </row>
    <row r="394" ht="15.75" customHeight="1" s="436" thickBot="1">
      <c r="A394" s="705" t="n"/>
      <c r="B394" s="695" t="n"/>
      <c r="C394" s="695" t="n"/>
      <c r="D394" s="3" t="inlineStr">
        <is>
          <t>C/ICMS</t>
        </is>
      </c>
      <c r="E394" s="3" t="inlineStr">
        <is>
          <t>S/ICMS</t>
        </is>
      </c>
      <c r="F394" s="695" t="n"/>
      <c r="G394" s="695" t="n"/>
      <c r="H394" s="361" t="n">
        <v>44316</v>
      </c>
      <c r="I394" s="695" t="n"/>
      <c r="J394" s="645" t="inlineStr">
        <is>
          <t>ENTRADA</t>
        </is>
      </c>
      <c r="K394" s="633" t="inlineStr">
        <is>
          <t>SAÍDA / CMV</t>
        </is>
      </c>
      <c r="L394" s="633" t="inlineStr">
        <is>
          <t>SALDO</t>
        </is>
      </c>
    </row>
    <row r="395">
      <c r="A395" s="48" t="n"/>
      <c r="B395" s="49" t="n"/>
      <c r="C395" s="49" t="n"/>
      <c r="D395" s="71" t="n"/>
      <c r="E395" s="71" t="n"/>
      <c r="F395" s="55" t="n"/>
      <c r="G395" s="55" t="n">
        <v>0</v>
      </c>
      <c r="H395" s="95" t="n">
        <v>420</v>
      </c>
      <c r="I395" s="71" t="n"/>
      <c r="J395" s="747">
        <f>F395*I395</f>
        <v/>
      </c>
      <c r="K395" s="747" t="n"/>
      <c r="L395" s="748" t="n"/>
    </row>
    <row r="396">
      <c r="A396" s="297" t="n">
        <v>44348</v>
      </c>
      <c r="B396" s="96" t="inlineStr">
        <is>
          <t>8131</t>
        </is>
      </c>
      <c r="C396" s="96" t="inlineStr">
        <is>
          <t>71,25</t>
        </is>
      </c>
      <c r="D396" s="97" t="n"/>
      <c r="E396" s="97" t="n"/>
      <c r="F396" s="98" t="n"/>
      <c r="G396" s="761" t="n">
        <v>20</v>
      </c>
      <c r="H396" s="98">
        <f>H395-G396</f>
        <v/>
      </c>
      <c r="I396" s="392" t="n"/>
      <c r="J396" s="392" t="n"/>
      <c r="K396" s="392" t="n"/>
      <c r="L396" s="392" t="n"/>
    </row>
    <row r="397">
      <c r="A397" s="297" t="n">
        <v>44349</v>
      </c>
      <c r="B397" s="96" t="inlineStr">
        <is>
          <t>8139</t>
        </is>
      </c>
      <c r="C397" s="96" t="inlineStr">
        <is>
          <t>75</t>
        </is>
      </c>
      <c r="D397" s="97" t="n"/>
      <c r="E397" s="97" t="n"/>
      <c r="F397" s="98" t="n"/>
      <c r="G397" s="98" t="n">
        <v>25</v>
      </c>
      <c r="H397" s="98">
        <f>H396-G397</f>
        <v/>
      </c>
      <c r="I397" s="392" t="n"/>
      <c r="J397" s="392" t="n"/>
      <c r="K397" s="392" t="n"/>
      <c r="L397" s="392" t="n"/>
    </row>
    <row r="398">
      <c r="A398" s="297" t="n">
        <v>44355</v>
      </c>
      <c r="B398" s="96" t="inlineStr">
        <is>
          <t>8143</t>
        </is>
      </c>
      <c r="C398" s="96" t="inlineStr">
        <is>
          <t>71,16</t>
        </is>
      </c>
      <c r="D398" s="97" t="n"/>
      <c r="E398" s="97" t="n"/>
      <c r="F398" s="98" t="n"/>
      <c r="G398" s="98" t="n">
        <v>26</v>
      </c>
      <c r="H398" s="98">
        <f>H397-G398</f>
        <v/>
      </c>
      <c r="I398" s="392" t="n"/>
      <c r="J398" s="392" t="n"/>
      <c r="K398" s="392" t="n"/>
      <c r="L398" s="392" t="n"/>
    </row>
    <row r="399">
      <c r="A399" s="297" t="n">
        <v>44355</v>
      </c>
      <c r="B399" s="96" t="inlineStr">
        <is>
          <t>8144</t>
        </is>
      </c>
      <c r="C399" s="96" t="inlineStr">
        <is>
          <t>75</t>
        </is>
      </c>
      <c r="D399" s="97" t="n"/>
      <c r="E399" s="97" t="n"/>
      <c r="F399" s="98" t="n"/>
      <c r="G399" s="98" t="n">
        <v>10</v>
      </c>
      <c r="H399" s="98">
        <f>H398-G399</f>
        <v/>
      </c>
      <c r="I399" s="392" t="n"/>
      <c r="J399" s="392" t="n"/>
      <c r="K399" s="392" t="n"/>
      <c r="L399" s="392" t="n"/>
    </row>
    <row r="400">
      <c r="A400" s="297" t="n">
        <v>44357</v>
      </c>
      <c r="B400" s="96" t="inlineStr">
        <is>
          <t>8149</t>
        </is>
      </c>
      <c r="C400" s="96" t="inlineStr">
        <is>
          <t>75</t>
        </is>
      </c>
      <c r="D400" s="97" t="n"/>
      <c r="E400" s="97" t="n"/>
      <c r="F400" s="98" t="n"/>
      <c r="G400" s="98" t="n">
        <v>30</v>
      </c>
      <c r="H400" s="98">
        <f>H399-G400</f>
        <v/>
      </c>
      <c r="I400" s="392" t="n"/>
      <c r="J400" s="392" t="n"/>
      <c r="K400" s="392" t="n"/>
      <c r="L400" s="392" t="n"/>
    </row>
    <row r="401">
      <c r="A401" s="297" t="n">
        <v>44357</v>
      </c>
      <c r="B401" s="96" t="inlineStr">
        <is>
          <t>8152</t>
        </is>
      </c>
      <c r="C401" s="96" t="inlineStr">
        <is>
          <t>65</t>
        </is>
      </c>
      <c r="D401" s="97" t="n"/>
      <c r="E401" s="97" t="n"/>
      <c r="F401" s="98" t="n"/>
      <c r="G401" s="98" t="n">
        <v>20</v>
      </c>
      <c r="H401" s="98">
        <f>H400-G401</f>
        <v/>
      </c>
      <c r="I401" s="392" t="n"/>
      <c r="J401" s="392" t="n"/>
      <c r="K401" s="392" t="n"/>
      <c r="L401" s="392" t="n"/>
    </row>
    <row r="402">
      <c r="A402" s="297" t="n">
        <v>44357</v>
      </c>
      <c r="B402" s="96" t="inlineStr">
        <is>
          <t>8155</t>
        </is>
      </c>
      <c r="C402" s="96" t="inlineStr">
        <is>
          <t>70</t>
        </is>
      </c>
      <c r="D402" s="97" t="n"/>
      <c r="E402" s="97" t="n"/>
      <c r="F402" s="98" t="n"/>
      <c r="G402" s="98" t="n">
        <v>40</v>
      </c>
      <c r="H402" s="98">
        <f>H401-G402</f>
        <v/>
      </c>
      <c r="I402" s="392" t="n"/>
      <c r="J402" s="392" t="n"/>
      <c r="K402" s="392" t="n"/>
      <c r="L402" s="392" t="n"/>
    </row>
    <row r="403">
      <c r="A403" s="297" t="n">
        <v>44357</v>
      </c>
      <c r="B403" s="96" t="inlineStr">
        <is>
          <t>8156</t>
        </is>
      </c>
      <c r="C403" s="96" t="inlineStr">
        <is>
          <t>69,50</t>
        </is>
      </c>
      <c r="D403" s="97" t="n"/>
      <c r="E403" s="97" t="n"/>
      <c r="F403" s="98" t="n"/>
      <c r="G403" s="98" t="n">
        <v>10</v>
      </c>
      <c r="H403" s="98">
        <f>H402-G403</f>
        <v/>
      </c>
      <c r="I403" s="392" t="n"/>
      <c r="J403" s="392" t="n"/>
      <c r="K403" s="392" t="n"/>
      <c r="L403" s="392" t="n"/>
    </row>
    <row r="404">
      <c r="A404" s="297" t="n">
        <v>44357</v>
      </c>
      <c r="B404" s="96" t="inlineStr">
        <is>
          <t>8161</t>
        </is>
      </c>
      <c r="C404" s="96" t="inlineStr">
        <is>
          <t>74</t>
        </is>
      </c>
      <c r="D404" s="97" t="n"/>
      <c r="E404" s="97" t="n"/>
      <c r="F404" s="98" t="n"/>
      <c r="G404" s="98" t="n">
        <v>25</v>
      </c>
      <c r="H404" s="98">
        <f>H403-G404</f>
        <v/>
      </c>
      <c r="I404" s="392" t="n"/>
      <c r="J404" s="392" t="n"/>
      <c r="K404" s="392" t="n"/>
      <c r="L404" s="392" t="n"/>
    </row>
    <row r="405">
      <c r="A405" s="297" t="n">
        <v>44364</v>
      </c>
      <c r="B405" s="96" t="inlineStr">
        <is>
          <t>8180</t>
        </is>
      </c>
      <c r="C405" s="96" t="inlineStr">
        <is>
          <t>72,5</t>
        </is>
      </c>
      <c r="D405" s="97" t="n"/>
      <c r="E405" s="97" t="n"/>
      <c r="F405" s="98" t="n"/>
      <c r="G405" s="98" t="n">
        <v>20</v>
      </c>
      <c r="H405" s="98">
        <f>H404-G405</f>
        <v/>
      </c>
      <c r="I405" s="392" t="n"/>
      <c r="J405" s="392" t="n"/>
      <c r="K405" s="392" t="n"/>
      <c r="L405" s="392" t="n"/>
    </row>
    <row r="406">
      <c r="A406" s="297" t="n">
        <v>44364</v>
      </c>
      <c r="B406" s="96" t="inlineStr">
        <is>
          <t>8185</t>
        </is>
      </c>
      <c r="C406" s="96" t="inlineStr">
        <is>
          <t>74</t>
        </is>
      </c>
      <c r="D406" s="97" t="n"/>
      <c r="E406" s="97" t="n"/>
      <c r="F406" s="98" t="n"/>
      <c r="G406" s="98" t="n">
        <v>25</v>
      </c>
      <c r="H406" s="98">
        <f>H405-G406</f>
        <v/>
      </c>
      <c r="I406" s="392" t="n"/>
      <c r="J406" s="392" t="n"/>
      <c r="K406" s="392" t="n"/>
      <c r="L406" s="392" t="n"/>
    </row>
    <row r="407">
      <c r="A407" s="297" t="n">
        <v>44369</v>
      </c>
      <c r="B407" s="96" t="inlineStr">
        <is>
          <t>8190</t>
        </is>
      </c>
      <c r="C407" s="96" t="inlineStr">
        <is>
          <t>71,25</t>
        </is>
      </c>
      <c r="D407" s="97" t="n"/>
      <c r="E407" s="97" t="n"/>
      <c r="F407" s="98" t="n"/>
      <c r="G407" s="98" t="n">
        <v>20</v>
      </c>
      <c r="H407" s="98">
        <f>H406-G407</f>
        <v/>
      </c>
      <c r="I407" s="392" t="n"/>
      <c r="J407" s="392" t="n"/>
      <c r="K407" s="392" t="n"/>
      <c r="L407" s="392" t="n"/>
    </row>
    <row r="408">
      <c r="A408" s="297" t="n">
        <v>44369</v>
      </c>
      <c r="B408" s="96" t="inlineStr">
        <is>
          <t>8191</t>
        </is>
      </c>
      <c r="C408" s="96" t="inlineStr">
        <is>
          <t>72,50</t>
        </is>
      </c>
      <c r="D408" s="97" t="n"/>
      <c r="E408" s="97" t="n"/>
      <c r="F408" s="98" t="n"/>
      <c r="G408" s="98" t="n">
        <v>50</v>
      </c>
      <c r="H408" s="98">
        <f>H407-G408</f>
        <v/>
      </c>
      <c r="I408" s="392" t="n"/>
      <c r="J408" s="392" t="n"/>
      <c r="K408" s="392" t="n"/>
      <c r="L408" s="392" t="n"/>
    </row>
    <row r="409">
      <c r="A409" s="297" t="n">
        <v>44376</v>
      </c>
      <c r="B409" s="96" t="inlineStr">
        <is>
          <t>8198</t>
        </is>
      </c>
      <c r="C409" s="96" t="inlineStr">
        <is>
          <t>75</t>
        </is>
      </c>
      <c r="D409" s="97" t="n"/>
      <c r="E409" s="97" t="n"/>
      <c r="F409" s="98" t="n"/>
      <c r="G409" s="98" t="n">
        <v>10</v>
      </c>
      <c r="H409" s="98">
        <f>H408-G409</f>
        <v/>
      </c>
      <c r="I409" s="392" t="n"/>
      <c r="J409" s="392" t="n"/>
      <c r="K409" s="392" t="n"/>
      <c r="L409" s="392" t="n"/>
    </row>
    <row r="410">
      <c r="A410" s="297" t="n">
        <v>44377</v>
      </c>
      <c r="B410" s="96" t="inlineStr">
        <is>
          <t>8216</t>
        </is>
      </c>
      <c r="C410" s="96" t="inlineStr">
        <is>
          <t>70</t>
        </is>
      </c>
      <c r="D410" s="97" t="n"/>
      <c r="E410" s="97" t="n"/>
      <c r="F410" s="98" t="n"/>
      <c r="G410" s="98" t="n">
        <v>20</v>
      </c>
      <c r="H410" s="98">
        <f>H409-G410</f>
        <v/>
      </c>
      <c r="I410" s="392" t="n"/>
      <c r="J410" s="392" t="n"/>
      <c r="K410" s="392" t="n"/>
      <c r="L410" s="392" t="n"/>
    </row>
    <row r="411">
      <c r="A411" s="297" t="n">
        <v>44377</v>
      </c>
      <c r="B411" s="96" t="inlineStr">
        <is>
          <t>8218</t>
        </is>
      </c>
      <c r="C411" s="96" t="inlineStr">
        <is>
          <t>70</t>
        </is>
      </c>
      <c r="D411" s="97" t="n"/>
      <c r="E411" s="97" t="n"/>
      <c r="F411" s="98" t="n"/>
      <c r="G411" s="98" t="n">
        <v>15</v>
      </c>
      <c r="H411" s="98">
        <f>H410-G411</f>
        <v/>
      </c>
      <c r="I411" s="392" t="n"/>
      <c r="J411" s="392" t="n"/>
      <c r="K411" s="392" t="n"/>
      <c r="L411" s="392" t="n"/>
    </row>
    <row r="412">
      <c r="A412" s="297" t="n">
        <v>44377</v>
      </c>
      <c r="B412" s="96" t="inlineStr">
        <is>
          <t>8219</t>
        </is>
      </c>
      <c r="C412" s="96" t="inlineStr">
        <is>
          <t>70</t>
        </is>
      </c>
      <c r="D412" s="97" t="n"/>
      <c r="E412" s="97" t="n"/>
      <c r="F412" s="98" t="n"/>
      <c r="G412" s="98" t="n">
        <v>50</v>
      </c>
      <c r="H412" s="98">
        <f>H411-G412</f>
        <v/>
      </c>
      <c r="I412" s="392" t="n"/>
      <c r="J412" s="392" t="n"/>
      <c r="K412" s="392" t="n"/>
      <c r="L412" s="392" t="n"/>
    </row>
    <row r="413">
      <c r="A413" s="310" t="n">
        <v>44379</v>
      </c>
      <c r="B413" s="275" t="inlineStr">
        <is>
          <t>168739</t>
        </is>
      </c>
      <c r="C413" s="275" t="inlineStr">
        <is>
          <t>64,6</t>
        </is>
      </c>
      <c r="D413" s="276" t="n"/>
      <c r="E413" s="276" t="n"/>
      <c r="F413" s="277" t="n">
        <v>250</v>
      </c>
      <c r="G413" s="277" t="n"/>
      <c r="H413" s="277" t="n">
        <v>254</v>
      </c>
      <c r="I413" s="392" t="n"/>
      <c r="J413" s="392" t="n"/>
      <c r="K413" s="392" t="n"/>
      <c r="L413" s="392" t="n"/>
    </row>
    <row r="414">
      <c r="A414" s="297" t="n">
        <v>44383</v>
      </c>
      <c r="B414" s="96" t="inlineStr">
        <is>
          <t>8223</t>
        </is>
      </c>
      <c r="C414" s="96" t="inlineStr">
        <is>
          <t>75</t>
        </is>
      </c>
      <c r="D414" s="97" t="n"/>
      <c r="E414" s="97" t="n"/>
      <c r="F414" s="98" t="n"/>
      <c r="G414" s="98" t="n">
        <v>20</v>
      </c>
      <c r="H414" s="98">
        <f>H413-G414</f>
        <v/>
      </c>
      <c r="I414" s="392" t="n"/>
      <c r="J414" s="392" t="n"/>
      <c r="K414" s="392" t="n"/>
      <c r="L414" s="392" t="n"/>
    </row>
    <row r="415">
      <c r="A415" s="297" t="n">
        <v>44383</v>
      </c>
      <c r="B415" s="96" t="inlineStr">
        <is>
          <t>8224</t>
        </is>
      </c>
      <c r="C415" s="96" t="inlineStr">
        <is>
          <t>75</t>
        </is>
      </c>
      <c r="D415" s="97" t="n"/>
      <c r="E415" s="97" t="n"/>
      <c r="F415" s="98" t="n"/>
      <c r="G415" s="98" t="n">
        <v>10</v>
      </c>
      <c r="H415" s="98">
        <f>H414-G415</f>
        <v/>
      </c>
      <c r="I415" s="392" t="n"/>
      <c r="J415" s="392" t="n"/>
      <c r="K415" s="392" t="n"/>
      <c r="L415" s="392" t="n"/>
    </row>
    <row r="416" ht="15.75" customHeight="1" s="436" thickBot="1"/>
    <row r="417" ht="24" customHeight="1" s="436" thickBot="1">
      <c r="A417" s="745" t="inlineStr">
        <is>
          <t>Julho</t>
        </is>
      </c>
      <c r="B417" s="737" t="n"/>
      <c r="C417" s="737" t="n"/>
      <c r="D417" s="737" t="n"/>
      <c r="E417" s="737" t="n"/>
      <c r="F417" s="737" t="n"/>
      <c r="G417" s="737" t="n"/>
      <c r="H417" s="737" t="n"/>
      <c r="I417" s="737" t="n"/>
      <c r="J417" s="737" t="n"/>
      <c r="K417" s="737" t="n"/>
      <c r="L417" s="736" t="n"/>
    </row>
    <row r="418" ht="24" customHeight="1" s="436" thickBot="1">
      <c r="A418" s="745" t="inlineStr">
        <is>
          <t xml:space="preserve">  PRÉ MISTURA -  Pão Doce 25 KG</t>
        </is>
      </c>
      <c r="B418" s="737" t="n"/>
      <c r="C418" s="737" t="n"/>
      <c r="D418" s="737" t="n"/>
      <c r="E418" s="737" t="n"/>
      <c r="F418" s="737" t="n"/>
      <c r="G418" s="737" t="n"/>
      <c r="H418" s="737" t="n"/>
      <c r="I418" s="737" t="n"/>
      <c r="J418" s="737" t="n"/>
      <c r="K418" s="737" t="n"/>
      <c r="L418" s="736" t="n"/>
    </row>
    <row r="419">
      <c r="A419" s="746" t="inlineStr">
        <is>
          <t>DATA</t>
        </is>
      </c>
      <c r="B419" s="3" t="inlineStr">
        <is>
          <t>N.F.</t>
        </is>
      </c>
      <c r="C419" s="3" t="inlineStr">
        <is>
          <t>TIPO</t>
        </is>
      </c>
      <c r="D419" s="3" t="inlineStr">
        <is>
          <t>PREÇO UNITÁRIO</t>
        </is>
      </c>
      <c r="E419" s="736" t="n"/>
      <c r="F419" s="3" t="inlineStr">
        <is>
          <t>QUANTIDADE / KG</t>
        </is>
      </c>
      <c r="G419" s="737" t="n"/>
      <c r="H419" s="736" t="n"/>
      <c r="I419" s="631" t="inlineStr">
        <is>
          <t>PREÇO</t>
        </is>
      </c>
      <c r="J419" s="631" t="inlineStr">
        <is>
          <t>VALORES</t>
        </is>
      </c>
      <c r="K419" s="737" t="n"/>
      <c r="L419" s="736" t="n"/>
    </row>
    <row r="420" ht="15.75" customHeight="1" s="436" thickBot="1">
      <c r="A420" s="703" t="n"/>
      <c r="B420" s="704" t="n"/>
      <c r="C420" s="704" t="n"/>
      <c r="D420" s="703" t="n"/>
      <c r="E420" s="701" t="n"/>
      <c r="F420" s="705" t="n"/>
      <c r="G420" s="706" t="n"/>
      <c r="H420" s="707" t="n"/>
      <c r="I420" s="704" t="n"/>
      <c r="J420" s="703" t="n"/>
      <c r="L420" s="701" t="n"/>
    </row>
    <row r="421" ht="15.75" customHeight="1" s="436" thickBot="1">
      <c r="A421" s="703" t="n"/>
      <c r="B421" s="704" t="n"/>
      <c r="C421" s="704" t="n"/>
      <c r="D421" s="705" t="n"/>
      <c r="E421" s="707" t="n"/>
      <c r="F421" s="3" t="inlineStr">
        <is>
          <t>ENTRADA</t>
        </is>
      </c>
      <c r="G421" s="3" t="inlineStr">
        <is>
          <t>SAÍDA</t>
        </is>
      </c>
      <c r="H421" s="640" t="n"/>
      <c r="I421" s="633" t="inlineStr">
        <is>
          <t>MÉDIO</t>
        </is>
      </c>
      <c r="J421" s="652" t="inlineStr">
        <is>
          <t>SALDO EM 30/12/2017</t>
        </is>
      </c>
      <c r="K421" s="706" t="n"/>
      <c r="L421" s="17" t="n"/>
    </row>
    <row r="422" ht="15.75" customHeight="1" s="436" thickBot="1">
      <c r="A422" s="705" t="n"/>
      <c r="B422" s="695" t="n"/>
      <c r="C422" s="695" t="n"/>
      <c r="D422" s="3" t="inlineStr">
        <is>
          <t>C/ICMS</t>
        </is>
      </c>
      <c r="E422" s="3" t="inlineStr">
        <is>
          <t>S/ICMS</t>
        </is>
      </c>
      <c r="F422" s="695" t="n"/>
      <c r="G422" s="695" t="n"/>
      <c r="H422" s="361" t="n">
        <v>44316</v>
      </c>
      <c r="I422" s="695" t="n"/>
      <c r="J422" s="645" t="inlineStr">
        <is>
          <t>ENTRADA</t>
        </is>
      </c>
      <c r="K422" s="633" t="inlineStr">
        <is>
          <t>SAÍDA / CMV</t>
        </is>
      </c>
      <c r="L422" s="633" t="inlineStr">
        <is>
          <t>SALDO</t>
        </is>
      </c>
    </row>
    <row r="423">
      <c r="A423" s="48" t="n"/>
      <c r="B423" s="49" t="n"/>
      <c r="C423" s="49" t="n"/>
      <c r="D423" s="71" t="n"/>
      <c r="E423" s="71" t="n"/>
      <c r="F423" s="55" t="n"/>
      <c r="G423" s="55" t="n">
        <v>0</v>
      </c>
      <c r="H423" s="95" t="n">
        <v>224</v>
      </c>
      <c r="I423" s="71" t="n"/>
      <c r="J423" s="747">
        <f>F423*I423</f>
        <v/>
      </c>
      <c r="K423" s="747" t="n"/>
      <c r="L423" s="748" t="n"/>
    </row>
    <row r="424">
      <c r="A424" s="297" t="n">
        <v>44383</v>
      </c>
      <c r="B424" s="96" t="inlineStr">
        <is>
          <t>8230</t>
        </is>
      </c>
      <c r="C424" s="96" t="inlineStr">
        <is>
          <t>71,67</t>
        </is>
      </c>
      <c r="D424" s="97" t="n"/>
      <c r="E424" s="97" t="n"/>
      <c r="F424" s="98" t="n"/>
      <c r="G424" s="761" t="n">
        <v>15</v>
      </c>
      <c r="H424" s="98">
        <f>H423-G424</f>
        <v/>
      </c>
      <c r="I424" s="392" t="n"/>
      <c r="J424" s="392" t="n"/>
      <c r="K424" s="392" t="n"/>
      <c r="L424" s="392" t="n"/>
    </row>
    <row r="425">
      <c r="A425" s="297" t="n">
        <v>44384</v>
      </c>
      <c r="B425" s="96" t="inlineStr">
        <is>
          <t>8241</t>
        </is>
      </c>
      <c r="C425" s="96" t="inlineStr">
        <is>
          <t>70</t>
        </is>
      </c>
      <c r="D425" s="97" t="n"/>
      <c r="E425" s="97" t="n"/>
      <c r="F425" s="98" t="n"/>
      <c r="G425" s="761" t="n">
        <v>36</v>
      </c>
      <c r="H425" s="98">
        <f>H424-G425</f>
        <v/>
      </c>
      <c r="I425" s="392" t="n"/>
      <c r="J425" s="392" t="n"/>
      <c r="K425" s="392" t="n"/>
      <c r="L425" s="392" t="n"/>
    </row>
    <row r="426">
      <c r="A426" s="297" t="n">
        <v>44390</v>
      </c>
      <c r="B426" s="96" t="inlineStr">
        <is>
          <t>8245</t>
        </is>
      </c>
      <c r="C426" s="96" t="inlineStr">
        <is>
          <t>71</t>
        </is>
      </c>
      <c r="D426" s="97" t="n"/>
      <c r="E426" s="97" t="n"/>
      <c r="F426" s="98" t="n"/>
      <c r="G426" s="761" t="n">
        <v>20</v>
      </c>
      <c r="H426" s="98">
        <f>H425-G426</f>
        <v/>
      </c>
      <c r="I426" s="392" t="n"/>
      <c r="J426" s="392" t="n"/>
      <c r="K426" s="392" t="n"/>
      <c r="L426" s="392" t="n"/>
    </row>
    <row r="427">
      <c r="A427" s="297" t="n">
        <v>44390</v>
      </c>
      <c r="B427" s="96" t="inlineStr">
        <is>
          <t>8254</t>
        </is>
      </c>
      <c r="C427" s="96" t="inlineStr">
        <is>
          <t>75</t>
        </is>
      </c>
      <c r="D427" s="97" t="n"/>
      <c r="E427" s="97" t="n"/>
      <c r="F427" s="98" t="n"/>
      <c r="G427" s="761" t="n">
        <v>30</v>
      </c>
      <c r="H427" s="98">
        <f>H426-G427</f>
        <v/>
      </c>
      <c r="I427" s="392" t="n"/>
      <c r="J427" s="392" t="n"/>
      <c r="K427" s="392" t="n"/>
      <c r="L427" s="392" t="n"/>
    </row>
    <row r="428">
      <c r="A428" s="310" t="n">
        <v>44396</v>
      </c>
      <c r="B428" s="275" t="inlineStr">
        <is>
          <t>169717</t>
        </is>
      </c>
      <c r="C428" s="275" t="inlineStr">
        <is>
          <t>64</t>
        </is>
      </c>
      <c r="D428" s="276" t="n"/>
      <c r="E428" s="276" t="n"/>
      <c r="F428" s="277" t="n">
        <v>140</v>
      </c>
      <c r="G428" s="762" t="n"/>
      <c r="H428" s="277" t="n">
        <v>263</v>
      </c>
      <c r="I428" s="392" t="n"/>
      <c r="J428" s="392" t="n"/>
      <c r="K428" s="392" t="n"/>
      <c r="L428" s="392" t="n"/>
    </row>
    <row r="429">
      <c r="A429" s="297" t="n">
        <v>44397</v>
      </c>
      <c r="B429" s="96" t="inlineStr">
        <is>
          <t>8275</t>
        </is>
      </c>
      <c r="C429" s="96" t="inlineStr">
        <is>
          <t>72,50</t>
        </is>
      </c>
      <c r="D429" s="97" t="n"/>
      <c r="E429" s="97" t="n"/>
      <c r="F429" s="98" t="n"/>
      <c r="G429" s="761" t="n">
        <v>50</v>
      </c>
      <c r="H429" s="98">
        <f>H428-G429</f>
        <v/>
      </c>
      <c r="I429" s="392" t="n"/>
      <c r="J429" s="392" t="n"/>
      <c r="K429" s="392" t="n"/>
      <c r="L429" s="392" t="n"/>
    </row>
    <row r="430">
      <c r="A430" s="310" t="n">
        <v>44403</v>
      </c>
      <c r="B430" s="275" t="inlineStr">
        <is>
          <t>170178</t>
        </is>
      </c>
      <c r="C430" s="275" t="inlineStr">
        <is>
          <t>64</t>
        </is>
      </c>
      <c r="D430" s="276" t="n"/>
      <c r="E430" s="276" t="n"/>
      <c r="F430" s="277" t="n">
        <v>100</v>
      </c>
      <c r="G430" s="762" t="n"/>
      <c r="H430" s="277" t="n">
        <v>313</v>
      </c>
      <c r="I430" s="392" t="n"/>
      <c r="J430" s="392" t="n"/>
      <c r="K430" s="392" t="n"/>
      <c r="L430" s="392" t="n"/>
    </row>
    <row r="431">
      <c r="A431" s="297" t="n">
        <v>44405</v>
      </c>
      <c r="B431" s="96" t="inlineStr">
        <is>
          <t>8287</t>
        </is>
      </c>
      <c r="C431" s="96" t="inlineStr">
        <is>
          <t>75</t>
        </is>
      </c>
      <c r="D431" s="97" t="n"/>
      <c r="E431" s="97" t="n"/>
      <c r="F431" s="98" t="n"/>
      <c r="G431" s="761" t="n">
        <v>10</v>
      </c>
      <c r="H431" s="98">
        <f>H430-G431</f>
        <v/>
      </c>
      <c r="I431" s="392" t="n"/>
      <c r="J431" s="392" t="n"/>
      <c r="K431" s="392" t="n"/>
      <c r="L431" s="392" t="n"/>
    </row>
    <row r="432">
      <c r="A432" s="297" t="n">
        <v>44405</v>
      </c>
      <c r="B432" s="96" t="inlineStr">
        <is>
          <t>8296</t>
        </is>
      </c>
      <c r="C432" s="96" t="inlineStr">
        <is>
          <t>72,50</t>
        </is>
      </c>
      <c r="D432" s="97" t="n"/>
      <c r="E432" s="97" t="n"/>
      <c r="F432" s="98" t="n"/>
      <c r="G432" s="761" t="n">
        <v>20</v>
      </c>
      <c r="H432" s="98">
        <f>H431-G432</f>
        <v/>
      </c>
      <c r="I432" s="392" t="n"/>
      <c r="J432" s="392" t="n"/>
      <c r="K432" s="392" t="n"/>
      <c r="L432" s="392" t="n"/>
    </row>
    <row r="433">
      <c r="A433" s="297" t="n"/>
      <c r="B433" s="96" t="n"/>
      <c r="C433" s="96" t="n"/>
      <c r="D433" s="97" t="n"/>
      <c r="E433" s="97" t="n"/>
      <c r="F433" s="98" t="n"/>
      <c r="G433" s="761" t="n"/>
      <c r="H433" s="98">
        <f>H432-G433</f>
        <v/>
      </c>
      <c r="I433" s="392" t="n"/>
      <c r="J433" s="392" t="n"/>
      <c r="K433" s="392" t="n"/>
      <c r="L433" s="392" t="n"/>
    </row>
    <row r="434" ht="15.75" customHeight="1" s="436" thickBot="1"/>
    <row r="435" ht="24" customHeight="1" s="436" thickBot="1">
      <c r="A435" s="745" t="inlineStr">
        <is>
          <t>Agosto</t>
        </is>
      </c>
      <c r="B435" s="737" t="n"/>
      <c r="C435" s="737" t="n"/>
      <c r="D435" s="737" t="n"/>
      <c r="E435" s="737" t="n"/>
      <c r="F435" s="737" t="n"/>
      <c r="G435" s="737" t="n"/>
      <c r="H435" s="737" t="n"/>
      <c r="I435" s="737" t="n"/>
      <c r="J435" s="737" t="n"/>
      <c r="K435" s="737" t="n"/>
      <c r="L435" s="736" t="n"/>
    </row>
    <row r="436" ht="24" customHeight="1" s="436" thickBot="1">
      <c r="A436" s="745" t="inlineStr">
        <is>
          <t xml:space="preserve">  PRÉ MISTURA -  Pão Doce 25 KG</t>
        </is>
      </c>
      <c r="B436" s="737" t="n"/>
      <c r="C436" s="737" t="n"/>
      <c r="D436" s="737" t="n"/>
      <c r="E436" s="737" t="n"/>
      <c r="F436" s="737" t="n"/>
      <c r="G436" s="737" t="n"/>
      <c r="H436" s="737" t="n"/>
      <c r="I436" s="737" t="n"/>
      <c r="J436" s="737" t="n"/>
      <c r="K436" s="737" t="n"/>
      <c r="L436" s="736" t="n"/>
    </row>
    <row r="437">
      <c r="A437" s="746" t="inlineStr">
        <is>
          <t>DATA</t>
        </is>
      </c>
      <c r="B437" s="3" t="inlineStr">
        <is>
          <t>N.F.</t>
        </is>
      </c>
      <c r="C437" s="3" t="inlineStr">
        <is>
          <t>TIPO</t>
        </is>
      </c>
      <c r="D437" s="3" t="inlineStr">
        <is>
          <t>PREÇO UNITÁRIO</t>
        </is>
      </c>
      <c r="E437" s="736" t="n"/>
      <c r="F437" s="3" t="inlineStr">
        <is>
          <t>QUANTIDADE / KG</t>
        </is>
      </c>
      <c r="G437" s="737" t="n"/>
      <c r="H437" s="736" t="n"/>
      <c r="I437" s="631" t="inlineStr">
        <is>
          <t>PREÇO</t>
        </is>
      </c>
      <c r="J437" s="631" t="inlineStr">
        <is>
          <t>VALORES</t>
        </is>
      </c>
      <c r="K437" s="737" t="n"/>
      <c r="L437" s="736" t="n"/>
    </row>
    <row r="438" ht="15.75" customHeight="1" s="436" thickBot="1">
      <c r="A438" s="703" t="n"/>
      <c r="B438" s="704" t="n"/>
      <c r="C438" s="704" t="n"/>
      <c r="D438" s="703" t="n"/>
      <c r="E438" s="701" t="n"/>
      <c r="F438" s="705" t="n"/>
      <c r="G438" s="706" t="n"/>
      <c r="H438" s="707" t="n"/>
      <c r="I438" s="704" t="n"/>
      <c r="J438" s="703" t="n"/>
      <c r="L438" s="701" t="n"/>
    </row>
    <row r="439" ht="15.75" customHeight="1" s="436" thickBot="1">
      <c r="A439" s="703" t="n"/>
      <c r="B439" s="704" t="n"/>
      <c r="C439" s="704" t="n"/>
      <c r="D439" s="705" t="n"/>
      <c r="E439" s="707" t="n"/>
      <c r="F439" s="3" t="inlineStr">
        <is>
          <t>ENTRADA</t>
        </is>
      </c>
      <c r="G439" s="3" t="inlineStr">
        <is>
          <t>SAÍDA</t>
        </is>
      </c>
      <c r="H439" s="640" t="n"/>
      <c r="I439" s="633" t="inlineStr">
        <is>
          <t>MÉDIO</t>
        </is>
      </c>
      <c r="J439" s="652" t="inlineStr">
        <is>
          <t>SALDO EM 30/12/2017</t>
        </is>
      </c>
      <c r="K439" s="706" t="n"/>
      <c r="L439" s="17" t="n"/>
    </row>
    <row r="440" ht="15.75" customHeight="1" s="436" thickBot="1">
      <c r="A440" s="705" t="n"/>
      <c r="B440" s="695" t="n"/>
      <c r="C440" s="695" t="n"/>
      <c r="D440" s="3" t="inlineStr">
        <is>
          <t>C/ICMS</t>
        </is>
      </c>
      <c r="E440" s="3" t="inlineStr">
        <is>
          <t>S/ICMS</t>
        </is>
      </c>
      <c r="F440" s="695" t="n"/>
      <c r="G440" s="695" t="n"/>
      <c r="H440" s="361" t="n">
        <v>44316</v>
      </c>
      <c r="I440" s="695" t="n"/>
      <c r="J440" s="645" t="inlineStr">
        <is>
          <t>ENTRADA</t>
        </is>
      </c>
      <c r="K440" s="633" t="inlineStr">
        <is>
          <t>SAÍDA / CMV</t>
        </is>
      </c>
      <c r="L440" s="633" t="inlineStr">
        <is>
          <t>SALDO</t>
        </is>
      </c>
    </row>
    <row r="441">
      <c r="A441" s="48" t="n"/>
      <c r="B441" s="49" t="n"/>
      <c r="C441" s="49" t="n"/>
      <c r="D441" s="71" t="n"/>
      <c r="E441" s="71" t="n"/>
      <c r="F441" s="55" t="n"/>
      <c r="G441" s="55" t="n">
        <v>0</v>
      </c>
      <c r="H441" s="95" t="n">
        <v>283</v>
      </c>
      <c r="I441" s="71" t="n"/>
      <c r="J441" s="747">
        <f>F441*I441</f>
        <v/>
      </c>
      <c r="K441" s="747" t="n"/>
      <c r="L441" s="748" t="n"/>
    </row>
    <row r="442">
      <c r="A442" s="297" t="n">
        <v>44410</v>
      </c>
      <c r="B442" s="96" t="inlineStr">
        <is>
          <t>8304</t>
        </is>
      </c>
      <c r="C442" s="96" t="inlineStr">
        <is>
          <t>75</t>
        </is>
      </c>
      <c r="D442" s="97" t="n"/>
      <c r="E442" s="97" t="n"/>
      <c r="F442" s="98" t="n"/>
      <c r="G442" s="761" t="n">
        <v>30</v>
      </c>
      <c r="H442" s="98">
        <f>H441-G442</f>
        <v/>
      </c>
      <c r="I442" s="392" t="n"/>
      <c r="J442" s="392" t="n"/>
      <c r="K442" s="392" t="n"/>
      <c r="L442" s="392" t="n"/>
    </row>
    <row r="443">
      <c r="A443" s="297" t="n">
        <v>44410</v>
      </c>
      <c r="B443" s="96" t="inlineStr">
        <is>
          <t>8314</t>
        </is>
      </c>
      <c r="C443" s="96" t="inlineStr">
        <is>
          <t>77</t>
        </is>
      </c>
      <c r="D443" s="97" t="n"/>
      <c r="E443" s="97" t="n"/>
      <c r="F443" s="98" t="n"/>
      <c r="G443" s="761" t="n">
        <v>10</v>
      </c>
      <c r="H443" s="98">
        <f>H442-G443</f>
        <v/>
      </c>
      <c r="I443" s="392" t="n"/>
      <c r="J443" s="392" t="n"/>
      <c r="K443" s="392" t="n"/>
      <c r="L443" s="392" t="n"/>
    </row>
    <row r="444">
      <c r="A444" s="297" t="n">
        <v>44412</v>
      </c>
      <c r="B444" s="96" t="inlineStr">
        <is>
          <t>8317</t>
        </is>
      </c>
      <c r="C444" s="96" t="inlineStr">
        <is>
          <t>73,4</t>
        </is>
      </c>
      <c r="D444" s="97" t="n"/>
      <c r="E444" s="97" t="n"/>
      <c r="F444" s="98" t="n"/>
      <c r="G444" s="761" t="n">
        <v>15</v>
      </c>
      <c r="H444" s="98">
        <f>H443-G444</f>
        <v/>
      </c>
      <c r="I444" s="392" t="n"/>
      <c r="J444" s="392" t="n"/>
      <c r="K444" s="392" t="n"/>
      <c r="L444" s="392" t="n"/>
    </row>
    <row r="445">
      <c r="A445" s="297" t="n">
        <v>44412</v>
      </c>
      <c r="B445" s="96" t="inlineStr">
        <is>
          <t>8323</t>
        </is>
      </c>
      <c r="C445" s="96" t="inlineStr">
        <is>
          <t>77</t>
        </is>
      </c>
      <c r="D445" s="97" t="n"/>
      <c r="E445" s="97" t="n"/>
      <c r="F445" s="98" t="n"/>
      <c r="G445" s="761" t="n">
        <v>10</v>
      </c>
      <c r="H445" s="98">
        <f>H444-G445</f>
        <v/>
      </c>
      <c r="I445" s="392" t="n"/>
      <c r="J445" s="392" t="n"/>
      <c r="K445" s="392" t="n"/>
      <c r="L445" s="392" t="n"/>
    </row>
    <row r="446">
      <c r="A446" s="297" t="n">
        <v>44424</v>
      </c>
      <c r="B446" s="96" t="inlineStr">
        <is>
          <t>8345</t>
        </is>
      </c>
      <c r="C446" s="96" t="inlineStr">
        <is>
          <t>74,5</t>
        </is>
      </c>
      <c r="D446" s="97" t="n"/>
      <c r="E446" s="97" t="n"/>
      <c r="F446" s="98" t="n"/>
      <c r="G446" s="761" t="n">
        <v>46</v>
      </c>
      <c r="H446" s="98">
        <f>H445-G446</f>
        <v/>
      </c>
      <c r="I446" s="392" t="n"/>
      <c r="J446" s="392" t="n"/>
      <c r="K446" s="392" t="n"/>
      <c r="L446" s="392" t="n"/>
    </row>
    <row r="447">
      <c r="A447" s="297" t="n">
        <v>44424</v>
      </c>
      <c r="B447" s="96" t="inlineStr">
        <is>
          <t>8347</t>
        </is>
      </c>
      <c r="C447" s="96" t="inlineStr">
        <is>
          <t>74,4</t>
        </is>
      </c>
      <c r="D447" s="97" t="n"/>
      <c r="E447" s="97" t="n"/>
      <c r="F447" s="98" t="n"/>
      <c r="G447" s="761" t="n">
        <v>15</v>
      </c>
      <c r="H447" s="98">
        <f>H446-G447</f>
        <v/>
      </c>
      <c r="I447" s="392" t="n"/>
      <c r="J447" s="392" t="n"/>
      <c r="K447" s="392" t="n"/>
      <c r="L447" s="392" t="n"/>
    </row>
    <row r="448">
      <c r="A448" s="297" t="n">
        <v>44424</v>
      </c>
      <c r="B448" s="96" t="inlineStr">
        <is>
          <t>8348</t>
        </is>
      </c>
      <c r="C448" s="96" t="inlineStr">
        <is>
          <t>77</t>
        </is>
      </c>
      <c r="D448" s="97" t="n"/>
      <c r="E448" s="97" t="n"/>
      <c r="F448" s="98" t="n"/>
      <c r="G448" s="761" t="n">
        <v>30</v>
      </c>
      <c r="H448" s="98">
        <f>H447-G448</f>
        <v/>
      </c>
      <c r="I448" s="392" t="n"/>
      <c r="J448" s="392" t="n"/>
      <c r="K448" s="392" t="n"/>
      <c r="L448" s="392" t="n"/>
    </row>
    <row r="449">
      <c r="A449" s="297" t="n">
        <v>44432</v>
      </c>
      <c r="B449" s="96" t="inlineStr">
        <is>
          <t>8362</t>
        </is>
      </c>
      <c r="C449" s="96" t="inlineStr">
        <is>
          <t>73,4</t>
        </is>
      </c>
      <c r="D449" s="97" t="n"/>
      <c r="E449" s="97" t="n"/>
      <c r="F449" s="98" t="n"/>
      <c r="G449" s="761" t="n">
        <v>20</v>
      </c>
      <c r="H449" s="98">
        <f>H448-G449</f>
        <v/>
      </c>
      <c r="I449" s="392" t="n"/>
      <c r="J449" s="392" t="n"/>
      <c r="K449" s="392" t="n"/>
      <c r="L449" s="392" t="n"/>
    </row>
    <row r="450">
      <c r="A450" s="310" t="n">
        <v>44436</v>
      </c>
      <c r="B450" s="275" t="inlineStr">
        <is>
          <t>172608</t>
        </is>
      </c>
      <c r="C450" s="275" t="inlineStr">
        <is>
          <t>65,1</t>
        </is>
      </c>
      <c r="D450" s="276" t="n"/>
      <c r="E450" s="276" t="n"/>
      <c r="F450" s="277" t="n">
        <v>280</v>
      </c>
      <c r="G450" s="762" t="n"/>
      <c r="H450" s="277" t="n">
        <v>387</v>
      </c>
      <c r="I450" s="392" t="n"/>
      <c r="J450" s="392" t="n"/>
      <c r="K450" s="392" t="n"/>
      <c r="L450" s="392" t="n"/>
    </row>
    <row r="451" ht="15.75" customHeight="1" s="436" thickBot="1"/>
    <row r="452" ht="24" customHeight="1" s="436" thickBot="1">
      <c r="A452" s="745" t="inlineStr">
        <is>
          <t>Setembro</t>
        </is>
      </c>
      <c r="B452" s="737" t="n"/>
      <c r="C452" s="737" t="n"/>
      <c r="D452" s="737" t="n"/>
      <c r="E452" s="737" t="n"/>
      <c r="F452" s="737" t="n"/>
      <c r="G452" s="737" t="n"/>
      <c r="H452" s="737" t="n"/>
      <c r="I452" s="737" t="n"/>
      <c r="J452" s="737" t="n"/>
      <c r="K452" s="737" t="n"/>
      <c r="L452" s="736" t="n"/>
    </row>
    <row r="453" ht="24" customHeight="1" s="436" thickBot="1">
      <c r="A453" s="745" t="inlineStr">
        <is>
          <t xml:space="preserve">  PRÉ MISTURA -  Pão Doce 25 KG</t>
        </is>
      </c>
      <c r="B453" s="737" t="n"/>
      <c r="C453" s="737" t="n"/>
      <c r="D453" s="737" t="n"/>
      <c r="E453" s="737" t="n"/>
      <c r="F453" s="737" t="n"/>
      <c r="G453" s="737" t="n"/>
      <c r="H453" s="737" t="n"/>
      <c r="I453" s="737" t="n"/>
      <c r="J453" s="737" t="n"/>
      <c r="K453" s="737" t="n"/>
      <c r="L453" s="736" t="n"/>
    </row>
    <row r="454">
      <c r="A454" s="746" t="inlineStr">
        <is>
          <t>DATA</t>
        </is>
      </c>
      <c r="B454" s="3" t="inlineStr">
        <is>
          <t>N.F.</t>
        </is>
      </c>
      <c r="C454" s="3" t="inlineStr">
        <is>
          <t>TIPO</t>
        </is>
      </c>
      <c r="D454" s="3" t="inlineStr">
        <is>
          <t>PREÇO UNITÁRIO</t>
        </is>
      </c>
      <c r="E454" s="736" t="n"/>
      <c r="F454" s="3" t="inlineStr">
        <is>
          <t>QUANTIDADE / KG</t>
        </is>
      </c>
      <c r="G454" s="737" t="n"/>
      <c r="H454" s="736" t="n"/>
      <c r="I454" s="631" t="inlineStr">
        <is>
          <t>PREÇO</t>
        </is>
      </c>
      <c r="J454" s="631" t="inlineStr">
        <is>
          <t>VALORES</t>
        </is>
      </c>
      <c r="K454" s="737" t="n"/>
      <c r="L454" s="736" t="n"/>
    </row>
    <row r="455" ht="15.75" customHeight="1" s="436" thickBot="1">
      <c r="A455" s="703" t="n"/>
      <c r="B455" s="704" t="n"/>
      <c r="C455" s="704" t="n"/>
      <c r="D455" s="703" t="n"/>
      <c r="E455" s="701" t="n"/>
      <c r="F455" s="705" t="n"/>
      <c r="G455" s="706" t="n"/>
      <c r="H455" s="707" t="n"/>
      <c r="I455" s="704" t="n"/>
      <c r="J455" s="703" t="n"/>
      <c r="L455" s="701" t="n"/>
    </row>
    <row r="456" ht="15.75" customHeight="1" s="436" thickBot="1">
      <c r="A456" s="703" t="n"/>
      <c r="B456" s="704" t="n"/>
      <c r="C456" s="704" t="n"/>
      <c r="D456" s="705" t="n"/>
      <c r="E456" s="707" t="n"/>
      <c r="F456" s="3" t="inlineStr">
        <is>
          <t>ENTRADA</t>
        </is>
      </c>
      <c r="G456" s="3" t="inlineStr">
        <is>
          <t>SAÍDA</t>
        </is>
      </c>
      <c r="H456" s="640" t="n"/>
      <c r="I456" s="633" t="inlineStr">
        <is>
          <t>MÉDIO</t>
        </is>
      </c>
      <c r="J456" s="652" t="inlineStr">
        <is>
          <t>SALDO EM 30/12/2017</t>
        </is>
      </c>
      <c r="K456" s="706" t="n"/>
      <c r="L456" s="17" t="n"/>
    </row>
    <row r="457" ht="15.75" customHeight="1" s="436" thickBot="1">
      <c r="A457" s="705" t="n"/>
      <c r="B457" s="695" t="n"/>
      <c r="C457" s="695" t="n"/>
      <c r="D457" s="3" t="inlineStr">
        <is>
          <t>C/ICMS</t>
        </is>
      </c>
      <c r="E457" s="3" t="inlineStr">
        <is>
          <t>S/ICMS</t>
        </is>
      </c>
      <c r="F457" s="695" t="n"/>
      <c r="G457" s="695" t="n"/>
      <c r="H457" s="361" t="inlineStr">
        <is>
          <t>Saldo em 31/09/2021</t>
        </is>
      </c>
      <c r="I457" s="695" t="n"/>
      <c r="J457" s="645" t="inlineStr">
        <is>
          <t>ENTRADA</t>
        </is>
      </c>
      <c r="K457" s="633" t="inlineStr">
        <is>
          <t>SAÍDA / CMV</t>
        </is>
      </c>
      <c r="L457" s="633" t="inlineStr">
        <is>
          <t>SALDO</t>
        </is>
      </c>
    </row>
    <row r="458">
      <c r="A458" s="48" t="n"/>
      <c r="B458" s="49" t="n"/>
      <c r="C458" s="49" t="n"/>
      <c r="D458" s="71" t="n"/>
      <c r="E458" s="71" t="n"/>
      <c r="F458" s="55" t="n"/>
      <c r="G458" s="55" t="n">
        <v>0</v>
      </c>
      <c r="H458" s="95" t="n">
        <v>387</v>
      </c>
      <c r="I458" s="71" t="n"/>
      <c r="J458" s="747">
        <f>F458*I458</f>
        <v/>
      </c>
      <c r="K458" s="747" t="n"/>
      <c r="L458" s="748" t="n"/>
    </row>
    <row r="459">
      <c r="A459" s="297" t="n">
        <v>44446</v>
      </c>
      <c r="B459" s="96" t="inlineStr">
        <is>
          <t>8400</t>
        </is>
      </c>
      <c r="C459" s="96" t="inlineStr">
        <is>
          <t>77</t>
        </is>
      </c>
      <c r="D459" s="97" t="n"/>
      <c r="E459" s="97" t="n"/>
      <c r="F459" s="98" t="n"/>
      <c r="G459" s="761" t="n">
        <v>30</v>
      </c>
      <c r="H459" s="98">
        <f>H458-G459</f>
        <v/>
      </c>
      <c r="I459" s="392" t="n"/>
      <c r="J459" s="392" t="n"/>
      <c r="K459" s="392" t="n"/>
      <c r="L459" s="392" t="n"/>
    </row>
    <row r="460">
      <c r="A460" s="297" t="n">
        <v>44446</v>
      </c>
      <c r="B460" s="96" t="inlineStr">
        <is>
          <t>8401</t>
        </is>
      </c>
      <c r="C460" s="96" t="inlineStr">
        <is>
          <t>77</t>
        </is>
      </c>
      <c r="D460" s="97" t="n"/>
      <c r="E460" s="97" t="n"/>
      <c r="F460" s="98" t="n"/>
      <c r="G460" s="761" t="n">
        <v>15</v>
      </c>
      <c r="H460" s="98">
        <f>H459-G460</f>
        <v/>
      </c>
      <c r="I460" s="392" t="n"/>
      <c r="J460" s="392" t="n"/>
      <c r="K460" s="392" t="n"/>
      <c r="L460" s="392" t="n"/>
    </row>
    <row r="461">
      <c r="A461" s="391" t="n">
        <v>44454</v>
      </c>
      <c r="B461" s="96" t="inlineStr">
        <is>
          <t>8419</t>
        </is>
      </c>
      <c r="C461" s="96" t="inlineStr">
        <is>
          <t>73,7</t>
        </is>
      </c>
      <c r="D461" s="97" t="n"/>
      <c r="E461" s="97" t="n"/>
      <c r="F461" s="98" t="n"/>
      <c r="G461" s="761" t="n">
        <v>20</v>
      </c>
      <c r="H461" s="98">
        <f>H460-G461</f>
        <v/>
      </c>
      <c r="I461" s="392" t="n"/>
      <c r="J461" s="392" t="n"/>
      <c r="K461" s="392" t="n"/>
      <c r="L461" s="392" t="n"/>
    </row>
    <row r="462">
      <c r="A462" s="297" t="n">
        <v>44455</v>
      </c>
      <c r="B462" s="96" t="inlineStr">
        <is>
          <t>8431</t>
        </is>
      </c>
      <c r="C462" s="96" t="inlineStr">
        <is>
          <t>74,5</t>
        </is>
      </c>
      <c r="D462" s="97" t="n"/>
      <c r="E462" s="97" t="n"/>
      <c r="F462" s="98" t="n"/>
      <c r="G462" s="761" t="n">
        <v>40</v>
      </c>
      <c r="H462" s="98">
        <f>H461-G462</f>
        <v/>
      </c>
      <c r="I462" s="392" t="n"/>
      <c r="J462" s="392" t="n"/>
      <c r="K462" s="392" t="n"/>
      <c r="L462" s="392" t="n"/>
    </row>
    <row r="463">
      <c r="A463" s="297" t="n">
        <v>44466</v>
      </c>
      <c r="B463" s="96" t="inlineStr">
        <is>
          <t>8462</t>
        </is>
      </c>
      <c r="C463" s="96" t="inlineStr">
        <is>
          <t>77</t>
        </is>
      </c>
      <c r="D463" s="97" t="n"/>
      <c r="E463" s="97" t="n"/>
      <c r="F463" s="98" t="n"/>
      <c r="G463" s="761" t="n">
        <v>30</v>
      </c>
      <c r="H463" s="98">
        <f>H462-G463</f>
        <v/>
      </c>
      <c r="I463" s="392" t="n"/>
      <c r="J463" s="392" t="n"/>
      <c r="K463" s="392" t="n"/>
      <c r="L463" s="392" t="n"/>
    </row>
    <row r="464">
      <c r="A464" s="297" t="n">
        <v>44466</v>
      </c>
      <c r="B464" s="96" t="inlineStr">
        <is>
          <t>8463</t>
        </is>
      </c>
      <c r="C464" s="96" t="inlineStr">
        <is>
          <t>78</t>
        </is>
      </c>
      <c r="D464" s="97" t="n"/>
      <c r="E464" s="97" t="n"/>
      <c r="F464" s="98" t="n"/>
      <c r="G464" s="761" t="n">
        <v>10</v>
      </c>
      <c r="H464" s="98">
        <f>H463-G464</f>
        <v/>
      </c>
      <c r="I464" s="392" t="n"/>
      <c r="J464" s="392" t="n"/>
      <c r="K464" s="392" t="n"/>
      <c r="L464" s="392" t="n"/>
    </row>
    <row r="465" ht="15.75" customHeight="1" s="436" thickBot="1"/>
    <row r="466" ht="24" customHeight="1" s="436" thickBot="1">
      <c r="A466" s="745" t="inlineStr">
        <is>
          <t>Outubro</t>
        </is>
      </c>
      <c r="B466" s="737" t="n"/>
      <c r="C466" s="737" t="n"/>
      <c r="D466" s="737" t="n"/>
      <c r="E466" s="737" t="n"/>
      <c r="F466" s="737" t="n"/>
      <c r="G466" s="737" t="n"/>
      <c r="H466" s="737" t="n"/>
      <c r="I466" s="737" t="n"/>
      <c r="J466" s="737" t="n"/>
      <c r="K466" s="737" t="n"/>
      <c r="L466" s="736" t="n"/>
    </row>
    <row r="467" ht="24" customHeight="1" s="436" thickBot="1">
      <c r="A467" s="745" t="inlineStr">
        <is>
          <t xml:space="preserve">  PRÉ MISTURA -  Pão Doce 25 KG</t>
        </is>
      </c>
      <c r="B467" s="737" t="n"/>
      <c r="C467" s="737" t="n"/>
      <c r="D467" s="737" t="n"/>
      <c r="E467" s="737" t="n"/>
      <c r="F467" s="737" t="n"/>
      <c r="G467" s="737" t="n"/>
      <c r="H467" s="737" t="n"/>
      <c r="I467" s="737" t="n"/>
      <c r="J467" s="737" t="n"/>
      <c r="K467" s="737" t="n"/>
      <c r="L467" s="736" t="n"/>
    </row>
    <row r="468">
      <c r="A468" s="746" t="inlineStr">
        <is>
          <t>DATA</t>
        </is>
      </c>
      <c r="B468" s="3" t="inlineStr">
        <is>
          <t>N.F.</t>
        </is>
      </c>
      <c r="C468" s="3" t="inlineStr">
        <is>
          <t>TIPO</t>
        </is>
      </c>
      <c r="D468" s="3" t="inlineStr">
        <is>
          <t>PREÇO UNITÁRIO</t>
        </is>
      </c>
      <c r="E468" s="736" t="n"/>
      <c r="F468" s="3" t="inlineStr">
        <is>
          <t>QUANTIDADE / KG</t>
        </is>
      </c>
      <c r="G468" s="737" t="n"/>
      <c r="H468" s="736" t="n"/>
      <c r="I468" s="631" t="inlineStr">
        <is>
          <t>PREÇO</t>
        </is>
      </c>
      <c r="J468" s="631" t="inlineStr">
        <is>
          <t>VALORES</t>
        </is>
      </c>
      <c r="K468" s="737" t="n"/>
      <c r="L468" s="736" t="n"/>
    </row>
    <row r="469" ht="15.75" customHeight="1" s="436" thickBot="1">
      <c r="A469" s="703" t="n"/>
      <c r="B469" s="704" t="n"/>
      <c r="C469" s="704" t="n"/>
      <c r="D469" s="703" t="n"/>
      <c r="E469" s="701" t="n"/>
      <c r="F469" s="705" t="n"/>
      <c r="G469" s="706" t="n"/>
      <c r="H469" s="707" t="n"/>
      <c r="I469" s="704" t="n"/>
      <c r="J469" s="703" t="n"/>
      <c r="L469" s="701" t="n"/>
    </row>
    <row r="470" ht="15.75" customHeight="1" s="436" thickBot="1">
      <c r="A470" s="703" t="n"/>
      <c r="B470" s="704" t="n"/>
      <c r="C470" s="704" t="n"/>
      <c r="D470" s="705" t="n"/>
      <c r="E470" s="707" t="n"/>
      <c r="F470" s="3" t="inlineStr">
        <is>
          <t>ENTRADA</t>
        </is>
      </c>
      <c r="G470" s="3" t="inlineStr">
        <is>
          <t>SAÍDA</t>
        </is>
      </c>
      <c r="H470" s="640" t="n"/>
      <c r="I470" s="633" t="inlineStr">
        <is>
          <t>MÉDIO</t>
        </is>
      </c>
      <c r="J470" s="652" t="inlineStr">
        <is>
          <t>SALDO EM 30/12/2017</t>
        </is>
      </c>
      <c r="K470" s="706" t="n"/>
      <c r="L470" s="17" t="n"/>
    </row>
    <row r="471" ht="15.75" customHeight="1" s="436" thickBot="1">
      <c r="A471" s="705" t="n"/>
      <c r="B471" s="695" t="n"/>
      <c r="C471" s="695" t="n"/>
      <c r="D471" s="3" t="inlineStr">
        <is>
          <t>C/ICMS</t>
        </is>
      </c>
      <c r="E471" s="3" t="inlineStr">
        <is>
          <t>S/ICMS</t>
        </is>
      </c>
      <c r="F471" s="695" t="n"/>
      <c r="G471" s="695" t="n"/>
      <c r="H471" s="361" t="inlineStr">
        <is>
          <t>Saldo em 30/09/2021</t>
        </is>
      </c>
      <c r="I471" s="695" t="n"/>
      <c r="J471" s="645" t="inlineStr">
        <is>
          <t>ENTRADA</t>
        </is>
      </c>
      <c r="K471" s="633" t="inlineStr">
        <is>
          <t>SAÍDA / CMV</t>
        </is>
      </c>
      <c r="L471" s="633" t="inlineStr">
        <is>
          <t>SALDO</t>
        </is>
      </c>
    </row>
    <row r="472">
      <c r="A472" s="48" t="n"/>
      <c r="B472" s="49" t="n"/>
      <c r="C472" s="49" t="n"/>
      <c r="D472" s="71" t="n"/>
      <c r="E472" s="71" t="n"/>
      <c r="F472" s="55" t="n"/>
      <c r="G472" s="55" t="n">
        <v>0</v>
      </c>
      <c r="H472" s="95" t="n">
        <v>242</v>
      </c>
      <c r="I472" s="71" t="n"/>
      <c r="J472" s="747">
        <f>F472*I472</f>
        <v/>
      </c>
      <c r="K472" s="747" t="n"/>
      <c r="L472" s="748" t="n"/>
    </row>
    <row r="473">
      <c r="A473" s="297" t="n">
        <v>44482</v>
      </c>
      <c r="B473" s="96" t="inlineStr">
        <is>
          <t>8495</t>
        </is>
      </c>
      <c r="C473" s="96" t="inlineStr">
        <is>
          <t>77</t>
        </is>
      </c>
      <c r="D473" s="97" t="n"/>
      <c r="E473" s="97" t="n"/>
      <c r="F473" s="98" t="n"/>
      <c r="G473" s="761" t="n">
        <v>30</v>
      </c>
      <c r="H473" s="98">
        <f>H472-G473</f>
        <v/>
      </c>
      <c r="I473" s="392" t="n"/>
      <c r="J473" s="392" t="n"/>
      <c r="K473" s="392" t="n"/>
      <c r="L473" s="392" t="n"/>
    </row>
    <row r="474">
      <c r="A474" s="297" t="n">
        <v>44482</v>
      </c>
      <c r="B474" s="96" t="inlineStr">
        <is>
          <t>8512</t>
        </is>
      </c>
      <c r="C474" s="96" t="inlineStr">
        <is>
          <t>74,1</t>
        </is>
      </c>
      <c r="D474" s="97" t="n"/>
      <c r="E474" s="97" t="n"/>
      <c r="F474" s="98" t="n"/>
      <c r="G474" s="761" t="n">
        <v>12</v>
      </c>
      <c r="H474" s="98">
        <f>H473-G474</f>
        <v/>
      </c>
      <c r="I474" s="392" t="n"/>
      <c r="J474" s="392" t="n"/>
      <c r="K474" s="392" t="n"/>
      <c r="L474" s="392" t="n"/>
    </row>
    <row r="475">
      <c r="A475" s="297" t="n">
        <v>44489</v>
      </c>
      <c r="B475" s="96" t="inlineStr">
        <is>
          <t>8542</t>
        </is>
      </c>
      <c r="C475" s="96" t="inlineStr">
        <is>
          <t>75,64</t>
        </is>
      </c>
      <c r="D475" s="97" t="n"/>
      <c r="E475" s="97" t="n"/>
      <c r="F475" s="98" t="n"/>
      <c r="G475" s="761" t="n">
        <v>38</v>
      </c>
      <c r="H475" s="98" t="n">
        <v>162</v>
      </c>
      <c r="I475" s="392" t="n"/>
      <c r="J475" s="392" t="n"/>
      <c r="K475" s="392" t="n"/>
      <c r="L475" s="392" t="n"/>
    </row>
    <row r="476">
      <c r="A476" s="391" t="n">
        <v>44495</v>
      </c>
      <c r="B476" s="96" t="inlineStr">
        <is>
          <t>8545</t>
        </is>
      </c>
      <c r="C476" s="96" t="inlineStr">
        <is>
          <t>78</t>
        </is>
      </c>
      <c r="D476" s="97" t="n"/>
      <c r="E476" s="97" t="n"/>
      <c r="F476" s="98" t="n"/>
      <c r="G476" s="761" t="n">
        <v>31</v>
      </c>
      <c r="H476" s="98" t="n">
        <v>131</v>
      </c>
      <c r="I476" s="392" t="n"/>
      <c r="J476" s="392" t="n"/>
      <c r="K476" s="392" t="n"/>
      <c r="L476" s="392" t="n"/>
    </row>
    <row r="477">
      <c r="A477" s="310" t="n">
        <v>44487</v>
      </c>
      <c r="B477" s="275" t="inlineStr">
        <is>
          <t>175888</t>
        </is>
      </c>
      <c r="C477" s="275" t="inlineStr">
        <is>
          <t>65</t>
        </is>
      </c>
      <c r="D477" s="276" t="n">
        <v>65</v>
      </c>
      <c r="E477" s="276" t="n"/>
      <c r="F477" s="277" t="n">
        <v>480</v>
      </c>
      <c r="G477" s="762" t="n"/>
      <c r="H477" s="98" t="n">
        <v>611</v>
      </c>
      <c r="I477" s="392" t="n"/>
      <c r="J477" s="392" t="n"/>
      <c r="K477" s="392" t="n"/>
      <c r="L477" s="392" t="n"/>
    </row>
    <row r="478" ht="15.75" customHeight="1" s="436" thickBot="1"/>
    <row r="479" ht="24" customHeight="1" s="436" thickBot="1">
      <c r="A479" s="745" t="inlineStr">
        <is>
          <t>Novembro</t>
        </is>
      </c>
      <c r="B479" s="737" t="n"/>
      <c r="C479" s="737" t="n"/>
      <c r="D479" s="737" t="n"/>
      <c r="E479" s="737" t="n"/>
      <c r="F479" s="737" t="n"/>
      <c r="G479" s="737" t="n"/>
      <c r="H479" s="737" t="n"/>
      <c r="I479" s="737" t="n"/>
      <c r="J479" s="737" t="n"/>
      <c r="K479" s="737" t="n"/>
      <c r="L479" s="736" t="n"/>
    </row>
    <row r="480" ht="24" customHeight="1" s="436" thickBot="1">
      <c r="A480" s="745" t="inlineStr">
        <is>
          <t xml:space="preserve">  PRÉ MISTURA -  Pão Doce 25 KG</t>
        </is>
      </c>
      <c r="B480" s="737" t="n"/>
      <c r="C480" s="737" t="n"/>
      <c r="D480" s="737" t="n"/>
      <c r="E480" s="737" t="n"/>
      <c r="F480" s="737" t="n"/>
      <c r="G480" s="737" t="n"/>
      <c r="H480" s="737" t="n"/>
      <c r="I480" s="737" t="n"/>
      <c r="J480" s="737" t="n"/>
      <c r="K480" s="737" t="n"/>
      <c r="L480" s="736" t="n"/>
    </row>
    <row r="481">
      <c r="A481" s="746" t="inlineStr">
        <is>
          <t>DATA</t>
        </is>
      </c>
      <c r="B481" s="3" t="inlineStr">
        <is>
          <t>N.F.</t>
        </is>
      </c>
      <c r="C481" s="3" t="inlineStr">
        <is>
          <t>TIPO</t>
        </is>
      </c>
      <c r="D481" s="3" t="inlineStr">
        <is>
          <t>PREÇO UNITÁRIO</t>
        </is>
      </c>
      <c r="E481" s="736" t="n"/>
      <c r="F481" s="3" t="inlineStr">
        <is>
          <t>QUANTIDADE / KG</t>
        </is>
      </c>
      <c r="G481" s="737" t="n"/>
      <c r="H481" s="736" t="n"/>
      <c r="I481" s="631" t="inlineStr">
        <is>
          <t>PREÇO</t>
        </is>
      </c>
      <c r="J481" s="631" t="inlineStr">
        <is>
          <t>VALORES</t>
        </is>
      </c>
      <c r="K481" s="737" t="n"/>
      <c r="L481" s="736" t="n"/>
    </row>
    <row r="482" ht="15.75" customHeight="1" s="436" thickBot="1">
      <c r="A482" s="703" t="n"/>
      <c r="B482" s="704" t="n"/>
      <c r="C482" s="704" t="n"/>
      <c r="D482" s="703" t="n"/>
      <c r="E482" s="701" t="n"/>
      <c r="F482" s="705" t="n"/>
      <c r="G482" s="706" t="n"/>
      <c r="H482" s="707" t="n"/>
      <c r="I482" s="704" t="n"/>
      <c r="J482" s="703" t="n"/>
      <c r="L482" s="701" t="n"/>
    </row>
    <row r="483" ht="15.75" customHeight="1" s="436" thickBot="1">
      <c r="A483" s="703" t="n"/>
      <c r="B483" s="704" t="n"/>
      <c r="C483" s="704" t="n"/>
      <c r="D483" s="705" t="n"/>
      <c r="E483" s="707" t="n"/>
      <c r="F483" s="3" t="inlineStr">
        <is>
          <t>ENTRADA</t>
        </is>
      </c>
      <c r="G483" s="3" t="inlineStr">
        <is>
          <t>SAÍDA</t>
        </is>
      </c>
      <c r="H483" s="640" t="n"/>
      <c r="I483" s="633" t="inlineStr">
        <is>
          <t>MÉDIO</t>
        </is>
      </c>
      <c r="J483" s="652" t="inlineStr">
        <is>
          <t>SALDO EM 30/12/2017</t>
        </is>
      </c>
      <c r="K483" s="706" t="n"/>
      <c r="L483" s="17" t="n"/>
    </row>
    <row r="484" ht="15.75" customHeight="1" s="436" thickBot="1">
      <c r="A484" s="705" t="n"/>
      <c r="B484" s="695" t="n"/>
      <c r="C484" s="695" t="n"/>
      <c r="D484" s="3" t="inlineStr">
        <is>
          <t>C/ICMS</t>
        </is>
      </c>
      <c r="E484" s="3" t="inlineStr">
        <is>
          <t>S/ICMS</t>
        </is>
      </c>
      <c r="F484" s="695" t="n"/>
      <c r="G484" s="695" t="n"/>
      <c r="H484" s="361" t="inlineStr">
        <is>
          <t>Saldo em 30/10/2021</t>
        </is>
      </c>
      <c r="I484" s="695" t="n"/>
      <c r="J484" s="645" t="inlineStr">
        <is>
          <t>ENTRADA</t>
        </is>
      </c>
      <c r="K484" s="633" t="inlineStr">
        <is>
          <t>SAÍDA / CMV</t>
        </is>
      </c>
      <c r="L484" s="633" t="inlineStr">
        <is>
          <t>SALDO</t>
        </is>
      </c>
    </row>
    <row r="485">
      <c r="A485" s="48" t="n"/>
      <c r="B485" s="49" t="n"/>
      <c r="C485" s="49" t="n"/>
      <c r="D485" s="71" t="n"/>
      <c r="E485" s="71" t="n"/>
      <c r="F485" s="55" t="n"/>
      <c r="G485" s="55" t="n">
        <v>0</v>
      </c>
      <c r="H485" s="95" t="n">
        <v>611</v>
      </c>
      <c r="I485" s="71" t="n"/>
      <c r="J485" s="747">
        <f>F485*I485</f>
        <v/>
      </c>
      <c r="K485" s="747" t="n"/>
      <c r="L485" s="748" t="n"/>
    </row>
    <row r="486">
      <c r="A486" s="297" t="n">
        <v>44510</v>
      </c>
      <c r="B486" s="96" t="inlineStr">
        <is>
          <t>8600</t>
        </is>
      </c>
      <c r="C486" s="96" t="inlineStr">
        <is>
          <t>73,84</t>
        </is>
      </c>
      <c r="D486" s="97" t="n"/>
      <c r="E486" s="97" t="n"/>
      <c r="F486" s="98" t="n"/>
      <c r="G486" s="761" t="n">
        <v>36</v>
      </c>
      <c r="H486" s="98">
        <f>H485-G486</f>
        <v/>
      </c>
      <c r="I486" s="392" t="n"/>
      <c r="J486" s="392" t="n"/>
      <c r="K486" s="392" t="n"/>
      <c r="L486" s="392" t="n"/>
    </row>
    <row r="487">
      <c r="A487" s="297" t="n">
        <v>44510</v>
      </c>
      <c r="B487" s="96" t="inlineStr">
        <is>
          <t>8604</t>
        </is>
      </c>
      <c r="C487" s="96" t="inlineStr">
        <is>
          <t>74,25</t>
        </is>
      </c>
      <c r="D487" s="97" t="n"/>
      <c r="E487" s="97" t="n"/>
      <c r="F487" s="98" t="n"/>
      <c r="G487" s="761" t="n">
        <v>20</v>
      </c>
      <c r="H487" s="98">
        <f>H486-G487</f>
        <v/>
      </c>
      <c r="I487" s="392" t="n"/>
      <c r="J487" s="392" t="n"/>
      <c r="K487" s="392" t="n"/>
      <c r="L487" s="392" t="n"/>
    </row>
    <row r="488">
      <c r="A488" s="297" t="n">
        <v>44511</v>
      </c>
      <c r="B488" s="96" t="inlineStr">
        <is>
          <t>8608</t>
        </is>
      </c>
      <c r="C488" s="96" t="inlineStr">
        <is>
          <t>74</t>
        </is>
      </c>
      <c r="D488" s="97" t="n"/>
      <c r="E488" s="97" t="n"/>
      <c r="F488" s="98" t="n"/>
      <c r="G488" s="761" t="n">
        <v>20</v>
      </c>
      <c r="H488" s="98">
        <f>H487-G488</f>
        <v/>
      </c>
      <c r="I488" s="392" t="n"/>
      <c r="J488" s="392" t="n"/>
      <c r="K488" s="392" t="n"/>
      <c r="L488" s="392" t="n"/>
    </row>
    <row r="489">
      <c r="A489" s="297" t="n">
        <v>44517</v>
      </c>
      <c r="B489" s="96" t="inlineStr">
        <is>
          <t>8611</t>
        </is>
      </c>
      <c r="C489" s="96" t="inlineStr">
        <is>
          <t>78</t>
        </is>
      </c>
      <c r="D489" s="97" t="n"/>
      <c r="E489" s="97" t="n"/>
      <c r="F489" s="98" t="n"/>
      <c r="G489" s="761" t="n">
        <v>30</v>
      </c>
      <c r="H489" s="98">
        <f>H488-G489</f>
        <v/>
      </c>
      <c r="I489" s="392" t="n"/>
      <c r="J489" s="392" t="n"/>
      <c r="K489" s="392" t="n"/>
      <c r="L489" s="392" t="n"/>
    </row>
    <row r="490">
      <c r="A490" s="297" t="n">
        <v>44523</v>
      </c>
      <c r="B490" s="96" t="inlineStr">
        <is>
          <t>8629</t>
        </is>
      </c>
      <c r="C490" s="96" t="inlineStr">
        <is>
          <t>74</t>
        </is>
      </c>
      <c r="D490" s="97" t="n"/>
      <c r="E490" s="97" t="n"/>
      <c r="F490" s="98" t="n"/>
      <c r="G490" s="761" t="n">
        <v>150</v>
      </c>
      <c r="H490" s="98">
        <f>H489-G490</f>
        <v/>
      </c>
      <c r="I490" s="392" t="n"/>
      <c r="J490" s="392" t="n"/>
      <c r="K490" s="392" t="n"/>
      <c r="L490" s="392" t="n"/>
    </row>
    <row r="491">
      <c r="A491" s="297" t="n">
        <v>44523</v>
      </c>
      <c r="B491" s="96" t="inlineStr">
        <is>
          <t>8638</t>
        </is>
      </c>
      <c r="C491" s="96" t="inlineStr">
        <is>
          <t>75,64</t>
        </is>
      </c>
      <c r="D491" s="97" t="n"/>
      <c r="E491" s="97" t="n"/>
      <c r="F491" s="98" t="n"/>
      <c r="G491" s="761" t="n">
        <v>38</v>
      </c>
      <c r="H491" s="98">
        <f>H490-G491</f>
        <v/>
      </c>
      <c r="I491" s="392" t="n"/>
      <c r="J491" s="392" t="n"/>
      <c r="K491" s="392" t="n"/>
      <c r="L491" s="392" t="n"/>
    </row>
    <row r="492">
      <c r="A492" s="310" t="n">
        <v>44526</v>
      </c>
      <c r="B492" s="275" t="inlineStr">
        <is>
          <t>179015</t>
        </is>
      </c>
      <c r="C492" s="275" t="inlineStr">
        <is>
          <t>65</t>
        </is>
      </c>
      <c r="D492" s="276" t="n"/>
      <c r="E492" s="276" t="n"/>
      <c r="F492" s="277" t="n">
        <v>160</v>
      </c>
      <c r="G492" s="762" t="n"/>
      <c r="H492" s="277" t="n">
        <v>477</v>
      </c>
      <c r="I492" s="392" t="n"/>
      <c r="J492" s="392" t="n"/>
      <c r="K492" s="392" t="n"/>
      <c r="L492" s="392" t="n"/>
    </row>
    <row r="493" ht="15.75" customHeight="1" s="436" thickBot="1"/>
    <row r="494" ht="24" customHeight="1" s="436" thickBot="1">
      <c r="A494" s="745" t="inlineStr">
        <is>
          <t>Dezembro</t>
        </is>
      </c>
      <c r="B494" s="737" t="n"/>
      <c r="C494" s="737" t="n"/>
      <c r="D494" s="737" t="n"/>
      <c r="E494" s="737" t="n"/>
      <c r="F494" s="737" t="n"/>
      <c r="G494" s="737" t="n"/>
      <c r="H494" s="737" t="n"/>
      <c r="I494" s="737" t="n"/>
      <c r="J494" s="737" t="n"/>
      <c r="K494" s="737" t="n"/>
      <c r="L494" s="736" t="n"/>
    </row>
    <row r="495" ht="24" customHeight="1" s="436" thickBot="1">
      <c r="A495" s="745" t="inlineStr">
        <is>
          <t xml:space="preserve">  PRÉ MISTURA -  Pão Doce 25 KG</t>
        </is>
      </c>
      <c r="B495" s="737" t="n"/>
      <c r="C495" s="737" t="n"/>
      <c r="D495" s="737" t="n"/>
      <c r="E495" s="737" t="n"/>
      <c r="F495" s="737" t="n"/>
      <c r="G495" s="737" t="n"/>
      <c r="H495" s="737" t="n"/>
      <c r="I495" s="737" t="n"/>
      <c r="J495" s="737" t="n"/>
      <c r="K495" s="737" t="n"/>
      <c r="L495" s="736" t="n"/>
    </row>
    <row r="496">
      <c r="A496" s="746" t="inlineStr">
        <is>
          <t>DATA</t>
        </is>
      </c>
      <c r="B496" s="3" t="inlineStr">
        <is>
          <t>N.F.</t>
        </is>
      </c>
      <c r="C496" s="3" t="inlineStr">
        <is>
          <t>TIPO</t>
        </is>
      </c>
      <c r="D496" s="3" t="inlineStr">
        <is>
          <t>PREÇO UNITÁRIO</t>
        </is>
      </c>
      <c r="E496" s="736" t="n"/>
      <c r="F496" s="3" t="inlineStr">
        <is>
          <t>QUANTIDADE / KG</t>
        </is>
      </c>
      <c r="G496" s="737" t="n"/>
      <c r="H496" s="736" t="n"/>
      <c r="I496" s="631" t="inlineStr">
        <is>
          <t>PREÇO</t>
        </is>
      </c>
      <c r="J496" s="631" t="inlineStr">
        <is>
          <t>VALORES</t>
        </is>
      </c>
      <c r="K496" s="737" t="n"/>
      <c r="L496" s="736" t="n"/>
    </row>
    <row r="497" ht="15.75" customHeight="1" s="436" thickBot="1">
      <c r="A497" s="703" t="n"/>
      <c r="B497" s="704" t="n"/>
      <c r="C497" s="704" t="n"/>
      <c r="D497" s="703" t="n"/>
      <c r="E497" s="701" t="n"/>
      <c r="F497" s="705" t="n"/>
      <c r="G497" s="706" t="n"/>
      <c r="H497" s="707" t="n"/>
      <c r="I497" s="704" t="n"/>
      <c r="J497" s="703" t="n"/>
      <c r="L497" s="701" t="n"/>
    </row>
    <row r="498" ht="15.75" customHeight="1" s="436" thickBot="1">
      <c r="A498" s="703" t="n"/>
      <c r="B498" s="704" t="n"/>
      <c r="C498" s="704" t="n"/>
      <c r="D498" s="705" t="n"/>
      <c r="E498" s="707" t="n"/>
      <c r="F498" s="3" t="inlineStr">
        <is>
          <t>ENTRADA</t>
        </is>
      </c>
      <c r="G498" s="3" t="inlineStr">
        <is>
          <t>SAÍDA</t>
        </is>
      </c>
      <c r="H498" s="640" t="n"/>
      <c r="I498" s="633" t="inlineStr">
        <is>
          <t>MÉDIO</t>
        </is>
      </c>
      <c r="J498" s="652" t="inlineStr">
        <is>
          <t>SALDO EM 30/12/2017</t>
        </is>
      </c>
      <c r="K498" s="706" t="n"/>
      <c r="L498" s="17" t="n"/>
    </row>
    <row r="499" ht="15.75" customHeight="1" s="436" thickBot="1">
      <c r="A499" s="705" t="n"/>
      <c r="B499" s="695" t="n"/>
      <c r="C499" s="695" t="n"/>
      <c r="D499" s="3" t="inlineStr">
        <is>
          <t>C/ICMS</t>
        </is>
      </c>
      <c r="E499" s="3" t="inlineStr">
        <is>
          <t>S/ICMS</t>
        </is>
      </c>
      <c r="F499" s="695" t="n"/>
      <c r="G499" s="695" t="n"/>
      <c r="H499" s="361" t="inlineStr">
        <is>
          <t>Saldo em 30/10/2021</t>
        </is>
      </c>
      <c r="I499" s="695" t="n"/>
      <c r="J499" s="645" t="inlineStr">
        <is>
          <t>ENTRADA</t>
        </is>
      </c>
      <c r="K499" s="633" t="inlineStr">
        <is>
          <t>SAÍDA / CMV</t>
        </is>
      </c>
      <c r="L499" s="633" t="inlineStr">
        <is>
          <t>SALDO</t>
        </is>
      </c>
    </row>
    <row r="500">
      <c r="A500" s="48" t="n"/>
      <c r="B500" s="49" t="n"/>
      <c r="C500" s="49" t="n"/>
      <c r="D500" s="71" t="n"/>
      <c r="E500" s="71" t="n"/>
      <c r="F500" s="55" t="n"/>
      <c r="G500" s="55" t="n">
        <v>0</v>
      </c>
      <c r="H500" s="95" t="n">
        <v>477</v>
      </c>
      <c r="I500" s="71" t="n"/>
      <c r="J500" s="747">
        <f>F500*I500</f>
        <v/>
      </c>
      <c r="K500" s="747" t="n"/>
      <c r="L500" s="748" t="n"/>
    </row>
    <row r="501">
      <c r="A501" s="309" t="n">
        <v>44896</v>
      </c>
      <c r="B501" s="274" t="inlineStr">
        <is>
          <t>180175</t>
        </is>
      </c>
      <c r="C501" s="274" t="n"/>
      <c r="D501" s="279" t="n">
        <v>65</v>
      </c>
      <c r="E501" s="279" t="n"/>
      <c r="F501" s="278" t="n">
        <v>200</v>
      </c>
      <c r="G501" s="278" t="n"/>
      <c r="H501" s="278" t="n">
        <v>677</v>
      </c>
      <c r="I501" s="71" t="n"/>
      <c r="J501" s="747" t="n"/>
      <c r="K501" s="747" t="n"/>
      <c r="L501" s="758" t="n"/>
    </row>
    <row r="502">
      <c r="A502" s="297" t="n">
        <v>44536</v>
      </c>
      <c r="B502" s="96" t="inlineStr">
        <is>
          <t>8669</t>
        </is>
      </c>
      <c r="C502" s="96" t="inlineStr">
        <is>
          <t>79</t>
        </is>
      </c>
      <c r="D502" s="97" t="n"/>
      <c r="E502" s="97" t="n"/>
      <c r="F502" s="98" t="n"/>
      <c r="G502" s="761" t="n">
        <v>30</v>
      </c>
      <c r="H502" s="98">
        <f>H501-G502</f>
        <v/>
      </c>
      <c r="I502" s="392" t="n"/>
      <c r="J502" s="392" t="n"/>
      <c r="K502" s="392" t="n"/>
      <c r="L502" s="392" t="n"/>
    </row>
    <row r="503">
      <c r="A503" s="297" t="n">
        <v>44536</v>
      </c>
      <c r="B503" s="96" t="inlineStr">
        <is>
          <t>8670</t>
        </is>
      </c>
      <c r="C503" s="96" t="inlineStr">
        <is>
          <t>80</t>
        </is>
      </c>
      <c r="D503" s="97" t="n"/>
      <c r="E503" s="97" t="n"/>
      <c r="F503" s="98" t="n"/>
      <c r="G503" s="761" t="n">
        <v>20</v>
      </c>
      <c r="H503" s="98">
        <f>H502-G503</f>
        <v/>
      </c>
      <c r="I503" s="392" t="n"/>
      <c r="J503" s="392" t="n"/>
      <c r="K503" s="392" t="n"/>
      <c r="L503" s="392" t="n"/>
    </row>
    <row r="504">
      <c r="A504" s="297" t="n">
        <v>44545</v>
      </c>
      <c r="B504" s="96" t="inlineStr">
        <is>
          <t>8713</t>
        </is>
      </c>
      <c r="C504" s="96" t="inlineStr">
        <is>
          <t>77,64</t>
        </is>
      </c>
      <c r="D504" s="97" t="n"/>
      <c r="E504" s="97" t="n"/>
      <c r="F504" s="98" t="n"/>
      <c r="G504" s="761" t="n">
        <v>38</v>
      </c>
      <c r="H504" s="98">
        <f>H503-G504</f>
        <v/>
      </c>
      <c r="I504" s="392" t="n"/>
      <c r="J504" s="392" t="n"/>
      <c r="K504" s="392" t="n"/>
      <c r="L504" s="392" t="n"/>
    </row>
    <row r="505">
      <c r="A505" s="297" t="n">
        <v>44546</v>
      </c>
      <c r="B505" s="96" t="inlineStr">
        <is>
          <t>8723</t>
        </is>
      </c>
      <c r="C505" s="96" t="inlineStr">
        <is>
          <t>73,97</t>
        </is>
      </c>
      <c r="D505" s="97" t="n"/>
      <c r="E505" s="97" t="n"/>
      <c r="F505" s="98" t="n"/>
      <c r="G505" s="761" t="n">
        <v>62</v>
      </c>
      <c r="H505" s="98">
        <f>H504-G505</f>
        <v/>
      </c>
      <c r="I505" s="392" t="n"/>
      <c r="J505" s="392" t="n"/>
      <c r="K505" s="392" t="n"/>
      <c r="L505" s="392" t="n"/>
    </row>
    <row r="506">
      <c r="A506" s="297" t="n">
        <v>44546</v>
      </c>
      <c r="B506" s="96" t="inlineStr">
        <is>
          <t>8724</t>
        </is>
      </c>
      <c r="C506" s="96" t="inlineStr">
        <is>
          <t>76,67</t>
        </is>
      </c>
      <c r="D506" s="97" t="n"/>
      <c r="E506" s="97" t="n"/>
      <c r="F506" s="98" t="n"/>
      <c r="G506" s="761" t="n">
        <v>15</v>
      </c>
      <c r="H506" s="98">
        <f>H505-G506</f>
        <v/>
      </c>
      <c r="I506" s="392" t="n"/>
      <c r="J506" s="392" t="n"/>
      <c r="K506" s="392" t="n"/>
      <c r="L506" s="392" t="n"/>
    </row>
    <row r="507">
      <c r="A507" s="297" t="n">
        <v>44546</v>
      </c>
      <c r="B507" s="96" t="inlineStr">
        <is>
          <t>8728</t>
        </is>
      </c>
      <c r="C507" s="96" t="inlineStr">
        <is>
          <t>80</t>
        </is>
      </c>
      <c r="D507" s="97" t="n"/>
      <c r="E507" s="97" t="n"/>
      <c r="F507" s="98" t="n"/>
      <c r="G507" s="761" t="n">
        <v>10</v>
      </c>
      <c r="H507" s="98">
        <f>H506-G507</f>
        <v/>
      </c>
      <c r="I507" s="392" t="n"/>
      <c r="J507" s="392" t="n"/>
      <c r="K507" s="392" t="n"/>
      <c r="L507" s="392" t="n"/>
    </row>
    <row r="508">
      <c r="A508" s="310" t="n">
        <v>44922</v>
      </c>
      <c r="B508" s="275" t="inlineStr">
        <is>
          <t>182869</t>
        </is>
      </c>
      <c r="C508" s="275" t="inlineStr">
        <is>
          <t>70,2</t>
        </is>
      </c>
      <c r="D508" s="276" t="n">
        <v>200</v>
      </c>
      <c r="E508" s="276" t="n"/>
      <c r="F508" s="277" t="n"/>
      <c r="G508" s="762" t="n"/>
      <c r="H508" s="277" t="n">
        <v>702</v>
      </c>
      <c r="I508" s="392" t="n"/>
      <c r="J508" s="392" t="n"/>
      <c r="K508" s="392" t="n"/>
      <c r="L508" s="392" t="n"/>
    </row>
    <row r="509">
      <c r="A509" s="297" t="n">
        <v>44548</v>
      </c>
      <c r="B509" s="96" t="inlineStr">
        <is>
          <t>8728</t>
        </is>
      </c>
      <c r="C509" s="96" t="inlineStr">
        <is>
          <t>80</t>
        </is>
      </c>
      <c r="D509" s="97" t="n"/>
      <c r="E509" s="97" t="n"/>
      <c r="F509" s="98" t="n"/>
      <c r="G509" s="761" t="n"/>
      <c r="H509" s="98">
        <f>H508-G509</f>
        <v/>
      </c>
      <c r="I509" s="392" t="n"/>
      <c r="J509" s="392" t="n"/>
      <c r="K509" s="392" t="n"/>
      <c r="L509" s="392" t="n"/>
    </row>
    <row r="510">
      <c r="A510" s="415" t="n"/>
      <c r="B510" s="416" t="n"/>
      <c r="C510" s="416" t="n"/>
      <c r="D510" s="417" t="n"/>
      <c r="E510" s="417" t="n"/>
      <c r="F510" s="418" t="n"/>
      <c r="G510" s="763" t="n"/>
      <c r="H510" s="418" t="n"/>
    </row>
    <row r="511" ht="15.75" customHeight="1" s="436" thickBot="1"/>
    <row r="512" ht="24" customHeight="1" s="436" thickBot="1">
      <c r="A512" s="745" t="inlineStr">
        <is>
          <t>Janeiro</t>
        </is>
      </c>
      <c r="B512" s="737" t="n"/>
      <c r="C512" s="737" t="n"/>
      <c r="D512" s="737" t="n"/>
      <c r="E512" s="737" t="n"/>
      <c r="F512" s="737" t="n"/>
      <c r="G512" s="737" t="n"/>
      <c r="H512" s="737" t="n"/>
      <c r="I512" s="737" t="n"/>
      <c r="J512" s="737" t="n"/>
      <c r="K512" s="737" t="n"/>
      <c r="L512" s="736" t="n"/>
    </row>
    <row r="513" ht="24" customHeight="1" s="436" thickBot="1">
      <c r="A513" s="745" t="inlineStr">
        <is>
          <t xml:space="preserve">  PRÉ MISTURA -  Pão Doce 25 KG</t>
        </is>
      </c>
      <c r="B513" s="737" t="n"/>
      <c r="C513" s="737" t="n"/>
      <c r="D513" s="737" t="n"/>
      <c r="E513" s="737" t="n"/>
      <c r="F513" s="737" t="n"/>
      <c r="G513" s="737" t="n"/>
      <c r="H513" s="737" t="n"/>
      <c r="I513" s="737" t="n"/>
      <c r="J513" s="737" t="n"/>
      <c r="K513" s="737" t="n"/>
      <c r="L513" s="736" t="n"/>
    </row>
    <row r="514">
      <c r="A514" s="746" t="inlineStr">
        <is>
          <t>DATA</t>
        </is>
      </c>
      <c r="B514" s="3" t="inlineStr">
        <is>
          <t>N.F.</t>
        </is>
      </c>
      <c r="C514" s="3" t="inlineStr">
        <is>
          <t>TIPO</t>
        </is>
      </c>
      <c r="D514" s="3" t="inlineStr">
        <is>
          <t>PREÇO UNITÁRIO</t>
        </is>
      </c>
      <c r="E514" s="736" t="n"/>
      <c r="F514" s="3" t="inlineStr">
        <is>
          <t>QUANTIDADE / KG</t>
        </is>
      </c>
      <c r="G514" s="737" t="n"/>
      <c r="H514" s="736" t="n"/>
      <c r="I514" s="631" t="inlineStr">
        <is>
          <t>PREÇO</t>
        </is>
      </c>
      <c r="J514" s="631" t="inlineStr">
        <is>
          <t>VALORES</t>
        </is>
      </c>
      <c r="K514" s="737" t="n"/>
      <c r="L514" s="736" t="n"/>
    </row>
    <row r="515" ht="15.75" customHeight="1" s="436" thickBot="1">
      <c r="A515" s="703" t="n"/>
      <c r="B515" s="704" t="n"/>
      <c r="C515" s="704" t="n"/>
      <c r="D515" s="703" t="n"/>
      <c r="E515" s="701" t="n"/>
      <c r="F515" s="705" t="n"/>
      <c r="G515" s="706" t="n"/>
      <c r="H515" s="707" t="n"/>
      <c r="I515" s="704" t="n"/>
      <c r="J515" s="703" t="n"/>
      <c r="L515" s="701" t="n"/>
    </row>
    <row r="516" ht="15.75" customHeight="1" s="436" thickBot="1">
      <c r="A516" s="703" t="n"/>
      <c r="B516" s="704" t="n"/>
      <c r="C516" s="704" t="n"/>
      <c r="D516" s="705" t="n"/>
      <c r="E516" s="707" t="n"/>
      <c r="F516" s="3" t="inlineStr">
        <is>
          <t>ENTRADA</t>
        </is>
      </c>
      <c r="G516" s="3" t="inlineStr">
        <is>
          <t>SAÍDA</t>
        </is>
      </c>
      <c r="H516" s="640" t="n"/>
      <c r="I516" s="633" t="inlineStr">
        <is>
          <t>MÉDIO</t>
        </is>
      </c>
      <c r="J516" s="652" t="inlineStr">
        <is>
          <t>SALDO EM 30/12/2017</t>
        </is>
      </c>
      <c r="K516" s="706" t="n"/>
      <c r="L516" s="17" t="n"/>
    </row>
    <row r="517" ht="15.75" customHeight="1" s="436" thickBot="1">
      <c r="A517" s="705" t="n"/>
      <c r="B517" s="695" t="n"/>
      <c r="C517" s="695" t="n"/>
      <c r="D517" s="3" t="inlineStr">
        <is>
          <t>C/ICMS</t>
        </is>
      </c>
      <c r="E517" s="3" t="inlineStr">
        <is>
          <t>S/ICMS</t>
        </is>
      </c>
      <c r="F517" s="695" t="n"/>
      <c r="G517" s="695" t="n"/>
      <c r="H517" s="361" t="inlineStr">
        <is>
          <t>Saldo em 01/01/2022</t>
        </is>
      </c>
      <c r="I517" s="695" t="n"/>
      <c r="J517" s="645" t="inlineStr">
        <is>
          <t>ENTRADA</t>
        </is>
      </c>
      <c r="K517" s="633" t="inlineStr">
        <is>
          <t>SAÍDA / CMV</t>
        </is>
      </c>
      <c r="L517" s="633" t="inlineStr">
        <is>
          <t>SALDO</t>
        </is>
      </c>
    </row>
    <row r="518">
      <c r="A518" s="48" t="n"/>
      <c r="B518" s="49" t="n"/>
      <c r="C518" s="49" t="n"/>
      <c r="D518" s="71" t="n"/>
      <c r="E518" s="71" t="n"/>
      <c r="F518" s="55" t="n"/>
      <c r="G518" s="55" t="n">
        <v>0</v>
      </c>
      <c r="H518" s="95" t="n">
        <v>702</v>
      </c>
      <c r="I518" s="71" t="n"/>
      <c r="J518" s="747">
        <f>F518*I518</f>
        <v/>
      </c>
      <c r="K518" s="747" t="n"/>
      <c r="L518" s="748" t="n"/>
    </row>
    <row r="519">
      <c r="A519" s="297" t="n">
        <v>44564</v>
      </c>
      <c r="B519" s="96" t="inlineStr">
        <is>
          <t>8734</t>
        </is>
      </c>
      <c r="C519" s="96" t="inlineStr">
        <is>
          <t>80</t>
        </is>
      </c>
      <c r="D519" s="97" t="n"/>
      <c r="E519" s="97" t="n"/>
      <c r="F519" s="98" t="n"/>
      <c r="G519" s="761" t="n">
        <v>30</v>
      </c>
      <c r="H519" s="98">
        <f>H518-G519</f>
        <v/>
      </c>
      <c r="I519" s="392" t="n"/>
      <c r="J519" s="392" t="n"/>
      <c r="K519" s="392" t="n"/>
      <c r="L519" s="392" t="n"/>
    </row>
    <row r="520">
      <c r="A520" s="297" t="n">
        <v>44564</v>
      </c>
      <c r="B520" s="96" t="inlineStr">
        <is>
          <t>8739</t>
        </is>
      </c>
      <c r="C520" s="96" t="inlineStr">
        <is>
          <t>74</t>
        </is>
      </c>
      <c r="D520" s="97" t="n"/>
      <c r="E520" s="97" t="n"/>
      <c r="F520" s="98" t="n"/>
      <c r="G520" s="761" t="n">
        <v>30</v>
      </c>
      <c r="H520" s="98">
        <f>H519-G520</f>
        <v/>
      </c>
      <c r="I520" s="392" t="n"/>
      <c r="J520" s="392" t="n"/>
      <c r="K520" s="392" t="n"/>
      <c r="L520" s="392" t="n"/>
    </row>
    <row r="521">
      <c r="A521" s="297" t="n">
        <v>44569</v>
      </c>
      <c r="B521" s="96" t="inlineStr">
        <is>
          <t>8758</t>
        </is>
      </c>
      <c r="C521" s="96" t="inlineStr">
        <is>
          <t>75</t>
        </is>
      </c>
      <c r="D521" s="97" t="n"/>
      <c r="E521" s="97" t="n"/>
      <c r="F521" s="98" t="n"/>
      <c r="G521" s="761" t="n">
        <v>80</v>
      </c>
      <c r="H521" s="98">
        <f>H520-G521</f>
        <v/>
      </c>
      <c r="I521" s="392" t="n"/>
      <c r="J521" s="392" t="n"/>
      <c r="K521" s="392" t="n"/>
      <c r="L521" s="392" t="n"/>
    </row>
    <row r="522">
      <c r="A522" s="297" t="n">
        <v>44572</v>
      </c>
      <c r="B522" s="96" t="inlineStr">
        <is>
          <t>8760</t>
        </is>
      </c>
      <c r="C522" s="96" t="inlineStr">
        <is>
          <t>78,72</t>
        </is>
      </c>
      <c r="D522" s="97" t="n"/>
      <c r="E522" s="97" t="n"/>
      <c r="F522" s="98" t="n"/>
      <c r="G522" s="761" t="n">
        <v>35</v>
      </c>
      <c r="H522" s="98">
        <f>H521-G522</f>
        <v/>
      </c>
      <c r="I522" s="392" t="n"/>
      <c r="J522" s="392" t="n"/>
      <c r="K522" s="392" t="n"/>
      <c r="L522" s="392" t="n"/>
    </row>
    <row r="523">
      <c r="A523" s="297" t="n">
        <v>44572</v>
      </c>
      <c r="B523" s="96" t="inlineStr">
        <is>
          <t>8768</t>
        </is>
      </c>
      <c r="C523" s="96" t="inlineStr">
        <is>
          <t>82</t>
        </is>
      </c>
      <c r="D523" s="97" t="n"/>
      <c r="E523" s="97" t="n"/>
      <c r="F523" s="98" t="n"/>
      <c r="G523" s="761" t="n">
        <v>20</v>
      </c>
      <c r="H523" s="98">
        <f>H522-G523</f>
        <v/>
      </c>
      <c r="I523" s="392" t="n"/>
      <c r="J523" s="392" t="n"/>
      <c r="K523" s="392" t="n"/>
      <c r="L523" s="392" t="n"/>
    </row>
    <row r="524">
      <c r="A524" s="297" t="n">
        <v>44572</v>
      </c>
      <c r="B524" s="96" t="inlineStr">
        <is>
          <t>8769</t>
        </is>
      </c>
      <c r="C524" s="96" t="inlineStr">
        <is>
          <t>79,86</t>
        </is>
      </c>
      <c r="D524" s="97" t="n"/>
      <c r="E524" s="97" t="n"/>
      <c r="F524" s="98" t="n"/>
      <c r="G524" s="761" t="n">
        <v>35</v>
      </c>
      <c r="H524" s="98">
        <f>H523-G524</f>
        <v/>
      </c>
      <c r="I524" s="392" t="n"/>
      <c r="J524" s="392" t="n"/>
      <c r="K524" s="392" t="n"/>
      <c r="L524" s="392" t="n"/>
    </row>
    <row r="525">
      <c r="A525" s="297" t="n">
        <v>44580</v>
      </c>
      <c r="B525" s="96" t="inlineStr">
        <is>
          <t>8783</t>
        </is>
      </c>
      <c r="C525" s="96" t="inlineStr">
        <is>
          <t>79,72</t>
        </is>
      </c>
      <c r="D525" s="97" t="n"/>
      <c r="E525" s="97" t="n"/>
      <c r="F525" s="98" t="n"/>
      <c r="G525" s="761" t="n">
        <v>21</v>
      </c>
      <c r="H525" s="98">
        <f>H524-G525</f>
        <v/>
      </c>
      <c r="I525" s="392" t="n"/>
      <c r="J525" s="392" t="n"/>
      <c r="K525" s="392" t="n"/>
      <c r="L525" s="392" t="n"/>
    </row>
    <row r="526">
      <c r="A526" s="297" t="n">
        <v>44580</v>
      </c>
      <c r="B526" s="96" t="inlineStr">
        <is>
          <t>8788</t>
        </is>
      </c>
      <c r="C526" s="96" t="inlineStr">
        <is>
          <t>78</t>
        </is>
      </c>
      <c r="D526" s="97" t="n"/>
      <c r="E526" s="97" t="n"/>
      <c r="F526" s="98" t="n"/>
      <c r="G526" s="761" t="n">
        <v>30</v>
      </c>
      <c r="H526" s="98">
        <f>H525-G526</f>
        <v/>
      </c>
      <c r="I526" s="392" t="n"/>
      <c r="J526" s="392" t="n"/>
      <c r="K526" s="392" t="n"/>
      <c r="L526" s="392" t="n"/>
    </row>
    <row r="527">
      <c r="A527" s="297" t="n">
        <v>44580</v>
      </c>
      <c r="B527" s="96" t="inlineStr">
        <is>
          <t>8789</t>
        </is>
      </c>
      <c r="C527" s="96" t="inlineStr">
        <is>
          <t>81</t>
        </is>
      </c>
      <c r="D527" s="97" t="n"/>
      <c r="E527" s="97" t="n"/>
      <c r="F527" s="98" t="n"/>
      <c r="G527" s="761" t="n">
        <v>20</v>
      </c>
      <c r="H527" s="98">
        <f>H526-G527</f>
        <v/>
      </c>
      <c r="I527" s="392" t="n"/>
      <c r="J527" s="392" t="n"/>
      <c r="K527" s="392" t="n"/>
      <c r="L527" s="392" t="n"/>
    </row>
    <row r="528">
      <c r="A528" s="297" t="n">
        <v>44580</v>
      </c>
      <c r="B528" s="96" t="inlineStr">
        <is>
          <t>8790</t>
        </is>
      </c>
      <c r="C528" s="96" t="inlineStr">
        <is>
          <t>79,27</t>
        </is>
      </c>
      <c r="D528" s="97" t="n"/>
      <c r="E528" s="97" t="n"/>
      <c r="F528" s="98" t="n"/>
      <c r="G528" s="761" t="n">
        <v>38</v>
      </c>
      <c r="H528" s="98">
        <f>H527-G528</f>
        <v/>
      </c>
      <c r="I528" s="392" t="n"/>
      <c r="J528" s="392" t="n"/>
      <c r="K528" s="392" t="n"/>
      <c r="L528" s="392" t="n"/>
    </row>
    <row r="529">
      <c r="A529" s="297" t="n">
        <v>44580</v>
      </c>
      <c r="B529" s="96" t="inlineStr">
        <is>
          <t>8791</t>
        </is>
      </c>
      <c r="C529" s="96" t="inlineStr">
        <is>
          <t>78</t>
        </is>
      </c>
      <c r="D529" s="97" t="n"/>
      <c r="E529" s="97" t="n"/>
      <c r="F529" s="98" t="n"/>
      <c r="G529" s="761" t="n">
        <v>15</v>
      </c>
      <c r="H529" s="98">
        <f>H528-G529</f>
        <v/>
      </c>
      <c r="I529" s="392" t="n"/>
      <c r="J529" s="392" t="n"/>
      <c r="K529" s="392" t="n"/>
      <c r="L529" s="392" t="n"/>
    </row>
    <row r="530">
      <c r="A530" s="297" t="n">
        <v>44580</v>
      </c>
      <c r="B530" s="96" t="inlineStr">
        <is>
          <t>8792</t>
        </is>
      </c>
      <c r="C530" s="96" t="inlineStr">
        <is>
          <t>78</t>
        </is>
      </c>
      <c r="D530" s="97" t="n"/>
      <c r="E530" s="97" t="n"/>
      <c r="F530" s="98" t="n"/>
      <c r="G530" s="761" t="n">
        <v>10</v>
      </c>
      <c r="H530" s="98">
        <f>H529-G530</f>
        <v/>
      </c>
      <c r="I530" s="392" t="n"/>
      <c r="J530" s="392" t="n"/>
      <c r="K530" s="392" t="n"/>
      <c r="L530" s="392" t="n"/>
    </row>
    <row r="531">
      <c r="A531" s="297" t="n">
        <v>44580</v>
      </c>
      <c r="B531" s="96" t="inlineStr">
        <is>
          <t>8793</t>
        </is>
      </c>
      <c r="C531" s="96" t="inlineStr">
        <is>
          <t>78</t>
        </is>
      </c>
      <c r="D531" s="97" t="n"/>
      <c r="E531" s="97" t="n"/>
      <c r="F531" s="98" t="n"/>
      <c r="G531" s="761" t="n">
        <v>10</v>
      </c>
      <c r="H531" s="98">
        <f>H530-G531</f>
        <v/>
      </c>
      <c r="I531" s="392" t="n"/>
      <c r="J531" s="392" t="n"/>
      <c r="K531" s="392" t="n"/>
      <c r="L531" s="392" t="n"/>
    </row>
    <row r="532">
      <c r="A532" s="297" t="n">
        <v>44586</v>
      </c>
      <c r="B532" s="96" t="inlineStr">
        <is>
          <t>8794</t>
        </is>
      </c>
      <c r="C532" s="96" t="inlineStr">
        <is>
          <t>85</t>
        </is>
      </c>
      <c r="D532" s="97" t="n"/>
      <c r="E532" s="97" t="n"/>
      <c r="F532" s="98" t="n"/>
      <c r="G532" s="761" t="n">
        <v>30</v>
      </c>
      <c r="H532" s="98">
        <f>H531-G532</f>
        <v/>
      </c>
      <c r="I532" s="392" t="n"/>
      <c r="J532" s="392" t="n"/>
      <c r="K532" s="392" t="n"/>
      <c r="L532" s="392" t="n"/>
    </row>
    <row r="533">
      <c r="A533" s="297" t="n">
        <v>44586</v>
      </c>
      <c r="B533" s="96" t="inlineStr">
        <is>
          <t>8800</t>
        </is>
      </c>
      <c r="C533" s="96" t="inlineStr">
        <is>
          <t>85</t>
        </is>
      </c>
      <c r="D533" s="97" t="n"/>
      <c r="E533" s="97" t="n"/>
      <c r="F533" s="98" t="n"/>
      <c r="G533" s="761" t="n">
        <v>30</v>
      </c>
      <c r="H533" s="98">
        <f>H532-G533</f>
        <v/>
      </c>
      <c r="I533" s="392" t="n"/>
      <c r="J533" s="392" t="n"/>
      <c r="K533" s="392" t="n"/>
      <c r="L533" s="392" t="n"/>
    </row>
    <row r="534">
      <c r="A534" s="297" t="n"/>
      <c r="B534" s="96" t="n"/>
      <c r="C534" s="96" t="n"/>
      <c r="D534" s="97" t="n"/>
      <c r="E534" s="97" t="n"/>
      <c r="F534" s="98" t="n"/>
      <c r="G534" s="761" t="n"/>
      <c r="H534" s="98">
        <f>H533-G534</f>
        <v/>
      </c>
      <c r="I534" s="392" t="n"/>
      <c r="J534" s="392" t="n"/>
      <c r="K534" s="392" t="n"/>
      <c r="L534" s="392" t="n"/>
    </row>
    <row r="535" ht="15.75" customHeight="1" s="436" thickBot="1"/>
    <row r="536" ht="24" customHeight="1" s="436" thickBot="1">
      <c r="A536" s="745" t="inlineStr">
        <is>
          <t>Fevereiro</t>
        </is>
      </c>
      <c r="B536" s="737" t="n"/>
      <c r="C536" s="737" t="n"/>
      <c r="D536" s="737" t="n"/>
      <c r="E536" s="737" t="n"/>
      <c r="F536" s="737" t="n"/>
      <c r="G536" s="737" t="n"/>
      <c r="H536" s="737" t="n"/>
      <c r="I536" s="737" t="n"/>
      <c r="J536" s="737" t="n"/>
      <c r="K536" s="737" t="n"/>
      <c r="L536" s="736" t="n"/>
    </row>
    <row r="537" ht="24" customHeight="1" s="436" thickBot="1">
      <c r="A537" s="745" t="inlineStr">
        <is>
          <t xml:space="preserve">  PRÉ MISTURA -  Pão Doce 25 KG</t>
        </is>
      </c>
      <c r="B537" s="737" t="n"/>
      <c r="C537" s="737" t="n"/>
      <c r="D537" s="737" t="n"/>
      <c r="E537" s="737" t="n"/>
      <c r="F537" s="737" t="n"/>
      <c r="G537" s="737" t="n"/>
      <c r="H537" s="737" t="n"/>
      <c r="I537" s="737" t="n"/>
      <c r="J537" s="737" t="n"/>
      <c r="K537" s="737" t="n"/>
      <c r="L537" s="736" t="n"/>
    </row>
    <row r="538">
      <c r="A538" s="746" t="inlineStr">
        <is>
          <t>DATA</t>
        </is>
      </c>
      <c r="B538" s="3" t="inlineStr">
        <is>
          <t>N.F.</t>
        </is>
      </c>
      <c r="C538" s="3" t="inlineStr">
        <is>
          <t>TIPO</t>
        </is>
      </c>
      <c r="D538" s="3" t="inlineStr">
        <is>
          <t>PREÇO UNITÁRIO</t>
        </is>
      </c>
      <c r="E538" s="736" t="n"/>
      <c r="F538" s="3" t="inlineStr">
        <is>
          <t>QUANTIDADE / KG</t>
        </is>
      </c>
      <c r="G538" s="737" t="n"/>
      <c r="H538" s="736" t="n"/>
      <c r="I538" s="631" t="inlineStr">
        <is>
          <t>PREÇO</t>
        </is>
      </c>
      <c r="J538" s="631" t="inlineStr">
        <is>
          <t>VALORES</t>
        </is>
      </c>
      <c r="K538" s="737" t="n"/>
      <c r="L538" s="736" t="n"/>
    </row>
    <row r="539" ht="15.75" customHeight="1" s="436" thickBot="1">
      <c r="A539" s="703" t="n"/>
      <c r="B539" s="704" t="n"/>
      <c r="C539" s="704" t="n"/>
      <c r="D539" s="703" t="n"/>
      <c r="E539" s="701" t="n"/>
      <c r="F539" s="705" t="n"/>
      <c r="G539" s="706" t="n"/>
      <c r="H539" s="707" t="n"/>
      <c r="I539" s="704" t="n"/>
      <c r="J539" s="703" t="n"/>
      <c r="L539" s="701" t="n"/>
    </row>
    <row r="540" ht="15.75" customHeight="1" s="436" thickBot="1">
      <c r="A540" s="703" t="n"/>
      <c r="B540" s="704" t="n"/>
      <c r="C540" s="704" t="n"/>
      <c r="D540" s="705" t="n"/>
      <c r="E540" s="707" t="n"/>
      <c r="F540" s="3" t="inlineStr">
        <is>
          <t>ENTRADA</t>
        </is>
      </c>
      <c r="G540" s="3" t="inlineStr">
        <is>
          <t>SAÍDA</t>
        </is>
      </c>
      <c r="H540" s="640" t="n"/>
      <c r="I540" s="633" t="inlineStr">
        <is>
          <t>MÉDIO</t>
        </is>
      </c>
      <c r="J540" s="652" t="inlineStr">
        <is>
          <t>SALDO EM 30/12/2017</t>
        </is>
      </c>
      <c r="K540" s="706" t="n"/>
      <c r="L540" s="17" t="n"/>
    </row>
    <row r="541" ht="15.75" customHeight="1" s="436" thickBot="1">
      <c r="A541" s="705" t="n"/>
      <c r="B541" s="695" t="n"/>
      <c r="C541" s="695" t="n"/>
      <c r="D541" s="3" t="inlineStr">
        <is>
          <t>C/ICMS</t>
        </is>
      </c>
      <c r="E541" s="3" t="inlineStr">
        <is>
          <t>S/ICMS</t>
        </is>
      </c>
      <c r="F541" s="695" t="n"/>
      <c r="G541" s="695" t="n"/>
      <c r="H541" s="361" t="inlineStr">
        <is>
          <t>Saldo em 01/02/2022</t>
        </is>
      </c>
      <c r="I541" s="695" t="n"/>
      <c r="J541" s="645" t="inlineStr">
        <is>
          <t>ENTRADA</t>
        </is>
      </c>
      <c r="K541" s="633" t="inlineStr">
        <is>
          <t>SAÍDA / CMV</t>
        </is>
      </c>
      <c r="L541" s="633" t="inlineStr">
        <is>
          <t>SALDO</t>
        </is>
      </c>
    </row>
    <row r="542">
      <c r="A542" s="48" t="n"/>
      <c r="B542" s="49" t="n"/>
      <c r="C542" s="49" t="n"/>
      <c r="D542" s="71" t="n"/>
      <c r="E542" s="71" t="n"/>
      <c r="F542" s="55" t="n"/>
      <c r="G542" s="55" t="n">
        <v>0</v>
      </c>
      <c r="H542" s="95" t="n">
        <v>268</v>
      </c>
      <c r="I542" s="71" t="n"/>
      <c r="J542" s="747">
        <f>F542*I542</f>
        <v/>
      </c>
      <c r="K542" s="747" t="n"/>
      <c r="L542" s="748" t="n"/>
    </row>
    <row r="543">
      <c r="A543" s="297" t="n">
        <v>44601</v>
      </c>
      <c r="B543" s="96" t="inlineStr">
        <is>
          <t>8849</t>
        </is>
      </c>
      <c r="C543" s="96" t="inlineStr">
        <is>
          <t>87</t>
        </is>
      </c>
      <c r="D543" s="97" t="n"/>
      <c r="E543" s="97" t="n"/>
      <c r="F543" s="98" t="n"/>
      <c r="G543" s="761" t="n">
        <v>30</v>
      </c>
      <c r="H543" s="98">
        <f>H542-G543</f>
        <v/>
      </c>
      <c r="I543" s="392" t="n"/>
      <c r="J543" s="392" t="n"/>
      <c r="K543" s="392" t="n"/>
      <c r="L543" s="392" t="n"/>
    </row>
    <row r="544">
      <c r="A544" s="310" t="n">
        <v>44606</v>
      </c>
      <c r="B544" s="275" t="inlineStr">
        <is>
          <t>185544</t>
        </is>
      </c>
      <c r="C544" s="275" t="inlineStr">
        <is>
          <t>73</t>
        </is>
      </c>
      <c r="D544" s="276" t="n"/>
      <c r="E544" s="276" t="n"/>
      <c r="F544" s="277" t="n">
        <v>300</v>
      </c>
      <c r="G544" s="762" t="n"/>
      <c r="H544" s="277" t="n">
        <v>538</v>
      </c>
      <c r="I544" s="392" t="n"/>
      <c r="J544" s="392" t="n"/>
      <c r="K544" s="392" t="n"/>
      <c r="L544" s="392" t="n"/>
    </row>
    <row r="545">
      <c r="A545" s="297" t="n">
        <v>44608</v>
      </c>
      <c r="B545" s="96" t="inlineStr">
        <is>
          <t>8862</t>
        </is>
      </c>
      <c r="C545" s="96" t="inlineStr">
        <is>
          <t>85</t>
        </is>
      </c>
      <c r="D545" s="97" t="n"/>
      <c r="E545" s="97" t="n"/>
      <c r="F545" s="98" t="n"/>
      <c r="G545" s="761" t="n">
        <v>30</v>
      </c>
      <c r="H545" s="98">
        <f>H544-G545</f>
        <v/>
      </c>
      <c r="I545" s="392" t="n"/>
      <c r="J545" s="392" t="n"/>
      <c r="K545" s="392" t="n"/>
      <c r="L545" s="392" t="n"/>
    </row>
    <row r="546">
      <c r="A546" s="297" t="n">
        <v>44608</v>
      </c>
      <c r="B546" s="96" t="inlineStr">
        <is>
          <t>8877</t>
        </is>
      </c>
      <c r="C546" s="96" t="inlineStr">
        <is>
          <t>87</t>
        </is>
      </c>
      <c r="D546" s="97" t="n"/>
      <c r="E546" s="97" t="n"/>
      <c r="F546" s="98" t="n"/>
      <c r="G546" s="761" t="n">
        <v>30</v>
      </c>
      <c r="H546" s="98">
        <f>H545-G546</f>
        <v/>
      </c>
      <c r="I546" s="392" t="n"/>
      <c r="J546" s="392" t="n"/>
      <c r="K546" s="392" t="n"/>
      <c r="L546" s="392" t="n"/>
    </row>
    <row r="547">
      <c r="A547" s="297" t="n">
        <v>44614</v>
      </c>
      <c r="B547" s="96" t="inlineStr">
        <is>
          <t>8886</t>
        </is>
      </c>
      <c r="C547" s="96" t="inlineStr">
        <is>
          <t>87</t>
        </is>
      </c>
      <c r="D547" s="97" t="n"/>
      <c r="E547" s="97" t="n"/>
      <c r="F547" s="98" t="n"/>
      <c r="G547" s="761" t="n">
        <v>20</v>
      </c>
      <c r="H547" s="98">
        <f>H546-G547</f>
        <v/>
      </c>
      <c r="I547" s="392" t="n"/>
      <c r="J547" s="392" t="n"/>
      <c r="K547" s="392" t="n"/>
      <c r="L547" s="392" t="n"/>
    </row>
    <row r="548">
      <c r="A548" s="310" t="n">
        <v>44617</v>
      </c>
      <c r="B548" s="275" t="inlineStr">
        <is>
          <t>186315</t>
        </is>
      </c>
      <c r="C548" s="275" t="inlineStr">
        <is>
          <t>73</t>
        </is>
      </c>
      <c r="D548" s="276" t="n"/>
      <c r="E548" s="276" t="n"/>
      <c r="F548" s="277" t="n">
        <v>150</v>
      </c>
      <c r="G548" s="762" t="n"/>
      <c r="H548" s="277" t="n">
        <v>608</v>
      </c>
      <c r="I548" s="392" t="n"/>
      <c r="J548" s="392" t="n"/>
      <c r="K548" s="392" t="n"/>
      <c r="L548" s="392" t="n"/>
    </row>
    <row r="549">
      <c r="A549" s="297" t="n"/>
      <c r="B549" s="96" t="n"/>
      <c r="C549" s="96" t="n"/>
      <c r="D549" s="97" t="n"/>
      <c r="E549" s="97" t="n"/>
      <c r="F549" s="98" t="n"/>
      <c r="G549" s="761" t="n"/>
      <c r="H549" s="98">
        <f>H548-G549</f>
        <v/>
      </c>
      <c r="I549" s="392" t="n"/>
      <c r="J549" s="392" t="n"/>
      <c r="K549" s="392" t="n"/>
      <c r="L549" s="392" t="n"/>
    </row>
    <row r="550" ht="15.75" customHeight="1" s="436" thickBot="1"/>
    <row r="551" ht="24" customHeight="1" s="436" thickBot="1">
      <c r="A551" s="745" t="inlineStr">
        <is>
          <t>Março</t>
        </is>
      </c>
      <c r="B551" s="737" t="n"/>
      <c r="C551" s="737" t="n"/>
      <c r="D551" s="737" t="n"/>
      <c r="E551" s="737" t="n"/>
      <c r="F551" s="737" t="n"/>
      <c r="G551" s="737" t="n"/>
      <c r="H551" s="737" t="n"/>
      <c r="I551" s="737" t="n"/>
      <c r="J551" s="737" t="n"/>
      <c r="K551" s="737" t="n"/>
      <c r="L551" s="736" t="n"/>
    </row>
    <row r="552" ht="24" customHeight="1" s="436" thickBot="1">
      <c r="A552" s="745" t="inlineStr">
        <is>
          <t xml:space="preserve">  PRÉ MISTURA -  Pão Doce 25 KG</t>
        </is>
      </c>
      <c r="B552" s="737" t="n"/>
      <c r="C552" s="737" t="n"/>
      <c r="D552" s="737" t="n"/>
      <c r="E552" s="737" t="n"/>
      <c r="F552" s="737" t="n"/>
      <c r="G552" s="737" t="n"/>
      <c r="H552" s="737" t="n"/>
      <c r="I552" s="737" t="n"/>
      <c r="J552" s="737" t="n"/>
      <c r="K552" s="737" t="n"/>
      <c r="L552" s="736" t="n"/>
    </row>
    <row r="553">
      <c r="A553" s="746" t="inlineStr">
        <is>
          <t>DATA</t>
        </is>
      </c>
      <c r="B553" s="3" t="inlineStr">
        <is>
          <t>N.F.</t>
        </is>
      </c>
      <c r="C553" s="3" t="inlineStr">
        <is>
          <t>TIPO</t>
        </is>
      </c>
      <c r="D553" s="3" t="inlineStr">
        <is>
          <t>PREÇO UNITÁRIO</t>
        </is>
      </c>
      <c r="E553" s="736" t="n"/>
      <c r="F553" s="3" t="inlineStr">
        <is>
          <t>QUANTIDADE / KG</t>
        </is>
      </c>
      <c r="G553" s="737" t="n"/>
      <c r="H553" s="736" t="n"/>
      <c r="I553" s="631" t="inlineStr">
        <is>
          <t>PREÇO</t>
        </is>
      </c>
      <c r="J553" s="631" t="inlineStr">
        <is>
          <t>VALORES</t>
        </is>
      </c>
      <c r="K553" s="737" t="n"/>
      <c r="L553" s="736" t="n"/>
    </row>
    <row r="554" ht="15.75" customHeight="1" s="436" thickBot="1">
      <c r="A554" s="703" t="n"/>
      <c r="B554" s="704" t="n"/>
      <c r="C554" s="704" t="n"/>
      <c r="D554" s="703" t="n"/>
      <c r="E554" s="701" t="n"/>
      <c r="F554" s="705" t="n"/>
      <c r="G554" s="706" t="n"/>
      <c r="H554" s="707" t="n"/>
      <c r="I554" s="704" t="n"/>
      <c r="J554" s="703" t="n"/>
      <c r="L554" s="701" t="n"/>
    </row>
    <row r="555" ht="15.75" customHeight="1" s="436" thickBot="1">
      <c r="A555" s="703" t="n"/>
      <c r="B555" s="704" t="n"/>
      <c r="C555" s="704" t="n"/>
      <c r="D555" s="705" t="n"/>
      <c r="E555" s="707" t="n"/>
      <c r="F555" s="3" t="inlineStr">
        <is>
          <t>ENTRADA</t>
        </is>
      </c>
      <c r="G555" s="3" t="inlineStr">
        <is>
          <t>SAÍDA</t>
        </is>
      </c>
      <c r="H555" s="640" t="n"/>
      <c r="I555" s="633" t="inlineStr">
        <is>
          <t>MÉDIO</t>
        </is>
      </c>
      <c r="J555" s="652" t="inlineStr">
        <is>
          <t>SALDO EM 30/12/2017</t>
        </is>
      </c>
      <c r="K555" s="706" t="n"/>
      <c r="L555" s="17" t="n"/>
    </row>
    <row r="556" ht="15.75" customHeight="1" s="436" thickBot="1">
      <c r="A556" s="705" t="n"/>
      <c r="B556" s="695" t="n"/>
      <c r="C556" s="695" t="n"/>
      <c r="D556" s="3" t="inlineStr">
        <is>
          <t>C/ICMS</t>
        </is>
      </c>
      <c r="E556" s="3" t="inlineStr">
        <is>
          <t>S/ICMS</t>
        </is>
      </c>
      <c r="F556" s="695" t="n"/>
      <c r="G556" s="695" t="n"/>
      <c r="H556" s="361" t="inlineStr">
        <is>
          <t>Saldo em 01/03/2022</t>
        </is>
      </c>
      <c r="I556" s="695" t="n"/>
      <c r="J556" s="645" t="inlineStr">
        <is>
          <t>ENTRADA</t>
        </is>
      </c>
      <c r="K556" s="633" t="inlineStr">
        <is>
          <t>SAÍDA / CMV</t>
        </is>
      </c>
      <c r="L556" s="633" t="inlineStr">
        <is>
          <t>SALDO</t>
        </is>
      </c>
    </row>
    <row r="557">
      <c r="A557" s="48" t="n"/>
      <c r="B557" s="49" t="n"/>
      <c r="C557" s="49" t="n"/>
      <c r="D557" s="71" t="n"/>
      <c r="E557" s="71" t="n"/>
      <c r="F557" s="55" t="n"/>
      <c r="G557" s="55" t="n">
        <v>0</v>
      </c>
      <c r="H557" s="95" t="n">
        <v>608</v>
      </c>
      <c r="I557" s="71" t="n"/>
      <c r="J557" s="747">
        <f>F557*I557</f>
        <v/>
      </c>
      <c r="K557" s="747" t="n"/>
      <c r="L557" s="748" t="n"/>
    </row>
    <row r="558">
      <c r="A558" s="297" t="n">
        <v>44622</v>
      </c>
      <c r="B558" s="96" t="inlineStr">
        <is>
          <t>8906</t>
        </is>
      </c>
      <c r="C558" s="96" t="inlineStr">
        <is>
          <t>88</t>
        </is>
      </c>
      <c r="D558" s="97" t="n"/>
      <c r="E558" s="97" t="n"/>
      <c r="F558" s="98" t="n"/>
      <c r="G558" s="761" t="n">
        <v>80</v>
      </c>
      <c r="H558" s="98">
        <f>H557-G558</f>
        <v/>
      </c>
      <c r="I558" s="392" t="n"/>
      <c r="J558" s="392" t="n"/>
      <c r="K558" s="392" t="n"/>
      <c r="L558" s="392" t="n"/>
    </row>
    <row r="559">
      <c r="A559" s="297" t="n">
        <v>44623</v>
      </c>
      <c r="B559" s="96" t="inlineStr">
        <is>
          <t>8908</t>
        </is>
      </c>
      <c r="C559" s="96" t="inlineStr">
        <is>
          <t>86,48</t>
        </is>
      </c>
      <c r="D559" s="97" t="n"/>
      <c r="E559" s="97" t="n"/>
      <c r="F559" s="98" t="n"/>
      <c r="G559" s="761" t="n">
        <v>38</v>
      </c>
      <c r="H559" s="98">
        <f>H558-G559</f>
        <v/>
      </c>
      <c r="I559" s="392" t="n"/>
      <c r="J559" s="392" t="n"/>
      <c r="K559" s="392" t="n"/>
      <c r="L559" s="392" t="n"/>
    </row>
    <row r="560">
      <c r="A560" s="297" t="n">
        <v>44624</v>
      </c>
      <c r="B560" s="96" t="inlineStr">
        <is>
          <t>8917</t>
        </is>
      </c>
      <c r="C560" s="96" t="inlineStr">
        <is>
          <t>82,5</t>
        </is>
      </c>
      <c r="D560" s="97" t="n"/>
      <c r="E560" s="97" t="n"/>
      <c r="F560" s="98" t="n"/>
      <c r="G560" s="761" t="n">
        <v>20</v>
      </c>
      <c r="H560" s="98">
        <f>H559-G560</f>
        <v/>
      </c>
      <c r="I560" s="392" t="n"/>
      <c r="J560" s="392" t="n"/>
      <c r="K560" s="392" t="n"/>
      <c r="L560" s="392" t="n"/>
    </row>
    <row r="561">
      <c r="A561" s="297" t="n">
        <v>44624</v>
      </c>
      <c r="B561" s="96" t="inlineStr">
        <is>
          <t>8918</t>
        </is>
      </c>
      <c r="C561" s="96" t="inlineStr">
        <is>
          <t>81</t>
        </is>
      </c>
      <c r="D561" s="97" t="n"/>
      <c r="E561" s="97" t="n"/>
      <c r="F561" s="98" t="n"/>
      <c r="G561" s="761" t="n">
        <v>10</v>
      </c>
      <c r="H561" s="98">
        <f>H560-G561</f>
        <v/>
      </c>
      <c r="I561" s="392" t="n"/>
      <c r="J561" s="392" t="n"/>
      <c r="K561" s="392" t="n"/>
      <c r="L561" s="392" t="n"/>
    </row>
    <row r="562">
      <c r="A562" s="297" t="n">
        <v>44629</v>
      </c>
      <c r="B562" s="96" t="inlineStr">
        <is>
          <t>8931</t>
        </is>
      </c>
      <c r="C562" s="96" t="inlineStr">
        <is>
          <t>89</t>
        </is>
      </c>
      <c r="D562" s="97" t="n"/>
      <c r="E562" s="97" t="n"/>
      <c r="F562" s="98" t="n"/>
      <c r="G562" s="761" t="n">
        <v>20</v>
      </c>
      <c r="H562" s="98">
        <f>H561-G562</f>
        <v/>
      </c>
      <c r="I562" s="392" t="n"/>
      <c r="J562" s="392" t="n"/>
      <c r="K562" s="392" t="n"/>
      <c r="L562" s="392" t="n"/>
    </row>
    <row r="563">
      <c r="A563" s="310" t="n">
        <v>44634</v>
      </c>
      <c r="B563" s="275" t="inlineStr">
        <is>
          <t>187461</t>
        </is>
      </c>
      <c r="C563" s="275" t="inlineStr">
        <is>
          <t>74</t>
        </is>
      </c>
      <c r="D563" s="276" t="n"/>
      <c r="E563" s="276" t="n"/>
      <c r="F563" s="277" t="n">
        <v>240</v>
      </c>
      <c r="G563" s="762" t="n"/>
      <c r="H563" s="277" t="n">
        <v>680</v>
      </c>
      <c r="I563" s="392" t="n"/>
      <c r="J563" s="392" t="n"/>
      <c r="K563" s="392" t="n"/>
      <c r="L563" s="392" t="n"/>
    </row>
    <row r="564">
      <c r="A564" s="297" t="n">
        <v>44630</v>
      </c>
      <c r="B564" s="96" t="inlineStr">
        <is>
          <t>8941</t>
        </is>
      </c>
      <c r="C564" s="96" t="inlineStr">
        <is>
          <t>88</t>
        </is>
      </c>
      <c r="D564" s="97" t="n"/>
      <c r="E564" s="97" t="n"/>
      <c r="F564" s="98" t="n"/>
      <c r="G564" s="761" t="n">
        <v>80</v>
      </c>
      <c r="H564" s="98">
        <f>H563-G564</f>
        <v/>
      </c>
      <c r="I564" s="392" t="n"/>
      <c r="J564" s="392" t="n"/>
      <c r="K564" s="392" t="n"/>
      <c r="L564" s="392" t="n"/>
    </row>
    <row r="565">
      <c r="A565" s="297" t="n">
        <v>44630</v>
      </c>
      <c r="B565" s="96" t="inlineStr">
        <is>
          <t>8949</t>
        </is>
      </c>
      <c r="C565" s="96" t="inlineStr">
        <is>
          <t>85</t>
        </is>
      </c>
      <c r="D565" s="97" t="n"/>
      <c r="E565" s="97" t="n"/>
      <c r="F565" s="98" t="n"/>
      <c r="G565" s="761" t="n">
        <v>30</v>
      </c>
      <c r="H565" s="98">
        <f>H564-G565</f>
        <v/>
      </c>
      <c r="I565" s="392" t="n"/>
      <c r="J565" s="392" t="n"/>
      <c r="K565" s="392" t="n"/>
      <c r="L565" s="392" t="n"/>
    </row>
    <row r="566">
      <c r="A566" s="297" t="n">
        <v>44641</v>
      </c>
      <c r="B566" s="96" t="inlineStr">
        <is>
          <t>8963</t>
        </is>
      </c>
      <c r="C566" s="96" t="inlineStr">
        <is>
          <t>90</t>
        </is>
      </c>
      <c r="D566" s="97" t="n"/>
      <c r="E566" s="97" t="n"/>
      <c r="F566" s="98" t="n"/>
      <c r="G566" s="761" t="n">
        <v>80</v>
      </c>
      <c r="H566" s="98">
        <f>H565-G566</f>
        <v/>
      </c>
      <c r="I566" s="392" t="n"/>
      <c r="J566" s="392" t="n"/>
      <c r="K566" s="392" t="n"/>
      <c r="L566" s="392" t="n"/>
    </row>
    <row r="567">
      <c r="A567" s="310" t="n">
        <v>44643</v>
      </c>
      <c r="B567" s="275" t="inlineStr">
        <is>
          <t>188046</t>
        </is>
      </c>
      <c r="C567" s="275" t="inlineStr">
        <is>
          <t>74</t>
        </is>
      </c>
      <c r="D567" s="276" t="n"/>
      <c r="E567" s="276" t="n"/>
      <c r="F567" s="277" t="n">
        <v>380</v>
      </c>
      <c r="G567" s="762" t="n"/>
      <c r="H567" s="277" t="n">
        <v>870</v>
      </c>
      <c r="I567" s="392" t="n"/>
      <c r="J567" s="392" t="n"/>
      <c r="K567" s="392" t="n"/>
      <c r="L567" s="392" t="n"/>
    </row>
    <row r="568">
      <c r="A568" s="297" t="n">
        <v>44649</v>
      </c>
      <c r="B568" s="96" t="inlineStr">
        <is>
          <t>8980</t>
        </is>
      </c>
      <c r="C568" s="96" t="inlineStr">
        <is>
          <t>94</t>
        </is>
      </c>
      <c r="D568" s="97" t="n"/>
      <c r="E568" s="97" t="n"/>
      <c r="F568" s="98" t="n"/>
      <c r="G568" s="761" t="n">
        <v>50</v>
      </c>
      <c r="H568" s="98">
        <f>H567-G568</f>
        <v/>
      </c>
      <c r="I568" s="392" t="n"/>
      <c r="J568" s="392" t="n"/>
      <c r="K568" s="392" t="n"/>
      <c r="L568" s="392" t="n"/>
    </row>
    <row r="569">
      <c r="A569" s="297" t="n">
        <v>44650</v>
      </c>
      <c r="B569" s="96" t="inlineStr">
        <is>
          <t>8990</t>
        </is>
      </c>
      <c r="C569" s="96" t="inlineStr">
        <is>
          <t>94</t>
        </is>
      </c>
      <c r="D569" s="97" t="n"/>
      <c r="E569" s="97" t="n"/>
      <c r="F569" s="98" t="n"/>
      <c r="G569" s="761" t="n">
        <v>80</v>
      </c>
      <c r="H569" s="98">
        <f>H568-G569</f>
        <v/>
      </c>
      <c r="I569" s="392" t="n"/>
      <c r="J569" s="392" t="n"/>
      <c r="K569" s="392" t="n"/>
      <c r="L569" s="392" t="n"/>
    </row>
    <row r="570">
      <c r="A570" s="297" t="n"/>
      <c r="B570" s="96" t="n"/>
      <c r="C570" s="96" t="n"/>
      <c r="D570" s="97" t="n"/>
      <c r="E570" s="97" t="n"/>
      <c r="F570" s="98" t="n"/>
      <c r="G570" s="761" t="n"/>
      <c r="H570" s="98">
        <f>H569-G570</f>
        <v/>
      </c>
      <c r="I570" s="392" t="n"/>
      <c r="J570" s="392" t="n"/>
      <c r="K570" s="392" t="n"/>
      <c r="L570" s="392" t="n"/>
    </row>
    <row r="571"/>
    <row r="572"/>
    <row r="573"/>
    <row r="574"/>
    <row r="575"/>
    <row r="576"/>
    <row r="577"/>
    <row r="578"/>
    <row r="579">
      <c r="A579" s="297" t="n">
        <v>44657</v>
      </c>
      <c r="B579" s="96" t="inlineStr">
        <is>
          <t>9015</t>
        </is>
      </c>
      <c r="C579" s="96" t="inlineStr">
        <is>
          <t>92</t>
        </is>
      </c>
      <c r="D579" s="97" t="n"/>
      <c r="E579" s="97" t="n"/>
      <c r="F579" s="98" t="n"/>
      <c r="G579" s="761" t="n">
        <v>30</v>
      </c>
      <c r="H579" s="98">
        <f>H595-G579</f>
        <v/>
      </c>
      <c r="I579" s="392" t="n"/>
      <c r="J579" s="392" t="n"/>
      <c r="K579" s="392" t="n"/>
      <c r="L579" s="392" t="n"/>
    </row>
    <row r="580">
      <c r="A580" s="297" t="n">
        <v>44657</v>
      </c>
      <c r="B580" s="96" t="inlineStr">
        <is>
          <t>9016</t>
        </is>
      </c>
      <c r="C580" s="96" t="inlineStr">
        <is>
          <t>96</t>
        </is>
      </c>
      <c r="D580" s="97" t="n"/>
      <c r="E580" s="97" t="n"/>
      <c r="F580" s="98" t="n"/>
      <c r="G580" s="761" t="n">
        <v>80</v>
      </c>
      <c r="H580" s="98">
        <f>H579-G580</f>
        <v/>
      </c>
      <c r="I580" s="392" t="n"/>
      <c r="J580" s="392" t="n"/>
      <c r="K580" s="392" t="n"/>
      <c r="L580" s="392" t="n"/>
    </row>
    <row r="581">
      <c r="A581" s="297" t="n">
        <v>44669</v>
      </c>
      <c r="B581" s="96" t="inlineStr">
        <is>
          <t>9034</t>
        </is>
      </c>
      <c r="C581" s="96" t="inlineStr">
        <is>
          <t>96</t>
        </is>
      </c>
      <c r="D581" s="97" t="n"/>
      <c r="E581" s="97" t="n"/>
      <c r="F581" s="98" t="n"/>
      <c r="G581" s="761" t="n">
        <v>90</v>
      </c>
      <c r="H581" s="98">
        <f>H580-G581</f>
        <v/>
      </c>
      <c r="I581" s="392" t="n"/>
      <c r="J581" s="392" t="n"/>
      <c r="K581" s="392" t="n"/>
      <c r="L581" s="392" t="n"/>
    </row>
    <row r="582">
      <c r="A582" s="297" t="n">
        <v>44671</v>
      </c>
      <c r="B582" s="96" t="inlineStr">
        <is>
          <t>9046</t>
        </is>
      </c>
      <c r="C582" s="96" t="inlineStr">
        <is>
          <t>98</t>
        </is>
      </c>
      <c r="D582" s="97" t="n"/>
      <c r="E582" s="97" t="n"/>
      <c r="F582" s="98" t="n"/>
      <c r="G582" s="761" t="n">
        <v>30</v>
      </c>
      <c r="H582" s="98">
        <f>H581-G582</f>
        <v/>
      </c>
      <c r="I582" s="392" t="n"/>
      <c r="J582" s="392" t="n"/>
      <c r="K582" s="392" t="n"/>
      <c r="L582" s="392" t="n"/>
    </row>
    <row r="583">
      <c r="A583" s="297" t="n">
        <v>44673</v>
      </c>
      <c r="B583" s="96" t="inlineStr">
        <is>
          <t>9050</t>
        </is>
      </c>
      <c r="C583" s="96" t="inlineStr">
        <is>
          <t>94</t>
        </is>
      </c>
      <c r="D583" s="97" t="n"/>
      <c r="E583" s="97" t="n"/>
      <c r="F583" s="98" t="n"/>
      <c r="G583" s="761" t="n">
        <v>10</v>
      </c>
      <c r="H583" s="98">
        <f>H582-G583</f>
        <v/>
      </c>
      <c r="I583" s="392" t="n"/>
      <c r="J583" s="392" t="n"/>
      <c r="K583" s="392" t="n"/>
      <c r="L583" s="392" t="n"/>
    </row>
    <row r="584">
      <c r="A584" s="297" t="n">
        <v>44673</v>
      </c>
      <c r="B584" s="96" t="inlineStr">
        <is>
          <t>9051</t>
        </is>
      </c>
      <c r="C584" s="96" t="inlineStr">
        <is>
          <t>94,67</t>
        </is>
      </c>
      <c r="D584" s="97" t="n"/>
      <c r="E584" s="97" t="n"/>
      <c r="F584" s="98" t="n"/>
      <c r="G584" s="761" t="n">
        <v>30</v>
      </c>
      <c r="H584" s="98">
        <f>H583-G584</f>
        <v/>
      </c>
      <c r="I584" s="392" t="n"/>
      <c r="J584" s="392" t="n"/>
      <c r="K584" s="392" t="n"/>
      <c r="L584" s="392" t="n"/>
    </row>
    <row r="585">
      <c r="A585" s="297" t="n">
        <v>44678</v>
      </c>
      <c r="B585" s="96" t="inlineStr">
        <is>
          <t>9067</t>
        </is>
      </c>
      <c r="C585" s="96" t="inlineStr">
        <is>
          <t>96</t>
        </is>
      </c>
      <c r="D585" s="97" t="n"/>
      <c r="E585" s="97" t="n"/>
      <c r="F585" s="98" t="n"/>
      <c r="G585" s="761" t="n">
        <v>80</v>
      </c>
      <c r="H585" s="98">
        <f>H584-G585</f>
        <v/>
      </c>
      <c r="I585" s="392" t="n"/>
      <c r="J585" s="392" t="n"/>
      <c r="K585" s="392" t="n"/>
      <c r="L585" s="392" t="n"/>
    </row>
    <row r="586">
      <c r="A586" s="310" t="n">
        <v>44681</v>
      </c>
      <c r="B586" s="275" t="inlineStr">
        <is>
          <t>189885</t>
        </is>
      </c>
      <c r="C586" s="275" t="n"/>
      <c r="D586" s="276" t="n">
        <v>300</v>
      </c>
      <c r="E586" s="276" t="n"/>
      <c r="F586" s="277" t="n"/>
      <c r="G586" s="762" t="n"/>
      <c r="H586" s="277" t="n">
        <v>690</v>
      </c>
      <c r="I586" s="392" t="n"/>
      <c r="J586" s="392" t="n"/>
      <c r="K586" s="392" t="n"/>
      <c r="L586" s="392" t="n"/>
    </row>
    <row r="587">
      <c r="A587" s="297" t="n"/>
      <c r="B587" s="96" t="n"/>
      <c r="C587" s="96" t="n"/>
      <c r="D587" s="97" t="n"/>
      <c r="E587" s="97" t="n"/>
      <c r="F587" s="98" t="n"/>
      <c r="G587" s="761" t="n"/>
      <c r="H587" s="98">
        <f>H586-G587</f>
        <v/>
      </c>
      <c r="I587" s="392" t="n"/>
      <c r="J587" s="392" t="n"/>
      <c r="K587" s="392" t="n"/>
      <c r="L587" s="392" t="n"/>
    </row>
    <row r="588" ht="15.75" customHeight="1" s="436" thickBot="1"/>
    <row r="589" ht="24" customHeight="1" s="436" thickBot="1">
      <c r="A589" s="745" t="inlineStr">
        <is>
          <t>Maio</t>
        </is>
      </c>
      <c r="B589" s="737" t="n"/>
      <c r="C589" s="737" t="n"/>
      <c r="D589" s="737" t="n"/>
      <c r="E589" s="737" t="n"/>
      <c r="F589" s="737" t="n"/>
      <c r="G589" s="737" t="n"/>
      <c r="H589" s="737" t="n"/>
      <c r="I589" s="737" t="n"/>
      <c r="J589" s="737" t="n"/>
      <c r="K589" s="737" t="n"/>
      <c r="L589" s="736" t="n"/>
    </row>
    <row r="590" ht="24" customHeight="1" s="436" thickBot="1">
      <c r="A590" s="745" t="inlineStr">
        <is>
          <t xml:space="preserve">  PRÉ MISTURA -  Pão Doce 25 KG</t>
        </is>
      </c>
      <c r="B590" s="737" t="n"/>
      <c r="C590" s="737" t="n"/>
      <c r="D590" s="737" t="n"/>
      <c r="E590" s="737" t="n"/>
      <c r="F590" s="737" t="n"/>
      <c r="G590" s="737" t="n"/>
      <c r="H590" s="737" t="n"/>
      <c r="I590" s="737" t="n"/>
      <c r="J590" s="737" t="n"/>
      <c r="K590" s="737" t="n"/>
      <c r="L590" s="736" t="n"/>
    </row>
    <row r="591">
      <c r="A591" s="746" t="inlineStr">
        <is>
          <t>DATA</t>
        </is>
      </c>
      <c r="B591" s="3" t="inlineStr">
        <is>
          <t>N.F.</t>
        </is>
      </c>
      <c r="C591" s="3" t="inlineStr">
        <is>
          <t>TIPO</t>
        </is>
      </c>
      <c r="D591" s="3" t="inlineStr">
        <is>
          <t>PREÇO UNITÁRIO</t>
        </is>
      </c>
      <c r="E591" s="736" t="n"/>
      <c r="F591" s="3" t="inlineStr">
        <is>
          <t>QUANTIDADE / KG</t>
        </is>
      </c>
      <c r="G591" s="737" t="n"/>
      <c r="H591" s="736" t="n"/>
      <c r="I591" s="631" t="inlineStr">
        <is>
          <t>PREÇO</t>
        </is>
      </c>
      <c r="J591" s="631" t="inlineStr">
        <is>
          <t>VALORES</t>
        </is>
      </c>
      <c r="K591" s="737" t="n"/>
      <c r="L591" s="736" t="n"/>
    </row>
    <row r="592" ht="15.75" customHeight="1" s="436" thickBot="1">
      <c r="A592" s="703" t="n"/>
      <c r="B592" s="704" t="n"/>
      <c r="C592" s="704" t="n"/>
      <c r="D592" s="703" t="n"/>
      <c r="E592" s="701" t="n"/>
      <c r="F592" s="705" t="n"/>
      <c r="G592" s="706" t="n"/>
      <c r="H592" s="707" t="n"/>
      <c r="I592" s="704" t="n"/>
      <c r="J592" s="703" t="n"/>
      <c r="L592" s="701" t="n"/>
    </row>
    <row r="593" ht="15.75" customHeight="1" s="436" thickBot="1">
      <c r="A593" s="703" t="n"/>
      <c r="B593" s="704" t="n"/>
      <c r="C593" s="704" t="n"/>
      <c r="D593" s="705" t="n"/>
      <c r="E593" s="707" t="n"/>
      <c r="F593" s="3" t="inlineStr">
        <is>
          <t>ENTRADA</t>
        </is>
      </c>
      <c r="G593" s="3" t="inlineStr">
        <is>
          <t>SAÍDA</t>
        </is>
      </c>
      <c r="H593" s="640" t="n"/>
      <c r="I593" s="633" t="inlineStr">
        <is>
          <t>MÉDIO</t>
        </is>
      </c>
      <c r="J593" s="652" t="inlineStr">
        <is>
          <t>SALDO EM 30/12/2017</t>
        </is>
      </c>
      <c r="K593" s="706" t="n"/>
      <c r="L593" s="17" t="n"/>
    </row>
    <row r="594" ht="15.75" customHeight="1" s="436" thickBot="1">
      <c r="A594" s="705" t="n"/>
      <c r="B594" s="695" t="n"/>
      <c r="C594" s="695" t="n"/>
      <c r="D594" s="3" t="inlineStr">
        <is>
          <t>C/ICMS</t>
        </is>
      </c>
      <c r="E594" s="3" t="inlineStr">
        <is>
          <t>S/ICMS</t>
        </is>
      </c>
      <c r="F594" s="695" t="n"/>
      <c r="G594" s="695" t="n"/>
      <c r="H594" s="361" t="inlineStr">
        <is>
          <t>Saldo em 01/05/2022</t>
        </is>
      </c>
      <c r="I594" s="695" t="n"/>
      <c r="J594" s="645" t="inlineStr">
        <is>
          <t>ENTRADA</t>
        </is>
      </c>
      <c r="K594" s="633" t="inlineStr">
        <is>
          <t>SAÍDA / CMV</t>
        </is>
      </c>
      <c r="L594" s="633" t="inlineStr">
        <is>
          <t>SALDO</t>
        </is>
      </c>
    </row>
    <row r="595">
      <c r="A595" s="48" t="n"/>
      <c r="B595" s="49" t="n"/>
      <c r="C595" s="49" t="n"/>
      <c r="D595" s="71" t="n"/>
      <c r="E595" s="71" t="n"/>
      <c r="F595" s="55" t="n"/>
      <c r="G595" s="55" t="n">
        <v>0</v>
      </c>
      <c r="H595" s="98" t="n">
        <v>690</v>
      </c>
      <c r="I595" s="71" t="n"/>
      <c r="J595" s="747">
        <f>F595*I595</f>
        <v/>
      </c>
      <c r="K595" s="747" t="n"/>
      <c r="L595" s="748" t="n"/>
    </row>
    <row r="596">
      <c r="A596" s="297" t="n">
        <v>44683</v>
      </c>
      <c r="B596" s="96" t="inlineStr">
        <is>
          <t>9078</t>
        </is>
      </c>
      <c r="C596" s="96" t="inlineStr">
        <is>
          <t>98</t>
        </is>
      </c>
      <c r="D596" s="97" t="n"/>
      <c r="E596" s="97" t="n"/>
      <c r="F596" s="98" t="n"/>
      <c r="G596" s="761" t="n">
        <v>30</v>
      </c>
      <c r="H596" s="98">
        <f>H595-G596</f>
        <v/>
      </c>
      <c r="I596" s="392" t="n"/>
      <c r="J596" s="392" t="n"/>
      <c r="K596" s="392" t="n"/>
      <c r="L596" s="392" t="n"/>
    </row>
    <row r="597">
      <c r="A597" s="297" t="n">
        <v>44685</v>
      </c>
      <c r="B597" s="96" t="inlineStr">
        <is>
          <t>9088</t>
        </is>
      </c>
      <c r="C597" s="96" t="inlineStr">
        <is>
          <t>98</t>
        </is>
      </c>
      <c r="D597" s="97" t="n"/>
      <c r="E597" s="97" t="n"/>
      <c r="F597" s="98" t="n"/>
      <c r="G597" s="761" t="n">
        <v>30</v>
      </c>
      <c r="H597" s="98">
        <f>H596-G597</f>
        <v/>
      </c>
      <c r="I597" s="392" t="n"/>
      <c r="J597" s="392" t="n"/>
      <c r="K597" s="392" t="n"/>
      <c r="L597" s="392" t="n"/>
    </row>
    <row r="598">
      <c r="A598" s="297" t="n">
        <v>44691</v>
      </c>
      <c r="B598" s="96" t="inlineStr">
        <is>
          <t>9101</t>
        </is>
      </c>
      <c r="C598" s="96" t="inlineStr">
        <is>
          <t>96</t>
        </is>
      </c>
      <c r="D598" s="97" t="n"/>
      <c r="E598" s="97" t="n"/>
      <c r="F598" s="98" t="n"/>
      <c r="G598" s="761" t="n">
        <v>80</v>
      </c>
      <c r="H598" s="98">
        <f>H597-G598</f>
        <v/>
      </c>
      <c r="I598" s="392" t="n"/>
      <c r="J598" s="392" t="n"/>
      <c r="K598" s="392" t="n"/>
      <c r="L598" s="392" t="n"/>
    </row>
    <row r="599">
      <c r="A599" s="310" t="n">
        <v>44691</v>
      </c>
      <c r="B599" s="275" t="inlineStr">
        <is>
          <t>190276</t>
        </is>
      </c>
      <c r="C599" s="275" t="inlineStr">
        <is>
          <t>85,1</t>
        </is>
      </c>
      <c r="D599" s="276" t="n">
        <v>200</v>
      </c>
      <c r="E599" s="276" t="n"/>
      <c r="F599" s="277" t="n"/>
      <c r="G599" s="762" t="n"/>
      <c r="H599" s="277" t="n">
        <v>750</v>
      </c>
      <c r="I599" s="392" t="n"/>
      <c r="J599" s="392" t="n"/>
      <c r="K599" s="392" t="n"/>
      <c r="L599" s="392" t="n"/>
    </row>
    <row r="600">
      <c r="A600" s="297" t="n">
        <v>44692</v>
      </c>
      <c r="B600" s="96" t="inlineStr">
        <is>
          <t>9103</t>
        </is>
      </c>
      <c r="C600" s="96" t="inlineStr">
        <is>
          <t>98</t>
        </is>
      </c>
      <c r="D600" s="97" t="n"/>
      <c r="E600" s="97" t="n"/>
      <c r="F600" s="98" t="n"/>
      <c r="G600" s="761" t="n">
        <v>15</v>
      </c>
      <c r="H600" s="98">
        <f>H599-G600</f>
        <v/>
      </c>
      <c r="I600" s="392" t="n"/>
      <c r="J600" s="392" t="n"/>
      <c r="K600" s="392" t="n"/>
      <c r="L600" s="392" t="n"/>
    </row>
    <row r="601">
      <c r="A601" s="297" t="n">
        <v>44699</v>
      </c>
      <c r="B601" s="96" t="inlineStr">
        <is>
          <t>9121</t>
        </is>
      </c>
      <c r="C601" s="96" t="inlineStr">
        <is>
          <t>98,25</t>
        </is>
      </c>
      <c r="D601" s="97" t="n"/>
      <c r="E601" s="97" t="n"/>
      <c r="F601" s="98" t="n"/>
      <c r="G601" s="761" t="n">
        <v>40</v>
      </c>
      <c r="H601" s="98">
        <f>H600-G601</f>
        <v/>
      </c>
      <c r="I601" s="392" t="n"/>
      <c r="J601" s="392" t="n"/>
      <c r="K601" s="392" t="n"/>
      <c r="L601" s="392" t="n"/>
    </row>
    <row r="602">
      <c r="A602" s="297" t="n">
        <v>44699</v>
      </c>
      <c r="B602" s="96" t="inlineStr">
        <is>
          <t>9122</t>
        </is>
      </c>
      <c r="C602" s="96" t="inlineStr">
        <is>
          <t>99,08</t>
        </is>
      </c>
      <c r="D602" s="97" t="n"/>
      <c r="E602" s="97" t="n"/>
      <c r="F602" s="98" t="n"/>
      <c r="G602" s="761" t="n">
        <v>27</v>
      </c>
      <c r="H602" s="98">
        <f>H601-G602</f>
        <v/>
      </c>
      <c r="I602" s="392" t="n"/>
      <c r="J602" s="392" t="n"/>
      <c r="K602" s="392" t="n"/>
      <c r="L602" s="392" t="n"/>
    </row>
    <row r="603">
      <c r="A603" s="297" t="n">
        <v>44699</v>
      </c>
      <c r="B603" s="96" t="inlineStr">
        <is>
          <t>9123</t>
        </is>
      </c>
      <c r="C603" s="96" t="inlineStr">
        <is>
          <t>97,8</t>
        </is>
      </c>
      <c r="D603" s="97" t="n"/>
      <c r="E603" s="97" t="n"/>
      <c r="F603" s="98" t="n"/>
      <c r="G603" s="761" t="n">
        <v>25</v>
      </c>
      <c r="H603" s="98">
        <f>H602-G603</f>
        <v/>
      </c>
      <c r="I603" s="392" t="n"/>
      <c r="J603" s="392" t="n"/>
      <c r="K603" s="392" t="n"/>
      <c r="L603" s="392" t="n"/>
    </row>
    <row r="604">
      <c r="A604" s="297" t="n">
        <v>44699</v>
      </c>
      <c r="B604" s="96" t="inlineStr">
        <is>
          <t>9124</t>
        </is>
      </c>
      <c r="C604" s="96" t="inlineStr">
        <is>
          <t>101,15</t>
        </is>
      </c>
      <c r="D604" s="97" t="n"/>
      <c r="E604" s="97" t="n"/>
      <c r="F604" s="98" t="n"/>
      <c r="G604" s="761" t="n">
        <v>35</v>
      </c>
      <c r="H604" s="98">
        <f>H603-G604</f>
        <v/>
      </c>
      <c r="I604" s="392" t="n"/>
      <c r="J604" s="392" t="n"/>
      <c r="K604" s="392" t="n"/>
      <c r="L604" s="392" t="n"/>
    </row>
    <row r="605">
      <c r="A605" s="297" t="n">
        <v>44699</v>
      </c>
      <c r="B605" s="96" t="inlineStr">
        <is>
          <t>9126</t>
        </is>
      </c>
      <c r="C605" s="96" t="inlineStr">
        <is>
          <t>99,17</t>
        </is>
      </c>
      <c r="D605" s="97" t="n"/>
      <c r="E605" s="97" t="n"/>
      <c r="F605" s="98" t="n"/>
      <c r="G605" s="761" t="n">
        <v>12</v>
      </c>
      <c r="H605" s="98">
        <f>H604-G605</f>
        <v/>
      </c>
      <c r="I605" s="392" t="n"/>
      <c r="J605" s="392" t="n"/>
      <c r="K605" s="392" t="n"/>
      <c r="L605" s="392" t="n"/>
    </row>
    <row r="606">
      <c r="A606" s="297" t="n">
        <v>44699</v>
      </c>
      <c r="B606" s="96" t="inlineStr">
        <is>
          <t>9128</t>
        </is>
      </c>
      <c r="C606" s="96" t="inlineStr">
        <is>
          <t>97,15</t>
        </is>
      </c>
      <c r="D606" s="97" t="n"/>
      <c r="E606" s="97" t="n"/>
      <c r="F606" s="98" t="n"/>
      <c r="G606" s="761" t="n">
        <v>35</v>
      </c>
      <c r="H606" s="98">
        <f>H605-G606</f>
        <v/>
      </c>
      <c r="I606" s="392" t="n"/>
      <c r="J606" s="392" t="n"/>
      <c r="K606" s="392" t="n"/>
      <c r="L606" s="392" t="n"/>
    </row>
    <row r="607">
      <c r="A607" s="297" t="n">
        <v>44699</v>
      </c>
      <c r="B607" s="96" t="inlineStr">
        <is>
          <t>9129</t>
        </is>
      </c>
      <c r="C607" s="96" t="inlineStr">
        <is>
          <t>100</t>
        </is>
      </c>
      <c r="D607" s="97" t="n"/>
      <c r="E607" s="97" t="n"/>
      <c r="F607" s="98" t="n"/>
      <c r="G607" s="761" t="n">
        <v>80</v>
      </c>
      <c r="H607" s="98">
        <f>H606-G607</f>
        <v/>
      </c>
      <c r="I607" s="392" t="n"/>
      <c r="J607" s="392" t="n"/>
      <c r="K607" s="392" t="n"/>
      <c r="L607" s="392" t="n"/>
    </row>
    <row r="608">
      <c r="A608" s="297" t="n">
        <v>44699</v>
      </c>
      <c r="B608" s="96" t="inlineStr">
        <is>
          <t>9130</t>
        </is>
      </c>
      <c r="C608" s="96" t="inlineStr">
        <is>
          <t>100,33</t>
        </is>
      </c>
      <c r="D608" s="97" t="n"/>
      <c r="E608" s="97" t="n"/>
      <c r="F608" s="98" t="n"/>
      <c r="G608" s="761" t="n">
        <v>15</v>
      </c>
      <c r="H608" s="98">
        <f>H607-G608</f>
        <v/>
      </c>
      <c r="I608" s="392" t="n"/>
      <c r="J608" s="392" t="n"/>
      <c r="K608" s="392" t="n"/>
      <c r="L608" s="392" t="n"/>
    </row>
    <row r="609">
      <c r="A609" s="297" t="n">
        <v>44699</v>
      </c>
      <c r="B609" s="96" t="inlineStr">
        <is>
          <t>9131</t>
        </is>
      </c>
      <c r="C609" s="96" t="inlineStr">
        <is>
          <t>98,25</t>
        </is>
      </c>
      <c r="D609" s="97" t="n"/>
      <c r="E609" s="97" t="n"/>
      <c r="F609" s="98" t="n"/>
      <c r="G609" s="761" t="n">
        <v>20</v>
      </c>
      <c r="H609" s="98">
        <f>H608-G609</f>
        <v/>
      </c>
      <c r="I609" s="392" t="n"/>
      <c r="J609" s="392" t="n"/>
      <c r="K609" s="392" t="n"/>
      <c r="L609" s="392" t="n"/>
    </row>
    <row r="610">
      <c r="A610" s="297" t="n">
        <v>44706</v>
      </c>
      <c r="B610" s="96" t="inlineStr">
        <is>
          <t>9151</t>
        </is>
      </c>
      <c r="C610" s="96" t="inlineStr">
        <is>
          <t>101,7</t>
        </is>
      </c>
      <c r="D610" s="97" t="n"/>
      <c r="E610" s="97" t="n"/>
      <c r="F610" s="98" t="n"/>
      <c r="G610" s="761" t="n">
        <v>30</v>
      </c>
      <c r="H610" s="98">
        <f>H609-G610</f>
        <v/>
      </c>
      <c r="I610" s="392" t="n"/>
      <c r="J610" s="392" t="n"/>
      <c r="K610" s="392" t="n"/>
      <c r="L610" s="392" t="n"/>
    </row>
    <row r="611">
      <c r="A611" s="297" t="n">
        <v>44711</v>
      </c>
      <c r="B611" s="96" t="inlineStr">
        <is>
          <t>9153</t>
        </is>
      </c>
      <c r="C611" s="96" t="inlineStr">
        <is>
          <t>101,50</t>
        </is>
      </c>
      <c r="D611" s="97" t="n"/>
      <c r="E611" s="97" t="n"/>
      <c r="F611" s="98" t="n"/>
      <c r="G611" s="761" t="n">
        <v>40</v>
      </c>
      <c r="H611" s="98">
        <f>H610-G611</f>
        <v/>
      </c>
      <c r="I611" s="392" t="n"/>
      <c r="J611" s="392" t="n"/>
      <c r="K611" s="392" t="n"/>
      <c r="L611" s="392" t="n"/>
    </row>
    <row r="612">
      <c r="A612" s="297" t="n">
        <v>44712</v>
      </c>
      <c r="B612" s="96" t="inlineStr">
        <is>
          <t>9164</t>
        </is>
      </c>
      <c r="C612" s="96" t="inlineStr">
        <is>
          <t>100,15</t>
        </is>
      </c>
      <c r="D612" s="97" t="n"/>
      <c r="E612" s="97" t="n"/>
      <c r="F612" s="98" t="n"/>
      <c r="G612" s="761" t="n">
        <v>100</v>
      </c>
      <c r="H612" s="98">
        <f>H611-G612</f>
        <v/>
      </c>
      <c r="I612" s="392" t="n"/>
      <c r="J612" s="392" t="n"/>
      <c r="K612" s="392" t="n"/>
      <c r="L612" s="392" t="n"/>
    </row>
    <row r="613">
      <c r="A613" s="310" t="n">
        <v>44712</v>
      </c>
      <c r="B613" s="275" t="inlineStr">
        <is>
          <t>191485</t>
        </is>
      </c>
      <c r="C613" s="275" t="inlineStr">
        <is>
          <t>90,1</t>
        </is>
      </c>
      <c r="D613" s="276" t="n">
        <v>610</v>
      </c>
      <c r="E613" s="276" t="n"/>
      <c r="F613" s="277" t="n"/>
      <c r="G613" s="762" t="n"/>
      <c r="H613" s="277" t="n">
        <v>886</v>
      </c>
      <c r="I613" s="392" t="n"/>
      <c r="J613" s="392" t="n"/>
      <c r="K613" s="392" t="n"/>
      <c r="L613" s="392" t="n"/>
    </row>
    <row r="614">
      <c r="A614" s="297" t="n"/>
      <c r="B614" s="96" t="n"/>
      <c r="C614" s="96" t="n"/>
      <c r="D614" s="97" t="n"/>
      <c r="E614" s="97" t="n"/>
      <c r="F614" s="98" t="n"/>
      <c r="G614" s="761" t="n"/>
      <c r="H614" s="98" t="n"/>
      <c r="I614" s="392" t="n"/>
      <c r="J614" s="392" t="n"/>
      <c r="K614" s="392" t="n"/>
      <c r="L614" s="392" t="n"/>
    </row>
    <row r="615">
      <c r="A615" s="297" t="n"/>
      <c r="B615" s="96" t="n"/>
      <c r="C615" s="96" t="n"/>
      <c r="D615" s="97" t="n"/>
      <c r="E615" s="97" t="n"/>
      <c r="F615" s="98" t="n"/>
      <c r="G615" s="761" t="n"/>
      <c r="H615" s="98" t="n"/>
      <c r="I615" s="392" t="n"/>
      <c r="J615" s="392" t="n"/>
      <c r="K615" s="392" t="n"/>
      <c r="L615" s="392" t="n"/>
    </row>
    <row r="616" ht="15.75" customHeight="1" s="436" thickBot="1"/>
    <row r="617" ht="24" customHeight="1" s="436" thickBot="1">
      <c r="A617" s="745" t="inlineStr">
        <is>
          <t>Junho</t>
        </is>
      </c>
      <c r="B617" s="737" t="n"/>
      <c r="C617" s="737" t="n"/>
      <c r="D617" s="737" t="n"/>
      <c r="E617" s="737" t="n"/>
      <c r="F617" s="737" t="n"/>
      <c r="G617" s="737" t="n"/>
      <c r="H617" s="737" t="n"/>
      <c r="I617" s="737" t="n"/>
      <c r="J617" s="737" t="n"/>
      <c r="K617" s="737" t="n"/>
      <c r="L617" s="736" t="n"/>
    </row>
    <row r="618" ht="24" customHeight="1" s="436" thickBot="1">
      <c r="A618" s="745" t="inlineStr">
        <is>
          <t xml:space="preserve">  PRÉ MISTURA -  Pão Doce 25 KG</t>
        </is>
      </c>
      <c r="B618" s="737" t="n"/>
      <c r="C618" s="737" t="n"/>
      <c r="D618" s="737" t="n"/>
      <c r="E618" s="737" t="n"/>
      <c r="F618" s="737" t="n"/>
      <c r="G618" s="737" t="n"/>
      <c r="H618" s="737" t="n"/>
      <c r="I618" s="737" t="n"/>
      <c r="J618" s="737" t="n"/>
      <c r="K618" s="737" t="n"/>
      <c r="L618" s="736" t="n"/>
    </row>
    <row r="619">
      <c r="A619" s="746" t="inlineStr">
        <is>
          <t>DATA</t>
        </is>
      </c>
      <c r="B619" s="3" t="inlineStr">
        <is>
          <t>N.F.</t>
        </is>
      </c>
      <c r="C619" s="3" t="inlineStr">
        <is>
          <t>TIPO</t>
        </is>
      </c>
      <c r="D619" s="3" t="inlineStr">
        <is>
          <t>PREÇO UNITÁRIO</t>
        </is>
      </c>
      <c r="E619" s="736" t="n"/>
      <c r="F619" s="3" t="inlineStr">
        <is>
          <t>QUANTIDADE / KG</t>
        </is>
      </c>
      <c r="G619" s="737" t="n"/>
      <c r="H619" s="736" t="n"/>
      <c r="I619" s="631" t="inlineStr">
        <is>
          <t>PREÇO</t>
        </is>
      </c>
      <c r="J619" s="631" t="inlineStr">
        <is>
          <t>VALORES</t>
        </is>
      </c>
      <c r="K619" s="737" t="n"/>
      <c r="L619" s="736" t="n"/>
    </row>
    <row r="620" ht="15.75" customHeight="1" s="436" thickBot="1">
      <c r="A620" s="703" t="n"/>
      <c r="B620" s="704" t="n"/>
      <c r="C620" s="704" t="n"/>
      <c r="D620" s="703" t="n"/>
      <c r="E620" s="701" t="n"/>
      <c r="F620" s="705" t="n"/>
      <c r="G620" s="706" t="n"/>
      <c r="H620" s="707" t="n"/>
      <c r="I620" s="704" t="n"/>
      <c r="J620" s="703" t="n"/>
      <c r="L620" s="701" t="n"/>
    </row>
    <row r="621" ht="15.75" customHeight="1" s="436" thickBot="1">
      <c r="A621" s="703" t="n"/>
      <c r="B621" s="704" t="n"/>
      <c r="C621" s="704" t="n"/>
      <c r="D621" s="705" t="n"/>
      <c r="E621" s="707" t="n"/>
      <c r="F621" s="3" t="inlineStr">
        <is>
          <t>ENTRADA</t>
        </is>
      </c>
      <c r="G621" s="3" t="inlineStr">
        <is>
          <t>SAÍDA</t>
        </is>
      </c>
      <c r="H621" s="640" t="n"/>
      <c r="I621" s="633" t="inlineStr">
        <is>
          <t>MÉDIO</t>
        </is>
      </c>
      <c r="J621" s="652" t="inlineStr">
        <is>
          <t>SALDO EM 30/12/2017</t>
        </is>
      </c>
      <c r="K621" s="706" t="n"/>
      <c r="L621" s="17" t="n"/>
    </row>
    <row r="622" ht="15.75" customHeight="1" s="436" thickBot="1">
      <c r="A622" s="705" t="n"/>
      <c r="B622" s="695" t="n"/>
      <c r="C622" s="695" t="n"/>
      <c r="D622" s="3" t="inlineStr">
        <is>
          <t>C/ICMS</t>
        </is>
      </c>
      <c r="E622" s="3" t="inlineStr">
        <is>
          <t>S/ICMS</t>
        </is>
      </c>
      <c r="F622" s="695" t="n"/>
      <c r="G622" s="695" t="n"/>
      <c r="H622" s="361" t="inlineStr">
        <is>
          <t>Saldo em 01/06/2022</t>
        </is>
      </c>
      <c r="I622" s="695" t="n"/>
      <c r="J622" s="645" t="inlineStr">
        <is>
          <t>ENTRADA</t>
        </is>
      </c>
      <c r="K622" s="633" t="inlineStr">
        <is>
          <t>SAÍDA / CMV</t>
        </is>
      </c>
      <c r="L622" s="633" t="inlineStr">
        <is>
          <t>SALDO</t>
        </is>
      </c>
    </row>
    <row r="623">
      <c r="A623" s="48" t="n"/>
      <c r="B623" s="49" t="n"/>
      <c r="C623" s="49" t="n"/>
      <c r="D623" s="71" t="n"/>
      <c r="E623" s="71" t="n"/>
      <c r="F623" s="55" t="n"/>
      <c r="G623" s="55" t="n"/>
      <c r="H623" s="98" t="n">
        <v>886</v>
      </c>
      <c r="I623" s="71" t="n"/>
      <c r="J623" s="747">
        <f>F623*I623</f>
        <v/>
      </c>
      <c r="K623" s="747" t="n"/>
      <c r="L623" s="748" t="n"/>
    </row>
    <row r="624">
      <c r="A624" s="297" t="n">
        <v>44732</v>
      </c>
      <c r="B624" s="96" t="inlineStr">
        <is>
          <t>9210</t>
        </is>
      </c>
      <c r="C624" s="96" t="inlineStr">
        <is>
          <t>103,4</t>
        </is>
      </c>
      <c r="D624" s="97" t="n"/>
      <c r="E624" s="97" t="n"/>
      <c r="F624" s="98" t="n"/>
      <c r="G624" s="761" t="n">
        <v>40</v>
      </c>
      <c r="H624" s="98">
        <f>H623-G624</f>
        <v/>
      </c>
      <c r="I624" s="392" t="n"/>
      <c r="J624" s="392" t="n"/>
      <c r="K624" s="392" t="n"/>
      <c r="L624" s="392" t="n"/>
    </row>
    <row r="625">
      <c r="A625" s="297" t="n">
        <v>44732</v>
      </c>
      <c r="B625" s="96" t="inlineStr">
        <is>
          <t>9211</t>
        </is>
      </c>
      <c r="C625" s="96" t="inlineStr">
        <is>
          <t>103</t>
        </is>
      </c>
      <c r="D625" s="97" t="n"/>
      <c r="E625" s="97" t="n"/>
      <c r="F625" s="98" t="n"/>
      <c r="G625" s="761" t="n">
        <v>20</v>
      </c>
      <c r="H625" s="98">
        <f>H624-G625</f>
        <v/>
      </c>
      <c r="I625" s="392" t="n"/>
      <c r="J625" s="392" t="n"/>
      <c r="K625" s="392" t="n"/>
      <c r="L625" s="392" t="n"/>
    </row>
    <row r="626">
      <c r="A626" s="297" t="n">
        <v>44732</v>
      </c>
      <c r="B626" s="96" t="inlineStr">
        <is>
          <t>9218</t>
        </is>
      </c>
      <c r="C626" s="96" t="inlineStr">
        <is>
          <t>102,2</t>
        </is>
      </c>
      <c r="D626" s="97" t="n"/>
      <c r="E626" s="97" t="n"/>
      <c r="F626" s="98" t="n"/>
      <c r="G626" s="761" t="n">
        <v>10</v>
      </c>
      <c r="H626" s="98">
        <f>H625-G626</f>
        <v/>
      </c>
      <c r="I626" s="392" t="n"/>
      <c r="J626" s="392" t="n"/>
      <c r="K626" s="392" t="n"/>
      <c r="L626" s="392" t="n"/>
    </row>
    <row r="627">
      <c r="A627" s="297" t="n">
        <v>44732</v>
      </c>
      <c r="B627" s="96" t="inlineStr">
        <is>
          <t>9221</t>
        </is>
      </c>
      <c r="C627" s="96" t="inlineStr">
        <is>
          <t>99</t>
        </is>
      </c>
      <c r="D627" s="97" t="n"/>
      <c r="E627" s="97" t="n"/>
      <c r="F627" s="98" t="n"/>
      <c r="G627" s="761" t="n">
        <v>10</v>
      </c>
      <c r="H627" s="98">
        <f>H626-G627</f>
        <v/>
      </c>
      <c r="I627" s="392" t="n"/>
      <c r="J627" s="392" t="n"/>
      <c r="K627" s="392" t="n"/>
      <c r="L627" s="392" t="n"/>
    </row>
    <row r="628">
      <c r="A628" s="297" t="n">
        <v>44733</v>
      </c>
      <c r="B628" s="96" t="inlineStr">
        <is>
          <t>9222</t>
        </is>
      </c>
      <c r="C628" s="96" t="inlineStr">
        <is>
          <t>103</t>
        </is>
      </c>
      <c r="D628" s="97" t="n"/>
      <c r="E628" s="97" t="n"/>
      <c r="F628" s="98" t="n"/>
      <c r="G628" s="761" t="n">
        <v>20</v>
      </c>
      <c r="H628" s="98">
        <f>H627-G628</f>
        <v/>
      </c>
      <c r="I628" s="392" t="n"/>
      <c r="J628" s="392" t="n"/>
      <c r="K628" s="392" t="n"/>
      <c r="L628" s="392" t="n"/>
    </row>
    <row r="629">
      <c r="A629" s="297" t="n">
        <v>44734</v>
      </c>
      <c r="B629" s="96" t="inlineStr">
        <is>
          <t>9232</t>
        </is>
      </c>
      <c r="C629" s="96" t="inlineStr">
        <is>
          <t>103</t>
        </is>
      </c>
      <c r="D629" s="97" t="n"/>
      <c r="E629" s="97" t="n"/>
      <c r="F629" s="98" t="n"/>
      <c r="G629" s="761" t="n">
        <v>20</v>
      </c>
      <c r="H629" s="98">
        <f>H628-G629</f>
        <v/>
      </c>
      <c r="I629" s="392" t="n"/>
      <c r="J629" s="392" t="n"/>
      <c r="K629" s="392" t="n"/>
      <c r="L629" s="392" t="n"/>
    </row>
    <row r="630">
      <c r="A630" s="297" t="n">
        <v>44740</v>
      </c>
      <c r="B630" s="96" t="inlineStr">
        <is>
          <t>9241</t>
        </is>
      </c>
      <c r="C630" s="96" t="inlineStr">
        <is>
          <t>105</t>
        </is>
      </c>
      <c r="D630" s="97" t="n"/>
      <c r="E630" s="97" t="n"/>
      <c r="F630" s="98" t="n"/>
      <c r="G630" s="761" t="n">
        <v>30</v>
      </c>
      <c r="H630" s="98">
        <f>H629-G630</f>
        <v/>
      </c>
      <c r="I630" s="392" t="n"/>
      <c r="J630" s="392" t="n"/>
      <c r="K630" s="392" t="n"/>
      <c r="L630" s="392" t="n"/>
    </row>
    <row r="631">
      <c r="A631" s="297" t="n">
        <v>44740</v>
      </c>
      <c r="B631" s="96" t="inlineStr">
        <is>
          <t>9246</t>
        </is>
      </c>
      <c r="C631" s="96" t="inlineStr">
        <is>
          <t>107</t>
        </is>
      </c>
      <c r="D631" s="97" t="n"/>
      <c r="E631" s="97" t="n"/>
      <c r="F631" s="98" t="n"/>
      <c r="G631" s="761" t="n">
        <v>10</v>
      </c>
      <c r="H631" s="98">
        <f>H630-G631</f>
        <v/>
      </c>
      <c r="I631" s="392" t="n"/>
      <c r="J631" s="392" t="n"/>
      <c r="K631" s="392" t="n"/>
      <c r="L631" s="392" t="n"/>
    </row>
    <row r="632">
      <c r="A632" s="297" t="n">
        <v>44741</v>
      </c>
      <c r="B632" s="96" t="n"/>
      <c r="C632" s="96" t="n"/>
      <c r="D632" s="97" t="n"/>
      <c r="E632" s="97" t="n"/>
      <c r="F632" s="98" t="n"/>
      <c r="G632" s="761" t="n"/>
      <c r="H632" s="98">
        <f>H631-G632</f>
        <v/>
      </c>
      <c r="I632" s="392" t="n"/>
      <c r="J632" s="392" t="n"/>
      <c r="K632" s="392" t="n"/>
      <c r="L632" s="392" t="n"/>
    </row>
    <row r="633">
      <c r="A633" s="297" t="n"/>
      <c r="B633" s="96" t="n"/>
      <c r="C633" s="96" t="n"/>
      <c r="D633" s="97" t="n"/>
      <c r="E633" s="97" t="n"/>
      <c r="F633" s="98" t="n"/>
      <c r="G633" s="761" t="n"/>
      <c r="H633" s="98">
        <f>H632-G633</f>
        <v/>
      </c>
      <c r="I633" s="392" t="n"/>
      <c r="J633" s="392" t="n"/>
      <c r="K633" s="392" t="n"/>
      <c r="L633" s="392" t="n"/>
    </row>
    <row r="634" ht="15.75" customHeight="1" s="436" thickBot="1"/>
    <row r="635" ht="24" customHeight="1" s="436" thickBot="1">
      <c r="A635" s="745" t="inlineStr">
        <is>
          <t>Junho</t>
        </is>
      </c>
      <c r="B635" s="737" t="n"/>
      <c r="C635" s="737" t="n"/>
      <c r="D635" s="737" t="n"/>
      <c r="E635" s="737" t="n"/>
      <c r="F635" s="737" t="n"/>
      <c r="G635" s="737" t="n"/>
      <c r="H635" s="737" t="n"/>
      <c r="I635" s="737" t="n"/>
      <c r="J635" s="737" t="n"/>
      <c r="K635" s="737" t="n"/>
      <c r="L635" s="736" t="n"/>
    </row>
    <row r="636" ht="24" customHeight="1" s="436" thickBot="1">
      <c r="A636" s="745" t="inlineStr">
        <is>
          <t xml:space="preserve">  PRÉ MISTURA -  Pão Doce 25 KG</t>
        </is>
      </c>
      <c r="B636" s="737" t="n"/>
      <c r="C636" s="737" t="n"/>
      <c r="D636" s="737" t="n"/>
      <c r="E636" s="737" t="n"/>
      <c r="F636" s="737" t="n"/>
      <c r="G636" s="737" t="n"/>
      <c r="H636" s="737" t="n"/>
      <c r="I636" s="737" t="n"/>
      <c r="J636" s="737" t="n"/>
      <c r="K636" s="737" t="n"/>
      <c r="L636" s="736" t="n"/>
    </row>
    <row r="637">
      <c r="A637" s="746" t="inlineStr">
        <is>
          <t>DATA</t>
        </is>
      </c>
      <c r="B637" s="3" t="inlineStr">
        <is>
          <t>N.F.</t>
        </is>
      </c>
      <c r="C637" s="3" t="inlineStr">
        <is>
          <t>TIPO</t>
        </is>
      </c>
      <c r="D637" s="3" t="inlineStr">
        <is>
          <t>PREÇO UNITÁRIO</t>
        </is>
      </c>
      <c r="E637" s="736" t="n"/>
      <c r="F637" s="3" t="inlineStr">
        <is>
          <t>QUANTIDADE / KG</t>
        </is>
      </c>
      <c r="G637" s="737" t="n"/>
      <c r="H637" s="736" t="n"/>
      <c r="I637" s="631" t="inlineStr">
        <is>
          <t>PREÇO</t>
        </is>
      </c>
      <c r="J637" s="631" t="inlineStr">
        <is>
          <t>VALORES</t>
        </is>
      </c>
      <c r="K637" s="737" t="n"/>
      <c r="L637" s="736" t="n"/>
    </row>
    <row r="638" ht="15.75" customHeight="1" s="436" thickBot="1">
      <c r="A638" s="703" t="n"/>
      <c r="B638" s="704" t="n"/>
      <c r="C638" s="704" t="n"/>
      <c r="D638" s="703" t="n"/>
      <c r="E638" s="701" t="n"/>
      <c r="F638" s="705" t="n"/>
      <c r="G638" s="706" t="n"/>
      <c r="H638" s="707" t="n"/>
      <c r="I638" s="704" t="n"/>
      <c r="J638" s="703" t="n"/>
      <c r="L638" s="701" t="n"/>
    </row>
    <row r="639" ht="15.75" customHeight="1" s="436" thickBot="1">
      <c r="A639" s="703" t="n"/>
      <c r="B639" s="704" t="n"/>
      <c r="C639" s="704" t="n"/>
      <c r="D639" s="705" t="n"/>
      <c r="E639" s="707" t="n"/>
      <c r="F639" s="3" t="inlineStr">
        <is>
          <t>ENTRADA</t>
        </is>
      </c>
      <c r="G639" s="3" t="inlineStr">
        <is>
          <t>SAÍDA</t>
        </is>
      </c>
      <c r="H639" s="640" t="n"/>
      <c r="I639" s="633" t="inlineStr">
        <is>
          <t>MÉDIO</t>
        </is>
      </c>
      <c r="J639" s="652" t="inlineStr">
        <is>
          <t>SALDO EM 30/12/2017</t>
        </is>
      </c>
      <c r="K639" s="706" t="n"/>
      <c r="L639" s="17" t="n"/>
    </row>
    <row r="640" ht="15.75" customHeight="1" s="436" thickBot="1">
      <c r="A640" s="705" t="n"/>
      <c r="B640" s="695" t="n"/>
      <c r="C640" s="695" t="n"/>
      <c r="D640" s="3" t="inlineStr">
        <is>
          <t>C/ICMS</t>
        </is>
      </c>
      <c r="E640" s="3" t="inlineStr">
        <is>
          <t>S/ICMS</t>
        </is>
      </c>
      <c r="F640" s="695" t="n"/>
      <c r="G640" s="695" t="n"/>
      <c r="H640" s="361" t="inlineStr">
        <is>
          <t>Saldo em 01/06/2022</t>
        </is>
      </c>
      <c r="I640" s="695" t="n"/>
      <c r="J640" s="645" t="inlineStr">
        <is>
          <t>ENTRADA</t>
        </is>
      </c>
      <c r="K640" s="633" t="inlineStr">
        <is>
          <t>SAÍDA / CMV</t>
        </is>
      </c>
      <c r="L640" s="633" t="inlineStr">
        <is>
          <t>SALDO</t>
        </is>
      </c>
    </row>
    <row r="641">
      <c r="A641" s="48" t="n"/>
      <c r="B641" s="49" t="n"/>
      <c r="C641" s="49" t="n"/>
      <c r="D641" s="71" t="n"/>
      <c r="E641" s="71" t="n"/>
      <c r="F641" s="55" t="n"/>
      <c r="G641" s="55" t="n"/>
      <c r="H641" s="98" t="n">
        <v>726</v>
      </c>
      <c r="I641" s="71" t="n"/>
      <c r="J641" s="747">
        <f>F641*I641</f>
        <v/>
      </c>
      <c r="K641" s="747" t="n"/>
      <c r="L641" s="748" t="n"/>
    </row>
    <row r="642">
      <c r="A642" s="297" t="n">
        <v>44746</v>
      </c>
      <c r="B642" s="96" t="inlineStr">
        <is>
          <t>9259</t>
        </is>
      </c>
      <c r="C642" s="96" t="inlineStr">
        <is>
          <t>105</t>
        </is>
      </c>
      <c r="D642" s="97" t="n"/>
      <c r="E642" s="97" t="n"/>
      <c r="F642" s="98" t="n"/>
      <c r="G642" s="761" t="n">
        <v>90</v>
      </c>
      <c r="H642" s="98">
        <f>H641-G642</f>
        <v/>
      </c>
      <c r="I642" s="392" t="n"/>
      <c r="J642" s="392" t="n"/>
      <c r="K642" s="392" t="n"/>
      <c r="L642" s="392" t="n"/>
    </row>
    <row r="643">
      <c r="A643" s="297" t="n">
        <v>44748</v>
      </c>
      <c r="B643" s="96" t="inlineStr">
        <is>
          <t>9266</t>
        </is>
      </c>
      <c r="C643" s="96" t="inlineStr">
        <is>
          <t>107</t>
        </is>
      </c>
      <c r="D643" s="97" t="n"/>
      <c r="E643" s="97" t="n"/>
      <c r="F643" s="98" t="n"/>
      <c r="G643" s="761" t="n">
        <v>22</v>
      </c>
      <c r="H643" s="98">
        <f>H642-G643</f>
        <v/>
      </c>
      <c r="I643" s="392" t="n"/>
      <c r="J643" s="392" t="n"/>
      <c r="K643" s="392" t="n"/>
      <c r="L643" s="392" t="n"/>
    </row>
    <row r="644">
      <c r="A644" s="297" t="n">
        <v>44748</v>
      </c>
      <c r="B644" s="96" t="inlineStr">
        <is>
          <t>9271</t>
        </is>
      </c>
      <c r="C644" s="96" t="inlineStr">
        <is>
          <t>107</t>
        </is>
      </c>
      <c r="D644" s="97" t="n"/>
      <c r="E644" s="97" t="n"/>
      <c r="F644" s="98" t="n"/>
      <c r="G644" s="761" t="n">
        <v>10</v>
      </c>
      <c r="H644" s="98">
        <f>H643-G644</f>
        <v/>
      </c>
      <c r="I644" s="392" t="n"/>
      <c r="J644" s="392" t="n"/>
      <c r="K644" s="392" t="n"/>
      <c r="L644" s="392" t="n"/>
    </row>
    <row r="645">
      <c r="A645" s="297" t="n">
        <v>44754</v>
      </c>
      <c r="B645" s="96" t="inlineStr">
        <is>
          <t>9277</t>
        </is>
      </c>
      <c r="C645" s="96" t="inlineStr">
        <is>
          <t>110</t>
        </is>
      </c>
      <c r="D645" s="97" t="n"/>
      <c r="E645" s="97" t="n"/>
      <c r="F645" s="98" t="n"/>
      <c r="G645" s="761" t="n">
        <v>30</v>
      </c>
      <c r="H645" s="98">
        <f>H644-G645</f>
        <v/>
      </c>
      <c r="I645" s="392" t="n"/>
      <c r="J645" s="392" t="n"/>
      <c r="K645" s="392" t="n"/>
      <c r="L645" s="392" t="n"/>
    </row>
    <row r="646">
      <c r="A646" s="297" t="n">
        <v>44755</v>
      </c>
      <c r="B646" s="96" t="inlineStr">
        <is>
          <t>9291</t>
        </is>
      </c>
      <c r="C646" s="96" t="inlineStr">
        <is>
          <t>108</t>
        </is>
      </c>
      <c r="D646" s="97" t="n"/>
      <c r="E646" s="97" t="n"/>
      <c r="F646" s="98" t="n"/>
      <c r="G646" s="761" t="n">
        <v>30</v>
      </c>
      <c r="H646" s="98">
        <f>H645-G646</f>
        <v/>
      </c>
      <c r="I646" s="392" t="n"/>
      <c r="J646" s="392" t="n"/>
      <c r="K646" s="392" t="n"/>
      <c r="L646" s="392" t="n"/>
    </row>
    <row r="647">
      <c r="A647" s="297" t="n">
        <v>44755</v>
      </c>
      <c r="B647" s="96" t="inlineStr">
        <is>
          <t>9294</t>
        </is>
      </c>
      <c r="C647" s="96" t="inlineStr">
        <is>
          <t>107,64</t>
        </is>
      </c>
      <c r="D647" s="97" t="n"/>
      <c r="E647" s="97" t="n"/>
      <c r="F647" s="98" t="n"/>
      <c r="G647" s="761" t="n">
        <v>15</v>
      </c>
      <c r="H647" s="98">
        <f>H646-G647</f>
        <v/>
      </c>
      <c r="I647" s="392" t="n"/>
      <c r="J647" s="392" t="n"/>
      <c r="K647" s="392" t="n"/>
      <c r="L647" s="392" t="n"/>
    </row>
    <row r="648">
      <c r="A648" s="310" t="n">
        <v>44757</v>
      </c>
      <c r="B648" s="275" t="inlineStr">
        <is>
          <t>193845</t>
        </is>
      </c>
      <c r="C648" s="275" t="inlineStr">
        <is>
          <t>94,6</t>
        </is>
      </c>
      <c r="D648" s="445" t="n">
        <v>560</v>
      </c>
      <c r="E648" s="276" t="n"/>
      <c r="F648" s="277" t="n"/>
      <c r="G648" s="762" t="n"/>
      <c r="H648" s="277" t="n">
        <v>1089</v>
      </c>
      <c r="I648" s="392" t="n"/>
      <c r="J648" s="392" t="n"/>
      <c r="K648" s="392" t="n"/>
      <c r="L648" s="392" t="n"/>
    </row>
    <row r="649">
      <c r="A649" s="297" t="n">
        <v>44761</v>
      </c>
      <c r="B649" s="96" t="inlineStr">
        <is>
          <t>9303</t>
        </is>
      </c>
      <c r="C649" s="96" t="inlineStr">
        <is>
          <t>110</t>
        </is>
      </c>
      <c r="D649" s="97" t="n"/>
      <c r="E649" s="97" t="n"/>
      <c r="F649" s="98" t="n"/>
      <c r="G649" s="761" t="n">
        <v>10</v>
      </c>
      <c r="H649" s="98">
        <f>H648-G649</f>
        <v/>
      </c>
      <c r="I649" s="392" t="n"/>
      <c r="J649" s="392" t="n"/>
      <c r="K649" s="392" t="n"/>
      <c r="L649" s="392" t="n"/>
    </row>
    <row r="650">
      <c r="A650" s="297" t="n">
        <v>44761</v>
      </c>
      <c r="B650" s="96" t="inlineStr">
        <is>
          <t>9306</t>
        </is>
      </c>
      <c r="C650" s="96" t="inlineStr">
        <is>
          <t>110</t>
        </is>
      </c>
      <c r="D650" s="97" t="n"/>
      <c r="E650" s="97" t="n"/>
      <c r="F650" s="98" t="n"/>
      <c r="G650" s="761" t="n">
        <v>25</v>
      </c>
      <c r="H650" s="98">
        <f>H649-G650</f>
        <v/>
      </c>
      <c r="I650" s="392" t="n"/>
      <c r="J650" s="392" t="n"/>
      <c r="K650" s="392" t="n"/>
      <c r="L650" s="392" t="n"/>
    </row>
    <row r="651">
      <c r="A651" s="297" t="n">
        <v>44762</v>
      </c>
      <c r="B651" s="96" t="inlineStr">
        <is>
          <t>9316</t>
        </is>
      </c>
      <c r="C651" s="96" t="inlineStr">
        <is>
          <t>104</t>
        </is>
      </c>
      <c r="D651" s="97" t="n"/>
      <c r="E651" s="97" t="n"/>
      <c r="F651" s="98" t="n"/>
      <c r="G651" s="761" t="n">
        <v>25</v>
      </c>
      <c r="H651" s="98">
        <f>H650-G651</f>
        <v/>
      </c>
      <c r="I651" s="392" t="n"/>
      <c r="J651" s="392" t="n"/>
      <c r="K651" s="392" t="n"/>
      <c r="L651" s="392" t="n"/>
    </row>
    <row r="652">
      <c r="A652" s="297" t="n">
        <v>44762</v>
      </c>
      <c r="B652" s="96" t="inlineStr">
        <is>
          <t>9317</t>
        </is>
      </c>
      <c r="C652" s="96" t="inlineStr">
        <is>
          <t>104,33</t>
        </is>
      </c>
      <c r="D652" s="97" t="n"/>
      <c r="E652" s="97" t="n"/>
      <c r="F652" s="98" t="n"/>
      <c r="G652" s="761" t="n">
        <v>37</v>
      </c>
      <c r="H652" s="98">
        <f>H651-G652</f>
        <v/>
      </c>
      <c r="I652" s="392" t="n"/>
      <c r="J652" s="392" t="n"/>
      <c r="K652" s="392" t="n"/>
      <c r="L652" s="392" t="n"/>
    </row>
    <row r="653">
      <c r="A653" s="297" t="n">
        <v>44762</v>
      </c>
      <c r="B653" s="96" t="inlineStr">
        <is>
          <t>9318</t>
        </is>
      </c>
      <c r="C653" s="96" t="inlineStr">
        <is>
          <t>106</t>
        </is>
      </c>
      <c r="D653" s="97" t="n"/>
      <c r="E653" s="97" t="n"/>
      <c r="F653" s="98" t="n"/>
      <c r="G653" s="761" t="n">
        <v>10</v>
      </c>
      <c r="H653" s="98">
        <f>H652-G653</f>
        <v/>
      </c>
      <c r="I653" s="392" t="n"/>
      <c r="J653" s="392" t="n"/>
      <c r="K653" s="392" t="n"/>
      <c r="L653" s="392" t="n"/>
    </row>
    <row r="654">
      <c r="A654" s="297" t="n">
        <v>44762</v>
      </c>
      <c r="B654" s="96" t="inlineStr">
        <is>
          <t>9319</t>
        </is>
      </c>
      <c r="C654" s="96" t="inlineStr">
        <is>
          <t>103</t>
        </is>
      </c>
      <c r="D654" s="97" t="n"/>
      <c r="E654" s="97" t="n"/>
      <c r="F654" s="98" t="n"/>
      <c r="G654" s="761" t="n">
        <v>10</v>
      </c>
      <c r="H654" s="98">
        <f>H653-G654</f>
        <v/>
      </c>
      <c r="I654" s="392" t="n"/>
      <c r="J654" s="392" t="n"/>
      <c r="K654" s="392" t="n"/>
      <c r="L654" s="392" t="n"/>
    </row>
    <row r="655">
      <c r="A655" s="297" t="n">
        <v>44762</v>
      </c>
      <c r="B655" s="96" t="inlineStr">
        <is>
          <t>9320</t>
        </is>
      </c>
      <c r="C655" s="96" t="inlineStr">
        <is>
          <t>103</t>
        </is>
      </c>
      <c r="D655" s="97" t="n"/>
      <c r="E655" s="97" t="n"/>
      <c r="F655" s="98" t="n"/>
      <c r="G655" s="761" t="n">
        <v>14</v>
      </c>
      <c r="H655" s="98">
        <f>H654-G655</f>
        <v/>
      </c>
      <c r="I655" s="392" t="n"/>
      <c r="J655" s="392" t="n"/>
      <c r="K655" s="392" t="n"/>
      <c r="L655" s="392" t="n"/>
    </row>
    <row r="656">
      <c r="A656" s="297" t="n">
        <v>44767</v>
      </c>
      <c r="B656" s="96" t="inlineStr">
        <is>
          <t>9321</t>
        </is>
      </c>
      <c r="C656" s="96" t="inlineStr">
        <is>
          <t>104,1</t>
        </is>
      </c>
      <c r="D656" s="97" t="n"/>
      <c r="E656" s="97" t="n"/>
      <c r="F656" s="98" t="n"/>
      <c r="G656" s="761" t="n">
        <v>25</v>
      </c>
      <c r="H656" s="98">
        <f>H655-G656</f>
        <v/>
      </c>
      <c r="I656" s="392" t="n"/>
      <c r="J656" s="392" t="n"/>
      <c r="K656" s="392" t="n"/>
      <c r="L656" s="392" t="n"/>
    </row>
    <row r="657">
      <c r="A657" s="297" t="n">
        <v>44769</v>
      </c>
      <c r="B657" s="96" t="inlineStr">
        <is>
          <t>9332</t>
        </is>
      </c>
      <c r="C657" s="96" t="inlineStr">
        <is>
          <t>102,75</t>
        </is>
      </c>
      <c r="D657" s="97" t="n"/>
      <c r="E657" s="97" t="n"/>
      <c r="F657" s="98" t="n"/>
      <c r="G657" s="761" t="n">
        <v>40</v>
      </c>
      <c r="H657" s="98">
        <f>H656-G657</f>
        <v/>
      </c>
      <c r="I657" s="392" t="n"/>
      <c r="J657" s="392" t="n"/>
      <c r="K657" s="392" t="n"/>
      <c r="L657" s="392" t="n"/>
    </row>
    <row r="658">
      <c r="A658" s="297" t="n">
        <v>44769</v>
      </c>
      <c r="B658" s="96" t="inlineStr">
        <is>
          <t>9333</t>
        </is>
      </c>
      <c r="C658" s="96" t="inlineStr">
        <is>
          <t>103</t>
        </is>
      </c>
      <c r="D658" s="97" t="n"/>
      <c r="E658" s="97" t="n"/>
      <c r="F658" s="98" t="n"/>
      <c r="G658" s="761" t="n">
        <v>30</v>
      </c>
      <c r="H658" s="98">
        <f>H657-G658</f>
        <v/>
      </c>
      <c r="I658" s="392" t="n"/>
      <c r="J658" s="392" t="n"/>
      <c r="K658" s="392" t="n"/>
      <c r="L658" s="392" t="n"/>
    </row>
    <row r="659">
      <c r="A659" s="297" t="n">
        <v>44769</v>
      </c>
      <c r="B659" s="96" t="inlineStr">
        <is>
          <t>9334</t>
        </is>
      </c>
      <c r="C659" s="96" t="inlineStr">
        <is>
          <t>102,67</t>
        </is>
      </c>
      <c r="D659" s="97" t="n"/>
      <c r="E659" s="97" t="n"/>
      <c r="F659" s="98" t="n"/>
      <c r="G659" s="761" t="n">
        <v>15</v>
      </c>
      <c r="H659" s="98">
        <f>H658-G659</f>
        <v/>
      </c>
      <c r="I659" s="392" t="n"/>
      <c r="J659" s="392" t="n"/>
      <c r="K659" s="392" t="n"/>
      <c r="L659" s="392" t="n"/>
    </row>
    <row r="660">
      <c r="A660" s="297" t="n">
        <v>44769</v>
      </c>
      <c r="B660" s="96" t="inlineStr">
        <is>
          <t>9337</t>
        </is>
      </c>
      <c r="C660" s="96" t="inlineStr">
        <is>
          <t>106,5</t>
        </is>
      </c>
      <c r="D660" s="97" t="n"/>
      <c r="E660" s="97" t="n"/>
      <c r="F660" s="98" t="n"/>
      <c r="G660" s="761" t="n">
        <v>20</v>
      </c>
      <c r="H660" s="98">
        <f>H659-G660</f>
        <v/>
      </c>
      <c r="I660" s="392" t="n"/>
      <c r="J660" s="392" t="n"/>
      <c r="K660" s="392" t="n"/>
      <c r="L660" s="392" t="n"/>
    </row>
    <row r="661">
      <c r="A661" s="297" t="n">
        <v>44769</v>
      </c>
      <c r="B661" s="96" t="inlineStr">
        <is>
          <t>9338</t>
        </is>
      </c>
      <c r="C661" s="96" t="inlineStr">
        <is>
          <t>104,4</t>
        </is>
      </c>
      <c r="D661" s="97" t="n"/>
      <c r="E661" s="97" t="n"/>
      <c r="F661" s="98" t="n"/>
      <c r="G661" s="761" t="n">
        <v>25</v>
      </c>
      <c r="H661" s="98">
        <f>H660-G661</f>
        <v/>
      </c>
      <c r="I661" s="392" t="n"/>
      <c r="J661" s="392" t="n"/>
      <c r="K661" s="392" t="n"/>
      <c r="L661" s="392" t="n"/>
    </row>
    <row r="662">
      <c r="A662" s="297" t="n">
        <v>44769</v>
      </c>
      <c r="B662" s="96" t="inlineStr">
        <is>
          <t>9340</t>
        </is>
      </c>
      <c r="C662" s="96" t="inlineStr">
        <is>
          <t>103</t>
        </is>
      </c>
      <c r="D662" s="97" t="n"/>
      <c r="E662" s="97" t="n"/>
      <c r="F662" s="98" t="n"/>
      <c r="G662" s="761" t="n">
        <v>32</v>
      </c>
      <c r="H662" s="98">
        <f>H661-G662</f>
        <v/>
      </c>
      <c r="I662" s="392" t="n"/>
      <c r="J662" s="392" t="n"/>
      <c r="K662" s="392" t="n"/>
      <c r="L662" s="392" t="n"/>
    </row>
    <row r="663">
      <c r="A663" s="297" t="n">
        <v>44769</v>
      </c>
      <c r="B663" s="96" t="inlineStr">
        <is>
          <t>9341</t>
        </is>
      </c>
      <c r="C663" s="96" t="inlineStr">
        <is>
          <t>103</t>
        </is>
      </c>
      <c r="D663" s="97" t="n"/>
      <c r="E663" s="97" t="n"/>
      <c r="F663" s="98" t="n"/>
      <c r="G663" s="761" t="n">
        <v>20</v>
      </c>
      <c r="H663" s="98">
        <f>H662-G663</f>
        <v/>
      </c>
      <c r="I663" s="392" t="n"/>
      <c r="J663" s="392" t="n"/>
      <c r="K663" s="392" t="n"/>
      <c r="L663" s="392" t="n"/>
    </row>
    <row r="664">
      <c r="A664" s="297" t="n">
        <v>44769</v>
      </c>
      <c r="B664" s="96" t="inlineStr">
        <is>
          <t>9342</t>
        </is>
      </c>
      <c r="C664" s="96" t="inlineStr">
        <is>
          <t>103</t>
        </is>
      </c>
      <c r="D664" s="97" t="n"/>
      <c r="E664" s="97" t="n"/>
      <c r="F664" s="98" t="n"/>
      <c r="G664" s="761" t="n">
        <v>10</v>
      </c>
      <c r="H664" s="98">
        <f>H663-G664</f>
        <v/>
      </c>
      <c r="I664" s="392" t="n"/>
      <c r="J664" s="392" t="n"/>
      <c r="K664" s="392" t="n"/>
      <c r="L664" s="392" t="n"/>
    </row>
    <row r="665">
      <c r="A665" s="297" t="n">
        <v>44769</v>
      </c>
      <c r="B665" s="96" t="inlineStr">
        <is>
          <t>9343</t>
        </is>
      </c>
      <c r="C665" s="96" t="inlineStr">
        <is>
          <t>104,3</t>
        </is>
      </c>
      <c r="D665" s="97" t="n"/>
      <c r="E665" s="97" t="n"/>
      <c r="F665" s="98" t="n"/>
      <c r="G665" s="761" t="n">
        <v>37</v>
      </c>
      <c r="H665" s="98">
        <f>H664-G665</f>
        <v/>
      </c>
      <c r="I665" s="392" t="n"/>
      <c r="J665" s="392" t="n"/>
      <c r="K665" s="392" t="n"/>
      <c r="L665" s="392" t="n"/>
    </row>
    <row r="666">
      <c r="A666" s="297" t="n">
        <v>44769</v>
      </c>
      <c r="B666" s="96" t="inlineStr">
        <is>
          <t>9344</t>
        </is>
      </c>
      <c r="C666" s="96" t="inlineStr">
        <is>
          <t>110</t>
        </is>
      </c>
      <c r="D666" s="97" t="n"/>
      <c r="E666" s="97" t="n"/>
      <c r="F666" s="98" t="n"/>
      <c r="G666" s="761" t="n">
        <v>30</v>
      </c>
      <c r="H666" s="98">
        <f>H665-G666</f>
        <v/>
      </c>
      <c r="I666" s="392" t="n"/>
      <c r="J666" s="392" t="n"/>
      <c r="K666" s="392" t="n"/>
      <c r="L666" s="392" t="n"/>
    </row>
    <row r="667">
      <c r="A667" s="297" t="n">
        <v>44769</v>
      </c>
      <c r="B667" s="96" t="inlineStr">
        <is>
          <t>9345</t>
        </is>
      </c>
      <c r="C667" s="96" t="inlineStr">
        <is>
          <t>110</t>
        </is>
      </c>
      <c r="D667" s="97" t="n"/>
      <c r="E667" s="97" t="n"/>
      <c r="F667" s="98" t="n"/>
      <c r="G667" s="761" t="n">
        <v>15</v>
      </c>
      <c r="H667" s="98">
        <f>H666-G667</f>
        <v/>
      </c>
      <c r="I667" s="392" t="n"/>
      <c r="J667" s="392" t="n"/>
      <c r="K667" s="392" t="n"/>
      <c r="L667" s="392" t="n"/>
    </row>
    <row r="668">
      <c r="A668" s="297" t="n">
        <v>44769</v>
      </c>
      <c r="B668" s="96" t="inlineStr">
        <is>
          <t>9345</t>
        </is>
      </c>
      <c r="C668" s="96" t="inlineStr">
        <is>
          <t>103</t>
        </is>
      </c>
      <c r="D668" s="97" t="n"/>
      <c r="E668" s="97" t="n"/>
      <c r="F668" s="98" t="n"/>
      <c r="G668" s="761" t="n">
        <v>20</v>
      </c>
      <c r="H668" s="98">
        <f>H667-G668</f>
        <v/>
      </c>
      <c r="I668" s="392" t="n"/>
      <c r="J668" s="392" t="n"/>
      <c r="K668" s="392" t="n"/>
      <c r="L668" s="392" t="n"/>
    </row>
    <row r="669">
      <c r="A669" s="297" t="n">
        <v>44769</v>
      </c>
      <c r="B669" s="96" t="inlineStr">
        <is>
          <t>9346</t>
        </is>
      </c>
      <c r="C669" s="96" t="inlineStr">
        <is>
          <t>99</t>
        </is>
      </c>
      <c r="D669" s="97" t="n"/>
      <c r="E669" s="97" t="n"/>
      <c r="F669" s="98" t="n"/>
      <c r="G669" s="761" t="n">
        <v>15</v>
      </c>
      <c r="H669" s="98">
        <f>H668-G669</f>
        <v/>
      </c>
      <c r="I669" s="392" t="n"/>
      <c r="J669" s="392" t="n"/>
      <c r="K669" s="392" t="n"/>
      <c r="L669" s="392" t="n"/>
    </row>
    <row r="670">
      <c r="A670" s="297" t="n"/>
      <c r="B670" s="96" t="n"/>
      <c r="C670" s="96" t="n"/>
      <c r="D670" s="97" t="n"/>
      <c r="E670" s="97" t="n"/>
      <c r="F670" s="98" t="n"/>
      <c r="G670" s="761" t="n"/>
      <c r="H670" s="98">
        <f>H669-G670</f>
        <v/>
      </c>
      <c r="I670" s="392" t="n"/>
      <c r="J670" s="392" t="n"/>
      <c r="K670" s="392" t="n"/>
      <c r="L670" s="392" t="n"/>
    </row>
    <row r="671" ht="15.75" customHeight="1" s="436" thickBot="1"/>
    <row r="672" ht="24" customHeight="1" s="436" thickBot="1">
      <c r="A672" s="745" t="inlineStr">
        <is>
          <t>Agosto</t>
        </is>
      </c>
      <c r="B672" s="737" t="n"/>
      <c r="C672" s="737" t="n"/>
      <c r="D672" s="737" t="n"/>
      <c r="E672" s="737" t="n"/>
      <c r="F672" s="737" t="n"/>
      <c r="G672" s="737" t="n"/>
      <c r="H672" s="737" t="n"/>
      <c r="I672" s="737" t="n"/>
      <c r="J672" s="737" t="n"/>
      <c r="K672" s="737" t="n"/>
      <c r="L672" s="736" t="n"/>
    </row>
    <row r="673" ht="24" customHeight="1" s="436" thickBot="1">
      <c r="A673" s="745" t="inlineStr">
        <is>
          <t xml:space="preserve">  PRÉ MISTURA -  Pão Doce 25 KG</t>
        </is>
      </c>
      <c r="B673" s="737" t="n"/>
      <c r="C673" s="737" t="n"/>
      <c r="D673" s="737" t="n"/>
      <c r="E673" s="737" t="n"/>
      <c r="F673" s="737" t="n"/>
      <c r="G673" s="737" t="n"/>
      <c r="H673" s="737" t="n"/>
      <c r="I673" s="737" t="n"/>
      <c r="J673" s="737" t="n"/>
      <c r="K673" s="737" t="n"/>
      <c r="L673" s="736" t="n"/>
    </row>
    <row r="674">
      <c r="A674" s="746" t="inlineStr">
        <is>
          <t>DATA</t>
        </is>
      </c>
      <c r="B674" s="3" t="inlineStr">
        <is>
          <t>N.F.</t>
        </is>
      </c>
      <c r="C674" s="3" t="inlineStr">
        <is>
          <t>TIPO</t>
        </is>
      </c>
      <c r="D674" s="3" t="inlineStr">
        <is>
          <t>PREÇO UNITÁRIO</t>
        </is>
      </c>
      <c r="E674" s="736" t="n"/>
      <c r="F674" s="3" t="inlineStr">
        <is>
          <t>QUANTIDADE / KG</t>
        </is>
      </c>
      <c r="G674" s="737" t="n"/>
      <c r="H674" s="736" t="n"/>
      <c r="I674" s="631" t="inlineStr">
        <is>
          <t>PREÇO</t>
        </is>
      </c>
      <c r="J674" s="631" t="inlineStr">
        <is>
          <t>VALORES</t>
        </is>
      </c>
      <c r="K674" s="737" t="n"/>
      <c r="L674" s="736" t="n"/>
    </row>
    <row r="675" ht="15.75" customHeight="1" s="436" thickBot="1">
      <c r="A675" s="703" t="n"/>
      <c r="B675" s="704" t="n"/>
      <c r="C675" s="704" t="n"/>
      <c r="D675" s="703" t="n"/>
      <c r="E675" s="701" t="n"/>
      <c r="F675" s="705" t="n"/>
      <c r="G675" s="706" t="n"/>
      <c r="H675" s="707" t="n"/>
      <c r="I675" s="704" t="n"/>
      <c r="J675" s="703" t="n"/>
      <c r="L675" s="701" t="n"/>
    </row>
    <row r="676" ht="15.75" customHeight="1" s="436" thickBot="1">
      <c r="A676" s="703" t="n"/>
      <c r="B676" s="704" t="n"/>
      <c r="C676" s="704" t="n"/>
      <c r="D676" s="705" t="n"/>
      <c r="E676" s="707" t="n"/>
      <c r="F676" s="3" t="inlineStr">
        <is>
          <t>ENTRADA</t>
        </is>
      </c>
      <c r="G676" s="3" t="inlineStr">
        <is>
          <t>SAÍDA</t>
        </is>
      </c>
      <c r="H676" s="640" t="n"/>
      <c r="I676" s="633" t="inlineStr">
        <is>
          <t>MÉDIO</t>
        </is>
      </c>
      <c r="J676" s="652" t="inlineStr">
        <is>
          <t>SALDO EM 30/12/2017</t>
        </is>
      </c>
      <c r="K676" s="706" t="n"/>
      <c r="L676" s="17" t="n"/>
    </row>
    <row r="677" ht="15.75" customHeight="1" s="436" thickBot="1">
      <c r="A677" s="705" t="n"/>
      <c r="B677" s="695" t="n"/>
      <c r="C677" s="695" t="n"/>
      <c r="D677" s="3" t="inlineStr">
        <is>
          <t>C/ICMS</t>
        </is>
      </c>
      <c r="E677" s="3" t="inlineStr">
        <is>
          <t>S/ICMS</t>
        </is>
      </c>
      <c r="F677" s="695" t="n"/>
      <c r="G677" s="695" t="n"/>
      <c r="H677" s="361" t="inlineStr">
        <is>
          <t>Saldo em 31/07/2022</t>
        </is>
      </c>
      <c r="I677" s="695" t="n"/>
      <c r="J677" s="645" t="inlineStr">
        <is>
          <t>ENTRADA</t>
        </is>
      </c>
      <c r="K677" s="633" t="inlineStr">
        <is>
          <t>SAÍDA / CMV</t>
        </is>
      </c>
      <c r="L677" s="633" t="inlineStr">
        <is>
          <t>SALDO</t>
        </is>
      </c>
    </row>
    <row r="678">
      <c r="A678" s="48" t="n"/>
      <c r="B678" s="49" t="n"/>
      <c r="C678" s="49" t="n"/>
      <c r="D678" s="71" t="n"/>
      <c r="E678" s="71" t="n"/>
      <c r="F678" s="55" t="n"/>
      <c r="G678" s="55" t="n"/>
      <c r="H678" s="98" t="n">
        <v>624</v>
      </c>
      <c r="I678" s="71" t="n"/>
      <c r="J678" s="747">
        <f>F678*I678</f>
        <v/>
      </c>
      <c r="K678" s="747" t="n"/>
      <c r="L678" s="748" t="n"/>
    </row>
    <row r="679">
      <c r="A679" s="297" t="n">
        <v>44775</v>
      </c>
      <c r="B679" s="96" t="inlineStr">
        <is>
          <t>9358</t>
        </is>
      </c>
      <c r="C679" s="96" t="inlineStr">
        <is>
          <t>106,5</t>
        </is>
      </c>
      <c r="D679" s="97" t="n"/>
      <c r="E679" s="97" t="n"/>
      <c r="F679" s="98" t="n"/>
      <c r="G679" s="761" t="n">
        <v>20</v>
      </c>
      <c r="H679" s="98">
        <f>H678-G679</f>
        <v/>
      </c>
      <c r="I679" s="392" t="n"/>
      <c r="J679" s="392" t="n"/>
      <c r="K679" s="392" t="n"/>
      <c r="L679" s="392" t="n"/>
    </row>
    <row r="680">
      <c r="A680" s="297" t="n">
        <v>44782</v>
      </c>
      <c r="B680" s="96" t="inlineStr">
        <is>
          <t>9377</t>
        </is>
      </c>
      <c r="C680" s="96" t="inlineStr">
        <is>
          <t>110</t>
        </is>
      </c>
      <c r="D680" s="97" t="n"/>
      <c r="E680" s="97" t="n"/>
      <c r="F680" s="98" t="n"/>
      <c r="G680" s="761" t="n">
        <v>30</v>
      </c>
      <c r="H680" s="98">
        <f>H679-G680</f>
        <v/>
      </c>
      <c r="I680" s="392" t="n"/>
      <c r="J680" s="392" t="n"/>
      <c r="K680" s="392" t="n"/>
      <c r="L680" s="392" t="n"/>
    </row>
    <row r="681">
      <c r="A681" s="297" t="n">
        <v>44783</v>
      </c>
      <c r="B681" s="96" t="inlineStr">
        <is>
          <t>9380</t>
        </is>
      </c>
      <c r="C681" s="96" t="inlineStr">
        <is>
          <t>104,33</t>
        </is>
      </c>
      <c r="D681" s="97" t="n"/>
      <c r="E681" s="97" t="n"/>
      <c r="F681" s="98" t="n"/>
      <c r="G681" s="761" t="n">
        <v>37</v>
      </c>
      <c r="H681" s="98">
        <f>H680-G681</f>
        <v/>
      </c>
      <c r="I681" s="392" t="n"/>
      <c r="J681" s="392" t="n"/>
      <c r="K681" s="392" t="n"/>
      <c r="L681" s="392" t="n"/>
    </row>
    <row r="682">
      <c r="A682" s="310" t="n">
        <v>44788</v>
      </c>
      <c r="B682" s="275" t="inlineStr">
        <is>
          <t>195251</t>
        </is>
      </c>
      <c r="C682" s="275" t="inlineStr">
        <is>
          <t>91</t>
        </is>
      </c>
      <c r="D682" s="276" t="n"/>
      <c r="E682" s="276" t="n"/>
      <c r="F682" s="277" t="n">
        <v>200</v>
      </c>
      <c r="G682" s="762" t="n"/>
      <c r="H682" s="277" t="n">
        <v>737</v>
      </c>
      <c r="I682" s="392" t="n"/>
      <c r="J682" s="392" t="n"/>
      <c r="K682" s="392" t="n"/>
      <c r="L682" s="392" t="n"/>
    </row>
    <row r="683">
      <c r="A683" s="297" t="n">
        <v>44790</v>
      </c>
      <c r="B683" s="96" t="inlineStr">
        <is>
          <t>9398</t>
        </is>
      </c>
      <c r="C683" s="96" t="inlineStr">
        <is>
          <t>106</t>
        </is>
      </c>
      <c r="D683" s="97" t="n"/>
      <c r="E683" s="97" t="n"/>
      <c r="F683" s="98" t="n"/>
      <c r="G683" s="761" t="n">
        <v>10</v>
      </c>
      <c r="H683" s="98">
        <f>H682-G683</f>
        <v/>
      </c>
      <c r="I683" s="392" t="n"/>
      <c r="J683" s="392" t="n"/>
      <c r="K683" s="392" t="n"/>
      <c r="L683" s="392" t="n"/>
    </row>
    <row r="684">
      <c r="A684" s="297" t="n">
        <v>44790</v>
      </c>
      <c r="B684" s="96" t="inlineStr">
        <is>
          <t>9400</t>
        </is>
      </c>
      <c r="C684" s="96" t="inlineStr">
        <is>
          <t>106,8</t>
        </is>
      </c>
      <c r="D684" s="97" t="n"/>
      <c r="E684" s="97" t="n"/>
      <c r="F684" s="98" t="n"/>
      <c r="G684" s="761" t="n">
        <v>37</v>
      </c>
      <c r="H684" s="98">
        <f>H683-G684</f>
        <v/>
      </c>
      <c r="I684" s="392" t="n"/>
      <c r="J684" s="392" t="n"/>
      <c r="K684" s="392" t="n"/>
      <c r="L684" s="392" t="n"/>
    </row>
    <row r="685">
      <c r="A685" s="297" t="n">
        <v>44790</v>
      </c>
      <c r="B685" s="96" t="inlineStr">
        <is>
          <t>9401</t>
        </is>
      </c>
      <c r="C685" s="96" t="inlineStr">
        <is>
          <t>105</t>
        </is>
      </c>
      <c r="D685" s="97" t="n"/>
      <c r="E685" s="97" t="n"/>
      <c r="F685" s="98" t="n"/>
      <c r="G685" s="761" t="n">
        <v>20</v>
      </c>
      <c r="H685" s="98">
        <f>H684-G685</f>
        <v/>
      </c>
      <c r="I685" s="392" t="n"/>
      <c r="J685" s="392" t="n"/>
      <c r="K685" s="392" t="n"/>
      <c r="L685" s="392" t="n"/>
    </row>
    <row r="686">
      <c r="A686" s="297" t="n">
        <v>44790</v>
      </c>
      <c r="B686" s="96" t="inlineStr">
        <is>
          <t>9409</t>
        </is>
      </c>
      <c r="C686" s="96" t="inlineStr">
        <is>
          <t>110</t>
        </is>
      </c>
      <c r="D686" s="97" t="n"/>
      <c r="E686" s="97" t="n"/>
      <c r="F686" s="98" t="n"/>
      <c r="G686" s="761" t="n">
        <v>15</v>
      </c>
      <c r="H686" s="98">
        <f>H685-G686</f>
        <v/>
      </c>
      <c r="I686" s="392" t="n"/>
      <c r="J686" s="392" t="n"/>
      <c r="K686" s="392" t="n"/>
      <c r="L686" s="392" t="n"/>
    </row>
    <row r="687">
      <c r="A687" s="297" t="n">
        <v>44795</v>
      </c>
      <c r="B687" s="96" t="inlineStr">
        <is>
          <t>9418</t>
        </is>
      </c>
      <c r="C687" s="96" t="inlineStr">
        <is>
          <t>110</t>
        </is>
      </c>
      <c r="D687" s="97" t="n"/>
      <c r="E687" s="97" t="n"/>
      <c r="F687" s="98" t="n"/>
      <c r="G687" s="761" t="n">
        <v>10</v>
      </c>
      <c r="H687" s="98">
        <f>H686-G687</f>
        <v/>
      </c>
      <c r="I687" s="392" t="n"/>
      <c r="J687" s="392" t="n"/>
      <c r="K687" s="392" t="n"/>
      <c r="L687" s="392" t="n"/>
    </row>
    <row r="688">
      <c r="A688" s="297" t="n">
        <v>44797</v>
      </c>
      <c r="B688" s="96" t="inlineStr">
        <is>
          <t>9422</t>
        </is>
      </c>
      <c r="C688" s="96" t="inlineStr">
        <is>
          <t>106,1</t>
        </is>
      </c>
      <c r="D688" s="97" t="n"/>
      <c r="E688" s="97" t="n"/>
      <c r="F688" s="98" t="n"/>
      <c r="G688" s="761" t="n">
        <v>18</v>
      </c>
      <c r="H688" s="98">
        <f>H687-G688</f>
        <v/>
      </c>
      <c r="I688" s="392" t="n"/>
      <c r="J688" s="392" t="n"/>
      <c r="K688" s="392" t="n"/>
      <c r="L688" s="392" t="n"/>
    </row>
    <row r="689">
      <c r="A689" s="297" t="n">
        <v>44797</v>
      </c>
      <c r="B689" s="96" t="inlineStr">
        <is>
          <t>9423</t>
        </is>
      </c>
      <c r="C689" s="96" t="inlineStr">
        <is>
          <t>104</t>
        </is>
      </c>
      <c r="D689" s="97" t="n"/>
      <c r="E689" s="97" t="n"/>
      <c r="F689" s="98" t="n"/>
      <c r="G689" s="761" t="n">
        <v>18</v>
      </c>
      <c r="H689" s="98">
        <f>H688-G689</f>
        <v/>
      </c>
      <c r="I689" s="392" t="n"/>
      <c r="J689" s="392" t="n"/>
      <c r="K689" s="392" t="n"/>
      <c r="L689" s="392" t="n"/>
    </row>
    <row r="690">
      <c r="A690" s="297" t="n">
        <v>44797</v>
      </c>
      <c r="B690" s="96" t="inlineStr">
        <is>
          <t>9424</t>
        </is>
      </c>
      <c r="C690" s="96" t="inlineStr">
        <is>
          <t>105,33</t>
        </is>
      </c>
      <c r="D690" s="97" t="n"/>
      <c r="E690" s="97" t="n"/>
      <c r="F690" s="98" t="n"/>
      <c r="G690" s="761" t="n">
        <v>15</v>
      </c>
      <c r="H690" s="98">
        <f>H689-G690</f>
        <v/>
      </c>
      <c r="I690" s="392" t="n"/>
      <c r="J690" s="392" t="n"/>
      <c r="K690" s="392" t="n"/>
      <c r="L690" s="392" t="n"/>
    </row>
    <row r="691">
      <c r="A691" s="297" t="n">
        <v>44797</v>
      </c>
      <c r="B691" s="96" t="inlineStr">
        <is>
          <t>9425</t>
        </is>
      </c>
      <c r="C691" s="96" t="inlineStr">
        <is>
          <t>104,35</t>
        </is>
      </c>
      <c r="D691" s="97" t="n"/>
      <c r="E691" s="97" t="n"/>
      <c r="F691" s="98" t="n"/>
      <c r="G691" s="761" t="n">
        <v>37</v>
      </c>
      <c r="H691" s="98">
        <f>H690-G691</f>
        <v/>
      </c>
      <c r="I691" s="392" t="n"/>
      <c r="J691" s="392" t="n"/>
      <c r="K691" s="392" t="n"/>
      <c r="L691" s="392" t="n"/>
    </row>
    <row r="692">
      <c r="A692" s="297" t="n">
        <v>44797</v>
      </c>
      <c r="B692" s="96" t="inlineStr">
        <is>
          <t>9427</t>
        </is>
      </c>
      <c r="C692" s="96" t="inlineStr">
        <is>
          <t>103</t>
        </is>
      </c>
      <c r="D692" s="97" t="n"/>
      <c r="E692" s="97" t="n"/>
      <c r="F692" s="98" t="n"/>
      <c r="G692" s="761" t="n">
        <v>30</v>
      </c>
      <c r="H692" s="98">
        <f>H691-G692</f>
        <v/>
      </c>
      <c r="I692" s="392" t="n"/>
      <c r="J692" s="392" t="n"/>
      <c r="K692" s="392" t="n"/>
      <c r="L692" s="392" t="n"/>
    </row>
    <row r="693">
      <c r="A693" s="297" t="n">
        <v>44797</v>
      </c>
      <c r="B693" s="96" t="inlineStr">
        <is>
          <t>9429</t>
        </is>
      </c>
      <c r="C693" s="96" t="inlineStr">
        <is>
          <t>103</t>
        </is>
      </c>
      <c r="D693" s="97" t="n"/>
      <c r="E693" s="97" t="n"/>
      <c r="F693" s="98" t="n"/>
      <c r="G693" s="761" t="n">
        <v>40</v>
      </c>
      <c r="H693" s="98">
        <f>H692-G693</f>
        <v/>
      </c>
      <c r="I693" s="392" t="n"/>
      <c r="J693" s="392" t="n"/>
      <c r="K693" s="392" t="n"/>
      <c r="L693" s="392" t="n"/>
    </row>
    <row r="694">
      <c r="A694" s="310" t="n">
        <v>44803</v>
      </c>
      <c r="B694" s="275" t="inlineStr">
        <is>
          <t>196107</t>
        </is>
      </c>
      <c r="C694" s="275" t="inlineStr">
        <is>
          <t>91</t>
        </is>
      </c>
      <c r="D694" s="276" t="n"/>
      <c r="E694" s="276" t="n">
        <v>150</v>
      </c>
      <c r="F694" s="277" t="n"/>
      <c r="G694" s="762" t="n"/>
      <c r="H694" s="277" t="n">
        <v>637</v>
      </c>
      <c r="I694" s="392" t="n"/>
      <c r="J694" s="392" t="n"/>
      <c r="K694" s="392" t="n"/>
      <c r="L694" s="392" t="n"/>
    </row>
    <row r="695">
      <c r="A695" s="297" t="n">
        <v>44804</v>
      </c>
      <c r="B695" s="96" t="inlineStr">
        <is>
          <t>9452</t>
        </is>
      </c>
      <c r="C695" s="96" t="inlineStr">
        <is>
          <t>110</t>
        </is>
      </c>
      <c r="D695" s="97" t="n"/>
      <c r="E695" s="97" t="n"/>
      <c r="F695" s="98" t="n"/>
      <c r="G695" s="761" t="n">
        <v>10</v>
      </c>
      <c r="H695" s="98">
        <f>H694-G695</f>
        <v/>
      </c>
      <c r="I695" s="392" t="n"/>
      <c r="J695" s="392" t="n"/>
      <c r="K695" s="392" t="n"/>
      <c r="L695" s="392" t="n"/>
    </row>
    <row r="696">
      <c r="A696" s="297" t="n">
        <v>44804</v>
      </c>
      <c r="B696" s="96" t="inlineStr">
        <is>
          <t>9455</t>
        </is>
      </c>
      <c r="C696" s="96" t="inlineStr">
        <is>
          <t>110</t>
        </is>
      </c>
      <c r="D696" s="97" t="n"/>
      <c r="E696" s="97" t="n"/>
      <c r="F696" s="98" t="n"/>
      <c r="G696" s="761" t="n">
        <v>10</v>
      </c>
      <c r="H696" s="98">
        <f>H695-G696</f>
        <v/>
      </c>
      <c r="I696" s="392" t="n"/>
      <c r="J696" s="392" t="n"/>
      <c r="K696" s="392" t="n"/>
      <c r="L696" s="392" t="n"/>
    </row>
    <row r="697" ht="15.75" customHeight="1" s="436" thickBot="1"/>
    <row r="698" ht="24" customHeight="1" s="436" thickBot="1">
      <c r="A698" s="745" t="inlineStr">
        <is>
          <t>Setembro</t>
        </is>
      </c>
      <c r="B698" s="737" t="n"/>
      <c r="C698" s="737" t="n"/>
      <c r="D698" s="737" t="n"/>
      <c r="E698" s="737" t="n"/>
      <c r="F698" s="737" t="n"/>
      <c r="G698" s="737" t="n"/>
      <c r="H698" s="737" t="n"/>
      <c r="I698" s="737" t="n"/>
      <c r="J698" s="737" t="n"/>
      <c r="K698" s="737" t="n"/>
      <c r="L698" s="736" t="n"/>
    </row>
    <row r="699" ht="24" customHeight="1" s="436" thickBot="1">
      <c r="A699" s="745" t="inlineStr">
        <is>
          <t xml:space="preserve">  PRÉ MISTURA -  Pão Doce 25 KG</t>
        </is>
      </c>
      <c r="B699" s="737" t="n"/>
      <c r="C699" s="737" t="n"/>
      <c r="D699" s="737" t="n"/>
      <c r="E699" s="737" t="n"/>
      <c r="F699" s="737" t="n"/>
      <c r="G699" s="737" t="n"/>
      <c r="H699" s="737" t="n"/>
      <c r="I699" s="737" t="n"/>
      <c r="J699" s="737" t="n"/>
      <c r="K699" s="737" t="n"/>
      <c r="L699" s="736" t="n"/>
    </row>
    <row r="700">
      <c r="A700" s="746" t="inlineStr">
        <is>
          <t>DATA</t>
        </is>
      </c>
      <c r="B700" s="3" t="inlineStr">
        <is>
          <t>N.F.</t>
        </is>
      </c>
      <c r="C700" s="3" t="inlineStr">
        <is>
          <t>TIPO</t>
        </is>
      </c>
      <c r="D700" s="3" t="inlineStr">
        <is>
          <t>PREÇO UNITÁRIO</t>
        </is>
      </c>
      <c r="E700" s="736" t="n"/>
      <c r="F700" s="3" t="inlineStr">
        <is>
          <t>QUANTIDADE / KG</t>
        </is>
      </c>
      <c r="G700" s="737" t="n"/>
      <c r="H700" s="736" t="n"/>
      <c r="I700" s="631" t="inlineStr">
        <is>
          <t>PREÇO</t>
        </is>
      </c>
      <c r="J700" s="631" t="inlineStr">
        <is>
          <t>VALORES</t>
        </is>
      </c>
      <c r="K700" s="737" t="n"/>
      <c r="L700" s="736" t="n"/>
    </row>
    <row r="701" ht="15.75" customHeight="1" s="436" thickBot="1">
      <c r="A701" s="703" t="n"/>
      <c r="B701" s="704" t="n"/>
      <c r="C701" s="704" t="n"/>
      <c r="D701" s="703" t="n"/>
      <c r="E701" s="701" t="n"/>
      <c r="F701" s="705" t="n"/>
      <c r="G701" s="706" t="n"/>
      <c r="H701" s="707" t="n"/>
      <c r="I701" s="704" t="n"/>
      <c r="J701" s="703" t="n"/>
      <c r="L701" s="701" t="n"/>
    </row>
    <row r="702" ht="15.75" customHeight="1" s="436" thickBot="1">
      <c r="A702" s="703" t="n"/>
      <c r="B702" s="704" t="n"/>
      <c r="C702" s="704" t="n"/>
      <c r="D702" s="705" t="n"/>
      <c r="E702" s="707" t="n"/>
      <c r="F702" s="3" t="inlineStr">
        <is>
          <t>ENTRADA</t>
        </is>
      </c>
      <c r="G702" s="3" t="inlineStr">
        <is>
          <t>SAÍDA</t>
        </is>
      </c>
      <c r="H702" s="640" t="n"/>
      <c r="I702" s="633" t="inlineStr">
        <is>
          <t>MÉDIO</t>
        </is>
      </c>
      <c r="J702" s="652" t="inlineStr">
        <is>
          <t>SALDO EM 30/12/2017</t>
        </is>
      </c>
      <c r="K702" s="706" t="n"/>
      <c r="L702" s="17" t="n"/>
    </row>
    <row r="703" ht="15.75" customHeight="1" s="436" thickBot="1">
      <c r="A703" s="705" t="n"/>
      <c r="B703" s="695" t="n"/>
      <c r="C703" s="695" t="n"/>
      <c r="D703" s="3" t="inlineStr">
        <is>
          <t>C/ICMS</t>
        </is>
      </c>
      <c r="E703" s="3" t="inlineStr">
        <is>
          <t>S/ICMS</t>
        </is>
      </c>
      <c r="F703" s="695" t="n"/>
      <c r="G703" s="695" t="n"/>
      <c r="H703" s="361" t="inlineStr">
        <is>
          <t>Saldo em 31/08/2022</t>
        </is>
      </c>
      <c r="I703" s="695" t="n"/>
      <c r="J703" s="645" t="inlineStr">
        <is>
          <t>ENTRADA</t>
        </is>
      </c>
      <c r="K703" s="633" t="inlineStr">
        <is>
          <t>SAÍDA / CMV</t>
        </is>
      </c>
      <c r="L703" s="633" t="inlineStr">
        <is>
          <t>SALDO</t>
        </is>
      </c>
    </row>
    <row r="704">
      <c r="A704" s="48" t="n"/>
      <c r="B704" s="49" t="n"/>
      <c r="C704" s="49" t="n"/>
      <c r="D704" s="71" t="n"/>
      <c r="E704" s="71" t="n"/>
      <c r="F704" s="55" t="n"/>
      <c r="G704" s="55" t="n"/>
      <c r="H704" s="98" t="n">
        <v>617</v>
      </c>
      <c r="I704" s="71" t="n"/>
      <c r="J704" s="747">
        <f>F704*I704</f>
        <v/>
      </c>
      <c r="K704" s="747" t="n"/>
      <c r="L704" s="748" t="n"/>
    </row>
    <row r="705">
      <c r="A705" s="297" t="n">
        <v>44805</v>
      </c>
      <c r="B705" s="96" t="inlineStr">
        <is>
          <t>9456</t>
        </is>
      </c>
      <c r="C705" s="96" t="inlineStr">
        <is>
          <t>107</t>
        </is>
      </c>
      <c r="D705" s="97" t="n"/>
      <c r="E705" s="97" t="n"/>
      <c r="F705" s="98" t="n"/>
      <c r="G705" s="761" t="n">
        <v>15</v>
      </c>
      <c r="H705" s="98">
        <f>H704-G705</f>
        <v/>
      </c>
      <c r="I705" s="392" t="n"/>
      <c r="J705" s="392" t="n"/>
      <c r="K705" s="392" t="n"/>
      <c r="L705" s="392" t="n"/>
    </row>
    <row r="706">
      <c r="A706" s="297" t="n">
        <v>44805</v>
      </c>
      <c r="B706" s="96" t="inlineStr">
        <is>
          <t>9457</t>
        </is>
      </c>
      <c r="C706" s="96" t="inlineStr">
        <is>
          <t>107</t>
        </is>
      </c>
      <c r="D706" s="97" t="n"/>
      <c r="E706" s="97" t="n"/>
      <c r="F706" s="98" t="n"/>
      <c r="G706" s="761" t="n">
        <v>20</v>
      </c>
      <c r="H706" s="98">
        <f>H705-G706</f>
        <v/>
      </c>
      <c r="I706" s="392" t="n"/>
      <c r="J706" s="392" t="n"/>
      <c r="K706" s="392" t="n"/>
      <c r="L706" s="392" t="n"/>
    </row>
    <row r="707">
      <c r="A707" s="297" t="n">
        <v>44809</v>
      </c>
      <c r="B707" s="96" t="inlineStr">
        <is>
          <t>9463</t>
        </is>
      </c>
      <c r="C707" s="96" t="inlineStr">
        <is>
          <t>102,8</t>
        </is>
      </c>
      <c r="D707" s="97" t="n"/>
      <c r="E707" s="97" t="n"/>
      <c r="F707" s="98" t="n"/>
      <c r="G707" s="761" t="n">
        <v>24</v>
      </c>
      <c r="H707" s="98">
        <f>H706-G707</f>
        <v/>
      </c>
      <c r="I707" s="392" t="n"/>
      <c r="J707" s="392" t="n"/>
      <c r="K707" s="392" t="n"/>
      <c r="L707" s="392" t="n"/>
    </row>
    <row r="708">
      <c r="A708" s="297" t="n">
        <v>44809</v>
      </c>
      <c r="B708" s="96" t="inlineStr">
        <is>
          <t>9464</t>
        </is>
      </c>
      <c r="C708" s="96" t="inlineStr">
        <is>
          <t>102,8</t>
        </is>
      </c>
      <c r="D708" s="97" t="n"/>
      <c r="E708" s="97" t="n"/>
      <c r="F708" s="98" t="n"/>
      <c r="G708" s="761" t="n">
        <v>20</v>
      </c>
      <c r="H708" s="98">
        <f>H707-G708</f>
        <v/>
      </c>
      <c r="I708" s="392" t="n"/>
      <c r="J708" s="392" t="n"/>
      <c r="K708" s="392" t="n"/>
      <c r="L708" s="392" t="n"/>
    </row>
    <row r="709">
      <c r="A709" s="297" t="n">
        <v>44809</v>
      </c>
      <c r="B709" s="96" t="inlineStr">
        <is>
          <t>9465</t>
        </is>
      </c>
      <c r="C709" s="96" t="inlineStr">
        <is>
          <t>100,7</t>
        </is>
      </c>
      <c r="D709" s="97" t="n"/>
      <c r="E709" s="97" t="n"/>
      <c r="F709" s="98" t="n"/>
      <c r="G709" s="761" t="n">
        <v>50</v>
      </c>
      <c r="H709" s="98">
        <f>H708-G709</f>
        <v/>
      </c>
      <c r="I709" s="392" t="n"/>
      <c r="J709" s="392" t="n"/>
      <c r="K709" s="392" t="n"/>
      <c r="L709" s="392" t="n"/>
    </row>
    <row r="710">
      <c r="A710" s="297" t="n">
        <v>44811</v>
      </c>
      <c r="B710" s="96" t="inlineStr">
        <is>
          <t>9468</t>
        </is>
      </c>
      <c r="C710" s="96" t="inlineStr">
        <is>
          <t>107</t>
        </is>
      </c>
      <c r="D710" s="97" t="n"/>
      <c r="E710" s="97" t="n"/>
      <c r="F710" s="98" t="n"/>
      <c r="G710" s="761" t="n">
        <v>20</v>
      </c>
      <c r="H710" s="98">
        <f>H709-G710</f>
        <v/>
      </c>
      <c r="I710" s="392" t="n"/>
      <c r="J710" s="392" t="n"/>
      <c r="K710" s="392" t="n"/>
      <c r="L710" s="392" t="n"/>
    </row>
    <row r="711">
      <c r="A711" s="297" t="n">
        <v>44811</v>
      </c>
      <c r="B711" s="96" t="inlineStr">
        <is>
          <t>9472</t>
        </is>
      </c>
      <c r="C711" s="96" t="inlineStr">
        <is>
          <t>105</t>
        </is>
      </c>
      <c r="D711" s="97" t="n"/>
      <c r="E711" s="97" t="n"/>
      <c r="F711" s="98" t="n"/>
      <c r="G711" s="761" t="n">
        <v>10</v>
      </c>
      <c r="H711" s="98">
        <f>H710-G711</f>
        <v/>
      </c>
      <c r="I711" s="392" t="n"/>
      <c r="J711" s="392" t="n"/>
      <c r="K711" s="392" t="n"/>
      <c r="L711" s="392" t="n"/>
    </row>
    <row r="712">
      <c r="A712" s="297" t="n">
        <v>44811</v>
      </c>
      <c r="B712" s="96" t="inlineStr">
        <is>
          <t>9476</t>
        </is>
      </c>
      <c r="C712" s="96" t="inlineStr">
        <is>
          <t>107</t>
        </is>
      </c>
      <c r="D712" s="97" t="n"/>
      <c r="E712" s="97" t="n"/>
      <c r="F712" s="98" t="n"/>
      <c r="G712" s="761" t="n">
        <v>10</v>
      </c>
      <c r="H712" s="98">
        <f>H711-G712</f>
        <v/>
      </c>
      <c r="I712" s="392" t="n"/>
      <c r="J712" s="392" t="n"/>
      <c r="K712" s="392" t="n"/>
      <c r="L712" s="392" t="n"/>
    </row>
    <row r="713">
      <c r="A713" s="297" t="n">
        <v>44818</v>
      </c>
      <c r="B713" s="96" t="inlineStr">
        <is>
          <t>9497</t>
        </is>
      </c>
      <c r="C713" s="96" t="inlineStr">
        <is>
          <t>107</t>
        </is>
      </c>
      <c r="D713" s="97" t="n"/>
      <c r="E713" s="97" t="n"/>
      <c r="F713" s="98" t="n"/>
      <c r="G713" s="761" t="n">
        <v>10</v>
      </c>
      <c r="H713" s="98">
        <f>H712-G713</f>
        <v/>
      </c>
      <c r="I713" s="392" t="n"/>
      <c r="J713" s="392" t="n"/>
      <c r="K713" s="392" t="n"/>
      <c r="L713" s="392" t="n"/>
    </row>
    <row r="714">
      <c r="A714" s="310" t="n">
        <v>44824</v>
      </c>
      <c r="B714" s="275" t="inlineStr">
        <is>
          <t>197551</t>
        </is>
      </c>
      <c r="C714" s="275" t="inlineStr">
        <is>
          <t>89</t>
        </is>
      </c>
      <c r="D714" s="276" t="n"/>
      <c r="E714" s="276" t="n"/>
      <c r="F714" s="277" t="n">
        <v>150</v>
      </c>
      <c r="G714" s="762" t="n"/>
      <c r="H714" s="277" t="n">
        <v>588</v>
      </c>
      <c r="I714" s="392" t="n"/>
      <c r="J714" s="392" t="n"/>
      <c r="K714" s="392" t="n"/>
      <c r="L714" s="392" t="n"/>
    </row>
    <row r="715">
      <c r="A715" s="297" t="n">
        <v>44824</v>
      </c>
      <c r="B715" s="96" t="inlineStr">
        <is>
          <t>9505</t>
        </is>
      </c>
      <c r="C715" s="96" t="inlineStr">
        <is>
          <t>107</t>
        </is>
      </c>
      <c r="D715" s="97" t="n"/>
      <c r="E715" s="97" t="n"/>
      <c r="F715" s="98" t="n"/>
      <c r="G715" s="761" t="n">
        <v>10</v>
      </c>
      <c r="H715" s="98">
        <f>H714-G715</f>
        <v/>
      </c>
      <c r="I715" s="392" t="n"/>
      <c r="J715" s="392" t="n"/>
      <c r="K715" s="392" t="n"/>
      <c r="L715" s="392" t="n"/>
    </row>
    <row r="716">
      <c r="A716" s="297" t="n">
        <v>44824</v>
      </c>
      <c r="B716" s="96" t="inlineStr">
        <is>
          <t>9510</t>
        </is>
      </c>
      <c r="C716" s="96" t="inlineStr">
        <is>
          <t>105</t>
        </is>
      </c>
      <c r="D716" s="97" t="n"/>
      <c r="E716" s="97" t="n"/>
      <c r="F716" s="98" t="n"/>
      <c r="G716" s="761" t="n">
        <v>10</v>
      </c>
      <c r="H716" s="98">
        <f>H715-G716</f>
        <v/>
      </c>
      <c r="I716" s="392" t="n"/>
      <c r="J716" s="392" t="n"/>
      <c r="K716" s="392" t="n"/>
      <c r="L716" s="392" t="n"/>
    </row>
    <row r="717">
      <c r="A717" s="297" t="n">
        <v>44824</v>
      </c>
      <c r="B717" s="96" t="inlineStr">
        <is>
          <t>9511</t>
        </is>
      </c>
      <c r="C717" s="96" t="inlineStr">
        <is>
          <t>107</t>
        </is>
      </c>
      <c r="D717" s="97" t="n"/>
      <c r="E717" s="97" t="n"/>
      <c r="F717" s="98" t="n"/>
      <c r="G717" s="761" t="n">
        <v>20</v>
      </c>
      <c r="H717" s="98">
        <f>H716-G717</f>
        <v/>
      </c>
      <c r="I717" s="392" t="n"/>
      <c r="J717" s="392" t="n"/>
      <c r="K717" s="392" t="n"/>
      <c r="L717" s="392" t="n"/>
    </row>
    <row r="718">
      <c r="A718" s="297" t="n">
        <v>44824</v>
      </c>
      <c r="B718" s="96" t="inlineStr">
        <is>
          <t>9513</t>
        </is>
      </c>
      <c r="C718" s="96" t="inlineStr">
        <is>
          <t>103,5</t>
        </is>
      </c>
      <c r="D718" s="97" t="n"/>
      <c r="E718" s="97" t="n"/>
      <c r="F718" s="98" t="n"/>
      <c r="G718" s="761" t="n">
        <v>20</v>
      </c>
      <c r="H718" s="98">
        <f>H717-G718</f>
        <v/>
      </c>
      <c r="I718" s="392" t="n"/>
      <c r="J718" s="392" t="n"/>
      <c r="K718" s="392" t="n"/>
      <c r="L718" s="392" t="n"/>
    </row>
    <row r="719">
      <c r="A719" s="297" t="n">
        <v>44824</v>
      </c>
      <c r="B719" s="96" t="inlineStr">
        <is>
          <t>9514</t>
        </is>
      </c>
      <c r="C719" s="96" t="inlineStr">
        <is>
          <t>107</t>
        </is>
      </c>
      <c r="D719" s="97" t="n"/>
      <c r="E719" s="97" t="n"/>
      <c r="F719" s="98" t="n"/>
      <c r="G719" s="761" t="n">
        <v>10</v>
      </c>
      <c r="H719" s="98">
        <f>H718-G719</f>
        <v/>
      </c>
      <c r="I719" s="392" t="n"/>
      <c r="J719" s="392" t="n"/>
      <c r="K719" s="392" t="n"/>
      <c r="L719" s="392" t="n"/>
    </row>
    <row r="720">
      <c r="A720" s="297" t="n">
        <v>44824</v>
      </c>
      <c r="B720" s="96" t="inlineStr">
        <is>
          <t>9518</t>
        </is>
      </c>
      <c r="C720" s="96" t="inlineStr">
        <is>
          <t>101</t>
        </is>
      </c>
      <c r="D720" s="97" t="n"/>
      <c r="E720" s="97" t="n"/>
      <c r="F720" s="98" t="n"/>
      <c r="G720" s="761" t="n">
        <v>20</v>
      </c>
      <c r="H720" s="98">
        <f>H719-G720</f>
        <v/>
      </c>
      <c r="I720" s="392" t="n"/>
      <c r="J720" s="392" t="n"/>
      <c r="K720" s="392" t="n"/>
      <c r="L720" s="392" t="n"/>
    </row>
    <row r="721">
      <c r="A721" s="297" t="n">
        <v>44825</v>
      </c>
      <c r="B721" s="96" t="inlineStr">
        <is>
          <t>9520</t>
        </is>
      </c>
      <c r="C721" s="96" t="inlineStr">
        <is>
          <t>100</t>
        </is>
      </c>
      <c r="D721" s="97" t="n"/>
      <c r="E721" s="97" t="n"/>
      <c r="F721" s="98" t="n"/>
      <c r="G721" s="761" t="n">
        <v>20</v>
      </c>
      <c r="H721" s="98">
        <f>H720-G721</f>
        <v/>
      </c>
      <c r="I721" s="392" t="n"/>
      <c r="J721" s="392" t="n"/>
      <c r="K721" s="392" t="n"/>
      <c r="L721" s="392" t="n"/>
    </row>
    <row r="722">
      <c r="A722" s="297" t="n">
        <v>44832</v>
      </c>
      <c r="B722" s="96" t="inlineStr">
        <is>
          <t>9536</t>
        </is>
      </c>
      <c r="C722" s="96" t="inlineStr">
        <is>
          <t>101,1</t>
        </is>
      </c>
      <c r="D722" s="97" t="n"/>
      <c r="E722" s="97" t="n"/>
      <c r="F722" s="98" t="n"/>
      <c r="G722" s="761" t="n">
        <v>100</v>
      </c>
      <c r="H722" s="98">
        <f>H721-G722</f>
        <v/>
      </c>
      <c r="I722" s="392" t="n"/>
      <c r="J722" s="392" t="n"/>
      <c r="K722" s="392" t="n"/>
      <c r="L722" s="392" t="n"/>
    </row>
    <row r="723" ht="15.75" customHeight="1" s="436" thickBot="1"/>
    <row r="724" ht="24" customHeight="1" s="436" thickBot="1">
      <c r="A724" s="745" t="inlineStr">
        <is>
          <t>Outubro</t>
        </is>
      </c>
      <c r="B724" s="737" t="n"/>
      <c r="C724" s="737" t="n"/>
      <c r="D724" s="737" t="n"/>
      <c r="E724" s="737" t="n"/>
      <c r="F724" s="737" t="n"/>
      <c r="G724" s="737" t="n"/>
      <c r="H724" s="737" t="n"/>
      <c r="I724" s="737" t="n"/>
      <c r="J724" s="737" t="n"/>
      <c r="K724" s="737" t="n"/>
      <c r="L724" s="736" t="n"/>
    </row>
    <row r="725" ht="24" customHeight="1" s="436" thickBot="1">
      <c r="A725" s="745" t="inlineStr">
        <is>
          <t xml:space="preserve">  PRÉ MISTURA -  Pão Doce 25 KG</t>
        </is>
      </c>
      <c r="B725" s="737" t="n"/>
      <c r="C725" s="737" t="n"/>
      <c r="D725" s="737" t="n"/>
      <c r="E725" s="737" t="n"/>
      <c r="F725" s="737" t="n"/>
      <c r="G725" s="737" t="n"/>
      <c r="H725" s="737" t="n"/>
      <c r="I725" s="737" t="n"/>
      <c r="J725" s="737" t="n"/>
      <c r="K725" s="737" t="n"/>
      <c r="L725" s="736" t="n"/>
    </row>
    <row r="726">
      <c r="A726" s="746" t="inlineStr">
        <is>
          <t>DATA</t>
        </is>
      </c>
      <c r="B726" s="3" t="inlineStr">
        <is>
          <t>N.F.</t>
        </is>
      </c>
      <c r="C726" s="3" t="inlineStr">
        <is>
          <t>TIPO</t>
        </is>
      </c>
      <c r="D726" s="3" t="inlineStr">
        <is>
          <t>PREÇO UNITÁRIO</t>
        </is>
      </c>
      <c r="E726" s="736" t="n"/>
      <c r="F726" s="3" t="inlineStr">
        <is>
          <t>QUANTIDADE / KG</t>
        </is>
      </c>
      <c r="G726" s="737" t="n"/>
      <c r="H726" s="736" t="n"/>
      <c r="I726" s="631" t="inlineStr">
        <is>
          <t>PREÇO</t>
        </is>
      </c>
      <c r="J726" s="631" t="inlineStr">
        <is>
          <t>VALORES</t>
        </is>
      </c>
      <c r="K726" s="737" t="n"/>
      <c r="L726" s="736" t="n"/>
    </row>
    <row r="727" ht="15.75" customHeight="1" s="436" thickBot="1">
      <c r="A727" s="703" t="n"/>
      <c r="B727" s="704" t="n"/>
      <c r="C727" s="704" t="n"/>
      <c r="D727" s="703" t="n"/>
      <c r="E727" s="701" t="n"/>
      <c r="F727" s="705" t="n"/>
      <c r="G727" s="706" t="n"/>
      <c r="H727" s="707" t="n"/>
      <c r="I727" s="704" t="n"/>
      <c r="J727" s="703" t="n"/>
      <c r="L727" s="701" t="n"/>
    </row>
    <row r="728" ht="15.75" customHeight="1" s="436" thickBot="1">
      <c r="A728" s="703" t="n"/>
      <c r="B728" s="704" t="n"/>
      <c r="C728" s="704" t="n"/>
      <c r="D728" s="705" t="n"/>
      <c r="E728" s="707" t="n"/>
      <c r="F728" s="3" t="inlineStr">
        <is>
          <t>ENTRADA</t>
        </is>
      </c>
      <c r="G728" s="3" t="inlineStr">
        <is>
          <t>SAÍDA</t>
        </is>
      </c>
      <c r="H728" s="640" t="n"/>
      <c r="I728" s="633" t="inlineStr">
        <is>
          <t>MÉDIO</t>
        </is>
      </c>
      <c r="J728" s="652" t="inlineStr">
        <is>
          <t>SALDO EM 30/12/2017</t>
        </is>
      </c>
      <c r="K728" s="706" t="n"/>
      <c r="L728" s="17" t="n"/>
    </row>
    <row r="729" ht="15.75" customHeight="1" s="436" thickBot="1">
      <c r="A729" s="705" t="n"/>
      <c r="B729" s="695" t="n"/>
      <c r="C729" s="695" t="n"/>
      <c r="D729" s="3" t="inlineStr">
        <is>
          <t>C/ICMS</t>
        </is>
      </c>
      <c r="E729" s="3" t="inlineStr">
        <is>
          <t>S/ICMS</t>
        </is>
      </c>
      <c r="F729" s="695" t="n"/>
      <c r="G729" s="695" t="n"/>
      <c r="H729" s="361" t="inlineStr">
        <is>
          <t>Saldo em 30/09/2022</t>
        </is>
      </c>
      <c r="I729" s="695" t="n"/>
      <c r="J729" s="645" t="inlineStr">
        <is>
          <t>ENTRADA</t>
        </is>
      </c>
      <c r="K729" s="633" t="inlineStr">
        <is>
          <t>SAÍDA / CMV</t>
        </is>
      </c>
      <c r="L729" s="633" t="inlineStr">
        <is>
          <t>SALDO</t>
        </is>
      </c>
    </row>
    <row r="730">
      <c r="A730" s="48" t="n"/>
      <c r="B730" s="49" t="n"/>
      <c r="C730" s="49" t="n"/>
      <c r="D730" s="71" t="n"/>
      <c r="E730" s="71" t="n"/>
      <c r="F730" s="55" t="n"/>
      <c r="G730" s="55" t="n"/>
      <c r="H730" s="98" t="n">
        <v>378</v>
      </c>
      <c r="I730" s="71" t="n"/>
      <c r="J730" s="747">
        <f>F730*I730</f>
        <v/>
      </c>
      <c r="K730" s="747" t="n"/>
      <c r="L730" s="748" t="n"/>
    </row>
    <row r="731">
      <c r="A731" s="297" t="n">
        <v>44837</v>
      </c>
      <c r="B731" s="96" t="inlineStr">
        <is>
          <t>9544</t>
        </is>
      </c>
      <c r="C731" s="96" t="inlineStr">
        <is>
          <t>100</t>
        </is>
      </c>
      <c r="D731" s="97" t="n"/>
      <c r="E731" s="97" t="n"/>
      <c r="F731" s="98" t="n"/>
      <c r="G731" s="761" t="n">
        <v>100</v>
      </c>
      <c r="H731" s="98">
        <f>H730-G731</f>
        <v/>
      </c>
      <c r="I731" s="392" t="n"/>
      <c r="J731" s="392" t="n"/>
      <c r="K731" s="392" t="n"/>
      <c r="L731" s="392" t="n"/>
    </row>
    <row r="732">
      <c r="A732" s="297" t="n">
        <v>44837</v>
      </c>
      <c r="B732" s="96" t="inlineStr">
        <is>
          <t>9548</t>
        </is>
      </c>
      <c r="C732" s="96" t="inlineStr">
        <is>
          <t>107</t>
        </is>
      </c>
      <c r="D732" s="97" t="n"/>
      <c r="E732" s="97" t="n"/>
      <c r="F732" s="98" t="n"/>
      <c r="G732" s="761" t="n">
        <v>10</v>
      </c>
      <c r="H732" s="98">
        <f>H731-G732</f>
        <v/>
      </c>
      <c r="I732" s="392" t="n"/>
      <c r="J732" s="392" t="n"/>
      <c r="K732" s="392" t="n"/>
      <c r="L732" s="392" t="n"/>
    </row>
    <row r="733">
      <c r="A733" s="297" t="n">
        <v>44837</v>
      </c>
      <c r="B733" s="96" t="inlineStr">
        <is>
          <t>9549</t>
        </is>
      </c>
      <c r="C733" s="96" t="inlineStr">
        <is>
          <t>100</t>
        </is>
      </c>
      <c r="D733" s="97" t="n"/>
      <c r="E733" s="97" t="n"/>
      <c r="F733" s="98" t="n"/>
      <c r="G733" s="761" t="n">
        <v>100</v>
      </c>
      <c r="H733" s="98">
        <f>H732-G733</f>
        <v/>
      </c>
      <c r="I733" s="392" t="n"/>
      <c r="J733" s="392" t="n"/>
      <c r="K733" s="392" t="n"/>
      <c r="L733" s="392" t="n"/>
    </row>
    <row r="734">
      <c r="A734" s="297" t="n">
        <v>44839</v>
      </c>
      <c r="B734" s="96" t="inlineStr">
        <is>
          <t>9554</t>
        </is>
      </c>
      <c r="C734" s="96" t="inlineStr">
        <is>
          <t>107</t>
        </is>
      </c>
      <c r="D734" s="97" t="n"/>
      <c r="E734" s="97" t="n"/>
      <c r="F734" s="98" t="n"/>
      <c r="G734" s="761" t="n">
        <v>20</v>
      </c>
      <c r="H734" s="98">
        <f>H733-G734</f>
        <v/>
      </c>
      <c r="I734" s="392" t="n"/>
      <c r="J734" s="392" t="n"/>
      <c r="K734" s="392" t="n"/>
      <c r="L734" s="392" t="n"/>
    </row>
    <row r="735">
      <c r="A735" s="297" t="n">
        <v>44841</v>
      </c>
      <c r="B735" s="96" t="inlineStr">
        <is>
          <t>9566</t>
        </is>
      </c>
      <c r="C735" s="96" t="inlineStr">
        <is>
          <t>107</t>
        </is>
      </c>
      <c r="D735" s="97" t="n"/>
      <c r="E735" s="97" t="n"/>
      <c r="F735" s="98" t="n"/>
      <c r="G735" s="761" t="n">
        <v>30</v>
      </c>
      <c r="H735" s="98">
        <f>H734-G735</f>
        <v/>
      </c>
      <c r="I735" s="392" t="n"/>
      <c r="J735" s="392" t="n"/>
      <c r="K735" s="392" t="n"/>
      <c r="L735" s="392" t="n"/>
    </row>
    <row r="736">
      <c r="A736" s="310" t="n">
        <v>44842</v>
      </c>
      <c r="B736" s="275" t="inlineStr">
        <is>
          <t>198993</t>
        </is>
      </c>
      <c r="C736" s="275" t="inlineStr">
        <is>
          <t>89</t>
        </is>
      </c>
      <c r="D736" s="276" t="n">
        <v>200</v>
      </c>
      <c r="E736" s="276" t="n"/>
      <c r="F736" s="277" t="n"/>
      <c r="G736" s="762" t="n"/>
      <c r="H736" s="277" t="n">
        <v>318</v>
      </c>
      <c r="I736" s="392" t="n"/>
      <c r="J736" s="392" t="n"/>
      <c r="K736" s="392" t="n"/>
      <c r="L736" s="392" t="n"/>
    </row>
    <row r="737">
      <c r="A737" s="297" t="n">
        <v>44846</v>
      </c>
      <c r="B737" s="96" t="inlineStr">
        <is>
          <t>9582</t>
        </is>
      </c>
      <c r="C737" s="96" t="inlineStr">
        <is>
          <t>99</t>
        </is>
      </c>
      <c r="D737" s="97" t="n"/>
      <c r="E737" s="97" t="n"/>
      <c r="F737" s="98" t="n"/>
      <c r="G737" s="761" t="n">
        <v>150</v>
      </c>
      <c r="H737" s="98">
        <f>H736-G737</f>
        <v/>
      </c>
      <c r="I737" s="392" t="n"/>
      <c r="J737" s="392" t="n"/>
      <c r="K737" s="392" t="n"/>
      <c r="L737" s="392" t="n"/>
    </row>
    <row r="738">
      <c r="A738" s="297" t="n">
        <v>44846</v>
      </c>
      <c r="B738" s="96" t="inlineStr">
        <is>
          <t>9584</t>
        </is>
      </c>
      <c r="C738" s="96" t="inlineStr">
        <is>
          <t>107</t>
        </is>
      </c>
      <c r="D738" s="97" t="n"/>
      <c r="E738" s="97" t="n"/>
      <c r="F738" s="98" t="n"/>
      <c r="G738" s="761" t="n">
        <v>30</v>
      </c>
      <c r="H738" s="98">
        <f>H737-G738</f>
        <v/>
      </c>
      <c r="I738" s="392" t="n"/>
      <c r="J738" s="392" t="n"/>
      <c r="K738" s="392" t="n"/>
      <c r="L738" s="392" t="n"/>
    </row>
    <row r="739">
      <c r="A739" s="310" t="n">
        <v>44856</v>
      </c>
      <c r="B739" s="275" t="inlineStr">
        <is>
          <t>199991</t>
        </is>
      </c>
      <c r="C739" s="275" t="inlineStr">
        <is>
          <t>90</t>
        </is>
      </c>
      <c r="D739" s="276" t="n">
        <v>400</v>
      </c>
      <c r="E739" s="276" t="n"/>
      <c r="F739" s="277" t="n"/>
      <c r="G739" s="762" t="n"/>
      <c r="H739" s="277" t="n">
        <v>538</v>
      </c>
      <c r="I739" s="392" t="n"/>
      <c r="J739" s="392" t="n"/>
      <c r="K739" s="392" t="n"/>
      <c r="L739" s="392" t="n"/>
    </row>
    <row r="740">
      <c r="A740" s="297" t="n">
        <v>44858</v>
      </c>
      <c r="B740" s="96" t="inlineStr">
        <is>
          <t>9613</t>
        </is>
      </c>
      <c r="C740" s="96" t="inlineStr">
        <is>
          <t>98,25</t>
        </is>
      </c>
      <c r="D740" s="97" t="n"/>
      <c r="E740" s="97" t="n"/>
      <c r="F740" s="98" t="n"/>
      <c r="G740" s="761" t="n">
        <v>240</v>
      </c>
      <c r="H740" s="98">
        <f>H739-G740</f>
        <v/>
      </c>
      <c r="I740" s="392" t="n"/>
      <c r="J740" s="392" t="n"/>
      <c r="K740" s="392" t="n"/>
      <c r="L740" s="392" t="n"/>
    </row>
    <row r="741">
      <c r="A741" s="297" t="n">
        <v>44858</v>
      </c>
      <c r="B741" s="96" t="inlineStr">
        <is>
          <t>9614</t>
        </is>
      </c>
      <c r="C741" s="96" t="inlineStr">
        <is>
          <t>107</t>
        </is>
      </c>
      <c r="D741" s="97" t="n"/>
      <c r="E741" s="97" t="n"/>
      <c r="F741" s="98" t="n"/>
      <c r="G741" s="761" t="n">
        <v>20</v>
      </c>
      <c r="H741" s="98">
        <f>H740-G741</f>
        <v/>
      </c>
      <c r="I741" s="392" t="n"/>
      <c r="J741" s="392" t="n"/>
      <c r="K741" s="392" t="n"/>
      <c r="L741" s="392" t="n"/>
    </row>
    <row r="742">
      <c r="A742" s="297" t="n">
        <v>44858</v>
      </c>
      <c r="B742" s="96" t="inlineStr">
        <is>
          <t>9617</t>
        </is>
      </c>
      <c r="C742" s="96" t="inlineStr">
        <is>
          <t>107</t>
        </is>
      </c>
      <c r="D742" s="97" t="n"/>
      <c r="E742" s="97" t="n"/>
      <c r="F742" s="98" t="n"/>
      <c r="G742" s="761" t="n">
        <v>20</v>
      </c>
      <c r="H742" s="98">
        <f>H741-G742</f>
        <v/>
      </c>
      <c r="I742" s="392" t="n"/>
      <c r="J742" s="392" t="n"/>
      <c r="K742" s="392" t="n"/>
      <c r="L742" s="392" t="n"/>
    </row>
    <row r="743">
      <c r="A743" s="297" t="n">
        <v>44860</v>
      </c>
      <c r="B743" s="96" t="inlineStr">
        <is>
          <t>9628</t>
        </is>
      </c>
      <c r="C743" s="96" t="inlineStr">
        <is>
          <t>104</t>
        </is>
      </c>
      <c r="D743" s="97" t="n"/>
      <c r="E743" s="97" t="n"/>
      <c r="F743" s="98" t="n"/>
      <c r="G743" s="761" t="n">
        <v>35</v>
      </c>
      <c r="H743" s="98">
        <f>H742-G743</f>
        <v/>
      </c>
      <c r="I743" s="392" t="n"/>
      <c r="J743" s="392" t="n"/>
      <c r="K743" s="392" t="n"/>
      <c r="L743" s="392" t="n"/>
    </row>
    <row r="744">
      <c r="A744" s="297" t="n">
        <v>44860</v>
      </c>
      <c r="B744" s="96" t="inlineStr">
        <is>
          <t>9630</t>
        </is>
      </c>
      <c r="C744" s="96" t="inlineStr">
        <is>
          <t>107</t>
        </is>
      </c>
      <c r="D744" s="97" t="n"/>
      <c r="E744" s="97" t="n"/>
      <c r="F744" s="98" t="n"/>
      <c r="G744" s="761" t="n">
        <v>20</v>
      </c>
      <c r="H744" s="98">
        <f>H743-G744</f>
        <v/>
      </c>
      <c r="I744" s="392" t="n"/>
      <c r="J744" s="392" t="n"/>
      <c r="K744" s="392" t="n"/>
      <c r="L744" s="392" t="n"/>
    </row>
    <row r="745" ht="15.75" customHeight="1" s="436" thickBot="1"/>
    <row r="746" ht="24" customHeight="1" s="436" thickBot="1">
      <c r="A746" s="745" t="inlineStr">
        <is>
          <t>Novembro</t>
        </is>
      </c>
      <c r="B746" s="737" t="n"/>
      <c r="C746" s="737" t="n"/>
      <c r="D746" s="737" t="n"/>
      <c r="E746" s="737" t="n"/>
      <c r="F746" s="737" t="n"/>
      <c r="G746" s="737" t="n"/>
      <c r="H746" s="737" t="n"/>
      <c r="I746" s="737" t="n"/>
      <c r="J746" s="737" t="n"/>
      <c r="K746" s="737" t="n"/>
      <c r="L746" s="736" t="n"/>
    </row>
    <row r="747" ht="24" customHeight="1" s="436" thickBot="1">
      <c r="A747" s="745" t="inlineStr">
        <is>
          <t xml:space="preserve">  PRÉ MISTURA -  Pão Doce 25 KG</t>
        </is>
      </c>
      <c r="B747" s="737" t="n"/>
      <c r="C747" s="737" t="n"/>
      <c r="D747" s="737" t="n"/>
      <c r="E747" s="737" t="n"/>
      <c r="F747" s="737" t="n"/>
      <c r="G747" s="737" t="n"/>
      <c r="H747" s="737" t="n"/>
      <c r="I747" s="737" t="n"/>
      <c r="J747" s="737" t="n"/>
      <c r="K747" s="737" t="n"/>
      <c r="L747" s="736" t="n"/>
    </row>
    <row r="748">
      <c r="A748" s="746" t="inlineStr">
        <is>
          <t>DATA</t>
        </is>
      </c>
      <c r="B748" s="3" t="inlineStr">
        <is>
          <t>N.F.</t>
        </is>
      </c>
      <c r="C748" s="3" t="inlineStr">
        <is>
          <t>TIPO</t>
        </is>
      </c>
      <c r="D748" s="3" t="inlineStr">
        <is>
          <t>PREÇO UNITÁRIO</t>
        </is>
      </c>
      <c r="E748" s="736" t="n"/>
      <c r="F748" s="3" t="inlineStr">
        <is>
          <t>QUANTIDADE / KG</t>
        </is>
      </c>
      <c r="G748" s="737" t="n"/>
      <c r="H748" s="736" t="n"/>
      <c r="I748" s="631" t="inlineStr">
        <is>
          <t>PREÇO</t>
        </is>
      </c>
      <c r="J748" s="631" t="inlineStr">
        <is>
          <t>VALORES</t>
        </is>
      </c>
      <c r="K748" s="737" t="n"/>
      <c r="L748" s="736" t="n"/>
    </row>
    <row r="749" ht="15.75" customHeight="1" s="436" thickBot="1">
      <c r="A749" s="703" t="n"/>
      <c r="B749" s="704" t="n"/>
      <c r="C749" s="704" t="n"/>
      <c r="D749" s="703" t="n"/>
      <c r="E749" s="701" t="n"/>
      <c r="F749" s="705" t="n"/>
      <c r="G749" s="706" t="n"/>
      <c r="H749" s="707" t="n"/>
      <c r="I749" s="704" t="n"/>
      <c r="J749" s="703" t="n"/>
      <c r="L749" s="701" t="n"/>
    </row>
    <row r="750" ht="15.75" customHeight="1" s="436" thickBot="1">
      <c r="A750" s="703" t="n"/>
      <c r="B750" s="704" t="n"/>
      <c r="C750" s="704" t="n"/>
      <c r="D750" s="705" t="n"/>
      <c r="E750" s="707" t="n"/>
      <c r="F750" s="3" t="inlineStr">
        <is>
          <t>ENTRADA</t>
        </is>
      </c>
      <c r="G750" s="3" t="inlineStr">
        <is>
          <t>SAÍDA</t>
        </is>
      </c>
      <c r="H750" s="640" t="n"/>
      <c r="I750" s="633" t="inlineStr">
        <is>
          <t>MÉDIO</t>
        </is>
      </c>
      <c r="J750" s="652" t="inlineStr">
        <is>
          <t>SALDO EM 30/12/2017</t>
        </is>
      </c>
      <c r="K750" s="706" t="n"/>
      <c r="L750" s="17" t="n"/>
    </row>
    <row r="751" ht="15.75" customHeight="1" s="436" thickBot="1">
      <c r="A751" s="705" t="n"/>
      <c r="B751" s="695" t="n"/>
      <c r="C751" s="695" t="n"/>
      <c r="D751" s="3" t="inlineStr">
        <is>
          <t>C/ICMS</t>
        </is>
      </c>
      <c r="E751" s="3" t="inlineStr">
        <is>
          <t>S/ICMS</t>
        </is>
      </c>
      <c r="F751" s="695" t="n"/>
      <c r="G751" s="695" t="n"/>
      <c r="H751" s="361" t="inlineStr">
        <is>
          <t>Saldo em 30/10/2022</t>
        </is>
      </c>
      <c r="I751" s="695" t="n"/>
      <c r="J751" s="645" t="inlineStr">
        <is>
          <t>ENTRADA</t>
        </is>
      </c>
      <c r="K751" s="633" t="inlineStr">
        <is>
          <t>SAÍDA / CMV</t>
        </is>
      </c>
      <c r="L751" s="633" t="inlineStr">
        <is>
          <t>SALDO</t>
        </is>
      </c>
    </row>
    <row r="752">
      <c r="A752" s="48" t="n"/>
      <c r="B752" s="49" t="n"/>
      <c r="C752" s="49" t="n"/>
      <c r="D752" s="71" t="n"/>
      <c r="E752" s="71" t="n"/>
      <c r="F752" s="55" t="n"/>
      <c r="G752" s="55" t="n"/>
      <c r="H752" s="98" t="n">
        <v>203</v>
      </c>
      <c r="I752" s="71" t="n"/>
      <c r="J752" s="747">
        <f>F752*I752</f>
        <v/>
      </c>
      <c r="K752" s="747" t="n"/>
      <c r="L752" s="748" t="n"/>
    </row>
    <row r="753">
      <c r="A753" s="297" t="n">
        <v>44869</v>
      </c>
      <c r="B753" s="96" t="inlineStr">
        <is>
          <t>9653</t>
        </is>
      </c>
      <c r="C753" s="96" t="inlineStr">
        <is>
          <t>101</t>
        </is>
      </c>
      <c r="D753" s="97" t="n"/>
      <c r="E753" s="97" t="n"/>
      <c r="F753" s="98" t="n"/>
      <c r="G753" s="761" t="n">
        <v>150</v>
      </c>
      <c r="H753" s="98">
        <f>H752-G753</f>
        <v/>
      </c>
      <c r="I753" s="392" t="n"/>
      <c r="J753" s="392" t="n"/>
      <c r="K753" s="392" t="n"/>
      <c r="L753" s="392" t="n"/>
    </row>
    <row r="754">
      <c r="A754" s="297" t="n">
        <v>44872</v>
      </c>
      <c r="B754" s="96" t="inlineStr">
        <is>
          <t>9659</t>
        </is>
      </c>
      <c r="C754" s="96" t="inlineStr">
        <is>
          <t>110</t>
        </is>
      </c>
      <c r="D754" s="97" t="n"/>
      <c r="E754" s="97" t="n"/>
      <c r="F754" s="98" t="n"/>
      <c r="G754" s="761" t="n">
        <v>10</v>
      </c>
      <c r="H754" s="98">
        <f>H753-G754</f>
        <v/>
      </c>
      <c r="I754" s="392" t="n"/>
      <c r="J754" s="392" t="n"/>
      <c r="K754" s="392" t="n"/>
      <c r="L754" s="392" t="n"/>
    </row>
    <row r="755">
      <c r="A755" s="297" t="n">
        <v>44872</v>
      </c>
      <c r="B755" s="96" t="inlineStr">
        <is>
          <t>9661</t>
        </is>
      </c>
      <c r="C755" s="96" t="inlineStr">
        <is>
          <t>110</t>
        </is>
      </c>
      <c r="D755" s="97" t="n"/>
      <c r="E755" s="97" t="n"/>
      <c r="F755" s="98" t="n"/>
      <c r="G755" s="761" t="n">
        <v>15</v>
      </c>
      <c r="H755" s="98">
        <f>H754-G755</f>
        <v/>
      </c>
      <c r="I755" s="392" t="n"/>
      <c r="J755" s="392" t="n"/>
      <c r="K755" s="392" t="n"/>
      <c r="L755" s="392" t="n"/>
    </row>
    <row r="756">
      <c r="A756" s="297" t="n">
        <v>44874</v>
      </c>
      <c r="B756" s="96" t="inlineStr">
        <is>
          <t>9677</t>
        </is>
      </c>
      <c r="C756" s="96" t="inlineStr">
        <is>
          <t>110</t>
        </is>
      </c>
      <c r="D756" s="97" t="n"/>
      <c r="E756" s="97" t="n"/>
      <c r="F756" s="98" t="n"/>
      <c r="G756" s="761" t="n">
        <v>10</v>
      </c>
      <c r="H756" s="98">
        <f>H755-G756</f>
        <v/>
      </c>
      <c r="I756" s="392" t="n"/>
      <c r="J756" s="392" t="n"/>
      <c r="K756" s="392" t="n"/>
      <c r="L756" s="392" t="n"/>
    </row>
    <row r="757">
      <c r="A757" s="310" t="n">
        <v>44875</v>
      </c>
      <c r="B757" s="275" t="inlineStr">
        <is>
          <t>201428</t>
        </is>
      </c>
      <c r="C757" s="275" t="inlineStr">
        <is>
          <t>91,1</t>
        </is>
      </c>
      <c r="D757" s="276" t="n">
        <v>400</v>
      </c>
      <c r="E757" s="276" t="n"/>
      <c r="F757" s="277" t="n"/>
      <c r="G757" s="762" t="n"/>
      <c r="H757" s="277" t="n">
        <v>418</v>
      </c>
      <c r="I757" s="392" t="n"/>
      <c r="J757" s="392" t="n"/>
      <c r="K757" s="392" t="n"/>
      <c r="L757" s="392" t="n"/>
    </row>
    <row r="758">
      <c r="A758" s="297" t="n">
        <v>44875</v>
      </c>
      <c r="B758" s="96" t="inlineStr">
        <is>
          <t>9680</t>
        </is>
      </c>
      <c r="C758" s="96" t="inlineStr">
        <is>
          <t>110</t>
        </is>
      </c>
      <c r="D758" s="97" t="n"/>
      <c r="E758" s="97" t="n"/>
      <c r="F758" s="98" t="n"/>
      <c r="G758" s="761" t="n">
        <v>30</v>
      </c>
      <c r="H758" s="98">
        <f>H757-G758</f>
        <v/>
      </c>
      <c r="I758" s="392" t="n"/>
      <c r="J758" s="392" t="n"/>
      <c r="K758" s="392" t="n"/>
      <c r="L758" s="392" t="n"/>
    </row>
    <row r="759">
      <c r="A759" s="297" t="n">
        <v>44875</v>
      </c>
      <c r="B759" s="96" t="inlineStr">
        <is>
          <t>9681</t>
        </is>
      </c>
      <c r="C759" s="96" t="inlineStr">
        <is>
          <t>110</t>
        </is>
      </c>
      <c r="D759" s="97" t="n"/>
      <c r="E759" s="97" t="n"/>
      <c r="F759" s="98" t="n"/>
      <c r="G759" s="761" t="n">
        <v>10</v>
      </c>
      <c r="H759" s="98">
        <f>H758-G759</f>
        <v/>
      </c>
      <c r="I759" s="392" t="n"/>
      <c r="J759" s="392" t="n"/>
      <c r="K759" s="392" t="n"/>
      <c r="L759" s="392" t="n"/>
    </row>
    <row r="760">
      <c r="A760" s="297" t="n">
        <v>44875</v>
      </c>
      <c r="B760" s="96" t="inlineStr">
        <is>
          <t>9682</t>
        </is>
      </c>
      <c r="C760" s="96" t="inlineStr">
        <is>
          <t>110</t>
        </is>
      </c>
      <c r="D760" s="97" t="n"/>
      <c r="E760" s="97" t="n"/>
      <c r="F760" s="98" t="n"/>
      <c r="G760" s="761" t="n">
        <v>20</v>
      </c>
      <c r="H760" s="98">
        <f>H759-G760</f>
        <v/>
      </c>
      <c r="I760" s="392" t="n"/>
      <c r="J760" s="392" t="n"/>
      <c r="K760" s="392" t="n"/>
      <c r="L760" s="392" t="n"/>
    </row>
    <row r="761">
      <c r="A761" s="297" t="n">
        <v>44881</v>
      </c>
      <c r="B761" s="96" t="inlineStr">
        <is>
          <t>9698</t>
        </is>
      </c>
      <c r="C761" s="96" t="inlineStr">
        <is>
          <t>102</t>
        </is>
      </c>
      <c r="D761" s="97" t="n"/>
      <c r="E761" s="97" t="n"/>
      <c r="F761" s="98" t="n"/>
      <c r="G761" s="761" t="n">
        <v>5</v>
      </c>
      <c r="H761" s="98">
        <f>H760-G761</f>
        <v/>
      </c>
      <c r="I761" s="392" t="n"/>
      <c r="J761" s="392" t="n"/>
      <c r="K761" s="392" t="n"/>
      <c r="L761" s="392" t="n"/>
    </row>
    <row r="762">
      <c r="A762" s="297" t="n">
        <v>44881</v>
      </c>
      <c r="B762" s="96" t="inlineStr">
        <is>
          <t>9701</t>
        </is>
      </c>
      <c r="C762" s="96" t="inlineStr">
        <is>
          <t>100</t>
        </is>
      </c>
      <c r="D762" s="97" t="n"/>
      <c r="E762" s="97" t="n"/>
      <c r="F762" s="98" t="n"/>
      <c r="G762" s="761" t="n">
        <v>30</v>
      </c>
      <c r="H762" s="98">
        <f>H761-G762</f>
        <v/>
      </c>
      <c r="I762" s="392" t="n"/>
      <c r="J762" s="392" t="n"/>
      <c r="K762" s="392" t="n"/>
      <c r="L762" s="392" t="n"/>
    </row>
    <row r="763">
      <c r="A763" s="297" t="n">
        <v>44881</v>
      </c>
      <c r="B763" s="96" t="inlineStr">
        <is>
          <t>9702</t>
        </is>
      </c>
      <c r="C763" s="96" t="inlineStr">
        <is>
          <t>102</t>
        </is>
      </c>
      <c r="D763" s="97" t="n"/>
      <c r="E763" s="97" t="n"/>
      <c r="F763" s="98" t="n"/>
      <c r="G763" s="761" t="n">
        <v>15</v>
      </c>
      <c r="H763" s="98">
        <f>H762-G763</f>
        <v/>
      </c>
      <c r="I763" s="392" t="n"/>
      <c r="J763" s="392" t="n"/>
      <c r="K763" s="392" t="n"/>
      <c r="L763" s="392" t="n"/>
    </row>
    <row r="764">
      <c r="A764" s="297" t="n">
        <v>44887</v>
      </c>
      <c r="B764" s="96" t="inlineStr">
        <is>
          <t>9713</t>
        </is>
      </c>
      <c r="C764" s="96" t="inlineStr">
        <is>
          <t>110</t>
        </is>
      </c>
      <c r="D764" s="97" t="n"/>
      <c r="E764" s="97" t="n"/>
      <c r="F764" s="98" t="n"/>
      <c r="G764" s="761" t="n">
        <v>20</v>
      </c>
      <c r="H764" s="98">
        <f>H763-G764</f>
        <v/>
      </c>
      <c r="I764" s="392" t="n"/>
      <c r="J764" s="392" t="n"/>
      <c r="K764" s="392" t="n"/>
      <c r="L764" s="392" t="n"/>
    </row>
    <row r="765">
      <c r="A765" s="297" t="n">
        <v>44887</v>
      </c>
      <c r="B765" s="96" t="inlineStr">
        <is>
          <t>9714</t>
        </is>
      </c>
      <c r="C765" s="96" t="inlineStr">
        <is>
          <t>110</t>
        </is>
      </c>
      <c r="D765" s="97" t="n"/>
      <c r="E765" s="97" t="n"/>
      <c r="F765" s="98" t="n"/>
      <c r="G765" s="761" t="n">
        <v>15</v>
      </c>
      <c r="H765" s="98">
        <f>H764-G765</f>
        <v/>
      </c>
      <c r="I765" s="392" t="n"/>
      <c r="J765" s="392" t="n"/>
      <c r="K765" s="392" t="n"/>
      <c r="L765" s="392" t="n"/>
    </row>
    <row r="766">
      <c r="A766" s="310" t="n">
        <v>44889</v>
      </c>
      <c r="B766" s="275" t="inlineStr">
        <is>
          <t>202640</t>
        </is>
      </c>
      <c r="C766" s="275" t="inlineStr">
        <is>
          <t>91,1</t>
        </is>
      </c>
      <c r="D766" s="276" t="n">
        <v>200</v>
      </c>
      <c r="E766" s="276" t="n"/>
      <c r="F766" s="277" t="n"/>
      <c r="G766" s="762" t="n"/>
      <c r="H766" s="277" t="n">
        <v>473</v>
      </c>
      <c r="I766" s="392" t="n"/>
      <c r="J766" s="392" t="n"/>
      <c r="K766" s="392" t="n"/>
      <c r="L766" s="392" t="n"/>
    </row>
    <row r="767">
      <c r="A767" s="297" t="n">
        <v>44895</v>
      </c>
      <c r="B767" s="96" t="inlineStr">
        <is>
          <t>9737</t>
        </is>
      </c>
      <c r="C767" s="96" t="inlineStr">
        <is>
          <t>106</t>
        </is>
      </c>
      <c r="D767" s="97" t="n"/>
      <c r="E767" s="97" t="n"/>
      <c r="F767" s="98" t="n"/>
      <c r="G767" s="761" t="n">
        <v>36</v>
      </c>
      <c r="H767" s="98">
        <f>H766-G767</f>
        <v/>
      </c>
      <c r="I767" s="392" t="n"/>
      <c r="J767" s="392" t="n"/>
      <c r="K767" s="392" t="n"/>
      <c r="L767" s="392" t="n"/>
    </row>
    <row r="768" ht="15.75" customHeight="1" s="436" thickBot="1"/>
    <row r="769" ht="24" customHeight="1" s="436" thickBot="1">
      <c r="A769" s="745" t="inlineStr">
        <is>
          <t>Dezembro</t>
        </is>
      </c>
      <c r="B769" s="737" t="n"/>
      <c r="C769" s="737" t="n"/>
      <c r="D769" s="737" t="n"/>
      <c r="E769" s="737" t="n"/>
      <c r="F769" s="737" t="n"/>
      <c r="G769" s="737" t="n"/>
      <c r="H769" s="737" t="n"/>
      <c r="I769" s="737" t="n"/>
      <c r="J769" s="737" t="n"/>
      <c r="K769" s="737" t="n"/>
      <c r="L769" s="736" t="n"/>
    </row>
    <row r="770" ht="24" customHeight="1" s="436" thickBot="1">
      <c r="A770" s="745" t="inlineStr">
        <is>
          <t xml:space="preserve">  PRÉ MISTURA -  Pão Doce 25 KG</t>
        </is>
      </c>
      <c r="B770" s="737" t="n"/>
      <c r="C770" s="737" t="n"/>
      <c r="D770" s="737" t="n"/>
      <c r="E770" s="737" t="n"/>
      <c r="F770" s="737" t="n"/>
      <c r="G770" s="737" t="n"/>
      <c r="H770" s="737" t="n"/>
      <c r="I770" s="737" t="n"/>
      <c r="J770" s="737" t="n"/>
      <c r="K770" s="737" t="n"/>
      <c r="L770" s="736" t="n"/>
    </row>
    <row r="771">
      <c r="A771" s="746" t="inlineStr">
        <is>
          <t>DATA</t>
        </is>
      </c>
      <c r="B771" s="3" t="inlineStr">
        <is>
          <t>N.F.</t>
        </is>
      </c>
      <c r="C771" s="3" t="inlineStr">
        <is>
          <t>TIPO</t>
        </is>
      </c>
      <c r="D771" s="3" t="inlineStr">
        <is>
          <t>PREÇO UNITÁRIO</t>
        </is>
      </c>
      <c r="E771" s="736" t="n"/>
      <c r="F771" s="3" t="inlineStr">
        <is>
          <t>QUANTIDADE / KG</t>
        </is>
      </c>
      <c r="G771" s="737" t="n"/>
      <c r="H771" s="736" t="n"/>
      <c r="I771" s="631" t="inlineStr">
        <is>
          <t>PREÇO</t>
        </is>
      </c>
      <c r="J771" s="631" t="inlineStr">
        <is>
          <t>VALORES</t>
        </is>
      </c>
      <c r="K771" s="737" t="n"/>
      <c r="L771" s="736" t="n"/>
    </row>
    <row r="772" ht="15.75" customHeight="1" s="436" thickBot="1">
      <c r="A772" s="703" t="n"/>
      <c r="B772" s="704" t="n"/>
      <c r="C772" s="704" t="n"/>
      <c r="D772" s="703" t="n"/>
      <c r="E772" s="701" t="n"/>
      <c r="F772" s="705" t="n"/>
      <c r="G772" s="706" t="n"/>
      <c r="H772" s="707" t="n"/>
      <c r="I772" s="704" t="n"/>
      <c r="J772" s="703" t="n"/>
      <c r="L772" s="701" t="n"/>
    </row>
    <row r="773" ht="15.75" customHeight="1" s="436" thickBot="1">
      <c r="A773" s="703" t="n"/>
      <c r="B773" s="704" t="n"/>
      <c r="C773" s="704" t="n"/>
      <c r="D773" s="705" t="n"/>
      <c r="E773" s="707" t="n"/>
      <c r="F773" s="3" t="inlineStr">
        <is>
          <t>ENTRADA</t>
        </is>
      </c>
      <c r="G773" s="3" t="inlineStr">
        <is>
          <t>SAÍDA</t>
        </is>
      </c>
      <c r="H773" s="640" t="n"/>
      <c r="I773" s="633" t="inlineStr">
        <is>
          <t>MÉDIO</t>
        </is>
      </c>
      <c r="J773" s="652" t="inlineStr">
        <is>
          <t>SALDO EM 30/12/2017</t>
        </is>
      </c>
      <c r="K773" s="706" t="n"/>
      <c r="L773" s="17" t="n"/>
    </row>
    <row r="774" ht="15.75" customHeight="1" s="436" thickBot="1">
      <c r="A774" s="705" t="n"/>
      <c r="B774" s="695" t="n"/>
      <c r="C774" s="695" t="n"/>
      <c r="D774" s="3" t="inlineStr">
        <is>
          <t>C/ICMS</t>
        </is>
      </c>
      <c r="E774" s="3" t="inlineStr">
        <is>
          <t>S/ICMS</t>
        </is>
      </c>
      <c r="F774" s="695" t="n"/>
      <c r="G774" s="695" t="n"/>
      <c r="H774" s="361" t="inlineStr">
        <is>
          <t>Saldo em 30/11/2022</t>
        </is>
      </c>
      <c r="I774" s="695" t="n"/>
      <c r="J774" s="645" t="inlineStr">
        <is>
          <t>ENTRADA</t>
        </is>
      </c>
      <c r="K774" s="633" t="inlineStr">
        <is>
          <t>SAÍDA / CMV</t>
        </is>
      </c>
      <c r="L774" s="633" t="inlineStr">
        <is>
          <t>SALDO</t>
        </is>
      </c>
    </row>
    <row r="775">
      <c r="A775" s="297" t="n"/>
      <c r="B775" s="96" t="n"/>
      <c r="C775" s="96" t="n"/>
      <c r="D775" s="97" t="n"/>
      <c r="E775" s="97" t="n"/>
      <c r="F775" s="98" t="n"/>
      <c r="G775" s="761" t="n"/>
      <c r="H775" s="98" t="n">
        <v>437</v>
      </c>
      <c r="I775" s="392" t="n"/>
      <c r="J775" s="392" t="n"/>
      <c r="K775" s="392" t="n"/>
      <c r="L775" s="392" t="n"/>
    </row>
    <row r="776">
      <c r="A776" s="297" t="n">
        <v>44900</v>
      </c>
      <c r="B776" s="96" t="inlineStr">
        <is>
          <t>9753</t>
        </is>
      </c>
      <c r="C776" s="96" t="inlineStr">
        <is>
          <t>110</t>
        </is>
      </c>
      <c r="D776" s="71" t="n"/>
      <c r="E776" s="71" t="n"/>
      <c r="F776" s="55" t="n"/>
      <c r="G776" s="55" t="n">
        <v>20</v>
      </c>
      <c r="H776" s="98">
        <f>H775-G776</f>
        <v/>
      </c>
      <c r="I776" s="71" t="n"/>
      <c r="J776" s="747">
        <f>F776*I776</f>
        <v/>
      </c>
      <c r="K776" s="747" t="n"/>
      <c r="L776" s="748" t="n"/>
    </row>
    <row r="777">
      <c r="A777" s="297" t="n">
        <v>44907</v>
      </c>
      <c r="B777" s="93" t="inlineStr">
        <is>
          <t>9768</t>
        </is>
      </c>
      <c r="C777" s="93" t="inlineStr">
        <is>
          <t>106,5</t>
        </is>
      </c>
      <c r="D777" s="94" t="n"/>
      <c r="E777" s="94" t="n"/>
      <c r="F777" s="95" t="n"/>
      <c r="G777" s="95" t="n">
        <v>50</v>
      </c>
      <c r="H777" s="98">
        <f>H776-G777</f>
        <v/>
      </c>
      <c r="I777" s="71" t="n"/>
      <c r="J777" s="747">
        <f>F777*I777</f>
        <v/>
      </c>
      <c r="K777" s="747" t="n"/>
      <c r="L777" s="748" t="n"/>
    </row>
    <row r="778">
      <c r="A778" s="297" t="n">
        <v>44909</v>
      </c>
      <c r="B778" s="93" t="inlineStr">
        <is>
          <t>9783</t>
        </is>
      </c>
      <c r="C778" s="93" t="inlineStr">
        <is>
          <t>110</t>
        </is>
      </c>
      <c r="D778" s="94" t="n"/>
      <c r="E778" s="94" t="n"/>
      <c r="F778" s="95" t="n"/>
      <c r="G778" s="95" t="n">
        <v>25</v>
      </c>
      <c r="H778" s="98">
        <f>H777-G778</f>
        <v/>
      </c>
      <c r="I778" s="71" t="n"/>
      <c r="J778" s="747">
        <f>F778*I778</f>
        <v/>
      </c>
      <c r="K778" s="747" t="n"/>
      <c r="L778" s="748" t="n"/>
    </row>
    <row r="779">
      <c r="A779" s="297" t="n">
        <v>44909</v>
      </c>
      <c r="B779" s="93" t="inlineStr">
        <is>
          <t>9784</t>
        </is>
      </c>
      <c r="C779" s="93" t="inlineStr">
        <is>
          <t>110</t>
        </is>
      </c>
      <c r="D779" s="94" t="n"/>
      <c r="E779" s="94" t="n"/>
      <c r="F779" s="95" t="n"/>
      <c r="G779" s="95" t="n">
        <v>30</v>
      </c>
      <c r="H779" s="98">
        <f>H778-G779</f>
        <v/>
      </c>
      <c r="I779" s="71" t="n"/>
      <c r="J779" s="747">
        <f>F779*I779</f>
        <v/>
      </c>
      <c r="K779" s="747" t="n"/>
      <c r="L779" s="748" t="n"/>
    </row>
    <row r="780">
      <c r="A780" s="297" t="n">
        <v>44910</v>
      </c>
      <c r="B780" s="93" t="inlineStr">
        <is>
          <t>9802</t>
        </is>
      </c>
      <c r="C780" s="93" t="inlineStr">
        <is>
          <t>110</t>
        </is>
      </c>
      <c r="D780" s="94" t="n"/>
      <c r="E780" s="94" t="n"/>
      <c r="F780" s="95" t="n"/>
      <c r="G780" s="95" t="n">
        <v>25</v>
      </c>
      <c r="H780" s="98">
        <f>H779-G780</f>
        <v/>
      </c>
      <c r="I780" s="71" t="n"/>
      <c r="J780" s="747">
        <f>F780*I780</f>
        <v/>
      </c>
      <c r="K780" s="747" t="n"/>
      <c r="L780" s="748" t="n"/>
    </row>
    <row r="781">
      <c r="A781" s="310" t="n">
        <v>44914</v>
      </c>
      <c r="B781" s="274" t="inlineStr">
        <is>
          <t>205310</t>
        </is>
      </c>
      <c r="C781" s="274" t="inlineStr">
        <is>
          <t>91,10</t>
        </is>
      </c>
      <c r="D781" s="279" t="n">
        <v>150</v>
      </c>
      <c r="E781" s="279" t="n"/>
      <c r="F781" s="278" t="n"/>
      <c r="G781" s="278" t="n"/>
      <c r="H781" s="277" t="n">
        <v>437</v>
      </c>
      <c r="I781" s="71" t="n"/>
      <c r="J781" s="747">
        <f>F781*I781</f>
        <v/>
      </c>
      <c r="K781" s="747" t="n"/>
      <c r="L781" s="748" t="n"/>
    </row>
    <row r="782" ht="15.75" customHeight="1" s="436" thickBot="1"/>
    <row r="783" ht="24" customHeight="1" s="436" thickBot="1">
      <c r="A783" s="759" t="inlineStr">
        <is>
          <t>Janeiro</t>
        </is>
      </c>
      <c r="B783" s="697" t="n"/>
      <c r="C783" s="697" t="n"/>
      <c r="D783" s="697" t="n"/>
      <c r="E783" s="697" t="n"/>
      <c r="F783" s="697" t="n"/>
      <c r="G783" s="697" t="n"/>
      <c r="H783" s="697" t="n"/>
      <c r="I783" s="697" t="n"/>
      <c r="J783" s="697" t="n"/>
      <c r="K783" s="697" t="n"/>
      <c r="L783" s="698" t="n"/>
    </row>
    <row r="784" ht="24" customHeight="1" s="436" thickBot="1">
      <c r="A784" s="759" t="inlineStr">
        <is>
          <t xml:space="preserve">  PRÉ MISTURA -  Pão Doce 25 KG</t>
        </is>
      </c>
      <c r="B784" s="697" t="n"/>
      <c r="C784" s="697" t="n"/>
      <c r="D784" s="697" t="n"/>
      <c r="E784" s="697" t="n"/>
      <c r="F784" s="697" t="n"/>
      <c r="G784" s="697" t="n"/>
      <c r="H784" s="697" t="n"/>
      <c r="I784" s="697" t="n"/>
      <c r="J784" s="697" t="n"/>
      <c r="K784" s="697" t="n"/>
      <c r="L784" s="698" t="n"/>
    </row>
    <row r="785">
      <c r="A785" s="3" t="inlineStr">
        <is>
          <t>DATA</t>
        </is>
      </c>
      <c r="B785" s="3" t="inlineStr">
        <is>
          <t>N.F.</t>
        </is>
      </c>
      <c r="C785" s="3" t="inlineStr">
        <is>
          <t>TIPO</t>
        </is>
      </c>
      <c r="D785" s="3" t="inlineStr">
        <is>
          <t>PREÇO UNITÁRIO</t>
        </is>
      </c>
      <c r="E785" s="736" t="n"/>
      <c r="F785" s="3" t="inlineStr">
        <is>
          <t>QUANTIDADE / KG</t>
        </is>
      </c>
      <c r="G785" s="737" t="n"/>
      <c r="H785" s="736" t="n"/>
      <c r="I785" s="631" t="inlineStr">
        <is>
          <t>PREÇO</t>
        </is>
      </c>
      <c r="J785" s="631" t="inlineStr">
        <is>
          <t>VALORES</t>
        </is>
      </c>
      <c r="K785" s="737" t="n"/>
      <c r="L785" s="736" t="n"/>
    </row>
    <row r="786" ht="15.75" customHeight="1" s="436" thickBot="1">
      <c r="A786" s="704" t="n"/>
      <c r="B786" s="704" t="n"/>
      <c r="C786" s="704" t="n"/>
      <c r="D786" s="703" t="n"/>
      <c r="E786" s="701" t="n"/>
      <c r="F786" s="705" t="n"/>
      <c r="G786" s="706" t="n"/>
      <c r="H786" s="707" t="n"/>
      <c r="I786" s="704" t="n"/>
      <c r="J786" s="703" t="n"/>
      <c r="L786" s="701" t="n"/>
    </row>
    <row r="787" ht="15.75" customHeight="1" s="436" thickBot="1">
      <c r="A787" s="704" t="n"/>
      <c r="B787" s="704" t="n"/>
      <c r="C787" s="704" t="n"/>
      <c r="D787" s="705" t="n"/>
      <c r="E787" s="707" t="n"/>
      <c r="F787" s="3" t="inlineStr">
        <is>
          <t>ENTRADA</t>
        </is>
      </c>
      <c r="G787" s="3" t="inlineStr">
        <is>
          <t>SAÍDA</t>
        </is>
      </c>
      <c r="H787" s="640" t="n"/>
      <c r="I787" s="633" t="inlineStr">
        <is>
          <t>MÉDIO</t>
        </is>
      </c>
      <c r="J787" s="739" t="inlineStr">
        <is>
          <t>SALDO EM 30/12/2017</t>
        </is>
      </c>
      <c r="K787" s="707" t="n"/>
      <c r="L787" s="17" t="n"/>
    </row>
    <row r="788" ht="15.75" customHeight="1" s="436" thickBot="1">
      <c r="A788" s="695" t="n"/>
      <c r="B788" s="695" t="n"/>
      <c r="C788" s="695" t="n"/>
      <c r="D788" s="3" t="inlineStr">
        <is>
          <t>C/ICMS</t>
        </is>
      </c>
      <c r="E788" s="3" t="inlineStr">
        <is>
          <t>S/ICMS</t>
        </is>
      </c>
      <c r="F788" s="695" t="n"/>
      <c r="G788" s="695" t="n"/>
      <c r="H788" s="361" t="inlineStr">
        <is>
          <t>Saldo em 31/12/2022</t>
        </is>
      </c>
      <c r="I788" s="695" t="n"/>
      <c r="J788" s="645" t="inlineStr">
        <is>
          <t>ENTRADA</t>
        </is>
      </c>
      <c r="K788" s="633" t="inlineStr">
        <is>
          <t>SAÍDA / CMV</t>
        </is>
      </c>
      <c r="L788" s="633" t="inlineStr">
        <is>
          <t>SALDO</t>
        </is>
      </c>
    </row>
    <row r="789">
      <c r="A789" s="297" t="n"/>
      <c r="B789" s="96" t="n"/>
      <c r="C789" s="96" t="n"/>
      <c r="D789" s="97" t="n"/>
      <c r="E789" s="97" t="n"/>
      <c r="F789" s="98" t="n"/>
      <c r="G789" s="761" t="n"/>
      <c r="H789" s="98" t="n">
        <v>437</v>
      </c>
      <c r="I789" s="392" t="n"/>
      <c r="J789" s="392" t="n"/>
      <c r="K789" s="392" t="n"/>
      <c r="L789" s="392" t="n"/>
    </row>
    <row r="790">
      <c r="A790" s="297" t="n">
        <v>44929</v>
      </c>
      <c r="B790" s="93" t="inlineStr">
        <is>
          <t>9803</t>
        </is>
      </c>
      <c r="C790" s="93" t="inlineStr">
        <is>
          <t>102</t>
        </is>
      </c>
      <c r="D790" s="94" t="n"/>
      <c r="E790" s="94" t="n"/>
      <c r="F790" s="95" t="n"/>
      <c r="G790" s="95" t="n">
        <v>12</v>
      </c>
      <c r="H790" s="98">
        <f>H789-G790</f>
        <v/>
      </c>
      <c r="I790" s="71" t="n"/>
      <c r="J790" s="747">
        <f>F790*I790</f>
        <v/>
      </c>
      <c r="K790" s="747" t="n"/>
      <c r="L790" s="748" t="n"/>
    </row>
    <row r="791">
      <c r="A791" s="297" t="n">
        <v>44929</v>
      </c>
      <c r="B791" s="93" t="inlineStr">
        <is>
          <t>9804</t>
        </is>
      </c>
      <c r="C791" s="93" t="inlineStr">
        <is>
          <t>109</t>
        </is>
      </c>
      <c r="D791" s="94" t="n"/>
      <c r="E791" s="94" t="n"/>
      <c r="F791" s="95" t="n"/>
      <c r="G791" s="95" t="n">
        <v>48</v>
      </c>
      <c r="H791" s="98">
        <f>H790-G791</f>
        <v/>
      </c>
      <c r="I791" s="71" t="n"/>
      <c r="J791" s="747">
        <f>F791*I791</f>
        <v/>
      </c>
      <c r="K791" s="747" t="n"/>
      <c r="L791" s="748" t="n"/>
    </row>
    <row r="792">
      <c r="A792" s="297" t="n">
        <v>44930</v>
      </c>
      <c r="B792" s="93" t="inlineStr">
        <is>
          <t>9808</t>
        </is>
      </c>
      <c r="C792" s="93" t="inlineStr">
        <is>
          <t>105,72</t>
        </is>
      </c>
      <c r="D792" s="94" t="n"/>
      <c r="E792" s="94" t="n"/>
      <c r="F792" s="95" t="n"/>
      <c r="G792" s="95" t="n">
        <v>30</v>
      </c>
      <c r="H792" s="98">
        <f>H791-G792</f>
        <v/>
      </c>
      <c r="I792" s="71" t="n"/>
      <c r="J792" s="747">
        <f>F792*I792</f>
        <v/>
      </c>
      <c r="K792" s="747" t="n"/>
      <c r="L792" s="748" t="n"/>
    </row>
    <row r="793">
      <c r="A793" s="297" t="n">
        <v>44930</v>
      </c>
      <c r="B793" s="93" t="inlineStr">
        <is>
          <t>9812</t>
        </is>
      </c>
      <c r="C793" s="93" t="inlineStr">
        <is>
          <t>105,75</t>
        </is>
      </c>
      <c r="D793" s="94" t="n"/>
      <c r="E793" s="94" t="n"/>
      <c r="F793" s="95" t="n"/>
      <c r="G793" s="95" t="n">
        <v>32</v>
      </c>
      <c r="H793" s="98">
        <f>H792-G793</f>
        <v/>
      </c>
      <c r="I793" s="71" t="n"/>
      <c r="J793" s="747">
        <f>F793*I793</f>
        <v/>
      </c>
      <c r="K793" s="747" t="n"/>
      <c r="L793" s="748" t="n"/>
    </row>
    <row r="794">
      <c r="A794" s="297" t="n">
        <v>44936</v>
      </c>
      <c r="B794" s="93" t="inlineStr">
        <is>
          <t>9835</t>
        </is>
      </c>
      <c r="C794" s="93" t="inlineStr">
        <is>
          <t>110</t>
        </is>
      </c>
      <c r="D794" s="94" t="n"/>
      <c r="E794" s="94" t="n"/>
      <c r="F794" s="95" t="n"/>
      <c r="G794" s="95" t="n">
        <v>25</v>
      </c>
      <c r="H794" s="98">
        <f>H793-G794</f>
        <v/>
      </c>
      <c r="I794" s="71" t="n"/>
      <c r="J794" s="747">
        <f>F794*I794</f>
        <v/>
      </c>
      <c r="K794" s="747" t="n"/>
      <c r="L794" s="748" t="n"/>
    </row>
    <row r="795">
      <c r="A795" s="297" t="n">
        <v>44937</v>
      </c>
      <c r="B795" s="93" t="inlineStr">
        <is>
          <t>9841</t>
        </is>
      </c>
      <c r="C795" s="93" t="inlineStr">
        <is>
          <t>106</t>
        </is>
      </c>
      <c r="D795" s="94" t="n"/>
      <c r="E795" s="94" t="n"/>
      <c r="F795" s="95" t="n"/>
      <c r="G795" s="95" t="n">
        <v>35</v>
      </c>
      <c r="H795" s="98">
        <f>H794-G795</f>
        <v/>
      </c>
      <c r="I795" s="71" t="n"/>
      <c r="J795" s="747">
        <f>F795*I795</f>
        <v/>
      </c>
      <c r="K795" s="747" t="n"/>
      <c r="L795" s="748" t="n"/>
    </row>
    <row r="796">
      <c r="A796" s="297" t="n">
        <v>44945</v>
      </c>
      <c r="B796" s="93" t="inlineStr">
        <is>
          <t>9852</t>
        </is>
      </c>
      <c r="C796" s="93" t="inlineStr">
        <is>
          <t>107</t>
        </is>
      </c>
      <c r="D796" s="94" t="n"/>
      <c r="E796" s="94" t="n"/>
      <c r="F796" s="95" t="n"/>
      <c r="G796" s="95" t="n">
        <v>120</v>
      </c>
      <c r="H796" s="98">
        <f>H795-G796</f>
        <v/>
      </c>
      <c r="I796" s="71" t="n"/>
      <c r="J796" s="747">
        <f>F796*I796</f>
        <v/>
      </c>
      <c r="K796" s="747" t="n"/>
      <c r="L796" s="748" t="n"/>
    </row>
    <row r="797">
      <c r="A797" s="297" t="n">
        <v>44950</v>
      </c>
      <c r="B797" s="93" t="inlineStr">
        <is>
          <t>9856</t>
        </is>
      </c>
      <c r="C797" s="93" t="inlineStr">
        <is>
          <t>110</t>
        </is>
      </c>
      <c r="D797" s="94" t="n"/>
      <c r="E797" s="94" t="n"/>
      <c r="F797" s="95" t="n"/>
      <c r="G797" s="95" t="n">
        <v>20</v>
      </c>
      <c r="H797" s="98">
        <f>H796-G797</f>
        <v/>
      </c>
      <c r="I797" s="71" t="n"/>
      <c r="J797" s="747">
        <f>F797*I797</f>
        <v/>
      </c>
      <c r="K797" s="747" t="n"/>
      <c r="L797" s="748" t="n"/>
    </row>
    <row r="798">
      <c r="A798" s="297" t="n">
        <v>44950</v>
      </c>
      <c r="B798" s="93" t="inlineStr">
        <is>
          <t>9858</t>
        </is>
      </c>
      <c r="C798" s="93" t="inlineStr">
        <is>
          <t>110</t>
        </is>
      </c>
      <c r="D798" s="94" t="n"/>
      <c r="E798" s="94" t="n"/>
      <c r="F798" s="95" t="n"/>
      <c r="G798" s="95" t="n">
        <v>30</v>
      </c>
      <c r="H798" s="98">
        <f>H797-G798</f>
        <v/>
      </c>
      <c r="I798" s="71" t="n"/>
      <c r="J798" s="747">
        <f>F798*I798</f>
        <v/>
      </c>
      <c r="K798" s="747" t="n"/>
      <c r="L798" s="748" t="n"/>
    </row>
    <row r="799">
      <c r="A799" s="297" t="n">
        <v>44951</v>
      </c>
      <c r="B799" s="93" t="inlineStr">
        <is>
          <t>9865</t>
        </is>
      </c>
      <c r="C799" s="93" t="inlineStr">
        <is>
          <t>110</t>
        </is>
      </c>
      <c r="D799" s="94" t="n"/>
      <c r="E799" s="94" t="n"/>
      <c r="F799" s="95" t="n"/>
      <c r="G799" s="95" t="n">
        <v>15</v>
      </c>
      <c r="H799" s="98">
        <f>H798-G799</f>
        <v/>
      </c>
      <c r="I799" s="71" t="n"/>
      <c r="J799" s="747">
        <f>F799*I799</f>
        <v/>
      </c>
      <c r="K799" s="747" t="n"/>
      <c r="L799" s="748" t="n"/>
    </row>
    <row r="800">
      <c r="A800" s="310" t="n">
        <v>44944</v>
      </c>
      <c r="B800" s="274" t="inlineStr">
        <is>
          <t>207905</t>
        </is>
      </c>
      <c r="C800" s="274" t="inlineStr">
        <is>
          <t>90,1</t>
        </is>
      </c>
      <c r="D800" s="279" t="n">
        <v>200</v>
      </c>
      <c r="E800" s="279" t="n"/>
      <c r="F800" s="278" t="n"/>
      <c r="G800" s="278" t="n"/>
      <c r="H800" s="277" t="n">
        <v>270</v>
      </c>
      <c r="I800" s="71" t="n"/>
      <c r="J800" s="747">
        <f>F800*I800</f>
        <v/>
      </c>
      <c r="K800" s="747" t="n"/>
      <c r="L800" s="748" t="n"/>
    </row>
    <row r="801">
      <c r="A801" s="310" t="n">
        <v>44957</v>
      </c>
      <c r="B801" s="274" t="inlineStr">
        <is>
          <t>208929</t>
        </is>
      </c>
      <c r="C801" s="274" t="inlineStr">
        <is>
          <t>90,1</t>
        </is>
      </c>
      <c r="D801" s="279" t="n">
        <v>200</v>
      </c>
      <c r="E801" s="279" t="n"/>
      <c r="F801" s="278" t="n"/>
      <c r="G801" s="278" t="n"/>
      <c r="H801" s="277" t="n">
        <v>470</v>
      </c>
      <c r="I801" s="71" t="n"/>
      <c r="J801" s="747">
        <f>F801*I801</f>
        <v/>
      </c>
      <c r="K801" s="747" t="n"/>
      <c r="L801" s="748" t="n"/>
    </row>
    <row r="802">
      <c r="A802" s="297" t="n"/>
      <c r="B802" s="93" t="n"/>
      <c r="C802" s="93" t="n"/>
      <c r="D802" s="94" t="n"/>
      <c r="E802" s="94" t="n"/>
      <c r="F802" s="95" t="n"/>
      <c r="G802" s="95" t="n"/>
      <c r="H802" s="98" t="n"/>
      <c r="I802" s="71" t="n"/>
      <c r="J802" s="747">
        <f>F802*I802</f>
        <v/>
      </c>
      <c r="K802" s="747" t="n"/>
      <c r="L802" s="748" t="n"/>
    </row>
    <row r="803">
      <c r="A803" s="297" t="n"/>
      <c r="B803" s="93" t="n"/>
      <c r="C803" s="93" t="n"/>
      <c r="D803" s="94" t="n"/>
      <c r="E803" s="94" t="n"/>
      <c r="F803" s="95" t="n"/>
      <c r="G803" s="95" t="n"/>
      <c r="H803" s="98" t="n"/>
      <c r="I803" s="71" t="n"/>
      <c r="J803" s="747">
        <f>F803*I803</f>
        <v/>
      </c>
      <c r="K803" s="747" t="n"/>
      <c r="L803" s="748" t="n"/>
    </row>
    <row r="804">
      <c r="A804" s="415" t="n"/>
      <c r="B804" s="416" t="n"/>
      <c r="C804" s="416" t="n"/>
      <c r="D804" s="417" t="n"/>
      <c r="E804" s="417" t="n"/>
      <c r="F804" s="418" t="n"/>
      <c r="G804" s="418" t="n"/>
      <c r="H804" s="418" t="n"/>
      <c r="I804" s="257" t="n"/>
      <c r="J804" s="756" t="n"/>
      <c r="K804" s="756" t="n"/>
      <c r="L804" s="756" t="n"/>
    </row>
    <row r="805">
      <c r="A805" s="415" t="n"/>
      <c r="B805" s="416" t="n"/>
      <c r="C805" s="416" t="n"/>
      <c r="D805" s="417" t="n"/>
      <c r="E805" s="417" t="n"/>
      <c r="F805" s="418" t="n"/>
      <c r="G805" s="418" t="n"/>
      <c r="H805" s="418" t="n"/>
      <c r="I805" s="257" t="n"/>
      <c r="J805" s="756" t="n"/>
      <c r="K805" s="756" t="n"/>
      <c r="L805" s="756" t="n"/>
    </row>
    <row r="806">
      <c r="A806" s="415" t="n"/>
      <c r="B806" s="416" t="n"/>
      <c r="C806" s="416" t="n"/>
      <c r="D806" s="417" t="n"/>
      <c r="E806" s="417" t="n"/>
      <c r="F806" s="418" t="n"/>
      <c r="G806" s="418" t="n"/>
      <c r="H806" s="418" t="n"/>
      <c r="I806" s="257" t="n"/>
      <c r="J806" s="756" t="n"/>
      <c r="K806" s="756" t="n"/>
      <c r="L806" s="756" t="n"/>
    </row>
    <row r="807" ht="15.75" customHeight="1" s="436" thickBot="1"/>
    <row r="808" ht="24" customHeight="1" s="436" thickBot="1">
      <c r="A808" s="759" t="inlineStr">
        <is>
          <t>Fevereiro</t>
        </is>
      </c>
      <c r="B808" s="697" t="n"/>
      <c r="C808" s="697" t="n"/>
      <c r="D808" s="697" t="n"/>
      <c r="E808" s="697" t="n"/>
      <c r="F808" s="697" t="n"/>
      <c r="G808" s="697" t="n"/>
      <c r="H808" s="697" t="n"/>
      <c r="I808" s="697" t="n"/>
      <c r="J808" s="697" t="n"/>
      <c r="K808" s="697" t="n"/>
      <c r="L808" s="698" t="n"/>
    </row>
    <row r="809" ht="24" customHeight="1" s="436" thickBot="1">
      <c r="A809" s="759" t="inlineStr">
        <is>
          <t xml:space="preserve">  PRÉ MISTURA -  Pão Doce 25 KG</t>
        </is>
      </c>
      <c r="B809" s="697" t="n"/>
      <c r="C809" s="697" t="n"/>
      <c r="D809" s="697" t="n"/>
      <c r="E809" s="697" t="n"/>
      <c r="F809" s="697" t="n"/>
      <c r="G809" s="697" t="n"/>
      <c r="H809" s="697" t="n"/>
      <c r="I809" s="697" t="n"/>
      <c r="J809" s="697" t="n"/>
      <c r="K809" s="697" t="n"/>
      <c r="L809" s="698" t="n"/>
    </row>
    <row r="810">
      <c r="A810" s="3" t="inlineStr">
        <is>
          <t>DATA</t>
        </is>
      </c>
      <c r="B810" s="3" t="inlineStr">
        <is>
          <t>N.F.</t>
        </is>
      </c>
      <c r="C810" s="3" t="inlineStr">
        <is>
          <t>TIPO</t>
        </is>
      </c>
      <c r="D810" s="3" t="inlineStr">
        <is>
          <t>PREÇO UNITÁRIO</t>
        </is>
      </c>
      <c r="E810" s="736" t="n"/>
      <c r="F810" s="3" t="inlineStr">
        <is>
          <t>QUANTIDADE / KG</t>
        </is>
      </c>
      <c r="G810" s="737" t="n"/>
      <c r="H810" s="736" t="n"/>
      <c r="I810" s="631" t="inlineStr">
        <is>
          <t>PREÇO</t>
        </is>
      </c>
      <c r="J810" s="631" t="inlineStr">
        <is>
          <t>VALORES</t>
        </is>
      </c>
      <c r="K810" s="737" t="n"/>
      <c r="L810" s="736" t="n"/>
    </row>
    <row r="811" ht="15.75" customHeight="1" s="436" thickBot="1">
      <c r="A811" s="704" t="n"/>
      <c r="B811" s="704" t="n"/>
      <c r="C811" s="704" t="n"/>
      <c r="D811" s="703" t="n"/>
      <c r="E811" s="701" t="n"/>
      <c r="F811" s="705" t="n"/>
      <c r="G811" s="706" t="n"/>
      <c r="H811" s="707" t="n"/>
      <c r="I811" s="704" t="n"/>
      <c r="J811" s="703" t="n"/>
      <c r="L811" s="701" t="n"/>
    </row>
    <row r="812" ht="15.75" customHeight="1" s="436" thickBot="1">
      <c r="A812" s="704" t="n"/>
      <c r="B812" s="704" t="n"/>
      <c r="C812" s="704" t="n"/>
      <c r="D812" s="705" t="n"/>
      <c r="E812" s="707" t="n"/>
      <c r="F812" s="3" t="inlineStr">
        <is>
          <t>ENTRADA</t>
        </is>
      </c>
      <c r="G812" s="3" t="inlineStr">
        <is>
          <t>SAÍDA</t>
        </is>
      </c>
      <c r="H812" s="640" t="n"/>
      <c r="I812" s="633" t="inlineStr">
        <is>
          <t>MÉDIO</t>
        </is>
      </c>
      <c r="J812" s="739" t="inlineStr">
        <is>
          <t>SALDO EM 30/12/2017</t>
        </is>
      </c>
      <c r="K812" s="707" t="n"/>
      <c r="L812" s="17" t="n"/>
    </row>
    <row r="813" ht="15.75" customHeight="1" s="436" thickBot="1">
      <c r="A813" s="695" t="n"/>
      <c r="B813" s="695" t="n"/>
      <c r="C813" s="695" t="n"/>
      <c r="D813" s="3" t="inlineStr">
        <is>
          <t>C/ICMS</t>
        </is>
      </c>
      <c r="E813" s="3" t="inlineStr">
        <is>
          <t>S/ICMS</t>
        </is>
      </c>
      <c r="F813" s="695" t="n"/>
      <c r="G813" s="695" t="n"/>
      <c r="H813" s="361" t="inlineStr">
        <is>
          <t>Saldo em 30/01/2022</t>
        </is>
      </c>
      <c r="I813" s="695" t="n"/>
      <c r="J813" s="645" t="inlineStr">
        <is>
          <t>ENTRADA</t>
        </is>
      </c>
      <c r="K813" s="633" t="inlineStr">
        <is>
          <t>SAÍDA / CMV</t>
        </is>
      </c>
      <c r="L813" s="633" t="inlineStr">
        <is>
          <t>SALDO</t>
        </is>
      </c>
    </row>
    <row r="814">
      <c r="A814" s="297" t="n"/>
      <c r="B814" s="96" t="n"/>
      <c r="C814" s="96" t="n"/>
      <c r="D814" s="97" t="n"/>
      <c r="E814" s="97" t="n"/>
      <c r="F814" s="98" t="n"/>
      <c r="G814" s="761" t="n"/>
      <c r="H814" s="98" t="n">
        <v>470</v>
      </c>
      <c r="I814" s="392" t="n"/>
      <c r="J814" s="392" t="n"/>
      <c r="K814" s="392" t="n"/>
      <c r="L814" s="392" t="n"/>
    </row>
    <row r="815">
      <c r="A815" s="297" t="n">
        <v>44958</v>
      </c>
      <c r="B815" s="93" t="inlineStr">
        <is>
          <t>9889</t>
        </is>
      </c>
      <c r="C815" s="93" t="inlineStr">
        <is>
          <t>105</t>
        </is>
      </c>
      <c r="D815" s="94" t="n"/>
      <c r="E815" s="94" t="n"/>
      <c r="F815" s="95" t="n"/>
      <c r="G815" s="95" t="n">
        <v>12</v>
      </c>
      <c r="H815" s="98">
        <f>H814-G815</f>
        <v/>
      </c>
      <c r="I815" s="71" t="n"/>
      <c r="J815" s="747">
        <f>F815*I815</f>
        <v/>
      </c>
      <c r="K815" s="747" t="n"/>
      <c r="L815" s="748" t="n"/>
    </row>
    <row r="816">
      <c r="A816" s="297" t="n">
        <v>44959</v>
      </c>
      <c r="B816" s="93" t="inlineStr">
        <is>
          <t>9890</t>
        </is>
      </c>
      <c r="C816" s="93" t="inlineStr">
        <is>
          <t>103</t>
        </is>
      </c>
      <c r="D816" s="94" t="n"/>
      <c r="E816" s="94" t="n"/>
      <c r="F816" s="95" t="n"/>
      <c r="G816" s="95" t="n">
        <v>12</v>
      </c>
      <c r="H816" s="98">
        <f>H815-G816</f>
        <v/>
      </c>
      <c r="I816" s="71" t="n"/>
      <c r="J816" s="747">
        <f>F816*I816</f>
        <v/>
      </c>
      <c r="K816" s="747" t="n"/>
      <c r="L816" s="748" t="n"/>
    </row>
    <row r="817">
      <c r="A817" s="297" t="n">
        <v>44963</v>
      </c>
      <c r="B817" s="93" t="inlineStr">
        <is>
          <t>9894</t>
        </is>
      </c>
      <c r="C817" s="93" t="inlineStr">
        <is>
          <t>105,7</t>
        </is>
      </c>
      <c r="D817" s="94" t="n"/>
      <c r="E817" s="94" t="n"/>
      <c r="F817" s="95" t="n"/>
      <c r="G817" s="95" t="n">
        <v>20</v>
      </c>
      <c r="H817" s="98">
        <f>H816-G817</f>
        <v/>
      </c>
      <c r="I817" s="71" t="n"/>
      <c r="J817" s="747">
        <f>F817*I817</f>
        <v/>
      </c>
      <c r="K817" s="747" t="n"/>
      <c r="L817" s="748" t="n"/>
    </row>
    <row r="818">
      <c r="A818" s="297" t="n">
        <v>44963</v>
      </c>
      <c r="B818" s="93" t="inlineStr">
        <is>
          <t>9895</t>
        </is>
      </c>
      <c r="C818" s="93" t="inlineStr">
        <is>
          <t>105,8</t>
        </is>
      </c>
      <c r="D818" s="94" t="n"/>
      <c r="E818" s="94" t="n"/>
      <c r="F818" s="95" t="n"/>
      <c r="G818" s="95" t="n">
        <v>100</v>
      </c>
      <c r="H818" s="98">
        <f>H817-G818</f>
        <v/>
      </c>
      <c r="I818" s="71" t="n"/>
      <c r="J818" s="747">
        <f>F818*I818</f>
        <v/>
      </c>
      <c r="K818" s="747" t="n"/>
      <c r="L818" s="748" t="n"/>
    </row>
    <row r="819">
      <c r="A819" s="297" t="n">
        <v>44963</v>
      </c>
      <c r="B819" s="93" t="inlineStr">
        <is>
          <t>9908</t>
        </is>
      </c>
      <c r="C819" s="93" t="inlineStr">
        <is>
          <t>110</t>
        </is>
      </c>
      <c r="D819" s="94" t="n"/>
      <c r="E819" s="94" t="n"/>
      <c r="F819" s="95" t="n"/>
      <c r="G819" s="95" t="n">
        <v>20</v>
      </c>
      <c r="H819" s="98">
        <f>H818-G819</f>
        <v/>
      </c>
      <c r="I819" s="71" t="n"/>
      <c r="J819" s="747">
        <f>F819*I819</f>
        <v/>
      </c>
      <c r="K819" s="747" t="n"/>
      <c r="L819" s="748" t="n"/>
    </row>
    <row r="820">
      <c r="A820" s="297" t="n">
        <v>44980</v>
      </c>
      <c r="B820" s="93" t="inlineStr">
        <is>
          <t>9934</t>
        </is>
      </c>
      <c r="C820" s="93" t="inlineStr">
        <is>
          <t>99</t>
        </is>
      </c>
      <c r="D820" s="94" t="n"/>
      <c r="E820" s="94" t="n"/>
      <c r="F820" s="95" t="n"/>
      <c r="G820" s="95" t="n">
        <v>50</v>
      </c>
      <c r="H820" s="98">
        <f>H819-G820</f>
        <v/>
      </c>
      <c r="I820" s="71" t="n"/>
      <c r="J820" s="747">
        <f>F820*I820</f>
        <v/>
      </c>
      <c r="K820" s="747" t="n"/>
      <c r="L820" s="748" t="n"/>
    </row>
    <row r="821">
      <c r="A821" s="297" t="n">
        <v>44980</v>
      </c>
      <c r="B821" s="93" t="inlineStr">
        <is>
          <t>9935</t>
        </is>
      </c>
      <c r="C821" s="93" t="inlineStr">
        <is>
          <t>104</t>
        </is>
      </c>
      <c r="D821" s="94" t="n"/>
      <c r="E821" s="94" t="n"/>
      <c r="F821" s="95" t="n"/>
      <c r="G821" s="95" t="n">
        <v>10</v>
      </c>
      <c r="H821" s="98">
        <f>H820-G821</f>
        <v/>
      </c>
      <c r="I821" s="71" t="n"/>
      <c r="J821" s="747">
        <f>F821*I821</f>
        <v/>
      </c>
      <c r="K821" s="747" t="n"/>
      <c r="L821" s="748" t="n"/>
    </row>
    <row r="822">
      <c r="A822" s="297" t="n">
        <v>44980</v>
      </c>
      <c r="B822" s="93" t="inlineStr">
        <is>
          <t>9936</t>
        </is>
      </c>
      <c r="C822" s="93" t="inlineStr">
        <is>
          <t>104</t>
        </is>
      </c>
      <c r="D822" s="94" t="n"/>
      <c r="E822" s="94" t="n"/>
      <c r="F822" s="95" t="n"/>
      <c r="G822" s="95" t="n">
        <v>20</v>
      </c>
      <c r="H822" s="98">
        <f>H821-G822</f>
        <v/>
      </c>
      <c r="I822" s="71" t="n"/>
      <c r="J822" s="747">
        <f>F822*I822</f>
        <v/>
      </c>
      <c r="K822" s="747" t="n"/>
      <c r="L822" s="748" t="n"/>
    </row>
    <row r="823">
      <c r="A823" s="297" t="n">
        <v>44980</v>
      </c>
      <c r="B823" s="93" t="inlineStr">
        <is>
          <t>9937</t>
        </is>
      </c>
      <c r="C823" s="93" t="inlineStr">
        <is>
          <t>110</t>
        </is>
      </c>
      <c r="D823" s="94" t="n"/>
      <c r="E823" s="94" t="n"/>
      <c r="F823" s="95" t="n"/>
      <c r="G823" s="95" t="n">
        <v>20</v>
      </c>
      <c r="H823" s="98">
        <f>H822-G823</f>
        <v/>
      </c>
      <c r="I823" s="71" t="n"/>
      <c r="J823" s="747">
        <f>F823*I823</f>
        <v/>
      </c>
      <c r="K823" s="747" t="n"/>
      <c r="L823" s="748" t="n"/>
    </row>
    <row r="824">
      <c r="A824" s="297" t="n">
        <v>44980</v>
      </c>
      <c r="B824" s="93" t="inlineStr">
        <is>
          <t>9938</t>
        </is>
      </c>
      <c r="C824" s="93" t="inlineStr">
        <is>
          <t>105</t>
        </is>
      </c>
      <c r="D824" s="94" t="n"/>
      <c r="E824" s="94" t="n"/>
      <c r="F824" s="95" t="n"/>
      <c r="G824" s="95" t="n">
        <v>30</v>
      </c>
      <c r="H824" s="98">
        <f>H823-G824</f>
        <v/>
      </c>
      <c r="I824" s="71" t="n"/>
      <c r="J824" s="747">
        <f>F824*I824</f>
        <v/>
      </c>
      <c r="K824" s="747" t="n"/>
      <c r="L824" s="748" t="n"/>
    </row>
    <row r="825">
      <c r="A825" s="297" t="n">
        <v>44980</v>
      </c>
      <c r="B825" s="93" t="inlineStr">
        <is>
          <t>9940</t>
        </is>
      </c>
      <c r="C825" s="93" t="inlineStr">
        <is>
          <t>102</t>
        </is>
      </c>
      <c r="D825" s="94" t="n"/>
      <c r="E825" s="94" t="n"/>
      <c r="F825" s="95" t="n"/>
      <c r="G825" s="95" t="n">
        <v>30</v>
      </c>
      <c r="H825" s="98">
        <f>H824-G825</f>
        <v/>
      </c>
      <c r="I825" s="71" t="n"/>
      <c r="J825" s="747">
        <f>F825*I825</f>
        <v/>
      </c>
      <c r="K825" s="747" t="n"/>
      <c r="L825" s="748" t="n"/>
    </row>
    <row r="826">
      <c r="A826" s="297" t="n">
        <v>44980</v>
      </c>
      <c r="B826" s="93" t="inlineStr">
        <is>
          <t>9941</t>
        </is>
      </c>
      <c r="C826" s="93" t="inlineStr">
        <is>
          <t>106,4</t>
        </is>
      </c>
      <c r="D826" s="94" t="n"/>
      <c r="E826" s="94" t="n"/>
      <c r="F826" s="95" t="n"/>
      <c r="G826" s="95" t="n">
        <v>25</v>
      </c>
      <c r="H826" s="98">
        <f>H825-G826</f>
        <v/>
      </c>
      <c r="I826" s="71" t="n"/>
      <c r="J826" s="747">
        <f>F826*I826</f>
        <v/>
      </c>
      <c r="K826" s="747" t="n"/>
      <c r="L826" s="748" t="n"/>
    </row>
    <row r="827">
      <c r="A827" s="297" t="n">
        <v>44980</v>
      </c>
      <c r="B827" s="93" t="inlineStr">
        <is>
          <t>9942</t>
        </is>
      </c>
      <c r="C827" s="93" t="inlineStr">
        <is>
          <t>105</t>
        </is>
      </c>
      <c r="D827" s="94" t="n"/>
      <c r="E827" s="94" t="n"/>
      <c r="F827" s="95" t="n"/>
      <c r="G827" s="95" t="n">
        <v>100</v>
      </c>
      <c r="H827" s="98">
        <f>H826-G827</f>
        <v/>
      </c>
      <c r="I827" s="71" t="n"/>
      <c r="J827" s="747">
        <f>F827*I827</f>
        <v/>
      </c>
      <c r="K827" s="747" t="n"/>
      <c r="L827" s="748" t="n"/>
    </row>
    <row r="828">
      <c r="A828" s="297" t="n">
        <v>44985</v>
      </c>
      <c r="B828" s="93" t="inlineStr">
        <is>
          <t>9943</t>
        </is>
      </c>
      <c r="C828" s="93" t="inlineStr">
        <is>
          <t>106</t>
        </is>
      </c>
      <c r="D828" s="94" t="n"/>
      <c r="E828" s="94" t="n"/>
      <c r="F828" s="95" t="n"/>
      <c r="G828" s="95" t="n">
        <v>30</v>
      </c>
      <c r="H828" s="98">
        <f>H827-G828</f>
        <v/>
      </c>
      <c r="I828" s="71" t="n"/>
      <c r="J828" s="747">
        <f>F828*I828</f>
        <v/>
      </c>
      <c r="K828" s="747" t="n"/>
      <c r="L828" s="748" t="n"/>
    </row>
    <row r="829">
      <c r="A829" s="297" t="n">
        <v>44985</v>
      </c>
      <c r="B829" s="93" t="inlineStr">
        <is>
          <t>9944</t>
        </is>
      </c>
      <c r="C829" s="93" t="inlineStr">
        <is>
          <t>110</t>
        </is>
      </c>
      <c r="D829" s="94" t="n"/>
      <c r="E829" s="94" t="n"/>
      <c r="F829" s="95" t="n"/>
      <c r="G829" s="95" t="n">
        <v>30</v>
      </c>
      <c r="H829" s="98">
        <f>H828-G829</f>
        <v/>
      </c>
      <c r="I829" s="71" t="n"/>
      <c r="J829" s="747">
        <f>F829*I829</f>
        <v/>
      </c>
      <c r="K829" s="747" t="n"/>
      <c r="L829" s="748" t="n"/>
    </row>
    <row r="830" ht="15.75" customHeight="1" s="436" thickBot="1"/>
    <row r="831" ht="24" customHeight="1" s="436" thickBot="1">
      <c r="A831" s="759" t="inlineStr">
        <is>
          <t>Março</t>
        </is>
      </c>
      <c r="B831" s="697" t="n"/>
      <c r="C831" s="697" t="n"/>
      <c r="D831" s="697" t="n"/>
      <c r="E831" s="697" t="n"/>
      <c r="F831" s="697" t="n"/>
      <c r="G831" s="697" t="n"/>
      <c r="H831" s="697" t="n"/>
      <c r="I831" s="697" t="n"/>
      <c r="J831" s="697" t="n"/>
      <c r="K831" s="697" t="n"/>
      <c r="L831" s="698" t="n"/>
    </row>
    <row r="832" ht="24" customHeight="1" s="436" thickBot="1">
      <c r="A832" s="759" t="inlineStr">
        <is>
          <t xml:space="preserve">  PRÉ MISTURA -  Pão Doce 25 KG</t>
        </is>
      </c>
      <c r="B832" s="697" t="n"/>
      <c r="C832" s="697" t="n"/>
      <c r="D832" s="697" t="n"/>
      <c r="E832" s="697" t="n"/>
      <c r="F832" s="697" t="n"/>
      <c r="G832" s="697" t="n"/>
      <c r="H832" s="697" t="n"/>
      <c r="I832" s="697" t="n"/>
      <c r="J832" s="697" t="n"/>
      <c r="K832" s="697" t="n"/>
      <c r="L832" s="698" t="n"/>
    </row>
    <row r="833">
      <c r="A833" s="3" t="inlineStr">
        <is>
          <t>DATA</t>
        </is>
      </c>
      <c r="B833" s="3" t="inlineStr">
        <is>
          <t>N.F.</t>
        </is>
      </c>
      <c r="C833" s="3" t="inlineStr">
        <is>
          <t>TIPO</t>
        </is>
      </c>
      <c r="D833" s="3" t="inlineStr">
        <is>
          <t>PREÇO UNITÁRIO</t>
        </is>
      </c>
      <c r="E833" s="736" t="n"/>
      <c r="F833" s="3" t="inlineStr">
        <is>
          <t>QUANTIDADE / KG</t>
        </is>
      </c>
      <c r="G833" s="737" t="n"/>
      <c r="H833" s="736" t="n"/>
      <c r="I833" s="631" t="inlineStr">
        <is>
          <t>PREÇO</t>
        </is>
      </c>
      <c r="J833" s="631" t="inlineStr">
        <is>
          <t>VALORES</t>
        </is>
      </c>
      <c r="K833" s="737" t="n"/>
      <c r="L833" s="736" t="n"/>
    </row>
    <row r="834" ht="15.75" customHeight="1" s="436" thickBot="1">
      <c r="A834" s="704" t="n"/>
      <c r="B834" s="704" t="n"/>
      <c r="C834" s="704" t="n"/>
      <c r="D834" s="703" t="n"/>
      <c r="E834" s="701" t="n"/>
      <c r="F834" s="705" t="n"/>
      <c r="G834" s="706" t="n"/>
      <c r="H834" s="707" t="n"/>
      <c r="I834" s="704" t="n"/>
      <c r="J834" s="703" t="n"/>
      <c r="L834" s="701" t="n"/>
    </row>
    <row r="835" ht="15.75" customHeight="1" s="436" thickBot="1">
      <c r="A835" s="704" t="n"/>
      <c r="B835" s="704" t="n"/>
      <c r="C835" s="704" t="n"/>
      <c r="D835" s="705" t="n"/>
      <c r="E835" s="707" t="n"/>
      <c r="F835" s="3" t="inlineStr">
        <is>
          <t>ENTRADA</t>
        </is>
      </c>
      <c r="G835" s="3" t="inlineStr">
        <is>
          <t>SAÍDA</t>
        </is>
      </c>
      <c r="H835" s="640" t="n"/>
      <c r="I835" s="633" t="inlineStr">
        <is>
          <t>MÉDIO</t>
        </is>
      </c>
      <c r="J835" s="739" t="inlineStr">
        <is>
          <t>SALDO EM 30/12/2017</t>
        </is>
      </c>
      <c r="K835" s="707" t="n"/>
      <c r="L835" s="17" t="n"/>
    </row>
    <row r="836" ht="15.75" customHeight="1" s="436" thickBot="1">
      <c r="A836" s="695" t="n"/>
      <c r="B836" s="695" t="n"/>
      <c r="C836" s="695" t="n"/>
      <c r="D836" s="3" t="inlineStr">
        <is>
          <t>C/ICMS</t>
        </is>
      </c>
      <c r="E836" s="3" t="inlineStr">
        <is>
          <t>S/ICMS</t>
        </is>
      </c>
      <c r="F836" s="695" t="n"/>
      <c r="G836" s="695" t="n"/>
      <c r="H836" s="361" t="inlineStr">
        <is>
          <t>Saldo em 28/02/2022</t>
        </is>
      </c>
      <c r="I836" s="695" t="n"/>
      <c r="J836" s="645" t="inlineStr">
        <is>
          <t>ENTRADA</t>
        </is>
      </c>
      <c r="K836" s="633" t="inlineStr">
        <is>
          <t>SAÍDA / CMV</t>
        </is>
      </c>
      <c r="L836" s="633" t="inlineStr">
        <is>
          <t>SALDO</t>
        </is>
      </c>
    </row>
    <row r="837">
      <c r="A837" s="297" t="n"/>
      <c r="B837" s="96" t="n"/>
      <c r="C837" s="96" t="n"/>
      <c r="D837" s="97" t="n"/>
      <c r="E837" s="97" t="n"/>
      <c r="F837" s="98" t="n"/>
      <c r="G837" s="761" t="n"/>
      <c r="H837" s="98" t="n">
        <v>-39</v>
      </c>
      <c r="I837" s="392" t="n"/>
      <c r="J837" s="392" t="n"/>
      <c r="K837" s="392" t="n"/>
      <c r="L837" s="392" t="n"/>
    </row>
    <row r="838">
      <c r="A838" s="310" t="n">
        <v>44992</v>
      </c>
      <c r="B838" s="274" t="inlineStr">
        <is>
          <t>211350</t>
        </is>
      </c>
      <c r="C838" s="274" t="n"/>
      <c r="D838" s="279" t="n">
        <v>90.09999999999999</v>
      </c>
      <c r="E838" s="279" t="n"/>
      <c r="F838" s="278" t="n">
        <v>300</v>
      </c>
      <c r="G838" s="764" t="n"/>
      <c r="H838" s="277" t="n">
        <v>261</v>
      </c>
      <c r="I838" s="473" t="n"/>
      <c r="J838" s="473" t="n"/>
      <c r="K838" s="473" t="n"/>
      <c r="L838" s="474" t="n"/>
    </row>
    <row r="839">
      <c r="A839" s="297" t="n">
        <v>44993</v>
      </c>
      <c r="B839" s="93" t="inlineStr">
        <is>
          <t>9980</t>
        </is>
      </c>
      <c r="C839" s="93" t="inlineStr">
        <is>
          <t>110</t>
        </is>
      </c>
      <c r="D839" s="94" t="n"/>
      <c r="E839" s="94" t="n"/>
      <c r="F839" s="95" t="n"/>
      <c r="G839" s="95" t="n">
        <v>20</v>
      </c>
      <c r="H839" s="98">
        <f>H838-G839</f>
        <v/>
      </c>
      <c r="I839" s="71" t="n"/>
      <c r="J839" s="747">
        <f>F839*I839</f>
        <v/>
      </c>
      <c r="K839" s="747" t="n"/>
      <c r="L839" s="748" t="n"/>
    </row>
    <row r="840">
      <c r="A840" s="297" t="n">
        <v>44998</v>
      </c>
      <c r="B840" s="93" t="inlineStr">
        <is>
          <t>9986</t>
        </is>
      </c>
      <c r="C840" s="93" t="inlineStr">
        <is>
          <t>106,25</t>
        </is>
      </c>
      <c r="D840" s="94" t="n"/>
      <c r="E840" s="94" t="n"/>
      <c r="F840" s="95" t="n"/>
      <c r="G840" s="95" t="n">
        <v>40</v>
      </c>
      <c r="H840" s="98">
        <f>H839-G840</f>
        <v/>
      </c>
      <c r="I840" s="71" t="n"/>
      <c r="J840" s="747">
        <f>F840*I840</f>
        <v/>
      </c>
      <c r="K840" s="747" t="n"/>
      <c r="L840" s="748" t="n"/>
    </row>
    <row r="841">
      <c r="A841" s="297" t="n">
        <v>44999</v>
      </c>
      <c r="B841" s="93" t="inlineStr">
        <is>
          <t>9996</t>
        </is>
      </c>
      <c r="C841" s="93" t="inlineStr">
        <is>
          <t>106</t>
        </is>
      </c>
      <c r="D841" s="94" t="n"/>
      <c r="E841" s="94" t="n"/>
      <c r="F841" s="95" t="n"/>
      <c r="G841" s="95" t="n">
        <v>30</v>
      </c>
      <c r="H841" s="98">
        <f>H840-G841</f>
        <v/>
      </c>
      <c r="I841" s="71" t="n"/>
      <c r="J841" s="747">
        <f>F841*I841</f>
        <v/>
      </c>
      <c r="K841" s="747" t="n"/>
      <c r="L841" s="748" t="n"/>
    </row>
    <row r="842">
      <c r="A842" s="297" t="n">
        <v>45007</v>
      </c>
      <c r="B842" s="93" t="inlineStr">
        <is>
          <t>10011</t>
        </is>
      </c>
      <c r="C842" s="93" t="inlineStr">
        <is>
          <t>105,73</t>
        </is>
      </c>
      <c r="D842" s="94" t="n"/>
      <c r="E842" s="94" t="n"/>
      <c r="F842" s="95" t="n"/>
      <c r="G842" s="95" t="n">
        <v>102</v>
      </c>
      <c r="H842" s="98">
        <f>H841-G842</f>
        <v/>
      </c>
      <c r="I842" s="71" t="n"/>
      <c r="J842" s="747">
        <f>F842*I842</f>
        <v/>
      </c>
      <c r="K842" s="747" t="n"/>
      <c r="L842" s="748" t="n"/>
    </row>
    <row r="843">
      <c r="A843" s="310" t="n">
        <v>45014</v>
      </c>
      <c r="B843" s="274" t="inlineStr">
        <is>
          <t>213247</t>
        </is>
      </c>
      <c r="C843" s="274" t="n"/>
      <c r="D843" s="279" t="n">
        <v>90</v>
      </c>
      <c r="E843" s="279" t="n"/>
      <c r="F843" s="278" t="n">
        <v>200</v>
      </c>
      <c r="G843" s="278" t="n"/>
      <c r="H843" s="277" t="n">
        <v>269</v>
      </c>
      <c r="I843" s="71" t="n"/>
      <c r="J843" s="747" t="n"/>
      <c r="K843" s="747" t="n"/>
      <c r="L843" s="748" t="n"/>
    </row>
    <row r="844">
      <c r="A844" s="297" t="n">
        <v>45013</v>
      </c>
      <c r="B844" s="93" t="inlineStr">
        <is>
          <t>10021</t>
        </is>
      </c>
      <c r="C844" s="93" t="inlineStr">
        <is>
          <t>104,6</t>
        </is>
      </c>
      <c r="D844" s="94" t="n"/>
      <c r="E844" s="94" t="n"/>
      <c r="F844" s="95" t="n"/>
      <c r="G844" s="95" t="n">
        <v>100</v>
      </c>
      <c r="H844" s="98">
        <f>H843-G844</f>
        <v/>
      </c>
      <c r="I844" s="71" t="n"/>
      <c r="J844" s="747">
        <f>F844*I844</f>
        <v/>
      </c>
      <c r="K844" s="747" t="n"/>
      <c r="L844" s="748" t="n"/>
    </row>
    <row r="845">
      <c r="A845" s="297" t="n">
        <v>45013</v>
      </c>
      <c r="B845" s="93" t="inlineStr">
        <is>
          <t>10027</t>
        </is>
      </c>
      <c r="C845" s="93" t="inlineStr">
        <is>
          <t>105</t>
        </is>
      </c>
      <c r="D845" s="94" t="n"/>
      <c r="E845" s="94" t="n"/>
      <c r="F845" s="95" t="n"/>
      <c r="G845" s="95" t="n">
        <v>30</v>
      </c>
      <c r="H845" s="98">
        <f>H844-G845</f>
        <v/>
      </c>
      <c r="I845" s="71" t="n"/>
      <c r="J845" s="747">
        <f>F845*I845</f>
        <v/>
      </c>
      <c r="K845" s="747" t="n"/>
      <c r="L845" s="748" t="n"/>
    </row>
    <row r="846">
      <c r="A846" s="297" t="n">
        <v>45013</v>
      </c>
      <c r="B846" s="93" t="inlineStr">
        <is>
          <t>10033</t>
        </is>
      </c>
      <c r="C846" s="93" t="inlineStr">
        <is>
          <t>105,5</t>
        </is>
      </c>
      <c r="D846" s="94" t="n"/>
      <c r="E846" s="94" t="n"/>
      <c r="F846" s="95" t="n"/>
      <c r="G846" s="95" t="n">
        <v>30</v>
      </c>
      <c r="H846" s="98">
        <f>H845-G846</f>
        <v/>
      </c>
      <c r="I846" s="71" t="n"/>
      <c r="J846" s="747">
        <f>F846*I846</f>
        <v/>
      </c>
      <c r="K846" s="747" t="n"/>
      <c r="L846" s="748" t="n"/>
    </row>
    <row r="847">
      <c r="A847" s="297" t="n">
        <v>45013</v>
      </c>
      <c r="B847" s="93" t="inlineStr">
        <is>
          <t>10035</t>
        </is>
      </c>
      <c r="C847" s="93" t="inlineStr">
        <is>
          <t>105,5</t>
        </is>
      </c>
      <c r="D847" s="94" t="n"/>
      <c r="E847" s="94" t="n"/>
      <c r="F847" s="95" t="n"/>
      <c r="G847" s="95" t="n">
        <v>20</v>
      </c>
      <c r="H847" s="98">
        <f>H846-G847</f>
        <v/>
      </c>
      <c r="I847" s="71" t="n"/>
      <c r="J847" s="747">
        <f>F847*I847</f>
        <v/>
      </c>
      <c r="K847" s="747" t="n"/>
      <c r="L847" s="748" t="n"/>
    </row>
    <row r="848">
      <c r="A848" s="297" t="n">
        <v>45013</v>
      </c>
      <c r="B848" s="93" t="inlineStr">
        <is>
          <t>10036</t>
        </is>
      </c>
      <c r="C848" s="93" t="inlineStr">
        <is>
          <t>105,67</t>
        </is>
      </c>
      <c r="D848" s="94" t="n"/>
      <c r="E848" s="94" t="n"/>
      <c r="F848" s="95" t="n"/>
      <c r="G848" s="95" t="n">
        <v>30</v>
      </c>
      <c r="H848" s="98">
        <f>H847-G848</f>
        <v/>
      </c>
      <c r="I848" s="71" t="n"/>
      <c r="J848" s="747">
        <f>F848*I848</f>
        <v/>
      </c>
      <c r="K848" s="747" t="n"/>
      <c r="L848" s="748" t="n"/>
    </row>
    <row r="849">
      <c r="A849" s="297" t="n">
        <v>45014</v>
      </c>
      <c r="B849" s="93" t="inlineStr">
        <is>
          <t>10038</t>
        </is>
      </c>
      <c r="C849" s="93" t="inlineStr">
        <is>
          <t>105</t>
        </is>
      </c>
      <c r="D849" s="94" t="n"/>
      <c r="E849" s="94" t="n"/>
      <c r="F849" s="95" t="n"/>
      <c r="G849" s="95" t="n">
        <v>48</v>
      </c>
      <c r="H849" s="98">
        <f>H848-G849</f>
        <v/>
      </c>
      <c r="I849" s="71" t="n"/>
      <c r="J849" s="747">
        <f>F849*I849</f>
        <v/>
      </c>
      <c r="K849" s="747" t="n"/>
      <c r="L849" s="748" t="n"/>
    </row>
    <row r="850">
      <c r="A850" s="297" t="n">
        <v>45014</v>
      </c>
      <c r="B850" s="93" t="inlineStr">
        <is>
          <t>10040</t>
        </is>
      </c>
      <c r="C850" s="93" t="inlineStr">
        <is>
          <t>110</t>
        </is>
      </c>
      <c r="D850" s="94" t="n"/>
      <c r="E850" s="94" t="n"/>
      <c r="F850" s="95" t="n"/>
      <c r="G850" s="95" t="n">
        <v>20</v>
      </c>
      <c r="H850" s="98">
        <f>H849-G850</f>
        <v/>
      </c>
      <c r="I850" s="71" t="n"/>
      <c r="J850" s="747">
        <f>F850*I850</f>
        <v/>
      </c>
      <c r="K850" s="747" t="n"/>
      <c r="L850" s="748" t="n"/>
    </row>
    <row r="851">
      <c r="A851" s="297" t="n">
        <v>45014</v>
      </c>
      <c r="B851" s="93" t="inlineStr">
        <is>
          <t>10041</t>
        </is>
      </c>
      <c r="C851" s="93" t="inlineStr">
        <is>
          <t>105,5</t>
        </is>
      </c>
      <c r="D851" s="94" t="n"/>
      <c r="E851" s="94" t="n"/>
      <c r="F851" s="95" t="n"/>
      <c r="G851" s="95" t="n">
        <v>10</v>
      </c>
      <c r="H851" s="98">
        <f>H850-G851</f>
        <v/>
      </c>
      <c r="I851" s="71" t="n"/>
      <c r="J851" s="747">
        <f>F851*I851</f>
        <v/>
      </c>
      <c r="K851" s="747" t="n"/>
      <c r="L851" s="748" t="n"/>
    </row>
    <row r="852" ht="15.75" customHeight="1" s="436" thickBot="1"/>
    <row r="853" ht="24" customHeight="1" s="436" thickBot="1">
      <c r="A853" s="759" t="inlineStr">
        <is>
          <t>Abril</t>
        </is>
      </c>
      <c r="B853" s="697" t="n"/>
      <c r="C853" s="697" t="n"/>
      <c r="D853" s="697" t="n"/>
      <c r="E853" s="697" t="n"/>
      <c r="F853" s="697" t="n"/>
      <c r="G853" s="697" t="n"/>
      <c r="H853" s="697" t="n"/>
      <c r="I853" s="697" t="n"/>
      <c r="J853" s="697" t="n"/>
      <c r="K853" s="697" t="n"/>
      <c r="L853" s="698" t="n"/>
    </row>
    <row r="854" ht="24" customHeight="1" s="436" thickBot="1">
      <c r="A854" s="759" t="inlineStr">
        <is>
          <t xml:space="preserve">  PRÉ MISTURA -  Pão Doce 25 KG</t>
        </is>
      </c>
      <c r="B854" s="697" t="n"/>
      <c r="C854" s="697" t="n"/>
      <c r="D854" s="697" t="n"/>
      <c r="E854" s="697" t="n"/>
      <c r="F854" s="697" t="n"/>
      <c r="G854" s="697" t="n"/>
      <c r="H854" s="697" t="n"/>
      <c r="I854" s="697" t="n"/>
      <c r="J854" s="697" t="n"/>
      <c r="K854" s="697" t="n"/>
      <c r="L854" s="698" t="n"/>
    </row>
    <row r="855">
      <c r="A855" s="3" t="inlineStr">
        <is>
          <t>DATA</t>
        </is>
      </c>
      <c r="B855" s="3" t="inlineStr">
        <is>
          <t>N.F.</t>
        </is>
      </c>
      <c r="C855" s="3" t="inlineStr">
        <is>
          <t>TIPO</t>
        </is>
      </c>
      <c r="D855" s="3" t="inlineStr">
        <is>
          <t>PREÇO UNITÁRIO</t>
        </is>
      </c>
      <c r="E855" s="736" t="n"/>
      <c r="F855" s="3" t="inlineStr">
        <is>
          <t>QUANTIDADE / KG</t>
        </is>
      </c>
      <c r="G855" s="737" t="n"/>
      <c r="H855" s="736" t="n"/>
      <c r="I855" s="631" t="inlineStr">
        <is>
          <t>PREÇO</t>
        </is>
      </c>
      <c r="J855" s="631" t="inlineStr">
        <is>
          <t>VALORES</t>
        </is>
      </c>
      <c r="K855" s="737" t="n"/>
      <c r="L855" s="736" t="n"/>
    </row>
    <row r="856" ht="15.75" customHeight="1" s="436" thickBot="1">
      <c r="A856" s="704" t="n"/>
      <c r="B856" s="704" t="n"/>
      <c r="C856" s="704" t="n"/>
      <c r="D856" s="703" t="n"/>
      <c r="E856" s="701" t="n"/>
      <c r="F856" s="705" t="n"/>
      <c r="G856" s="706" t="n"/>
      <c r="H856" s="707" t="n"/>
      <c r="I856" s="704" t="n"/>
      <c r="J856" s="703" t="n"/>
      <c r="L856" s="701" t="n"/>
    </row>
    <row r="857" ht="15.75" customHeight="1" s="436" thickBot="1">
      <c r="A857" s="704" t="n"/>
      <c r="B857" s="704" t="n"/>
      <c r="C857" s="704" t="n"/>
      <c r="D857" s="705" t="n"/>
      <c r="E857" s="707" t="n"/>
      <c r="F857" s="3" t="inlineStr">
        <is>
          <t>ENTRADA</t>
        </is>
      </c>
      <c r="G857" s="3" t="inlineStr">
        <is>
          <t>SAÍDA</t>
        </is>
      </c>
      <c r="H857" s="640" t="n"/>
      <c r="I857" s="633" t="inlineStr">
        <is>
          <t>MÉDIO</t>
        </is>
      </c>
      <c r="J857" s="739" t="inlineStr">
        <is>
          <t>SALDO EM 30/12/2017</t>
        </is>
      </c>
      <c r="K857" s="707" t="n"/>
      <c r="L857" s="17" t="n"/>
    </row>
    <row r="858" ht="15.75" customHeight="1" s="436" thickBot="1">
      <c r="A858" s="695" t="n"/>
      <c r="B858" s="695" t="n"/>
      <c r="C858" s="695" t="n"/>
      <c r="D858" s="3" t="inlineStr">
        <is>
          <t>C/ICMS</t>
        </is>
      </c>
      <c r="E858" s="3" t="inlineStr">
        <is>
          <t>S/ICMS</t>
        </is>
      </c>
      <c r="F858" s="695" t="n"/>
      <c r="G858" s="695" t="n"/>
      <c r="H858" s="361" t="inlineStr">
        <is>
          <t>Saldo em 31/03/2022</t>
        </is>
      </c>
      <c r="I858" s="695" t="n"/>
      <c r="J858" s="645" t="inlineStr">
        <is>
          <t>ENTRADA</t>
        </is>
      </c>
      <c r="K858" s="633" t="inlineStr">
        <is>
          <t>SAÍDA / CMV</t>
        </is>
      </c>
      <c r="L858" s="633" t="inlineStr">
        <is>
          <t>SALDO</t>
        </is>
      </c>
    </row>
    <row r="859">
      <c r="A859" s="297" t="n"/>
      <c r="B859" s="96" t="n"/>
      <c r="C859" s="96" t="n"/>
      <c r="D859" s="97" t="n"/>
      <c r="E859" s="97" t="n"/>
      <c r="F859" s="98" t="n"/>
      <c r="G859" s="761" t="n"/>
      <c r="H859" s="98" t="n">
        <v>-19</v>
      </c>
      <c r="I859" s="392" t="n"/>
      <c r="J859" s="392" t="n"/>
      <c r="K859" s="392" t="n"/>
      <c r="L859" s="392" t="n"/>
    </row>
    <row r="860">
      <c r="A860" s="297" t="n">
        <v>45021</v>
      </c>
      <c r="B860" s="93" t="inlineStr">
        <is>
          <t>10044</t>
        </is>
      </c>
      <c r="C860" s="93" t="inlineStr">
        <is>
          <t>110</t>
        </is>
      </c>
      <c r="D860" s="94" t="n"/>
      <c r="E860" s="94" t="n"/>
      <c r="F860" s="95" t="n"/>
      <c r="G860" s="95" t="n">
        <v>30</v>
      </c>
      <c r="H860" s="98">
        <f>H859-G860</f>
        <v/>
      </c>
      <c r="I860" s="71" t="n"/>
      <c r="J860" s="747">
        <f>F860*I860</f>
        <v/>
      </c>
      <c r="K860" s="747" t="n"/>
      <c r="L860" s="748" t="n"/>
    </row>
    <row r="861">
      <c r="A861" s="297" t="n">
        <v>45021</v>
      </c>
      <c r="B861" s="93" t="inlineStr">
        <is>
          <t>10051</t>
        </is>
      </c>
      <c r="C861" s="93" t="inlineStr">
        <is>
          <t>107</t>
        </is>
      </c>
      <c r="D861" s="94" t="n"/>
      <c r="E861" s="94" t="n"/>
      <c r="F861" s="95" t="n"/>
      <c r="G861" s="95" t="n">
        <v>10</v>
      </c>
      <c r="H861" s="98">
        <f>H860-G861</f>
        <v/>
      </c>
      <c r="I861" s="71" t="n"/>
      <c r="J861" s="747">
        <f>F861*I861</f>
        <v/>
      </c>
      <c r="K861" s="747" t="n"/>
      <c r="L861" s="748" t="n"/>
    </row>
    <row r="862">
      <c r="A862" s="297" t="n">
        <v>45028</v>
      </c>
      <c r="B862" s="93" t="inlineStr">
        <is>
          <t>10065</t>
        </is>
      </c>
      <c r="C862" s="93" t="inlineStr">
        <is>
          <t>107</t>
        </is>
      </c>
      <c r="D862" s="94" t="n"/>
      <c r="E862" s="94" t="n"/>
      <c r="F862" s="95" t="n"/>
      <c r="G862" s="95" t="n">
        <v>36</v>
      </c>
      <c r="H862" s="98">
        <f>H861-G862</f>
        <v/>
      </c>
      <c r="I862" s="71" t="n"/>
      <c r="J862" s="747">
        <f>F862*I862</f>
        <v/>
      </c>
      <c r="K862" s="747" t="n"/>
      <c r="L862" s="748" t="n"/>
    </row>
    <row r="863">
      <c r="A863" s="297" t="n">
        <v>45028</v>
      </c>
      <c r="B863" s="93" t="inlineStr">
        <is>
          <t>10066</t>
        </is>
      </c>
      <c r="C863" s="93" t="inlineStr">
        <is>
          <t>110</t>
        </is>
      </c>
      <c r="D863" s="94" t="n"/>
      <c r="E863" s="94" t="n"/>
      <c r="F863" s="95" t="n"/>
      <c r="G863" s="95" t="n">
        <v>20</v>
      </c>
      <c r="H863" s="98">
        <f>H862-G863</f>
        <v/>
      </c>
      <c r="I863" s="71" t="n"/>
      <c r="J863" s="747">
        <f>F863*I863</f>
        <v/>
      </c>
      <c r="K863" s="747" t="n"/>
      <c r="L863" s="748" t="n"/>
    </row>
    <row r="864">
      <c r="A864" s="297" t="n">
        <v>45028</v>
      </c>
      <c r="B864" s="93" t="inlineStr">
        <is>
          <t>10069</t>
        </is>
      </c>
      <c r="C864" s="93" t="inlineStr">
        <is>
          <t>105,8</t>
        </is>
      </c>
      <c r="D864" s="94" t="n"/>
      <c r="E864" s="94" t="n"/>
      <c r="F864" s="95" t="n"/>
      <c r="G864" s="95" t="n">
        <v>50</v>
      </c>
      <c r="H864" s="98">
        <f>H863-G864</f>
        <v/>
      </c>
      <c r="I864" s="71" t="n"/>
      <c r="J864" s="747">
        <f>F864*I864</f>
        <v/>
      </c>
      <c r="K864" s="747" t="n"/>
      <c r="L864" s="748" t="n"/>
    </row>
    <row r="865">
      <c r="A865" s="310" t="n">
        <v>45030</v>
      </c>
      <c r="B865" s="274" t="inlineStr">
        <is>
          <t>214771</t>
        </is>
      </c>
      <c r="C865" s="274" t="inlineStr">
        <is>
          <t>90</t>
        </is>
      </c>
      <c r="D865" s="279" t="n">
        <v>250</v>
      </c>
      <c r="E865" s="279" t="n"/>
      <c r="F865" s="278" t="n"/>
      <c r="G865" s="278" t="n"/>
      <c r="H865" s="277" t="n">
        <v>85</v>
      </c>
      <c r="I865" s="71" t="n"/>
      <c r="J865" s="747" t="n"/>
      <c r="K865" s="747" t="n"/>
      <c r="L865" s="748" t="n"/>
    </row>
    <row r="866">
      <c r="A866" s="297" t="n">
        <v>45041</v>
      </c>
      <c r="B866" s="93" t="inlineStr">
        <is>
          <t>10101</t>
        </is>
      </c>
      <c r="C866" s="93" t="inlineStr">
        <is>
          <t>106</t>
        </is>
      </c>
      <c r="D866" s="94" t="n"/>
      <c r="E866" s="94" t="n"/>
      <c r="F866" s="95" t="n"/>
      <c r="G866" s="95" t="n">
        <v>30</v>
      </c>
      <c r="H866" s="98">
        <f>H865-G866</f>
        <v/>
      </c>
      <c r="I866" s="71" t="n"/>
      <c r="J866" s="747">
        <f>F866*I866</f>
        <v/>
      </c>
      <c r="K866" s="747" t="n"/>
      <c r="L866" s="748" t="n"/>
    </row>
    <row r="867">
      <c r="A867" s="297" t="n">
        <v>45041</v>
      </c>
      <c r="B867" s="93" t="inlineStr">
        <is>
          <t>10103</t>
        </is>
      </c>
      <c r="C867" s="93" t="inlineStr">
        <is>
          <t>105,72</t>
        </is>
      </c>
      <c r="D867" s="94" t="n"/>
      <c r="E867" s="94" t="n"/>
      <c r="F867" s="95" t="n"/>
      <c r="G867" s="95" t="n">
        <v>35</v>
      </c>
      <c r="H867" s="98">
        <f>H866-G867</f>
        <v/>
      </c>
      <c r="I867" s="71" t="n"/>
      <c r="J867" s="747">
        <f>F867*I867</f>
        <v/>
      </c>
      <c r="K867" s="747" t="n"/>
      <c r="L867" s="748" t="n"/>
    </row>
    <row r="868" ht="15.75" customHeight="1" s="436" thickBot="1"/>
    <row r="869" ht="24" customHeight="1" s="436" thickBot="1">
      <c r="A869" s="759" t="inlineStr">
        <is>
          <t>Maio</t>
        </is>
      </c>
      <c r="B869" s="697" t="n"/>
      <c r="C869" s="697" t="n"/>
      <c r="D869" s="697" t="n"/>
      <c r="E869" s="697" t="n"/>
      <c r="F869" s="697" t="n"/>
      <c r="G869" s="697" t="n"/>
      <c r="H869" s="697" t="n"/>
      <c r="I869" s="697" t="n"/>
      <c r="J869" s="697" t="n"/>
      <c r="K869" s="697" t="n"/>
      <c r="L869" s="698" t="n"/>
    </row>
    <row r="870" ht="24" customHeight="1" s="436" thickBot="1">
      <c r="A870" s="759" t="inlineStr">
        <is>
          <t xml:space="preserve">  PRÉ MISTURA -  Pão Doce 25 KG</t>
        </is>
      </c>
      <c r="B870" s="697" t="n"/>
      <c r="C870" s="697" t="n"/>
      <c r="D870" s="697" t="n"/>
      <c r="E870" s="697" t="n"/>
      <c r="F870" s="697" t="n"/>
      <c r="G870" s="697" t="n"/>
      <c r="H870" s="697" t="n"/>
      <c r="I870" s="697" t="n"/>
      <c r="J870" s="697" t="n"/>
      <c r="K870" s="697" t="n"/>
      <c r="L870" s="698" t="n"/>
    </row>
    <row r="871">
      <c r="A871" s="3" t="inlineStr">
        <is>
          <t>DATA</t>
        </is>
      </c>
      <c r="B871" s="3" t="inlineStr">
        <is>
          <t>N.F.</t>
        </is>
      </c>
      <c r="C871" s="3" t="inlineStr">
        <is>
          <t>TIPO</t>
        </is>
      </c>
      <c r="D871" s="3" t="inlineStr">
        <is>
          <t>PREÇO UNITÁRIO</t>
        </is>
      </c>
      <c r="E871" s="736" t="n"/>
      <c r="F871" s="3" t="inlineStr">
        <is>
          <t>QUANTIDADE / KG</t>
        </is>
      </c>
      <c r="G871" s="737" t="n"/>
      <c r="H871" s="736" t="n"/>
      <c r="I871" s="631" t="inlineStr">
        <is>
          <t>PREÇO</t>
        </is>
      </c>
      <c r="J871" s="631" t="inlineStr">
        <is>
          <t>VALORES</t>
        </is>
      </c>
      <c r="K871" s="737" t="n"/>
      <c r="L871" s="736" t="n"/>
    </row>
    <row r="872" ht="15.75" customHeight="1" s="436" thickBot="1">
      <c r="A872" s="704" t="n"/>
      <c r="B872" s="704" t="n"/>
      <c r="C872" s="704" t="n"/>
      <c r="D872" s="703" t="n"/>
      <c r="E872" s="701" t="n"/>
      <c r="F872" s="705" t="n"/>
      <c r="G872" s="706" t="n"/>
      <c r="H872" s="707" t="n"/>
      <c r="I872" s="704" t="n"/>
      <c r="J872" s="703" t="n"/>
      <c r="L872" s="701" t="n"/>
    </row>
    <row r="873" ht="15.75" customHeight="1" s="436" thickBot="1">
      <c r="A873" s="704" t="n"/>
      <c r="B873" s="704" t="n"/>
      <c r="C873" s="704" t="n"/>
      <c r="D873" s="705" t="n"/>
      <c r="E873" s="707" t="n"/>
      <c r="F873" s="3" t="inlineStr">
        <is>
          <t>ENTRADA</t>
        </is>
      </c>
      <c r="G873" s="3" t="inlineStr">
        <is>
          <t>SAÍDA</t>
        </is>
      </c>
      <c r="H873" s="640" t="n"/>
      <c r="I873" s="633" t="inlineStr">
        <is>
          <t>MÉDIO</t>
        </is>
      </c>
      <c r="J873" s="739" t="inlineStr">
        <is>
          <t>SALDO EM 30/12/2017</t>
        </is>
      </c>
      <c r="K873" s="707" t="n"/>
      <c r="L873" s="17" t="n"/>
    </row>
    <row r="874" ht="15.75" customHeight="1" s="436" thickBot="1">
      <c r="A874" s="695" t="n"/>
      <c r="B874" s="695" t="n"/>
      <c r="C874" s="695" t="n"/>
      <c r="D874" s="3" t="inlineStr">
        <is>
          <t>C/ICMS</t>
        </is>
      </c>
      <c r="E874" s="3" t="inlineStr">
        <is>
          <t>S/ICMS</t>
        </is>
      </c>
      <c r="F874" s="695" t="n"/>
      <c r="G874" s="695" t="n"/>
      <c r="H874" s="361" t="inlineStr">
        <is>
          <t>Saldo em 31/04/2022</t>
        </is>
      </c>
      <c r="I874" s="695" t="n"/>
      <c r="J874" s="645" t="inlineStr">
        <is>
          <t>ENTRADA</t>
        </is>
      </c>
      <c r="K874" s="633" t="inlineStr">
        <is>
          <t>SAÍDA / CMV</t>
        </is>
      </c>
      <c r="L874" s="633" t="inlineStr">
        <is>
          <t>SALDO</t>
        </is>
      </c>
    </row>
    <row r="875">
      <c r="A875" s="297" t="n"/>
      <c r="B875" s="96" t="n"/>
      <c r="C875" s="96" t="n"/>
      <c r="D875" s="97" t="n"/>
      <c r="E875" s="97" t="n"/>
      <c r="F875" s="98" t="n"/>
      <c r="G875" s="761" t="n"/>
      <c r="H875" s="98" t="n">
        <v>20</v>
      </c>
      <c r="I875" s="392" t="n"/>
      <c r="J875" s="392" t="n"/>
      <c r="K875" s="392" t="n"/>
      <c r="L875" s="392" t="n"/>
    </row>
    <row r="876">
      <c r="A876" s="297" t="n">
        <v>45049</v>
      </c>
      <c r="B876" s="93" t="inlineStr">
        <is>
          <t>10107</t>
        </is>
      </c>
      <c r="C876" s="93" t="inlineStr">
        <is>
          <t>104</t>
        </is>
      </c>
      <c r="D876" s="94" t="n"/>
      <c r="E876" s="94" t="n"/>
      <c r="F876" s="95" t="n"/>
      <c r="G876" s="95" t="n">
        <v>25</v>
      </c>
      <c r="H876" s="98">
        <f>H875-G876</f>
        <v/>
      </c>
      <c r="I876" s="71" t="n"/>
      <c r="J876" s="747">
        <f>F876*I876</f>
        <v/>
      </c>
      <c r="K876" s="747" t="n"/>
      <c r="L876" s="748" t="n"/>
    </row>
    <row r="877">
      <c r="A877" s="297" t="n">
        <v>45049</v>
      </c>
      <c r="B877" s="93" t="inlineStr">
        <is>
          <t>10112</t>
        </is>
      </c>
      <c r="C877" s="93" t="inlineStr">
        <is>
          <t>106</t>
        </is>
      </c>
      <c r="D877" s="94" t="n"/>
      <c r="E877" s="94" t="n"/>
      <c r="F877" s="95" t="n"/>
      <c r="G877" s="95" t="n">
        <v>15</v>
      </c>
      <c r="H877" s="98">
        <f>H876-G877</f>
        <v/>
      </c>
      <c r="I877" s="71" t="n"/>
      <c r="J877" s="747">
        <f>F877*I877</f>
        <v/>
      </c>
      <c r="K877" s="747" t="n"/>
      <c r="L877" s="748" t="n"/>
    </row>
    <row r="878">
      <c r="A878" s="297" t="n">
        <v>45049</v>
      </c>
      <c r="B878" s="93" t="inlineStr">
        <is>
          <t>10113</t>
        </is>
      </c>
      <c r="C878" s="93" t="inlineStr">
        <is>
          <t>105,5</t>
        </is>
      </c>
      <c r="D878" s="94" t="n"/>
      <c r="E878" s="94" t="n"/>
      <c r="F878" s="95" t="n"/>
      <c r="G878" s="95" t="n">
        <v>20</v>
      </c>
      <c r="H878" s="98">
        <f>H877-G878</f>
        <v/>
      </c>
      <c r="I878" s="71" t="n"/>
      <c r="J878" s="747">
        <f>F878*I878</f>
        <v/>
      </c>
      <c r="K878" s="747" t="n"/>
      <c r="L878" s="748" t="n"/>
    </row>
    <row r="879">
      <c r="A879" s="297" t="n">
        <v>45049</v>
      </c>
      <c r="B879" s="93" t="inlineStr">
        <is>
          <t>11014</t>
        </is>
      </c>
      <c r="C879" s="93" t="inlineStr">
        <is>
          <t>110</t>
        </is>
      </c>
      <c r="D879" s="94" t="n"/>
      <c r="E879" s="94" t="n"/>
      <c r="F879" s="95" t="n"/>
      <c r="G879" s="95" t="n">
        <v>20</v>
      </c>
      <c r="H879" s="98">
        <f>H878-G879</f>
        <v/>
      </c>
      <c r="I879" s="71" t="n"/>
      <c r="J879" s="747">
        <f>F879*I879</f>
        <v/>
      </c>
      <c r="K879" s="747" t="n"/>
      <c r="L879" s="748" t="n"/>
    </row>
    <row r="880">
      <c r="A880" s="297" t="n">
        <v>45049</v>
      </c>
      <c r="B880" s="93" t="inlineStr">
        <is>
          <t>10118</t>
        </is>
      </c>
      <c r="C880" s="93" t="inlineStr">
        <is>
          <t>106,4</t>
        </is>
      </c>
      <c r="D880" s="94" t="n"/>
      <c r="E880" s="94" t="n"/>
      <c r="F880" s="95" t="n"/>
      <c r="G880" s="95" t="n">
        <v>30</v>
      </c>
      <c r="H880" s="98">
        <f>H879-G880</f>
        <v/>
      </c>
      <c r="I880" s="71" t="n"/>
      <c r="J880" s="747">
        <f>F880*I880</f>
        <v/>
      </c>
      <c r="K880" s="747" t="n"/>
      <c r="L880" s="748" t="n"/>
    </row>
    <row r="881">
      <c r="A881" s="297" t="n">
        <v>45050</v>
      </c>
      <c r="B881" s="93" t="inlineStr">
        <is>
          <t>10121</t>
        </is>
      </c>
      <c r="C881" s="93" t="inlineStr">
        <is>
          <t>106</t>
        </is>
      </c>
      <c r="D881" s="94" t="n"/>
      <c r="E881" s="94" t="n"/>
      <c r="F881" s="95" t="n"/>
      <c r="G881" s="95" t="n">
        <v>30</v>
      </c>
      <c r="H881" s="98">
        <f>H880-G881</f>
        <v/>
      </c>
      <c r="I881" s="71" t="n"/>
      <c r="J881" s="747">
        <f>F881*I881</f>
        <v/>
      </c>
      <c r="K881" s="747" t="n"/>
      <c r="L881" s="748" t="n"/>
    </row>
    <row r="882">
      <c r="A882" s="297" t="n">
        <v>45055</v>
      </c>
      <c r="B882" s="93" t="inlineStr">
        <is>
          <t>10129</t>
        </is>
      </c>
      <c r="C882" s="93" t="inlineStr">
        <is>
          <t>110</t>
        </is>
      </c>
      <c r="D882" s="94" t="n"/>
      <c r="E882" s="94" t="n"/>
      <c r="F882" s="95" t="n"/>
      <c r="G882" s="95" t="n">
        <v>40</v>
      </c>
      <c r="H882" s="98">
        <f>H881-G882</f>
        <v/>
      </c>
      <c r="I882" s="71" t="n"/>
      <c r="J882" s="747">
        <f>F882*I882</f>
        <v/>
      </c>
      <c r="K882" s="747" t="n"/>
      <c r="L882" s="748" t="n"/>
    </row>
    <row r="883">
      <c r="A883" s="297" t="n">
        <v>45063</v>
      </c>
      <c r="B883" s="93" t="inlineStr">
        <is>
          <t>10150</t>
        </is>
      </c>
      <c r="C883" s="93" t="inlineStr">
        <is>
          <t>110</t>
        </is>
      </c>
      <c r="D883" s="94" t="n"/>
      <c r="E883" s="94" t="n"/>
      <c r="F883" s="95" t="n"/>
      <c r="G883" s="95" t="n">
        <v>20</v>
      </c>
      <c r="H883" s="98">
        <f>H882-G883</f>
        <v/>
      </c>
      <c r="I883" s="71" t="n"/>
      <c r="J883" s="747">
        <f>F883*I883</f>
        <v/>
      </c>
      <c r="K883" s="747" t="n"/>
      <c r="L883" s="748" t="n"/>
    </row>
    <row r="884">
      <c r="A884" s="297" t="n">
        <v>45070</v>
      </c>
      <c r="B884" s="93" t="inlineStr">
        <is>
          <t>10164</t>
        </is>
      </c>
      <c r="C884" s="93" t="inlineStr">
        <is>
          <t>105,36</t>
        </is>
      </c>
      <c r="D884" s="94" t="n"/>
      <c r="E884" s="94" t="n"/>
      <c r="F884" s="95" t="n"/>
      <c r="G884" s="95" t="n">
        <v>50</v>
      </c>
      <c r="H884" s="98">
        <f>H883-G884</f>
        <v/>
      </c>
      <c r="I884" s="71" t="n"/>
      <c r="J884" s="747">
        <f>F884*I884</f>
        <v/>
      </c>
      <c r="K884" s="747" t="n"/>
      <c r="L884" s="748" t="n"/>
    </row>
    <row r="885">
      <c r="A885" s="310" t="n">
        <v>45071</v>
      </c>
      <c r="B885" s="274" t="inlineStr">
        <is>
          <t>217842</t>
        </is>
      </c>
      <c r="C885" s="274" t="n"/>
      <c r="D885" s="279" t="n">
        <v>400</v>
      </c>
      <c r="E885" s="279" t="n"/>
      <c r="F885" s="278" t="n"/>
      <c r="G885" s="278" t="n"/>
      <c r="H885" s="277" t="n">
        <v>170</v>
      </c>
      <c r="I885" s="71" t="n"/>
      <c r="J885" s="747" t="n"/>
      <c r="K885" s="747" t="n"/>
      <c r="L885" s="748" t="n"/>
    </row>
    <row r="886">
      <c r="A886" s="297" t="n">
        <v>45075</v>
      </c>
      <c r="B886" s="93" t="inlineStr">
        <is>
          <t>10178</t>
        </is>
      </c>
      <c r="C886" s="93" t="inlineStr">
        <is>
          <t>107</t>
        </is>
      </c>
      <c r="D886" s="94" t="n"/>
      <c r="E886" s="94" t="n"/>
      <c r="F886" s="95" t="n"/>
      <c r="G886" s="95" t="n">
        <v>20</v>
      </c>
      <c r="H886" s="98" t="n">
        <v>150</v>
      </c>
      <c r="I886" s="71" t="n"/>
      <c r="J886" s="747">
        <f>F886*I886</f>
        <v/>
      </c>
      <c r="K886" s="747" t="n"/>
      <c r="L886" s="748" t="n"/>
    </row>
    <row r="887" ht="15.75" customHeight="1" s="436" thickBot="1"/>
    <row r="888" ht="24" customHeight="1" s="436" thickBot="1">
      <c r="A888" s="759" t="inlineStr">
        <is>
          <t>Junho</t>
        </is>
      </c>
      <c r="B888" s="697" t="n"/>
      <c r="C888" s="697" t="n"/>
      <c r="D888" s="697" t="n"/>
      <c r="E888" s="697" t="n"/>
      <c r="F888" s="697" t="n"/>
      <c r="G888" s="697" t="n"/>
      <c r="H888" s="697" t="n"/>
      <c r="I888" s="697" t="n"/>
      <c r="J888" s="697" t="n"/>
      <c r="K888" s="697" t="n"/>
      <c r="L888" s="698" t="n"/>
    </row>
    <row r="889" ht="24" customHeight="1" s="436" thickBot="1">
      <c r="A889" s="759" t="inlineStr">
        <is>
          <t xml:space="preserve">  PRÉ MISTURA -  Pão Doce 25 KG</t>
        </is>
      </c>
      <c r="B889" s="697" t="n"/>
      <c r="C889" s="697" t="n"/>
      <c r="D889" s="697" t="n"/>
      <c r="E889" s="697" t="n"/>
      <c r="F889" s="697" t="n"/>
      <c r="G889" s="697" t="n"/>
      <c r="H889" s="697" t="n"/>
      <c r="I889" s="697" t="n"/>
      <c r="J889" s="697" t="n"/>
      <c r="K889" s="697" t="n"/>
      <c r="L889" s="698" t="n"/>
    </row>
    <row r="890">
      <c r="A890" s="3" t="inlineStr">
        <is>
          <t>DATA</t>
        </is>
      </c>
      <c r="B890" s="3" t="inlineStr">
        <is>
          <t>N.F.</t>
        </is>
      </c>
      <c r="C890" s="3" t="inlineStr">
        <is>
          <t>TIPO</t>
        </is>
      </c>
      <c r="D890" s="3" t="inlineStr">
        <is>
          <t>PREÇO UNITÁRIO</t>
        </is>
      </c>
      <c r="E890" s="736" t="n"/>
      <c r="F890" s="3" t="inlineStr">
        <is>
          <t>QUANTIDADE / KG</t>
        </is>
      </c>
      <c r="G890" s="737" t="n"/>
      <c r="H890" s="736" t="n"/>
      <c r="I890" s="631" t="inlineStr">
        <is>
          <t>PREÇO</t>
        </is>
      </c>
      <c r="J890" s="631" t="inlineStr">
        <is>
          <t>VALORES</t>
        </is>
      </c>
      <c r="K890" s="737" t="n"/>
      <c r="L890" s="736" t="n"/>
    </row>
    <row r="891" ht="15.75" customHeight="1" s="436" thickBot="1">
      <c r="A891" s="704" t="n"/>
      <c r="B891" s="704" t="n"/>
      <c r="C891" s="704" t="n"/>
      <c r="D891" s="703" t="n"/>
      <c r="E891" s="701" t="n"/>
      <c r="F891" s="705" t="n"/>
      <c r="G891" s="706" t="n"/>
      <c r="H891" s="707" t="n"/>
      <c r="I891" s="704" t="n"/>
      <c r="J891" s="703" t="n"/>
      <c r="L891" s="701" t="n"/>
    </row>
    <row r="892" ht="15.75" customHeight="1" s="436" thickBot="1">
      <c r="A892" s="704" t="n"/>
      <c r="B892" s="704" t="n"/>
      <c r="C892" s="704" t="n"/>
      <c r="D892" s="705" t="n"/>
      <c r="E892" s="707" t="n"/>
      <c r="F892" s="3" t="inlineStr">
        <is>
          <t>ENTRADA</t>
        </is>
      </c>
      <c r="G892" s="3" t="inlineStr">
        <is>
          <t>SAÍDA</t>
        </is>
      </c>
      <c r="H892" s="640" t="n"/>
      <c r="I892" s="633" t="inlineStr">
        <is>
          <t>MÉDIO</t>
        </is>
      </c>
      <c r="J892" s="739" t="inlineStr">
        <is>
          <t>SALDO EM 30/12/2017</t>
        </is>
      </c>
      <c r="K892" s="707" t="n"/>
      <c r="L892" s="17" t="n"/>
    </row>
    <row r="893" ht="15.75" customHeight="1" s="436" thickBot="1">
      <c r="A893" s="695" t="n"/>
      <c r="B893" s="695" t="n"/>
      <c r="C893" s="695" t="n"/>
      <c r="D893" s="3" t="inlineStr">
        <is>
          <t>C/ICMS</t>
        </is>
      </c>
      <c r="E893" s="3" t="inlineStr">
        <is>
          <t>S/ICMS</t>
        </is>
      </c>
      <c r="F893" s="695" t="n"/>
      <c r="G893" s="695" t="n"/>
      <c r="H893" s="361" t="inlineStr">
        <is>
          <t>Saldo em 31/05/2022</t>
        </is>
      </c>
      <c r="I893" s="695" t="n"/>
      <c r="J893" s="645" t="inlineStr">
        <is>
          <t>ENTRADA</t>
        </is>
      </c>
      <c r="K893" s="633" t="inlineStr">
        <is>
          <t>SAÍDA / CMV</t>
        </is>
      </c>
      <c r="L893" s="633" t="inlineStr">
        <is>
          <t>SALDO</t>
        </is>
      </c>
    </row>
    <row r="894">
      <c r="A894" s="297" t="n"/>
      <c r="B894" s="96" t="n"/>
      <c r="C894" s="96" t="n"/>
      <c r="D894" s="97" t="n"/>
      <c r="E894" s="97" t="n"/>
      <c r="F894" s="98" t="n"/>
      <c r="G894" s="761" t="n"/>
      <c r="H894" s="98" t="n">
        <v>150</v>
      </c>
      <c r="I894" s="392" t="n"/>
      <c r="J894" s="392" t="n"/>
      <c r="K894" s="392" t="n"/>
      <c r="L894" s="392" t="n"/>
    </row>
    <row r="895">
      <c r="A895" s="297" t="n">
        <v>45083</v>
      </c>
      <c r="B895" s="93" t="inlineStr">
        <is>
          <t>10198</t>
        </is>
      </c>
      <c r="C895" s="93" t="inlineStr">
        <is>
          <t>105</t>
        </is>
      </c>
      <c r="D895" s="94" t="n"/>
      <c r="E895" s="94" t="n"/>
      <c r="F895" s="95" t="n"/>
      <c r="G895" s="95" t="n">
        <v>50</v>
      </c>
      <c r="H895" s="98">
        <f>H894-G895</f>
        <v/>
      </c>
      <c r="I895" s="71" t="n"/>
      <c r="J895" s="747">
        <f>F895*I895</f>
        <v/>
      </c>
      <c r="K895" s="747" t="n"/>
      <c r="L895" s="748" t="n"/>
    </row>
    <row r="896">
      <c r="A896" s="297" t="n">
        <v>45083</v>
      </c>
      <c r="B896" s="93" t="inlineStr">
        <is>
          <t>10200</t>
        </is>
      </c>
      <c r="C896" s="93" t="inlineStr">
        <is>
          <t>102,04</t>
        </is>
      </c>
      <c r="D896" s="94" t="n"/>
      <c r="E896" s="94" t="n"/>
      <c r="F896" s="95" t="n"/>
      <c r="G896" s="95" t="n">
        <v>25</v>
      </c>
      <c r="H896" s="98">
        <f>H895-G896</f>
        <v/>
      </c>
      <c r="I896" s="71" t="n"/>
      <c r="J896" s="747">
        <f>F896*I896</f>
        <v/>
      </c>
      <c r="K896" s="747" t="n"/>
      <c r="L896" s="748" t="n"/>
    </row>
    <row r="897">
      <c r="A897" s="297" t="n">
        <v>45083</v>
      </c>
      <c r="B897" s="93" t="inlineStr">
        <is>
          <t>10199</t>
        </is>
      </c>
      <c r="C897" s="93" t="inlineStr">
        <is>
          <t>103</t>
        </is>
      </c>
      <c r="D897" s="94" t="n"/>
      <c r="E897" s="94" t="n"/>
      <c r="F897" s="95" t="n"/>
      <c r="G897" s="95" t="n">
        <v>36</v>
      </c>
      <c r="H897" s="98">
        <f>H896-G897</f>
        <v/>
      </c>
      <c r="I897" s="71" t="n"/>
      <c r="J897" s="747">
        <f>F897*I897</f>
        <v/>
      </c>
      <c r="K897" s="747" t="n"/>
      <c r="L897" s="748" t="n"/>
    </row>
    <row r="898">
      <c r="A898" s="297" t="n">
        <v>45089</v>
      </c>
      <c r="B898" s="93" t="inlineStr">
        <is>
          <t>10216</t>
        </is>
      </c>
      <c r="C898" s="93" t="inlineStr">
        <is>
          <t>107</t>
        </is>
      </c>
      <c r="D898" s="94" t="n"/>
      <c r="E898" s="94" t="n"/>
      <c r="F898" s="95" t="n"/>
      <c r="G898" s="95" t="n">
        <v>20</v>
      </c>
      <c r="H898" s="98">
        <f>H897-G898</f>
        <v/>
      </c>
      <c r="I898" s="71" t="n"/>
      <c r="J898" s="747">
        <f>F898*I898</f>
        <v/>
      </c>
      <c r="K898" s="747" t="n"/>
      <c r="L898" s="748" t="n"/>
    </row>
    <row r="899">
      <c r="A899" s="310" t="n">
        <v>45096</v>
      </c>
      <c r="B899" s="274" t="inlineStr">
        <is>
          <t>219917</t>
        </is>
      </c>
      <c r="C899" s="274" t="inlineStr">
        <is>
          <t>83</t>
        </is>
      </c>
      <c r="D899" s="279" t="n">
        <v>400</v>
      </c>
      <c r="E899" s="279" t="n"/>
      <c r="F899" s="278" t="n"/>
      <c r="G899" s="278" t="n"/>
      <c r="H899" s="277" t="n">
        <v>419</v>
      </c>
      <c r="I899" s="71" t="n"/>
      <c r="J899" s="747" t="n"/>
      <c r="K899" s="747" t="n"/>
      <c r="L899" s="748" t="n"/>
    </row>
    <row r="900">
      <c r="A900" s="297" t="n">
        <v>45098</v>
      </c>
      <c r="B900" s="93" t="inlineStr">
        <is>
          <t>10241</t>
        </is>
      </c>
      <c r="C900" s="93" t="inlineStr">
        <is>
          <t>105</t>
        </is>
      </c>
      <c r="D900" s="94" t="n"/>
      <c r="E900" s="94" t="n"/>
      <c r="F900" s="95" t="n"/>
      <c r="G900" s="95" t="n">
        <v>20</v>
      </c>
      <c r="H900" s="98">
        <f>H899-G900</f>
        <v/>
      </c>
      <c r="I900" s="71" t="n"/>
      <c r="J900" s="747">
        <f>F900*I900</f>
        <v/>
      </c>
      <c r="K900" s="747" t="n"/>
      <c r="L900" s="748" t="n"/>
    </row>
    <row r="901">
      <c r="A901" s="297" t="n">
        <v>45104</v>
      </c>
      <c r="B901" s="93" t="inlineStr">
        <is>
          <t>10251</t>
        </is>
      </c>
      <c r="C901" s="93" t="inlineStr">
        <is>
          <t>105</t>
        </is>
      </c>
      <c r="D901" s="94" t="n"/>
      <c r="E901" s="94" t="n"/>
      <c r="F901" s="95" t="n"/>
      <c r="G901" s="95" t="n">
        <v>20</v>
      </c>
      <c r="H901" s="98">
        <f>H900-G901</f>
        <v/>
      </c>
      <c r="I901" s="71" t="n"/>
      <c r="J901" s="747">
        <f>F901*I901</f>
        <v/>
      </c>
      <c r="K901" s="747" t="n"/>
      <c r="L901" s="748" t="n"/>
    </row>
    <row r="902">
      <c r="A902" s="297" t="n">
        <v>45104</v>
      </c>
      <c r="B902" s="93" t="inlineStr">
        <is>
          <t>10258</t>
        </is>
      </c>
      <c r="C902" s="93" t="inlineStr">
        <is>
          <t>105</t>
        </is>
      </c>
      <c r="D902" s="94" t="n"/>
      <c r="E902" s="94" t="n"/>
      <c r="F902" s="95" t="n"/>
      <c r="G902" s="95" t="n">
        <v>50</v>
      </c>
      <c r="H902" s="98">
        <f>H901-G902</f>
        <v/>
      </c>
      <c r="I902" s="71" t="n"/>
      <c r="J902" s="747">
        <f>F902*I902</f>
        <v/>
      </c>
      <c r="K902" s="747" t="n"/>
      <c r="L902" s="748" t="n"/>
    </row>
    <row r="903">
      <c r="A903" s="297" t="n">
        <v>45104</v>
      </c>
      <c r="B903" s="93" t="inlineStr">
        <is>
          <t>10264</t>
        </is>
      </c>
      <c r="C903" s="93" t="inlineStr">
        <is>
          <t>105</t>
        </is>
      </c>
      <c r="D903" s="94" t="n"/>
      <c r="E903" s="94" t="n"/>
      <c r="F903" s="95" t="n"/>
      <c r="G903" s="95" t="n">
        <v>20</v>
      </c>
      <c r="H903" s="98">
        <f>H902-G903</f>
        <v/>
      </c>
      <c r="I903" s="71" t="n"/>
      <c r="J903" s="747">
        <f>F903*I903</f>
        <v/>
      </c>
      <c r="K903" s="747" t="n"/>
      <c r="L903" s="748" t="n"/>
    </row>
    <row r="904" ht="15.75" customHeight="1" s="436" thickBot="1"/>
    <row r="905" ht="24" customHeight="1" s="436" thickBot="1">
      <c r="A905" s="759" t="inlineStr">
        <is>
          <t>Julho</t>
        </is>
      </c>
      <c r="B905" s="697" t="n"/>
      <c r="C905" s="697" t="n"/>
      <c r="D905" s="697" t="n"/>
      <c r="E905" s="697" t="n"/>
      <c r="F905" s="697" t="n"/>
      <c r="G905" s="697" t="n"/>
      <c r="H905" s="697" t="n"/>
      <c r="I905" s="697" t="n"/>
      <c r="J905" s="697" t="n"/>
      <c r="K905" s="697" t="n"/>
      <c r="L905" s="698" t="n"/>
    </row>
    <row r="906" ht="24" customHeight="1" s="436" thickBot="1">
      <c r="A906" s="759" t="inlineStr">
        <is>
          <t xml:space="preserve">  PRÉ MISTURA -  Pão Doce 25 KG</t>
        </is>
      </c>
      <c r="B906" s="697" t="n"/>
      <c r="C906" s="697" t="n"/>
      <c r="D906" s="697" t="n"/>
      <c r="E906" s="697" t="n"/>
      <c r="F906" s="697" t="n"/>
      <c r="G906" s="697" t="n"/>
      <c r="H906" s="697" t="n"/>
      <c r="I906" s="697" t="n"/>
      <c r="J906" s="697" t="n"/>
      <c r="K906" s="697" t="n"/>
      <c r="L906" s="698" t="n"/>
    </row>
    <row r="907">
      <c r="A907" s="3" t="inlineStr">
        <is>
          <t>DATA</t>
        </is>
      </c>
      <c r="B907" s="3" t="inlineStr">
        <is>
          <t>N.F.</t>
        </is>
      </c>
      <c r="C907" s="3" t="inlineStr">
        <is>
          <t>TIPO</t>
        </is>
      </c>
      <c r="D907" s="3" t="inlineStr">
        <is>
          <t>PREÇO UNITÁRIO</t>
        </is>
      </c>
      <c r="E907" s="736" t="n"/>
      <c r="F907" s="3" t="inlineStr">
        <is>
          <t>QUANTIDADE / KG</t>
        </is>
      </c>
      <c r="G907" s="737" t="n"/>
      <c r="H907" s="736" t="n"/>
      <c r="I907" s="631" t="inlineStr">
        <is>
          <t>PREÇO</t>
        </is>
      </c>
      <c r="J907" s="631" t="inlineStr">
        <is>
          <t>VALORES</t>
        </is>
      </c>
      <c r="K907" s="737" t="n"/>
      <c r="L907" s="736" t="n"/>
    </row>
    <row r="908" ht="15.75" customHeight="1" s="436" thickBot="1">
      <c r="A908" s="704" t="n"/>
      <c r="B908" s="704" t="n"/>
      <c r="C908" s="704" t="n"/>
      <c r="D908" s="703" t="n"/>
      <c r="E908" s="701" t="n"/>
      <c r="F908" s="705" t="n"/>
      <c r="G908" s="706" t="n"/>
      <c r="H908" s="707" t="n"/>
      <c r="I908" s="704" t="n"/>
      <c r="J908" s="703" t="n"/>
      <c r="L908" s="701" t="n"/>
    </row>
    <row r="909" ht="15.75" customHeight="1" s="436" thickBot="1">
      <c r="A909" s="704" t="n"/>
      <c r="B909" s="704" t="n"/>
      <c r="C909" s="704" t="n"/>
      <c r="D909" s="705" t="n"/>
      <c r="E909" s="707" t="n"/>
      <c r="F909" s="3" t="inlineStr">
        <is>
          <t>ENTRADA</t>
        </is>
      </c>
      <c r="G909" s="3" t="inlineStr">
        <is>
          <t>SAÍDA</t>
        </is>
      </c>
      <c r="H909" s="640" t="n"/>
      <c r="I909" s="633" t="inlineStr">
        <is>
          <t>MÉDIO</t>
        </is>
      </c>
      <c r="J909" s="739" t="inlineStr">
        <is>
          <t>SALDO EM 30/12/2017</t>
        </is>
      </c>
      <c r="K909" s="707" t="n"/>
      <c r="L909" s="17" t="n"/>
    </row>
    <row r="910" ht="15.75" customHeight="1" s="436" thickBot="1">
      <c r="A910" s="695" t="n"/>
      <c r="B910" s="695" t="n"/>
      <c r="C910" s="695" t="n"/>
      <c r="D910" s="3" t="inlineStr">
        <is>
          <t>C/ICMS</t>
        </is>
      </c>
      <c r="E910" s="3" t="inlineStr">
        <is>
          <t>S/ICMS</t>
        </is>
      </c>
      <c r="F910" s="695" t="n"/>
      <c r="G910" s="695" t="n"/>
      <c r="H910" s="361" t="inlineStr">
        <is>
          <t>Saldo em 30/06/2022</t>
        </is>
      </c>
      <c r="I910" s="695" t="n"/>
      <c r="J910" s="645" t="inlineStr">
        <is>
          <t>ENTRADA</t>
        </is>
      </c>
      <c r="K910" s="633" t="inlineStr">
        <is>
          <t>SAÍDA / CMV</t>
        </is>
      </c>
      <c r="L910" s="633" t="inlineStr">
        <is>
          <t>SALDO</t>
        </is>
      </c>
    </row>
    <row r="911">
      <c r="A911" s="297" t="n"/>
      <c r="B911" s="96" t="n"/>
      <c r="C911" s="96" t="n"/>
      <c r="D911" s="97" t="n"/>
      <c r="E911" s="97" t="n"/>
      <c r="F911" s="98" t="n"/>
      <c r="G911" s="761" t="n"/>
      <c r="H911" s="98" t="n">
        <v>309</v>
      </c>
      <c r="I911" s="392" t="n"/>
      <c r="J911" s="392" t="n"/>
      <c r="K911" s="392" t="n"/>
      <c r="L911" s="392" t="n"/>
    </row>
    <row r="912">
      <c r="A912" s="297" t="n">
        <v>45119</v>
      </c>
      <c r="B912" s="93" t="inlineStr">
        <is>
          <t>10297</t>
        </is>
      </c>
      <c r="C912" s="93" t="inlineStr">
        <is>
          <t>95</t>
        </is>
      </c>
      <c r="D912" s="94" t="n"/>
      <c r="E912" s="94" t="n"/>
      <c r="F912" s="95" t="n"/>
      <c r="G912" s="95" t="n">
        <v>30</v>
      </c>
      <c r="H912" s="98">
        <f>H911-G912</f>
        <v/>
      </c>
      <c r="I912" s="71" t="n"/>
      <c r="J912" s="747">
        <f>F912*I912</f>
        <v/>
      </c>
      <c r="K912" s="747" t="n"/>
      <c r="L912" s="748" t="n"/>
    </row>
    <row r="913">
      <c r="A913" s="297" t="n">
        <v>45119</v>
      </c>
      <c r="B913" s="93" t="inlineStr">
        <is>
          <t>10298</t>
        </is>
      </c>
      <c r="C913" s="93" t="inlineStr">
        <is>
          <t>98,34</t>
        </is>
      </c>
      <c r="D913" s="94" t="n"/>
      <c r="E913" s="94" t="n"/>
      <c r="F913" s="95" t="n"/>
      <c r="G913" s="95" t="n">
        <v>42</v>
      </c>
      <c r="H913" s="98">
        <f>H912-G913</f>
        <v/>
      </c>
      <c r="I913" s="71" t="n"/>
      <c r="J913" s="747">
        <f>F913*I913</f>
        <v/>
      </c>
      <c r="K913" s="747" t="n"/>
      <c r="L913" s="748" t="n"/>
    </row>
    <row r="914">
      <c r="A914" s="297" t="n">
        <v>45119</v>
      </c>
      <c r="B914" s="93" t="inlineStr">
        <is>
          <t>10299</t>
        </is>
      </c>
      <c r="C914" s="93" t="inlineStr">
        <is>
          <t>97</t>
        </is>
      </c>
      <c r="D914" s="94" t="n"/>
      <c r="E914" s="94" t="n"/>
      <c r="F914" s="95" t="n"/>
      <c r="G914" s="95" t="n">
        <v>10</v>
      </c>
      <c r="H914" s="98">
        <f>H913-G914</f>
        <v/>
      </c>
      <c r="I914" s="71" t="n"/>
      <c r="J914" s="747">
        <f>F914*I914</f>
        <v/>
      </c>
      <c r="K914" s="747" t="n"/>
      <c r="L914" s="748" t="n"/>
    </row>
    <row r="915">
      <c r="A915" s="297" t="n">
        <v>45124</v>
      </c>
      <c r="B915" s="93" t="inlineStr">
        <is>
          <t>10308</t>
        </is>
      </c>
      <c r="C915" s="93" t="inlineStr">
        <is>
          <t>97,80</t>
        </is>
      </c>
      <c r="D915" s="94" t="n"/>
      <c r="E915" s="94" t="n"/>
      <c r="F915" s="95" t="n"/>
      <c r="G915" s="95" t="n">
        <v>50</v>
      </c>
      <c r="H915" s="98">
        <f>H914-G915</f>
        <v/>
      </c>
      <c r="I915" s="71" t="n"/>
      <c r="J915" s="747">
        <f>F915*I915</f>
        <v/>
      </c>
      <c r="K915" s="747" t="n"/>
      <c r="L915" s="748" t="n"/>
    </row>
    <row r="916">
      <c r="A916" s="297" t="n">
        <v>45125</v>
      </c>
      <c r="B916" s="93" t="inlineStr">
        <is>
          <t>10310</t>
        </is>
      </c>
      <c r="C916" s="93" t="inlineStr">
        <is>
          <t>105</t>
        </is>
      </c>
      <c r="D916" s="94" t="n"/>
      <c r="E916" s="94" t="n"/>
      <c r="F916" s="95" t="n"/>
      <c r="G916" s="95" t="n">
        <v>10</v>
      </c>
      <c r="H916" s="98">
        <f>H915-G916</f>
        <v/>
      </c>
      <c r="I916" s="71" t="n"/>
      <c r="J916" s="747">
        <f>F916*I916</f>
        <v/>
      </c>
      <c r="K916" s="747" t="n"/>
      <c r="L916" s="748" t="n"/>
    </row>
    <row r="917">
      <c r="A917" s="310" t="n">
        <v>45135</v>
      </c>
      <c r="B917" s="274" t="inlineStr">
        <is>
          <t>222750</t>
        </is>
      </c>
      <c r="C917" s="274" t="inlineStr">
        <is>
          <t>81</t>
        </is>
      </c>
      <c r="D917" s="279" t="n"/>
      <c r="E917" s="279" t="n"/>
      <c r="F917" s="278" t="n">
        <v>250</v>
      </c>
      <c r="G917" s="278" t="n"/>
      <c r="H917" s="277" t="n">
        <v>417</v>
      </c>
      <c r="I917" s="71" t="n"/>
      <c r="J917" s="747" t="n"/>
      <c r="K917" s="747" t="n"/>
      <c r="L917" s="748" t="n"/>
    </row>
    <row r="918">
      <c r="A918" s="297" t="n">
        <v>45134</v>
      </c>
      <c r="B918" s="93" t="inlineStr">
        <is>
          <t>10335</t>
        </is>
      </c>
      <c r="C918" s="93" t="inlineStr">
        <is>
          <t>103</t>
        </is>
      </c>
      <c r="D918" s="94" t="n"/>
      <c r="E918" s="94" t="n"/>
      <c r="F918" s="95" t="n"/>
      <c r="G918" s="95" t="n">
        <v>30</v>
      </c>
      <c r="H918" s="98" t="n">
        <v>387</v>
      </c>
      <c r="I918" s="71" t="n"/>
      <c r="J918" s="747">
        <f>F918*I918</f>
        <v/>
      </c>
      <c r="K918" s="747" t="n"/>
      <c r="L918" s="748" t="n"/>
    </row>
    <row r="919" ht="15.75" customHeight="1" s="436" thickBot="1"/>
    <row r="920" ht="24" customHeight="1" s="436" thickBot="1">
      <c r="A920" s="759" t="inlineStr">
        <is>
          <t>Agosto</t>
        </is>
      </c>
      <c r="B920" s="697" t="n"/>
      <c r="C920" s="697" t="n"/>
      <c r="D920" s="697" t="n"/>
      <c r="E920" s="697" t="n"/>
      <c r="F920" s="697" t="n"/>
      <c r="G920" s="697" t="n"/>
      <c r="H920" s="697" t="n"/>
      <c r="I920" s="697" t="n"/>
      <c r="J920" s="697" t="n"/>
      <c r="K920" s="697" t="n"/>
      <c r="L920" s="698" t="n"/>
    </row>
    <row r="921" ht="24" customHeight="1" s="436" thickBot="1">
      <c r="A921" s="759" t="inlineStr">
        <is>
          <t xml:space="preserve">  PRÉ MISTURA -  Pão Doce 25 KG</t>
        </is>
      </c>
      <c r="B921" s="697" t="n"/>
      <c r="C921" s="697" t="n"/>
      <c r="D921" s="697" t="n"/>
      <c r="E921" s="697" t="n"/>
      <c r="F921" s="697" t="n"/>
      <c r="G921" s="697" t="n"/>
      <c r="H921" s="697" t="n"/>
      <c r="I921" s="697" t="n"/>
      <c r="J921" s="697" t="n"/>
      <c r="K921" s="697" t="n"/>
      <c r="L921" s="698" t="n"/>
    </row>
    <row r="922">
      <c r="A922" s="3" t="inlineStr">
        <is>
          <t>DATA</t>
        </is>
      </c>
      <c r="B922" s="3" t="inlineStr">
        <is>
          <t>N.F.</t>
        </is>
      </c>
      <c r="C922" s="3" t="inlineStr">
        <is>
          <t>TIPO</t>
        </is>
      </c>
      <c r="D922" s="3" t="inlineStr">
        <is>
          <t>PREÇO UNITÁRIO</t>
        </is>
      </c>
      <c r="E922" s="736" t="n"/>
      <c r="F922" s="3" t="inlineStr">
        <is>
          <t>QUANTIDADE / KG</t>
        </is>
      </c>
      <c r="G922" s="737" t="n"/>
      <c r="H922" s="736" t="n"/>
      <c r="I922" s="631" t="inlineStr">
        <is>
          <t>PREÇO</t>
        </is>
      </c>
      <c r="J922" s="631" t="inlineStr">
        <is>
          <t>VALORES</t>
        </is>
      </c>
      <c r="K922" s="737" t="n"/>
      <c r="L922" s="736" t="n"/>
    </row>
    <row r="923" ht="15.75" customHeight="1" s="436" thickBot="1">
      <c r="A923" s="704" t="n"/>
      <c r="B923" s="704" t="n"/>
      <c r="C923" s="704" t="n"/>
      <c r="D923" s="703" t="n"/>
      <c r="E923" s="701" t="n"/>
      <c r="F923" s="705" t="n"/>
      <c r="G923" s="706" t="n"/>
      <c r="H923" s="707" t="n"/>
      <c r="I923" s="704" t="n"/>
      <c r="J923" s="703" t="n"/>
      <c r="L923" s="701" t="n"/>
    </row>
    <row r="924" ht="15.75" customHeight="1" s="436" thickBot="1">
      <c r="A924" s="704" t="n"/>
      <c r="B924" s="704" t="n"/>
      <c r="C924" s="704" t="n"/>
      <c r="D924" s="705" t="n"/>
      <c r="E924" s="707" t="n"/>
      <c r="F924" s="3" t="inlineStr">
        <is>
          <t>ENTRADA</t>
        </is>
      </c>
      <c r="G924" s="3" t="inlineStr">
        <is>
          <t>SAÍDA</t>
        </is>
      </c>
      <c r="H924" s="640" t="n"/>
      <c r="I924" s="633" t="inlineStr">
        <is>
          <t>MÉDIO</t>
        </is>
      </c>
      <c r="J924" s="739" t="inlineStr">
        <is>
          <t>SALDO EM 30/12/2017</t>
        </is>
      </c>
      <c r="K924" s="707" t="n"/>
      <c r="L924" s="17" t="n"/>
    </row>
    <row r="925" ht="15.75" customHeight="1" s="436" thickBot="1">
      <c r="A925" s="695" t="n"/>
      <c r="B925" s="695" t="n"/>
      <c r="C925" s="695" t="n"/>
      <c r="D925" s="3" t="inlineStr">
        <is>
          <t>C/ICMS</t>
        </is>
      </c>
      <c r="E925" s="3" t="inlineStr">
        <is>
          <t>S/ICMS</t>
        </is>
      </c>
      <c r="F925" s="695" t="n"/>
      <c r="G925" s="695" t="n"/>
      <c r="H925" s="361" t="inlineStr">
        <is>
          <t>Saldo em 31/07/2022</t>
        </is>
      </c>
      <c r="I925" s="695" t="n"/>
      <c r="J925" s="645" t="inlineStr">
        <is>
          <t>ENTRADA</t>
        </is>
      </c>
      <c r="K925" s="633" t="inlineStr">
        <is>
          <t>SAÍDA / CMV</t>
        </is>
      </c>
      <c r="L925" s="633" t="inlineStr">
        <is>
          <t>SALDO</t>
        </is>
      </c>
    </row>
    <row r="926">
      <c r="A926" s="297" t="n"/>
      <c r="B926" s="96" t="n"/>
      <c r="C926" s="96" t="n"/>
      <c r="D926" s="97" t="n"/>
      <c r="E926" s="97" t="n"/>
      <c r="F926" s="98" t="n"/>
      <c r="G926" s="761" t="n"/>
      <c r="H926" s="98" t="n">
        <v>387</v>
      </c>
      <c r="I926" s="392" t="n"/>
      <c r="J926" s="392" t="n"/>
      <c r="K926" s="392" t="n"/>
      <c r="L926" s="392" t="n"/>
    </row>
    <row r="927">
      <c r="A927" s="297" t="n">
        <v>45140</v>
      </c>
      <c r="B927" s="93" t="inlineStr">
        <is>
          <t>10351</t>
        </is>
      </c>
      <c r="C927" s="93" t="inlineStr">
        <is>
          <t>96,25</t>
        </is>
      </c>
      <c r="D927" s="94" t="n"/>
      <c r="E927" s="94" t="n"/>
      <c r="F927" s="95" t="n"/>
      <c r="G927" s="95" t="n">
        <v>40</v>
      </c>
      <c r="H927" s="98">
        <f>H926-G927</f>
        <v/>
      </c>
      <c r="I927" s="71" t="n"/>
      <c r="J927" s="747">
        <f>F927*I927</f>
        <v/>
      </c>
      <c r="K927" s="747" t="n"/>
      <c r="L927" s="748" t="n"/>
    </row>
    <row r="928">
      <c r="A928" s="297" t="n">
        <v>45140</v>
      </c>
      <c r="B928" s="93" t="inlineStr">
        <is>
          <t>10354</t>
        </is>
      </c>
      <c r="C928" s="93" t="inlineStr">
        <is>
          <t>97,28</t>
        </is>
      </c>
      <c r="D928" s="94" t="n"/>
      <c r="E928" s="94" t="n"/>
      <c r="F928" s="95" t="n"/>
      <c r="G928" s="95" t="n">
        <v>35</v>
      </c>
      <c r="H928" s="98">
        <f>H927-G928</f>
        <v/>
      </c>
      <c r="I928" s="71" t="n"/>
      <c r="J928" s="747">
        <f>F928*I928</f>
        <v/>
      </c>
      <c r="K928" s="747" t="n"/>
      <c r="L928" s="748" t="n"/>
    </row>
    <row r="929">
      <c r="A929" s="310" t="n">
        <v>45146</v>
      </c>
      <c r="B929" s="274" t="inlineStr">
        <is>
          <t>224911</t>
        </is>
      </c>
      <c r="C929" s="274" t="inlineStr">
        <is>
          <t>80</t>
        </is>
      </c>
      <c r="D929" s="279" t="n">
        <v>130</v>
      </c>
      <c r="E929" s="279" t="n"/>
      <c r="F929" s="278" t="n"/>
      <c r="G929" s="278" t="n"/>
      <c r="H929" s="277" t="n">
        <v>442</v>
      </c>
      <c r="I929" s="71" t="n"/>
      <c r="J929" s="747" t="n"/>
      <c r="K929" s="747" t="n"/>
      <c r="L929" s="748" t="n"/>
    </row>
    <row r="930">
      <c r="A930" s="297" t="n">
        <v>45147</v>
      </c>
      <c r="B930" s="93" t="inlineStr">
        <is>
          <t>10375</t>
        </is>
      </c>
      <c r="C930" s="93" t="inlineStr">
        <is>
          <t>96,6</t>
        </is>
      </c>
      <c r="D930" s="94" t="n"/>
      <c r="E930" s="94" t="n"/>
      <c r="F930" s="95" t="n"/>
      <c r="G930" s="95" t="n">
        <v>50</v>
      </c>
      <c r="H930" s="98">
        <f>H929-G930</f>
        <v/>
      </c>
      <c r="I930" s="71" t="n"/>
      <c r="J930" s="747">
        <f>F930*I930</f>
        <v/>
      </c>
      <c r="K930" s="747" t="n"/>
      <c r="L930" s="748" t="n"/>
    </row>
    <row r="931">
      <c r="A931" s="297" t="n">
        <v>45147</v>
      </c>
      <c r="B931" s="93" t="inlineStr">
        <is>
          <t>10376</t>
        </is>
      </c>
      <c r="C931" s="93" t="inlineStr">
        <is>
          <t>91,67</t>
        </is>
      </c>
      <c r="D931" s="94" t="n"/>
      <c r="E931" s="94" t="n"/>
      <c r="F931" s="95" t="n"/>
      <c r="G931" s="95" t="n">
        <v>15</v>
      </c>
      <c r="H931" s="98">
        <f>H930-G931</f>
        <v/>
      </c>
      <c r="I931" s="71" t="n"/>
      <c r="J931" s="747">
        <f>F931*I931</f>
        <v/>
      </c>
      <c r="K931" s="747" t="n"/>
      <c r="L931" s="748" t="n"/>
    </row>
    <row r="932">
      <c r="A932" s="297" t="n">
        <v>45153</v>
      </c>
      <c r="B932" s="93" t="inlineStr">
        <is>
          <t>10380</t>
        </is>
      </c>
      <c r="C932" s="93" t="inlineStr">
        <is>
          <t>89,67</t>
        </is>
      </c>
      <c r="D932" s="94" t="n"/>
      <c r="E932" s="94" t="n"/>
      <c r="F932" s="95" t="n"/>
      <c r="G932" s="95" t="n">
        <v>15</v>
      </c>
      <c r="H932" s="98">
        <f>H931-G932</f>
        <v/>
      </c>
      <c r="I932" s="71" t="n"/>
      <c r="J932" s="747">
        <f>F932*I932</f>
        <v/>
      </c>
      <c r="K932" s="747" t="n"/>
      <c r="L932" s="748" t="n"/>
    </row>
    <row r="933">
      <c r="A933" s="297" t="n">
        <v>45153</v>
      </c>
      <c r="B933" s="93" t="inlineStr">
        <is>
          <t>10385</t>
        </is>
      </c>
      <c r="C933" s="93" t="inlineStr">
        <is>
          <t>100</t>
        </is>
      </c>
      <c r="D933" s="94" t="n"/>
      <c r="E933" s="94" t="n"/>
      <c r="F933" s="95" t="n"/>
      <c r="G933" s="95" t="n">
        <v>30</v>
      </c>
      <c r="H933" s="98">
        <f>H932-G933</f>
        <v/>
      </c>
      <c r="I933" s="71" t="n"/>
      <c r="J933" s="747">
        <f>F933*I933</f>
        <v/>
      </c>
      <c r="K933" s="747" t="n"/>
      <c r="L933" s="748" t="n"/>
    </row>
    <row r="934">
      <c r="A934" s="297" t="n">
        <v>45159</v>
      </c>
      <c r="B934" s="93" t="inlineStr">
        <is>
          <t>10393</t>
        </is>
      </c>
      <c r="C934" s="93" t="inlineStr">
        <is>
          <t>100</t>
        </is>
      </c>
      <c r="D934" s="94" t="n"/>
      <c r="E934" s="94" t="n"/>
      <c r="F934" s="95" t="n"/>
      <c r="G934" s="95" t="n">
        <v>30</v>
      </c>
      <c r="H934" s="98">
        <f>H933-G934</f>
        <v/>
      </c>
      <c r="I934" s="71" t="n"/>
      <c r="J934" s="747">
        <f>F934*I934</f>
        <v/>
      </c>
      <c r="K934" s="747" t="n"/>
      <c r="L934" s="748" t="n"/>
    </row>
    <row r="935">
      <c r="A935" s="297" t="n">
        <v>45167</v>
      </c>
      <c r="B935" s="93" t="inlineStr">
        <is>
          <t>10432</t>
        </is>
      </c>
      <c r="C935" s="93" t="inlineStr">
        <is>
          <t>95</t>
        </is>
      </c>
      <c r="D935" s="94" t="n"/>
      <c r="E935" s="94" t="n"/>
      <c r="F935" s="95" t="n"/>
      <c r="G935" s="95" t="n">
        <v>15</v>
      </c>
      <c r="H935" s="98">
        <f>H934-G935</f>
        <v/>
      </c>
      <c r="I935" s="71" t="n"/>
      <c r="J935" s="747">
        <f>F935*I935</f>
        <v/>
      </c>
      <c r="K935" s="747" t="n"/>
      <c r="L935" s="748" t="n"/>
    </row>
    <row r="936">
      <c r="A936" s="297" t="n">
        <v>45169</v>
      </c>
      <c r="B936" s="93" t="inlineStr">
        <is>
          <t>10436</t>
        </is>
      </c>
      <c r="C936" s="93" t="inlineStr">
        <is>
          <t>92</t>
        </is>
      </c>
      <c r="D936" s="94" t="n"/>
      <c r="E936" s="94" t="n"/>
      <c r="F936" s="95" t="n"/>
      <c r="G936" s="95" t="n">
        <v>20</v>
      </c>
      <c r="H936" s="98">
        <f>H935-G936</f>
        <v/>
      </c>
      <c r="I936" s="71" t="n"/>
      <c r="J936" s="747">
        <f>F936*I936</f>
        <v/>
      </c>
      <c r="K936" s="747" t="n"/>
      <c r="L936" s="748" t="n"/>
    </row>
    <row r="937" ht="15.75" customHeight="1" s="436" thickBot="1"/>
    <row r="938" ht="24" customHeight="1" s="436" thickBot="1">
      <c r="A938" s="759" t="inlineStr">
        <is>
          <t>Setembro</t>
        </is>
      </c>
      <c r="B938" s="697" t="n"/>
      <c r="C938" s="697" t="n"/>
      <c r="D938" s="697" t="n"/>
      <c r="E938" s="697" t="n"/>
      <c r="F938" s="697" t="n"/>
      <c r="G938" s="697" t="n"/>
      <c r="H938" s="697" t="n"/>
      <c r="I938" s="697" t="n"/>
      <c r="J938" s="697" t="n"/>
      <c r="K938" s="697" t="n"/>
      <c r="L938" s="698" t="n"/>
    </row>
    <row r="939" ht="24" customHeight="1" s="436" thickBot="1">
      <c r="A939" s="759" t="inlineStr">
        <is>
          <t xml:space="preserve">  PRÉ MISTURA -  Pão Doce 25 KG</t>
        </is>
      </c>
      <c r="B939" s="697" t="n"/>
      <c r="C939" s="697" t="n"/>
      <c r="D939" s="697" t="n"/>
      <c r="E939" s="697" t="n"/>
      <c r="F939" s="697" t="n"/>
      <c r="G939" s="697" t="n"/>
      <c r="H939" s="697" t="n"/>
      <c r="I939" s="697" t="n"/>
      <c r="J939" s="697" t="n"/>
      <c r="K939" s="697" t="n"/>
      <c r="L939" s="698" t="n"/>
    </row>
    <row r="940">
      <c r="A940" s="3" t="inlineStr">
        <is>
          <t>DATA</t>
        </is>
      </c>
      <c r="B940" s="3" t="inlineStr">
        <is>
          <t>N.F.</t>
        </is>
      </c>
      <c r="C940" s="3" t="inlineStr">
        <is>
          <t>TIPO</t>
        </is>
      </c>
      <c r="D940" s="3" t="inlineStr">
        <is>
          <t>PREÇO UNITÁRIO</t>
        </is>
      </c>
      <c r="E940" s="736" t="n"/>
      <c r="F940" s="3" t="inlineStr">
        <is>
          <t>QUANTIDADE / KG</t>
        </is>
      </c>
      <c r="G940" s="737" t="n"/>
      <c r="H940" s="736" t="n"/>
      <c r="I940" s="631" t="inlineStr">
        <is>
          <t>PREÇO</t>
        </is>
      </c>
      <c r="J940" s="631" t="inlineStr">
        <is>
          <t>VALORES</t>
        </is>
      </c>
      <c r="K940" s="737" t="n"/>
      <c r="L940" s="736" t="n"/>
    </row>
    <row r="941" ht="15.75" customHeight="1" s="436" thickBot="1">
      <c r="A941" s="704" t="n"/>
      <c r="B941" s="704" t="n"/>
      <c r="C941" s="704" t="n"/>
      <c r="D941" s="703" t="n"/>
      <c r="E941" s="701" t="n"/>
      <c r="F941" s="705" t="n"/>
      <c r="G941" s="706" t="n"/>
      <c r="H941" s="707" t="n"/>
      <c r="I941" s="704" t="n"/>
      <c r="J941" s="703" t="n"/>
      <c r="L941" s="701" t="n"/>
    </row>
    <row r="942" ht="15.75" customHeight="1" s="436" thickBot="1">
      <c r="A942" s="704" t="n"/>
      <c r="B942" s="704" t="n"/>
      <c r="C942" s="704" t="n"/>
      <c r="D942" s="705" t="n"/>
      <c r="E942" s="707" t="n"/>
      <c r="F942" s="3" t="inlineStr">
        <is>
          <t>ENTRADA</t>
        </is>
      </c>
      <c r="G942" s="3" t="inlineStr">
        <is>
          <t>SAÍDA</t>
        </is>
      </c>
      <c r="H942" s="640" t="n"/>
      <c r="I942" s="633" t="inlineStr">
        <is>
          <t>MÉDIO</t>
        </is>
      </c>
      <c r="J942" s="739" t="inlineStr">
        <is>
          <t>SALDO EM 30/12/2017</t>
        </is>
      </c>
      <c r="K942" s="707" t="n"/>
      <c r="L942" s="17" t="n"/>
    </row>
    <row r="943" ht="15.75" customHeight="1" s="436" thickBot="1">
      <c r="A943" s="695" t="n"/>
      <c r="B943" s="695" t="n"/>
      <c r="C943" s="695" t="n"/>
      <c r="D943" s="3" t="inlineStr">
        <is>
          <t>C/ICMS</t>
        </is>
      </c>
      <c r="E943" s="3" t="inlineStr">
        <is>
          <t>S/ICMS</t>
        </is>
      </c>
      <c r="F943" s="695" t="n"/>
      <c r="G943" s="695" t="n"/>
      <c r="H943" s="361" t="inlineStr">
        <is>
          <t>Saldo em 30/08/2022</t>
        </is>
      </c>
      <c r="I943" s="695" t="n"/>
      <c r="J943" s="645" t="inlineStr">
        <is>
          <t>ENTRADA</t>
        </is>
      </c>
      <c r="K943" s="633" t="inlineStr">
        <is>
          <t>SAÍDA / CMV</t>
        </is>
      </c>
      <c r="L943" s="633" t="inlineStr">
        <is>
          <t>SALDO</t>
        </is>
      </c>
    </row>
    <row r="944">
      <c r="A944" s="297" t="n"/>
      <c r="B944" s="96" t="n"/>
      <c r="C944" s="96" t="n"/>
      <c r="D944" s="97" t="n"/>
      <c r="E944" s="97" t="n"/>
      <c r="F944" s="98" t="n"/>
      <c r="G944" s="761" t="n"/>
      <c r="H944" s="98" t="n">
        <v>267</v>
      </c>
      <c r="I944" s="392" t="n"/>
      <c r="J944" s="392" t="n"/>
      <c r="K944" s="392" t="n"/>
      <c r="L944" s="392" t="n"/>
    </row>
    <row r="945">
      <c r="A945" s="297" t="n">
        <v>45174</v>
      </c>
      <c r="B945" s="93" t="inlineStr">
        <is>
          <t>10448</t>
        </is>
      </c>
      <c r="C945" s="93" t="inlineStr">
        <is>
          <t>99</t>
        </is>
      </c>
      <c r="D945" s="94" t="n"/>
      <c r="E945" s="94" t="n"/>
      <c r="F945" s="95" t="n"/>
      <c r="G945" s="95" t="n">
        <v>40</v>
      </c>
      <c r="H945" s="98">
        <f>H944-G945</f>
        <v/>
      </c>
      <c r="I945" s="71" t="n"/>
      <c r="J945" s="747">
        <f>F945*I945</f>
        <v/>
      </c>
      <c r="K945" s="747" t="n"/>
      <c r="L945" s="748" t="n"/>
    </row>
    <row r="946">
      <c r="A946" s="297" t="n">
        <v>45174</v>
      </c>
      <c r="B946" s="93" t="inlineStr">
        <is>
          <t>10452</t>
        </is>
      </c>
      <c r="C946" s="93" t="inlineStr">
        <is>
          <t>99</t>
        </is>
      </c>
      <c r="D946" s="94" t="n"/>
      <c r="E946" s="94" t="n"/>
      <c r="F946" s="95" t="n"/>
      <c r="G946" s="95" t="n">
        <v>50</v>
      </c>
      <c r="H946" s="98">
        <f>H945-G946</f>
        <v/>
      </c>
      <c r="I946" s="71" t="n"/>
      <c r="J946" s="747">
        <f>F946*I946</f>
        <v/>
      </c>
      <c r="K946" s="747" t="n"/>
      <c r="L946" s="748" t="n"/>
    </row>
    <row r="947">
      <c r="A947" s="297" t="n">
        <v>45182</v>
      </c>
      <c r="B947" s="93" t="inlineStr">
        <is>
          <t>10477</t>
        </is>
      </c>
      <c r="C947" s="93" t="inlineStr">
        <is>
          <t>92,5</t>
        </is>
      </c>
      <c r="D947" s="94" t="n"/>
      <c r="E947" s="94" t="n"/>
      <c r="F947" s="95" t="n"/>
      <c r="G947" s="95" t="n">
        <v>30</v>
      </c>
      <c r="H947" s="98">
        <f>H946-G947</f>
        <v/>
      </c>
      <c r="I947" s="71" t="n"/>
      <c r="J947" s="747">
        <f>F947*I947</f>
        <v/>
      </c>
      <c r="K947" s="747" t="n"/>
      <c r="L947" s="748" t="n"/>
    </row>
    <row r="948">
      <c r="A948" s="310" t="n">
        <v>45184</v>
      </c>
      <c r="B948" s="274" t="inlineStr">
        <is>
          <t>227479</t>
        </is>
      </c>
      <c r="C948" s="274" t="n"/>
      <c r="D948" s="279" t="n">
        <v>200</v>
      </c>
      <c r="E948" s="279" t="n"/>
      <c r="F948" s="278" t="n"/>
      <c r="G948" s="278" t="n"/>
      <c r="H948" s="277" t="n">
        <v>347</v>
      </c>
      <c r="I948" s="71" t="n"/>
      <c r="J948" s="747" t="n"/>
      <c r="K948" s="747" t="n"/>
      <c r="L948" s="748" t="n"/>
    </row>
    <row r="949">
      <c r="A949" s="297" t="n">
        <v>45187</v>
      </c>
      <c r="B949" s="93" t="inlineStr">
        <is>
          <t>10478</t>
        </is>
      </c>
      <c r="C949" s="93" t="inlineStr">
        <is>
          <t>89,67</t>
        </is>
      </c>
      <c r="D949" s="94" t="n"/>
      <c r="E949" s="94" t="n"/>
      <c r="F949" s="95" t="n"/>
      <c r="G949" s="95" t="n">
        <v>30</v>
      </c>
      <c r="H949" s="98">
        <f>H948-G949</f>
        <v/>
      </c>
      <c r="I949" s="71" t="n"/>
      <c r="J949" s="747">
        <f>F949*I949</f>
        <v/>
      </c>
      <c r="K949" s="747" t="n"/>
      <c r="L949" s="748" t="n"/>
    </row>
    <row r="950" ht="15.75" customHeight="1" s="436" thickBot="1"/>
    <row r="951" ht="24" customHeight="1" s="436" thickBot="1">
      <c r="A951" s="759" t="inlineStr">
        <is>
          <t>Outubro</t>
        </is>
      </c>
      <c r="B951" s="697" t="n"/>
      <c r="C951" s="697" t="n"/>
      <c r="D951" s="697" t="n"/>
      <c r="E951" s="697" t="n"/>
      <c r="F951" s="697" t="n"/>
      <c r="G951" s="697" t="n"/>
      <c r="H951" s="697" t="n"/>
      <c r="I951" s="697" t="n"/>
      <c r="J951" s="697" t="n"/>
      <c r="K951" s="697" t="n"/>
      <c r="L951" s="698" t="n"/>
    </row>
    <row r="952" ht="24" customHeight="1" s="436" thickBot="1">
      <c r="A952" s="759" t="inlineStr">
        <is>
          <t xml:space="preserve">  PRÉ MISTURA -  Pão Doce 25 KG</t>
        </is>
      </c>
      <c r="B952" s="697" t="n"/>
      <c r="C952" s="697" t="n"/>
      <c r="D952" s="697" t="n"/>
      <c r="E952" s="697" t="n"/>
      <c r="F952" s="697" t="n"/>
      <c r="G952" s="697" t="n"/>
      <c r="H952" s="697" t="n"/>
      <c r="I952" s="697" t="n"/>
      <c r="J952" s="697" t="n"/>
      <c r="K952" s="697" t="n"/>
      <c r="L952" s="698" t="n"/>
    </row>
    <row r="953">
      <c r="A953" s="3" t="inlineStr">
        <is>
          <t>DATA</t>
        </is>
      </c>
      <c r="B953" s="3" t="inlineStr">
        <is>
          <t>N.F.</t>
        </is>
      </c>
      <c r="C953" s="3" t="inlineStr">
        <is>
          <t>TIPO</t>
        </is>
      </c>
      <c r="D953" s="3" t="inlineStr">
        <is>
          <t>PREÇO UNITÁRIO</t>
        </is>
      </c>
      <c r="E953" s="736" t="n"/>
      <c r="F953" s="3" t="inlineStr">
        <is>
          <t>QUANTIDADE / KG</t>
        </is>
      </c>
      <c r="G953" s="737" t="n"/>
      <c r="H953" s="736" t="n"/>
      <c r="I953" s="631" t="inlineStr">
        <is>
          <t>PREÇO</t>
        </is>
      </c>
      <c r="J953" s="631" t="inlineStr">
        <is>
          <t>VALORES</t>
        </is>
      </c>
      <c r="K953" s="737" t="n"/>
      <c r="L953" s="736" t="n"/>
    </row>
    <row r="954" ht="15.75" customHeight="1" s="436" thickBot="1">
      <c r="A954" s="704" t="n"/>
      <c r="B954" s="704" t="n"/>
      <c r="C954" s="704" t="n"/>
      <c r="D954" s="703" t="n"/>
      <c r="E954" s="701" t="n"/>
      <c r="F954" s="705" t="n"/>
      <c r="G954" s="706" t="n"/>
      <c r="H954" s="707" t="n"/>
      <c r="I954" s="704" t="n"/>
      <c r="J954" s="703" t="n"/>
      <c r="L954" s="701" t="n"/>
    </row>
    <row r="955" ht="15.75" customHeight="1" s="436" thickBot="1">
      <c r="A955" s="704" t="n"/>
      <c r="B955" s="704" t="n"/>
      <c r="C955" s="704" t="n"/>
      <c r="D955" s="705" t="n"/>
      <c r="E955" s="707" t="n"/>
      <c r="F955" s="3" t="inlineStr">
        <is>
          <t>ENTRADA</t>
        </is>
      </c>
      <c r="G955" s="3" t="inlineStr">
        <is>
          <t>SAÍDA</t>
        </is>
      </c>
      <c r="H955" s="640" t="n"/>
      <c r="I955" s="633" t="inlineStr">
        <is>
          <t>MÉDIO</t>
        </is>
      </c>
      <c r="J955" s="739" t="inlineStr">
        <is>
          <t>SALDO EM 30/12/2017</t>
        </is>
      </c>
      <c r="K955" s="707" t="n"/>
      <c r="L955" s="17" t="n"/>
    </row>
    <row r="956" ht="15.75" customHeight="1" s="436" thickBot="1">
      <c r="A956" s="695" t="n"/>
      <c r="B956" s="695" t="n"/>
      <c r="C956" s="695" t="n"/>
      <c r="D956" s="3" t="inlineStr">
        <is>
          <t>C/ICMS</t>
        </is>
      </c>
      <c r="E956" s="3" t="inlineStr">
        <is>
          <t>S/ICMS</t>
        </is>
      </c>
      <c r="F956" s="695" t="n"/>
      <c r="G956" s="695" t="n"/>
      <c r="H956" s="361" t="inlineStr">
        <is>
          <t>Saldo em 30/09/2022</t>
        </is>
      </c>
      <c r="I956" s="695" t="n"/>
      <c r="J956" s="645" t="inlineStr">
        <is>
          <t>ENTRADA</t>
        </is>
      </c>
      <c r="K956" s="633" t="inlineStr">
        <is>
          <t>SAÍDA / CMV</t>
        </is>
      </c>
      <c r="L956" s="633" t="inlineStr">
        <is>
          <t>SALDO</t>
        </is>
      </c>
    </row>
    <row r="957">
      <c r="A957" s="297" t="n"/>
      <c r="B957" s="96" t="n"/>
      <c r="C957" s="96" t="n"/>
      <c r="D957" s="97" t="n"/>
      <c r="E957" s="97" t="n"/>
      <c r="F957" s="98" t="n"/>
      <c r="G957" s="761" t="n"/>
      <c r="H957" s="98" t="n">
        <v>317</v>
      </c>
      <c r="I957" s="392" t="n"/>
      <c r="J957" s="392" t="n"/>
      <c r="K957" s="392" t="n"/>
      <c r="L957" s="392" t="n"/>
    </row>
    <row r="958">
      <c r="A958" s="297" t="n">
        <v>45201</v>
      </c>
      <c r="B958" s="93" t="inlineStr">
        <is>
          <t>10519</t>
        </is>
      </c>
      <c r="C958" s="93" t="inlineStr">
        <is>
          <t>93,85</t>
        </is>
      </c>
      <c r="D958" s="94" t="n"/>
      <c r="E958" s="94" t="n"/>
      <c r="F958" s="95" t="n"/>
      <c r="G958" s="95" t="n">
        <v>33</v>
      </c>
      <c r="H958" s="98">
        <f>H957-G958</f>
        <v/>
      </c>
      <c r="I958" s="71" t="n"/>
      <c r="J958" s="747">
        <f>F958*I958</f>
        <v/>
      </c>
      <c r="K958" s="747" t="n"/>
      <c r="L958" s="748" t="n"/>
    </row>
    <row r="959">
      <c r="A959" s="297" t="n">
        <v>45203</v>
      </c>
      <c r="B959" s="93" t="inlineStr">
        <is>
          <t>10527</t>
        </is>
      </c>
      <c r="C959" s="93" t="inlineStr">
        <is>
          <t>90,4</t>
        </is>
      </c>
      <c r="D959" s="94" t="n"/>
      <c r="E959" s="94" t="n"/>
      <c r="F959" s="95" t="n"/>
      <c r="G959" s="95" t="n">
        <v>50</v>
      </c>
      <c r="H959" s="98">
        <f>H958-G959</f>
        <v/>
      </c>
      <c r="I959" s="71" t="n"/>
      <c r="J959" s="747">
        <f>F959*I959</f>
        <v/>
      </c>
      <c r="K959" s="747" t="n"/>
      <c r="L959" s="748" t="n"/>
    </row>
    <row r="960">
      <c r="A960" s="297" t="n">
        <v>45203</v>
      </c>
      <c r="B960" s="93" t="inlineStr">
        <is>
          <t>10536</t>
        </is>
      </c>
      <c r="C960" s="93" t="inlineStr">
        <is>
          <t>93,56</t>
        </is>
      </c>
      <c r="D960" s="94" t="n"/>
      <c r="E960" s="94" t="n"/>
      <c r="F960" s="95" t="n"/>
      <c r="G960" s="95" t="n">
        <v>45</v>
      </c>
      <c r="H960" s="98">
        <f>H959-G960</f>
        <v/>
      </c>
      <c r="I960" s="71" t="n"/>
      <c r="J960" s="747">
        <f>F960*I960</f>
        <v/>
      </c>
      <c r="K960" s="747" t="n"/>
      <c r="L960" s="748" t="n"/>
    </row>
    <row r="961">
      <c r="A961" s="297" t="n">
        <v>45208</v>
      </c>
      <c r="B961" s="93" t="inlineStr">
        <is>
          <t>10549</t>
        </is>
      </c>
      <c r="C961" s="93" t="inlineStr">
        <is>
          <t>97</t>
        </is>
      </c>
      <c r="D961" s="94" t="n"/>
      <c r="E961" s="94" t="n"/>
      <c r="F961" s="95" t="n"/>
      <c r="G961" s="95" t="n">
        <v>30</v>
      </c>
      <c r="H961" s="98">
        <f>H960-G961</f>
        <v/>
      </c>
      <c r="I961" s="71" t="n"/>
      <c r="J961" s="747">
        <f>F961*I961</f>
        <v/>
      </c>
      <c r="K961" s="747" t="n"/>
      <c r="L961" s="748" t="n"/>
    </row>
    <row r="962">
      <c r="A962" s="297" t="n">
        <v>45223</v>
      </c>
      <c r="B962" s="93" t="inlineStr">
        <is>
          <t>10589</t>
        </is>
      </c>
      <c r="C962" s="93" t="inlineStr">
        <is>
          <t>93</t>
        </is>
      </c>
      <c r="D962" s="94" t="n"/>
      <c r="E962" s="94" t="n"/>
      <c r="F962" s="95" t="n"/>
      <c r="G962" s="95" t="n">
        <v>15</v>
      </c>
      <c r="H962" s="98">
        <f>H961-G962</f>
        <v/>
      </c>
      <c r="I962" s="71" t="n"/>
      <c r="J962" s="747">
        <f>F962*I962</f>
        <v/>
      </c>
      <c r="K962" s="747" t="n"/>
      <c r="L962" s="748" t="n"/>
    </row>
    <row r="963">
      <c r="A963" s="297" t="n">
        <v>45223</v>
      </c>
      <c r="B963" s="93" t="inlineStr">
        <is>
          <t>10590</t>
        </is>
      </c>
      <c r="C963" s="93" t="inlineStr">
        <is>
          <t>94</t>
        </is>
      </c>
      <c r="D963" s="94" t="n"/>
      <c r="E963" s="94" t="n"/>
      <c r="F963" s="95" t="n"/>
      <c r="G963" s="95" t="n">
        <v>20</v>
      </c>
      <c r="H963" s="98">
        <f>H962-G963</f>
        <v/>
      </c>
      <c r="I963" s="71" t="n"/>
      <c r="J963" s="747">
        <f>F963*I963</f>
        <v/>
      </c>
      <c r="K963" s="747" t="n"/>
      <c r="L963" s="748" t="n"/>
    </row>
    <row r="964">
      <c r="A964" s="297" t="n">
        <v>45223</v>
      </c>
      <c r="B964" s="93" t="inlineStr">
        <is>
          <t>10592</t>
        </is>
      </c>
      <c r="C964" s="93" t="inlineStr">
        <is>
          <t>93,8</t>
        </is>
      </c>
      <c r="D964" s="94" t="n"/>
      <c r="E964" s="94" t="n"/>
      <c r="F964" s="95" t="n"/>
      <c r="G964" s="95" t="n">
        <v>50</v>
      </c>
      <c r="H964" s="98">
        <f>H963-G964</f>
        <v/>
      </c>
      <c r="I964" s="71" t="n"/>
      <c r="J964" s="747">
        <f>F964*I964</f>
        <v/>
      </c>
      <c r="K964" s="747" t="n"/>
      <c r="L964" s="748" t="n"/>
    </row>
    <row r="965">
      <c r="A965" s="297" t="n">
        <v>45229</v>
      </c>
      <c r="B965" s="93" t="inlineStr">
        <is>
          <t>10606</t>
        </is>
      </c>
      <c r="C965" s="93" t="inlineStr">
        <is>
          <t>91,5</t>
        </is>
      </c>
      <c r="D965" s="94" t="n"/>
      <c r="E965" s="94" t="n"/>
      <c r="F965" s="95" t="n"/>
      <c r="G965" s="95" t="n">
        <v>32</v>
      </c>
      <c r="H965" s="98">
        <f>H964-G965</f>
        <v/>
      </c>
      <c r="I965" s="71" t="n"/>
      <c r="J965" s="747">
        <f>F965*I965</f>
        <v/>
      </c>
      <c r="K965" s="747" t="n"/>
      <c r="L965" s="748" t="n"/>
    </row>
    <row r="966">
      <c r="A966" s="297" t="n">
        <v>45230</v>
      </c>
      <c r="B966" s="93" t="inlineStr">
        <is>
          <t>10608</t>
        </is>
      </c>
      <c r="C966" s="93" t="inlineStr">
        <is>
          <t>97</t>
        </is>
      </c>
      <c r="D966" s="94" t="n"/>
      <c r="E966" s="94" t="n"/>
      <c r="F966" s="95" t="n"/>
      <c r="G966" s="95" t="n">
        <v>30</v>
      </c>
      <c r="H966" s="98">
        <f>H965-G966</f>
        <v/>
      </c>
      <c r="I966" s="71" t="n"/>
      <c r="J966" s="747">
        <f>F966*I966</f>
        <v/>
      </c>
      <c r="K966" s="747" t="n"/>
      <c r="L966" s="748" t="n"/>
    </row>
    <row r="967" ht="15.75" customHeight="1" s="436" thickBot="1"/>
    <row r="968" ht="24" customHeight="1" s="436" thickBot="1">
      <c r="A968" s="759" t="inlineStr">
        <is>
          <t>Novembro</t>
        </is>
      </c>
      <c r="B968" s="697" t="n"/>
      <c r="C968" s="697" t="n"/>
      <c r="D968" s="697" t="n"/>
      <c r="E968" s="697" t="n"/>
      <c r="F968" s="697" t="n"/>
      <c r="G968" s="697" t="n"/>
      <c r="H968" s="697" t="n"/>
      <c r="I968" s="697" t="n"/>
      <c r="J968" s="697" t="n"/>
      <c r="K968" s="697" t="n"/>
      <c r="L968" s="698" t="n"/>
    </row>
    <row r="969" ht="24" customHeight="1" s="436" thickBot="1">
      <c r="A969" s="759" t="inlineStr">
        <is>
          <t xml:space="preserve">  PRÉ MISTURA -  Pão Doce 25 KG</t>
        </is>
      </c>
      <c r="B969" s="697" t="n"/>
      <c r="C969" s="697" t="n"/>
      <c r="D969" s="697" t="n"/>
      <c r="E969" s="697" t="n"/>
      <c r="F969" s="697" t="n"/>
      <c r="G969" s="697" t="n"/>
      <c r="H969" s="697" t="n"/>
      <c r="I969" s="697" t="n"/>
      <c r="J969" s="697" t="n"/>
      <c r="K969" s="697" t="n"/>
      <c r="L969" s="698" t="n"/>
    </row>
    <row r="970">
      <c r="A970" s="3" t="inlineStr">
        <is>
          <t>DATA</t>
        </is>
      </c>
      <c r="B970" s="3" t="inlineStr">
        <is>
          <t>N.F.</t>
        </is>
      </c>
      <c r="C970" s="3" t="inlineStr">
        <is>
          <t>TIPO</t>
        </is>
      </c>
      <c r="D970" s="3" t="inlineStr">
        <is>
          <t>PREÇO UNITÁRIO</t>
        </is>
      </c>
      <c r="E970" s="736" t="n"/>
      <c r="F970" s="3" t="inlineStr">
        <is>
          <t>QUANTIDADE / KG</t>
        </is>
      </c>
      <c r="G970" s="737" t="n"/>
      <c r="H970" s="736" t="n"/>
      <c r="I970" s="631" t="inlineStr">
        <is>
          <t>PREÇO</t>
        </is>
      </c>
      <c r="J970" s="631" t="inlineStr">
        <is>
          <t>VALORES</t>
        </is>
      </c>
      <c r="K970" s="737" t="n"/>
      <c r="L970" s="736" t="n"/>
    </row>
    <row r="971" ht="15.75" customHeight="1" s="436" thickBot="1">
      <c r="A971" s="704" t="n"/>
      <c r="B971" s="704" t="n"/>
      <c r="C971" s="704" t="n"/>
      <c r="D971" s="703" t="n"/>
      <c r="E971" s="701" t="n"/>
      <c r="F971" s="705" t="n"/>
      <c r="G971" s="706" t="n"/>
      <c r="H971" s="707" t="n"/>
      <c r="I971" s="704" t="n"/>
      <c r="J971" s="703" t="n"/>
      <c r="L971" s="701" t="n"/>
    </row>
    <row r="972" ht="15.75" customHeight="1" s="436" thickBot="1">
      <c r="A972" s="704" t="n"/>
      <c r="B972" s="704" t="n"/>
      <c r="C972" s="704" t="n"/>
      <c r="D972" s="705" t="n"/>
      <c r="E972" s="707" t="n"/>
      <c r="F972" s="3" t="inlineStr">
        <is>
          <t>ENTRADA</t>
        </is>
      </c>
      <c r="G972" s="3" t="inlineStr">
        <is>
          <t>SAÍDA</t>
        </is>
      </c>
      <c r="H972" s="640" t="n"/>
      <c r="I972" s="633" t="inlineStr">
        <is>
          <t>MÉDIO</t>
        </is>
      </c>
      <c r="J972" s="739" t="inlineStr">
        <is>
          <t>SALDO EM 30/12/2017</t>
        </is>
      </c>
      <c r="K972" s="707" t="n"/>
      <c r="L972" s="17" t="n"/>
    </row>
    <row r="973" ht="15.75" customHeight="1" s="436" thickBot="1">
      <c r="A973" s="695" t="n"/>
      <c r="B973" s="695" t="n"/>
      <c r="C973" s="695" t="n"/>
      <c r="D973" s="3" t="inlineStr">
        <is>
          <t>C/ICMS</t>
        </is>
      </c>
      <c r="E973" s="3" t="inlineStr">
        <is>
          <t>S/ICMS</t>
        </is>
      </c>
      <c r="F973" s="695" t="n"/>
      <c r="G973" s="695" t="n"/>
      <c r="H973" s="361" t="inlineStr">
        <is>
          <t>Saldo em 30/10/2022</t>
        </is>
      </c>
      <c r="I973" s="695" t="n"/>
      <c r="J973" s="645" t="inlineStr">
        <is>
          <t>ENTRADA</t>
        </is>
      </c>
      <c r="K973" s="633" t="inlineStr">
        <is>
          <t>SAÍDA / CMV</t>
        </is>
      </c>
      <c r="L973" s="633" t="inlineStr">
        <is>
          <t>SALDO</t>
        </is>
      </c>
    </row>
    <row r="974">
      <c r="A974" s="297" t="n"/>
      <c r="B974" s="96" t="n"/>
      <c r="C974" s="96" t="n"/>
      <c r="D974" s="97" t="n"/>
      <c r="E974" s="97" t="n"/>
      <c r="F974" s="98" t="n"/>
      <c r="G974" s="761" t="n"/>
      <c r="H974" s="98" t="n">
        <v>12</v>
      </c>
      <c r="I974" s="392" t="n"/>
      <c r="J974" s="392" t="n"/>
      <c r="K974" s="392" t="n"/>
      <c r="L974" s="392" t="n"/>
    </row>
    <row r="975">
      <c r="A975" s="310" t="n">
        <v>45238</v>
      </c>
      <c r="B975" s="274" t="inlineStr">
        <is>
          <t>231648</t>
        </is>
      </c>
      <c r="C975" s="274" t="inlineStr">
        <is>
          <t>78</t>
        </is>
      </c>
      <c r="D975" s="279" t="n">
        <v>250</v>
      </c>
      <c r="E975" s="279" t="n"/>
      <c r="F975" s="278" t="n"/>
      <c r="G975" s="764" t="n"/>
      <c r="H975" s="277" t="n">
        <v>262</v>
      </c>
      <c r="I975" s="473" t="n"/>
      <c r="J975" s="473" t="n"/>
      <c r="K975" s="473" t="n"/>
      <c r="L975" s="474" t="n"/>
    </row>
    <row r="976">
      <c r="A976" s="297" t="n">
        <v>45243</v>
      </c>
      <c r="B976" s="93" t="inlineStr">
        <is>
          <t>10645</t>
        </is>
      </c>
      <c r="C976" s="93" t="inlineStr">
        <is>
          <t>95</t>
        </is>
      </c>
      <c r="D976" s="94" t="n"/>
      <c r="E976" s="94" t="n"/>
      <c r="F976" s="95" t="n"/>
      <c r="G976" s="95" t="n">
        <v>50</v>
      </c>
      <c r="H976" s="98">
        <f>H975-G976</f>
        <v/>
      </c>
      <c r="I976" s="71" t="n"/>
      <c r="J976" s="747">
        <f>F976*I976</f>
        <v/>
      </c>
      <c r="K976" s="747" t="n"/>
      <c r="L976" s="748" t="n"/>
    </row>
    <row r="977">
      <c r="A977" s="297" t="n">
        <v>45245</v>
      </c>
      <c r="B977" s="93" t="inlineStr">
        <is>
          <t>10647</t>
        </is>
      </c>
      <c r="C977" s="93" t="inlineStr">
        <is>
          <t>88,5</t>
        </is>
      </c>
      <c r="D977" s="94" t="n"/>
      <c r="E977" s="94" t="n"/>
      <c r="F977" s="95" t="n"/>
      <c r="G977" s="95" t="n">
        <v>20</v>
      </c>
      <c r="H977" s="98">
        <f>H976-G977</f>
        <v/>
      </c>
      <c r="I977" s="71" t="n"/>
      <c r="J977" s="747">
        <f>F977*I977</f>
        <v/>
      </c>
      <c r="K977" s="747" t="n"/>
      <c r="L977" s="748" t="n"/>
    </row>
    <row r="978">
      <c r="A978" s="297" t="n">
        <v>45252</v>
      </c>
      <c r="B978" s="93" t="inlineStr">
        <is>
          <t>10671</t>
        </is>
      </c>
      <c r="C978" s="93" t="inlineStr">
        <is>
          <t>93</t>
        </is>
      </c>
      <c r="D978" s="94" t="n"/>
      <c r="E978" s="94" t="n"/>
      <c r="F978" s="95" t="n"/>
      <c r="G978" s="95" t="n">
        <v>50</v>
      </c>
      <c r="H978" s="98">
        <f>H977-G978</f>
        <v/>
      </c>
      <c r="I978" s="71" t="n"/>
      <c r="J978" s="747">
        <f>F978*I978</f>
        <v/>
      </c>
      <c r="K978" s="747" t="n"/>
      <c r="L978" s="748" t="n"/>
    </row>
    <row r="979">
      <c r="A979" s="297" t="n">
        <v>45258</v>
      </c>
      <c r="B979" s="93" t="inlineStr">
        <is>
          <t>10676</t>
        </is>
      </c>
      <c r="C979" s="93" t="inlineStr">
        <is>
          <t>95</t>
        </is>
      </c>
      <c r="D979" s="94" t="n"/>
      <c r="E979" s="94" t="n"/>
      <c r="F979" s="95" t="n"/>
      <c r="G979" s="95" t="n">
        <v>30</v>
      </c>
      <c r="H979" s="98">
        <f>H978-G979</f>
        <v/>
      </c>
      <c r="I979" s="71" t="n"/>
      <c r="J979" s="747">
        <f>F979*I979</f>
        <v/>
      </c>
      <c r="K979" s="747" t="n"/>
      <c r="L979" s="748" t="n"/>
    </row>
    <row r="980">
      <c r="A980" s="297" t="n">
        <v>45258</v>
      </c>
      <c r="B980" s="93" t="inlineStr">
        <is>
          <t>10683</t>
        </is>
      </c>
      <c r="C980" s="93" t="inlineStr">
        <is>
          <t>95</t>
        </is>
      </c>
      <c r="D980" s="94" t="n"/>
      <c r="E980" s="94" t="n"/>
      <c r="F980" s="95" t="n"/>
      <c r="G980" s="95" t="n">
        <v>20</v>
      </c>
      <c r="H980" s="98">
        <f>H979-G980</f>
        <v/>
      </c>
      <c r="I980" s="71" t="n"/>
      <c r="J980" s="747">
        <f>F980*I980</f>
        <v/>
      </c>
      <c r="K980" s="747" t="n"/>
      <c r="L980" s="748" t="n"/>
    </row>
    <row r="981">
      <c r="A981" s="297" t="n">
        <v>45259</v>
      </c>
      <c r="B981" s="93" t="inlineStr">
        <is>
          <t>10689</t>
        </is>
      </c>
      <c r="C981" s="93" t="inlineStr">
        <is>
          <t>88,33</t>
        </is>
      </c>
      <c r="D981" s="94" t="n"/>
      <c r="E981" s="94" t="n"/>
      <c r="F981" s="95" t="n"/>
      <c r="G981" s="95" t="n">
        <v>30</v>
      </c>
      <c r="H981" s="98">
        <f>H980-G981</f>
        <v/>
      </c>
      <c r="I981" s="71" t="n"/>
      <c r="J981" s="747">
        <f>F981*I981</f>
        <v/>
      </c>
      <c r="K981" s="747" t="n"/>
      <c r="L981" s="748" t="n"/>
    </row>
    <row r="982">
      <c r="A982" s="310" t="n">
        <v>45259</v>
      </c>
      <c r="B982" s="274" t="inlineStr">
        <is>
          <t>233736</t>
        </is>
      </c>
      <c r="C982" s="274" t="inlineStr">
        <is>
          <t>78</t>
        </is>
      </c>
      <c r="D982" s="279" t="n">
        <v>400</v>
      </c>
      <c r="E982" s="279" t="n"/>
      <c r="F982" s="278" t="n"/>
      <c r="G982" s="278" t="n"/>
      <c r="H982" s="277" t="n">
        <v>462</v>
      </c>
      <c r="I982" s="71" t="n"/>
      <c r="J982" s="747" t="n"/>
      <c r="K982" s="747" t="n"/>
      <c r="L982" s="748" t="n"/>
    </row>
    <row r="983">
      <c r="A983" s="297" t="n">
        <v>45260</v>
      </c>
      <c r="B983" s="93" t="inlineStr">
        <is>
          <t>10691</t>
        </is>
      </c>
      <c r="C983" s="93" t="inlineStr">
        <is>
          <t>93</t>
        </is>
      </c>
      <c r="D983" s="94" t="n"/>
      <c r="E983" s="94" t="n"/>
      <c r="F983" s="95" t="n"/>
      <c r="G983" s="95" t="n">
        <v>15</v>
      </c>
      <c r="H983" s="98">
        <f>H982-G983</f>
        <v/>
      </c>
      <c r="I983" s="71" t="n"/>
      <c r="J983" s="747">
        <f>F983*I983</f>
        <v/>
      </c>
      <c r="K983" s="747" t="n"/>
      <c r="L983" s="748" t="n"/>
    </row>
    <row r="984" ht="15.75" customHeight="1" s="436" thickBot="1"/>
    <row r="985" ht="24" customHeight="1" s="436" thickBot="1">
      <c r="A985" s="759" t="inlineStr">
        <is>
          <t>Dezembro</t>
        </is>
      </c>
      <c r="B985" s="697" t="n"/>
      <c r="C985" s="697" t="n"/>
      <c r="D985" s="697" t="n"/>
      <c r="E985" s="697" t="n"/>
      <c r="F985" s="697" t="n"/>
      <c r="G985" s="697" t="n"/>
      <c r="H985" s="697" t="n"/>
      <c r="I985" s="697" t="n"/>
      <c r="J985" s="697" t="n"/>
      <c r="K985" s="697" t="n"/>
      <c r="L985" s="698" t="n"/>
    </row>
    <row r="986" ht="24" customHeight="1" s="436" thickBot="1">
      <c r="A986" s="759" t="inlineStr">
        <is>
          <t xml:space="preserve">  PRÉ MISTURA -  Pão Doce 25 KG</t>
        </is>
      </c>
      <c r="B986" s="697" t="n"/>
      <c r="C986" s="697" t="n"/>
      <c r="D986" s="697" t="n"/>
      <c r="E986" s="697" t="n"/>
      <c r="F986" s="697" t="n"/>
      <c r="G986" s="697" t="n"/>
      <c r="H986" s="697" t="n"/>
      <c r="I986" s="697" t="n"/>
      <c r="J986" s="697" t="n"/>
      <c r="K986" s="697" t="n"/>
      <c r="L986" s="698" t="n"/>
    </row>
    <row r="987">
      <c r="A987" s="3" t="inlineStr">
        <is>
          <t>DATA</t>
        </is>
      </c>
      <c r="B987" s="3" t="inlineStr">
        <is>
          <t>N.F.</t>
        </is>
      </c>
      <c r="C987" s="3" t="inlineStr">
        <is>
          <t>TIPO</t>
        </is>
      </c>
      <c r="D987" s="3" t="inlineStr">
        <is>
          <t>PREÇO UNITÁRIO</t>
        </is>
      </c>
      <c r="E987" s="736" t="n"/>
      <c r="F987" s="3" t="inlineStr">
        <is>
          <t>QUANTIDADE / KG</t>
        </is>
      </c>
      <c r="G987" s="737" t="n"/>
      <c r="H987" s="736" t="n"/>
      <c r="I987" s="631" t="inlineStr">
        <is>
          <t>PREÇO</t>
        </is>
      </c>
      <c r="J987" s="631" t="inlineStr">
        <is>
          <t>VALORES</t>
        </is>
      </c>
      <c r="K987" s="737" t="n"/>
      <c r="L987" s="736" t="n"/>
    </row>
    <row r="988" ht="15.75" customHeight="1" s="436" thickBot="1">
      <c r="A988" s="704" t="n"/>
      <c r="B988" s="704" t="n"/>
      <c r="C988" s="704" t="n"/>
      <c r="D988" s="703" t="n"/>
      <c r="E988" s="701" t="n"/>
      <c r="F988" s="705" t="n"/>
      <c r="G988" s="706" t="n"/>
      <c r="H988" s="707" t="n"/>
      <c r="I988" s="704" t="n"/>
      <c r="J988" s="703" t="n"/>
      <c r="L988" s="701" t="n"/>
    </row>
    <row r="989" ht="15.75" customHeight="1" s="436" thickBot="1">
      <c r="A989" s="704" t="n"/>
      <c r="B989" s="704" t="n"/>
      <c r="C989" s="704" t="n"/>
      <c r="D989" s="705" t="n"/>
      <c r="E989" s="707" t="n"/>
      <c r="F989" s="3" t="inlineStr">
        <is>
          <t>ENTRADA</t>
        </is>
      </c>
      <c r="G989" s="3" t="inlineStr">
        <is>
          <t>SAÍDA</t>
        </is>
      </c>
      <c r="H989" s="640" t="n"/>
      <c r="I989" s="633" t="inlineStr">
        <is>
          <t>MÉDIO</t>
        </is>
      </c>
      <c r="J989" s="739" t="inlineStr">
        <is>
          <t>SALDO EM 30/12/2017</t>
        </is>
      </c>
      <c r="K989" s="707" t="n"/>
      <c r="L989" s="17" t="n"/>
    </row>
    <row r="990" ht="15.75" customHeight="1" s="436" thickBot="1">
      <c r="A990" s="695" t="n"/>
      <c r="B990" s="695" t="n"/>
      <c r="C990" s="695" t="n"/>
      <c r="D990" s="3" t="inlineStr">
        <is>
          <t>C/ICMS</t>
        </is>
      </c>
      <c r="E990" s="3" t="inlineStr">
        <is>
          <t>S/ICMS</t>
        </is>
      </c>
      <c r="F990" s="695" t="n"/>
      <c r="G990" s="695" t="n"/>
      <c r="H990" s="361" t="inlineStr">
        <is>
          <t>Saldo em 30/11/2022</t>
        </is>
      </c>
      <c r="I990" s="695" t="n"/>
      <c r="J990" s="645" t="inlineStr">
        <is>
          <t>ENTRADA</t>
        </is>
      </c>
      <c r="K990" s="633" t="inlineStr">
        <is>
          <t>SAÍDA / CMV</t>
        </is>
      </c>
      <c r="L990" s="633" t="inlineStr">
        <is>
          <t>SALDO</t>
        </is>
      </c>
    </row>
    <row r="991">
      <c r="A991" s="297" t="n"/>
      <c r="B991" s="96" t="n"/>
      <c r="C991" s="96" t="n"/>
      <c r="D991" s="97" t="n"/>
      <c r="E991" s="97" t="n"/>
      <c r="F991" s="98" t="n"/>
      <c r="G991" s="761" t="n"/>
      <c r="H991" s="98" t="n">
        <v>447</v>
      </c>
      <c r="I991" s="392" t="n"/>
      <c r="J991" s="392" t="n"/>
      <c r="K991" s="392" t="n"/>
      <c r="L991" s="392" t="n"/>
    </row>
    <row r="992">
      <c r="A992" s="297" t="n">
        <v>45271</v>
      </c>
      <c r="B992" s="93" t="inlineStr">
        <is>
          <t>10713</t>
        </is>
      </c>
      <c r="C992" s="93" t="inlineStr">
        <is>
          <t>95</t>
        </is>
      </c>
      <c r="D992" s="94" t="n"/>
      <c r="E992" s="94" t="n"/>
      <c r="F992" s="95" t="n"/>
      <c r="G992" s="95" t="n">
        <v>50</v>
      </c>
      <c r="H992" s="98">
        <f>H991-G992</f>
        <v/>
      </c>
      <c r="I992" s="71" t="n"/>
      <c r="J992" s="747">
        <f>F992*I992</f>
        <v/>
      </c>
      <c r="K992" s="747" t="n"/>
      <c r="L992" s="748" t="n"/>
    </row>
    <row r="993">
      <c r="A993" s="297" t="n">
        <v>45271</v>
      </c>
      <c r="B993" s="93" t="inlineStr">
        <is>
          <t>10717</t>
        </is>
      </c>
      <c r="C993" s="93" t="inlineStr">
        <is>
          <t>95</t>
        </is>
      </c>
      <c r="D993" s="94" t="n"/>
      <c r="E993" s="94" t="n"/>
      <c r="F993" s="95" t="n"/>
      <c r="G993" s="95" t="n">
        <v>50</v>
      </c>
      <c r="H993" s="98">
        <f>H992-G993</f>
        <v/>
      </c>
      <c r="I993" s="71" t="n"/>
      <c r="J993" s="747">
        <f>F993*I993</f>
        <v/>
      </c>
      <c r="K993" s="747" t="n"/>
      <c r="L993" s="748" t="n"/>
    </row>
    <row r="994" ht="15.75" customHeight="1" s="436" thickBot="1"/>
    <row r="995" ht="24" customHeight="1" s="436" thickBot="1">
      <c r="A995" s="759" t="inlineStr">
        <is>
          <t>Janeiro</t>
        </is>
      </c>
      <c r="B995" s="697" t="n"/>
      <c r="C995" s="697" t="n"/>
      <c r="D995" s="697" t="n"/>
      <c r="E995" s="697" t="n"/>
      <c r="F995" s="697" t="n"/>
      <c r="G995" s="697" t="n"/>
      <c r="H995" s="697" t="n"/>
      <c r="I995" s="697" t="n"/>
      <c r="J995" s="697" t="n"/>
      <c r="K995" s="697" t="n"/>
      <c r="L995" s="698" t="n"/>
    </row>
    <row r="996" ht="24" customHeight="1" s="436" thickBot="1">
      <c r="A996" s="759" t="inlineStr">
        <is>
          <t xml:space="preserve">  PRÉ MISTURA -  Pão Doce 25 KG</t>
        </is>
      </c>
      <c r="B996" s="697" t="n"/>
      <c r="C996" s="697" t="n"/>
      <c r="D996" s="697" t="n"/>
      <c r="E996" s="697" t="n"/>
      <c r="F996" s="697" t="n"/>
      <c r="G996" s="697" t="n"/>
      <c r="H996" s="697" t="n"/>
      <c r="I996" s="697" t="n"/>
      <c r="J996" s="697" t="n"/>
      <c r="K996" s="697" t="n"/>
      <c r="L996" s="698" t="n"/>
    </row>
    <row r="997">
      <c r="A997" s="3" t="inlineStr">
        <is>
          <t>DATA</t>
        </is>
      </c>
      <c r="B997" s="3" t="inlineStr">
        <is>
          <t>N.F.</t>
        </is>
      </c>
      <c r="C997" s="3" t="inlineStr">
        <is>
          <t>TIPO</t>
        </is>
      </c>
      <c r="D997" s="3" t="inlineStr">
        <is>
          <t>PREÇO UNITÁRIO</t>
        </is>
      </c>
      <c r="E997" s="736" t="n"/>
      <c r="F997" s="3" t="inlineStr">
        <is>
          <t>QUANTIDADE / KG</t>
        </is>
      </c>
      <c r="G997" s="737" t="n"/>
      <c r="H997" s="736" t="n"/>
      <c r="I997" s="631" t="inlineStr">
        <is>
          <t>PREÇO</t>
        </is>
      </c>
      <c r="J997" s="631" t="inlineStr">
        <is>
          <t>VALORES</t>
        </is>
      </c>
      <c r="K997" s="737" t="n"/>
      <c r="L997" s="736" t="n"/>
    </row>
    <row r="998" ht="15.75" customHeight="1" s="436" thickBot="1">
      <c r="A998" s="704" t="n"/>
      <c r="B998" s="704" t="n"/>
      <c r="C998" s="704" t="n"/>
      <c r="D998" s="703" t="n"/>
      <c r="E998" s="701" t="n"/>
      <c r="F998" s="705" t="n"/>
      <c r="G998" s="706" t="n"/>
      <c r="H998" s="707" t="n"/>
      <c r="I998" s="704" t="n"/>
      <c r="J998" s="703" t="n"/>
      <c r="L998" s="701" t="n"/>
    </row>
    <row r="999" ht="15.75" customHeight="1" s="436" thickBot="1">
      <c r="A999" s="704" t="n"/>
      <c r="B999" s="704" t="n"/>
      <c r="C999" s="704" t="n"/>
      <c r="D999" s="705" t="n"/>
      <c r="E999" s="707" t="n"/>
      <c r="F999" s="3" t="inlineStr">
        <is>
          <t>ENTRADA</t>
        </is>
      </c>
      <c r="G999" s="3" t="inlineStr">
        <is>
          <t>SAÍDA</t>
        </is>
      </c>
      <c r="H999" s="640" t="n"/>
      <c r="I999" s="633" t="inlineStr">
        <is>
          <t>MÉDIO</t>
        </is>
      </c>
      <c r="J999" s="739" t="inlineStr">
        <is>
          <t>SALDO EM 30/12/2017</t>
        </is>
      </c>
      <c r="K999" s="707" t="n"/>
      <c r="L999" s="17" t="n"/>
    </row>
    <row r="1000" ht="15.75" customHeight="1" s="436" thickBot="1">
      <c r="A1000" s="695" t="n"/>
      <c r="B1000" s="695" t="n"/>
      <c r="C1000" s="695" t="n"/>
      <c r="D1000" s="3" t="inlineStr">
        <is>
          <t>C/ICMS</t>
        </is>
      </c>
      <c r="E1000" s="3" t="inlineStr">
        <is>
          <t>S/ICMS</t>
        </is>
      </c>
      <c r="F1000" s="695" t="n"/>
      <c r="G1000" s="695" t="n"/>
      <c r="H1000" s="361" t="inlineStr">
        <is>
          <t>Saldo em 31/12/2023</t>
        </is>
      </c>
      <c r="I1000" s="695" t="n"/>
      <c r="J1000" s="645" t="inlineStr">
        <is>
          <t>ENTRADA</t>
        </is>
      </c>
      <c r="K1000" s="633" t="inlineStr">
        <is>
          <t>SAÍDA / CMV</t>
        </is>
      </c>
      <c r="L1000" s="633" t="inlineStr">
        <is>
          <t>SALDO</t>
        </is>
      </c>
    </row>
    <row r="1001">
      <c r="A1001" s="297" t="n"/>
      <c r="B1001" s="96" t="n"/>
      <c r="C1001" s="96" t="n"/>
      <c r="D1001" s="97" t="n"/>
      <c r="E1001" s="97" t="n"/>
      <c r="F1001" s="98" t="n"/>
      <c r="G1001" s="761" t="n"/>
      <c r="H1001" s="98" t="n">
        <v>347</v>
      </c>
      <c r="I1001" s="392" t="n"/>
      <c r="J1001" s="392" t="n"/>
      <c r="K1001" s="392" t="n"/>
      <c r="L1001" s="392" t="n"/>
    </row>
    <row r="1002">
      <c r="A1002" s="297" t="n">
        <v>45293</v>
      </c>
      <c r="B1002" s="93" t="inlineStr">
        <is>
          <t>10742</t>
        </is>
      </c>
      <c r="C1002" s="93" t="inlineStr">
        <is>
          <t>93,23</t>
        </is>
      </c>
      <c r="D1002" s="94" t="n"/>
      <c r="E1002" s="94" t="n"/>
      <c r="F1002" s="95" t="n"/>
      <c r="G1002" s="95" t="n">
        <v>45</v>
      </c>
      <c r="H1002" s="98">
        <f>H1001-G1002</f>
        <v/>
      </c>
      <c r="I1002" s="71" t="n"/>
      <c r="J1002" s="747">
        <f>F1002*I1002</f>
        <v/>
      </c>
      <c r="K1002" s="747" t="n"/>
      <c r="L1002" s="748" t="n"/>
    </row>
    <row r="1003">
      <c r="A1003" s="297" t="n">
        <v>45294</v>
      </c>
      <c r="B1003" s="93" t="inlineStr">
        <is>
          <t>10744</t>
        </is>
      </c>
      <c r="C1003" s="93" t="inlineStr">
        <is>
          <t>95</t>
        </is>
      </c>
      <c r="D1003" s="94" t="n"/>
      <c r="E1003" s="94" t="n"/>
      <c r="F1003" s="95" t="n"/>
      <c r="G1003" s="95" t="n">
        <v>30</v>
      </c>
      <c r="H1003" s="98">
        <f>H1002-G1003</f>
        <v/>
      </c>
      <c r="I1003" s="71" t="n"/>
      <c r="J1003" s="747">
        <f>F1003*I1003</f>
        <v/>
      </c>
      <c r="K1003" s="747" t="n"/>
      <c r="L1003" s="748" t="n"/>
    </row>
    <row r="1004">
      <c r="A1004" s="297" t="n">
        <v>45301</v>
      </c>
      <c r="B1004" s="93" t="inlineStr">
        <is>
          <t>10771</t>
        </is>
      </c>
      <c r="C1004" s="93" t="inlineStr">
        <is>
          <t>94</t>
        </is>
      </c>
      <c r="D1004" s="94" t="n"/>
      <c r="E1004" s="94" t="n"/>
      <c r="F1004" s="95" t="n"/>
      <c r="G1004" s="95" t="n">
        <v>12</v>
      </c>
      <c r="H1004" s="98">
        <f>H1003-G1004</f>
        <v/>
      </c>
      <c r="I1004" s="71" t="n"/>
      <c r="J1004" s="747">
        <f>F1004*I1004</f>
        <v/>
      </c>
      <c r="K1004" s="747" t="n"/>
      <c r="L1004" s="748" t="n"/>
    </row>
    <row r="1005">
      <c r="A1005" s="297" t="n">
        <v>45306</v>
      </c>
      <c r="B1005" s="93" t="inlineStr">
        <is>
          <t>10778</t>
        </is>
      </c>
      <c r="C1005" s="93" t="inlineStr">
        <is>
          <t>93,32</t>
        </is>
      </c>
      <c r="D1005" s="94" t="n"/>
      <c r="E1005" s="94" t="n"/>
      <c r="F1005" s="95" t="n"/>
      <c r="G1005" s="95" t="n">
        <v>50</v>
      </c>
      <c r="H1005" s="98">
        <f>H1004-G1005</f>
        <v/>
      </c>
      <c r="I1005" s="71" t="n"/>
      <c r="J1005" s="747">
        <f>F1005*I1005</f>
        <v/>
      </c>
      <c r="K1005" s="747" t="n"/>
      <c r="L1005" s="748" t="n"/>
    </row>
    <row r="1006">
      <c r="A1006" s="297" t="n">
        <v>45308</v>
      </c>
      <c r="B1006" s="93" t="inlineStr">
        <is>
          <t>10788</t>
        </is>
      </c>
      <c r="C1006" s="93" t="inlineStr">
        <is>
          <t>95</t>
        </is>
      </c>
      <c r="D1006" s="94" t="n"/>
      <c r="E1006" s="94" t="n"/>
      <c r="F1006" s="95" t="n"/>
      <c r="G1006" s="95" t="n">
        <v>30</v>
      </c>
      <c r="H1006" s="98">
        <f>H1005-G1006</f>
        <v/>
      </c>
      <c r="I1006" s="71" t="n"/>
      <c r="J1006" s="747">
        <f>F1006*I1006</f>
        <v/>
      </c>
      <c r="K1006" s="747" t="n"/>
      <c r="L1006" s="748" t="n"/>
    </row>
    <row r="1007">
      <c r="A1007" s="297" t="n">
        <v>45308</v>
      </c>
      <c r="B1007" s="93" t="inlineStr">
        <is>
          <t>10793</t>
        </is>
      </c>
      <c r="C1007" s="93" t="inlineStr">
        <is>
          <t>95</t>
        </is>
      </c>
      <c r="D1007" s="94" t="n"/>
      <c r="E1007" s="94" t="n"/>
      <c r="F1007" s="95" t="n"/>
      <c r="G1007" s="95" t="n">
        <v>50</v>
      </c>
      <c r="H1007" s="98">
        <f>H1006-G1007</f>
        <v/>
      </c>
      <c r="I1007" s="71" t="n"/>
      <c r="J1007" s="747">
        <f>F1007*I1007</f>
        <v/>
      </c>
      <c r="K1007" s="747" t="n"/>
      <c r="L1007" s="748" t="n"/>
    </row>
    <row r="1008">
      <c r="A1008" s="310" t="n">
        <v>45313</v>
      </c>
      <c r="B1008" s="274" t="inlineStr">
        <is>
          <t>237612</t>
        </is>
      </c>
      <c r="C1008" s="274" t="inlineStr">
        <is>
          <t>77</t>
        </is>
      </c>
      <c r="D1008" s="279" t="n"/>
      <c r="E1008" s="279" t="n"/>
      <c r="F1008" s="278" t="n">
        <v>300</v>
      </c>
      <c r="G1008" s="278" t="n"/>
      <c r="H1008" s="277" t="n">
        <v>430</v>
      </c>
      <c r="I1008" s="71" t="n"/>
      <c r="J1008" s="747" t="n"/>
      <c r="K1008" s="747" t="n"/>
      <c r="L1008" s="748" t="n"/>
    </row>
    <row r="1009">
      <c r="A1009" s="297" t="n">
        <v>45320</v>
      </c>
      <c r="B1009" s="93" t="inlineStr">
        <is>
          <t>10807</t>
        </is>
      </c>
      <c r="C1009" s="93" t="inlineStr">
        <is>
          <t>94,76</t>
        </is>
      </c>
      <c r="D1009" s="94" t="n"/>
      <c r="E1009" s="94" t="n"/>
      <c r="F1009" s="95" t="n"/>
      <c r="G1009" s="95" t="n">
        <v>73</v>
      </c>
      <c r="H1009" s="98">
        <f>H1008-G1009</f>
        <v/>
      </c>
      <c r="I1009" s="71" t="n"/>
      <c r="J1009" s="747">
        <f>F1009*I1009</f>
        <v/>
      </c>
      <c r="K1009" s="747" t="n"/>
      <c r="L1009" s="748" t="n"/>
    </row>
    <row r="1010">
      <c r="A1010" s="297" t="n">
        <v>45322</v>
      </c>
      <c r="B1010" s="93" t="inlineStr">
        <is>
          <t>10821</t>
        </is>
      </c>
      <c r="C1010" s="93" t="inlineStr">
        <is>
          <t>95</t>
        </is>
      </c>
      <c r="D1010" s="94" t="n"/>
      <c r="E1010" s="94" t="n"/>
      <c r="F1010" s="95" t="n"/>
      <c r="G1010" s="95" t="n">
        <v>50</v>
      </c>
      <c r="H1010" s="98">
        <f>H1009-G1010</f>
        <v/>
      </c>
      <c r="I1010" s="71" t="n"/>
      <c r="J1010" s="747">
        <f>F1010*I1010</f>
        <v/>
      </c>
      <c r="K1010" s="747" t="n"/>
      <c r="L1010" s="748" t="n"/>
    </row>
    <row r="1011" ht="15.75" customHeight="1" s="436" thickBot="1"/>
    <row r="1012" ht="24" customHeight="1" s="436" thickBot="1">
      <c r="A1012" s="759" t="inlineStr">
        <is>
          <t>Fevereiro</t>
        </is>
      </c>
      <c r="B1012" s="697" t="n"/>
      <c r="C1012" s="697" t="n"/>
      <c r="D1012" s="697" t="n"/>
      <c r="E1012" s="697" t="n"/>
      <c r="F1012" s="697" t="n"/>
      <c r="G1012" s="697" t="n"/>
      <c r="H1012" s="697" t="n"/>
      <c r="I1012" s="697" t="n"/>
      <c r="J1012" s="697" t="n"/>
      <c r="K1012" s="697" t="n"/>
      <c r="L1012" s="698" t="n"/>
    </row>
    <row r="1013" ht="24" customHeight="1" s="436" thickBot="1">
      <c r="A1013" s="759" t="inlineStr">
        <is>
          <t xml:space="preserve">  PRÉ MISTURA -  Pão Doce 25 KG</t>
        </is>
      </c>
      <c r="B1013" s="697" t="n"/>
      <c r="C1013" s="697" t="n"/>
      <c r="D1013" s="697" t="n"/>
      <c r="E1013" s="697" t="n"/>
      <c r="F1013" s="697" t="n"/>
      <c r="G1013" s="697" t="n"/>
      <c r="H1013" s="697" t="n"/>
      <c r="I1013" s="697" t="n"/>
      <c r="J1013" s="697" t="n"/>
      <c r="K1013" s="697" t="n"/>
      <c r="L1013" s="698" t="n"/>
    </row>
    <row r="1014">
      <c r="A1014" s="3" t="inlineStr">
        <is>
          <t>DATA</t>
        </is>
      </c>
      <c r="B1014" s="3" t="inlineStr">
        <is>
          <t>N.F.</t>
        </is>
      </c>
      <c r="C1014" s="3" t="inlineStr">
        <is>
          <t>TIPO</t>
        </is>
      </c>
      <c r="D1014" s="3" t="inlineStr">
        <is>
          <t>PREÇO UNITÁRIO</t>
        </is>
      </c>
      <c r="E1014" s="736" t="n"/>
      <c r="F1014" s="3" t="inlineStr">
        <is>
          <t>QUANTIDADE / KG</t>
        </is>
      </c>
      <c r="G1014" s="737" t="n"/>
      <c r="H1014" s="736" t="n"/>
      <c r="I1014" s="631" t="inlineStr">
        <is>
          <t>PREÇO</t>
        </is>
      </c>
      <c r="J1014" s="631" t="inlineStr">
        <is>
          <t>VALORES</t>
        </is>
      </c>
      <c r="K1014" s="737" t="n"/>
      <c r="L1014" s="736" t="n"/>
    </row>
    <row r="1015" ht="15.75" customHeight="1" s="436" thickBot="1">
      <c r="A1015" s="704" t="n"/>
      <c r="B1015" s="704" t="n"/>
      <c r="C1015" s="704" t="n"/>
      <c r="D1015" s="703" t="n"/>
      <c r="E1015" s="701" t="n"/>
      <c r="F1015" s="705" t="n"/>
      <c r="G1015" s="706" t="n"/>
      <c r="H1015" s="707" t="n"/>
      <c r="I1015" s="704" t="n"/>
      <c r="J1015" s="703" t="n"/>
      <c r="L1015" s="701" t="n"/>
    </row>
    <row r="1016" ht="15.75" customHeight="1" s="436" thickBot="1">
      <c r="A1016" s="704" t="n"/>
      <c r="B1016" s="704" t="n"/>
      <c r="C1016" s="704" t="n"/>
      <c r="D1016" s="705" t="n"/>
      <c r="E1016" s="707" t="n"/>
      <c r="F1016" s="3" t="inlineStr">
        <is>
          <t>ENTRADA</t>
        </is>
      </c>
      <c r="G1016" s="3" t="inlineStr">
        <is>
          <t>SAÍDA</t>
        </is>
      </c>
      <c r="H1016" s="640" t="n"/>
      <c r="I1016" s="633" t="inlineStr">
        <is>
          <t>MÉDIO</t>
        </is>
      </c>
      <c r="J1016" s="739" t="inlineStr">
        <is>
          <t>SALDO EM 30/12/2017</t>
        </is>
      </c>
      <c r="K1016" s="707" t="n"/>
      <c r="L1016" s="17" t="n"/>
    </row>
    <row r="1017" ht="15.75" customHeight="1" s="436" thickBot="1">
      <c r="A1017" s="695" t="n"/>
      <c r="B1017" s="695" t="n"/>
      <c r="C1017" s="695" t="n"/>
      <c r="D1017" s="3" t="inlineStr">
        <is>
          <t>C/ICMS</t>
        </is>
      </c>
      <c r="E1017" s="3" t="inlineStr">
        <is>
          <t>S/ICMS</t>
        </is>
      </c>
      <c r="F1017" s="695" t="n"/>
      <c r="G1017" s="695" t="n"/>
      <c r="H1017" s="361" t="inlineStr">
        <is>
          <t>Saldo em 31/01/2024</t>
        </is>
      </c>
      <c r="I1017" s="695" t="n"/>
      <c r="J1017" s="645" t="inlineStr">
        <is>
          <t>ENTRADA</t>
        </is>
      </c>
      <c r="K1017" s="633" t="inlineStr">
        <is>
          <t>SAÍDA / CMV</t>
        </is>
      </c>
      <c r="L1017" s="633" t="inlineStr">
        <is>
          <t>SALDO</t>
        </is>
      </c>
    </row>
    <row r="1018">
      <c r="A1018" s="297" t="n"/>
      <c r="B1018" s="297" t="n"/>
      <c r="C1018" s="297" t="n"/>
      <c r="D1018" s="297" t="n"/>
      <c r="E1018" s="297" t="n"/>
      <c r="F1018" s="297" t="n"/>
      <c r="G1018" s="297" t="n"/>
      <c r="H1018" s="98" t="n">
        <v>307</v>
      </c>
      <c r="I1018" s="297" t="n"/>
      <c r="J1018" s="297" t="n"/>
      <c r="K1018" s="297" t="n"/>
      <c r="L1018" s="297" t="n"/>
    </row>
    <row r="1019">
      <c r="A1019" s="297" t="n">
        <v>45329</v>
      </c>
      <c r="B1019" s="513" t="n">
        <v>10824</v>
      </c>
      <c r="C1019" s="513" t="n">
        <v>95</v>
      </c>
      <c r="D1019" s="513" t="n"/>
      <c r="E1019" s="513" t="n"/>
      <c r="F1019" s="513" t="n"/>
      <c r="G1019" s="513" t="n">
        <v>50</v>
      </c>
      <c r="H1019" s="98">
        <f>H1018-G1019</f>
        <v/>
      </c>
      <c r="I1019" s="513" t="n"/>
      <c r="J1019" s="513" t="n"/>
      <c r="K1019" s="513" t="n"/>
      <c r="L1019" s="513" t="n"/>
    </row>
    <row r="1020">
      <c r="A1020" s="297" t="n">
        <v>45329</v>
      </c>
      <c r="B1020" s="513" t="n">
        <v>10828</v>
      </c>
      <c r="C1020" s="513" t="n">
        <v>93.63</v>
      </c>
      <c r="D1020" s="513" t="n"/>
      <c r="E1020" s="513" t="n"/>
      <c r="F1020" s="513" t="n"/>
      <c r="G1020" s="513" t="n">
        <v>32</v>
      </c>
      <c r="H1020" s="98">
        <f>H1019-G1020</f>
        <v/>
      </c>
      <c r="I1020" s="513" t="n"/>
      <c r="J1020" s="513" t="n"/>
      <c r="K1020" s="513" t="n"/>
      <c r="L1020" s="513" t="n"/>
    </row>
    <row r="1021">
      <c r="A1021" s="297" t="n">
        <v>45342</v>
      </c>
      <c r="B1021" s="513" t="n">
        <v>10859</v>
      </c>
      <c r="C1021" s="513" t="n">
        <v>93.67</v>
      </c>
      <c r="D1021" s="513" t="n"/>
      <c r="E1021" s="513" t="n"/>
      <c r="F1021" s="513" t="n"/>
      <c r="G1021" s="513" t="n">
        <v>60</v>
      </c>
      <c r="H1021" s="98">
        <f>H1020-G1021</f>
        <v/>
      </c>
      <c r="I1021" s="513" t="n"/>
      <c r="J1021" s="513" t="n"/>
      <c r="K1021" s="513" t="n"/>
      <c r="L1021" s="513" t="n"/>
    </row>
    <row r="1022">
      <c r="A1022" s="297" t="n">
        <v>45342</v>
      </c>
      <c r="B1022" s="513" t="n">
        <v>10864</v>
      </c>
      <c r="C1022" s="513" t="n">
        <v>95</v>
      </c>
      <c r="D1022" s="513" t="n"/>
      <c r="E1022" s="513" t="n"/>
      <c r="F1022" s="513" t="n"/>
      <c r="G1022" s="513" t="n">
        <v>20</v>
      </c>
      <c r="H1022" s="98">
        <f>H1021-G1022</f>
        <v/>
      </c>
      <c r="I1022" s="513" t="n"/>
      <c r="J1022" s="513" t="n"/>
      <c r="K1022" s="513" t="n"/>
      <c r="L1022" s="513" t="n"/>
    </row>
    <row r="1023">
      <c r="A1023" s="297" t="n">
        <v>45342</v>
      </c>
      <c r="B1023" s="513" t="n">
        <v>10871</v>
      </c>
      <c r="C1023" s="513" t="n">
        <v>90.59999999999999</v>
      </c>
      <c r="D1023" s="513" t="n"/>
      <c r="E1023" s="513" t="n"/>
      <c r="F1023" s="513" t="n"/>
      <c r="G1023" s="513" t="n">
        <v>20</v>
      </c>
      <c r="H1023" s="98">
        <f>H1022-G1023</f>
        <v/>
      </c>
      <c r="I1023" s="513" t="n"/>
      <c r="J1023" s="513" t="n"/>
      <c r="K1023" s="513" t="n"/>
      <c r="L1023" s="513" t="n"/>
    </row>
    <row r="1024">
      <c r="A1024" s="310" t="n">
        <v>45345</v>
      </c>
      <c r="B1024" s="445" t="n">
        <v>239742</v>
      </c>
      <c r="C1024" s="445" t="n">
        <v>74</v>
      </c>
      <c r="D1024" s="445" t="n">
        <v>380</v>
      </c>
      <c r="E1024" s="445" t="n"/>
      <c r="F1024" s="445" t="n"/>
      <c r="G1024" s="445" t="n"/>
      <c r="H1024" s="277" t="n">
        <v>505</v>
      </c>
      <c r="I1024" s="513" t="n"/>
      <c r="J1024" s="513" t="n"/>
      <c r="K1024" s="513" t="n"/>
      <c r="L1024" s="513" t="n"/>
    </row>
    <row r="1025">
      <c r="A1025" s="297" t="n">
        <v>45350</v>
      </c>
      <c r="B1025" s="513" t="n">
        <v>10884</v>
      </c>
      <c r="C1025" s="513" t="n">
        <v>95</v>
      </c>
      <c r="D1025" s="513" t="n"/>
      <c r="E1025" s="513" t="n"/>
      <c r="F1025" s="513" t="n"/>
      <c r="G1025" s="513" t="n">
        <v>20</v>
      </c>
      <c r="H1025" s="98">
        <f>H1024-G1025</f>
        <v/>
      </c>
      <c r="I1025" s="513" t="n"/>
      <c r="J1025" s="513" t="n"/>
      <c r="K1025" s="513" t="n"/>
      <c r="L1025" s="513" t="n"/>
    </row>
    <row r="1026" ht="15.75" customHeight="1" s="436" thickBot="1"/>
    <row r="1027" ht="24" customHeight="1" s="436" thickBot="1">
      <c r="A1027" s="759" t="inlineStr">
        <is>
          <t>Março</t>
        </is>
      </c>
      <c r="B1027" s="697" t="n"/>
      <c r="C1027" s="697" t="n"/>
      <c r="D1027" s="697" t="n"/>
      <c r="E1027" s="697" t="n"/>
      <c r="F1027" s="697" t="n"/>
      <c r="G1027" s="697" t="n"/>
      <c r="H1027" s="697" t="n"/>
      <c r="I1027" s="697" t="n"/>
      <c r="J1027" s="697" t="n"/>
      <c r="K1027" s="697" t="n"/>
      <c r="L1027" s="698" t="n"/>
    </row>
    <row r="1028" ht="24" customHeight="1" s="436" thickBot="1">
      <c r="A1028" s="759" t="inlineStr">
        <is>
          <t xml:space="preserve">  PRÉ MISTURA -  Pão Doce 25 KG</t>
        </is>
      </c>
      <c r="B1028" s="697" t="n"/>
      <c r="C1028" s="697" t="n"/>
      <c r="D1028" s="697" t="n"/>
      <c r="E1028" s="697" t="n"/>
      <c r="F1028" s="697" t="n"/>
      <c r="G1028" s="697" t="n"/>
      <c r="H1028" s="697" t="n"/>
      <c r="I1028" s="697" t="n"/>
      <c r="J1028" s="697" t="n"/>
      <c r="K1028" s="697" t="n"/>
      <c r="L1028" s="698" t="n"/>
    </row>
    <row r="1029">
      <c r="A1029" s="3" t="inlineStr">
        <is>
          <t>DATA</t>
        </is>
      </c>
      <c r="B1029" s="3" t="inlineStr">
        <is>
          <t>N.F.</t>
        </is>
      </c>
      <c r="C1029" s="3" t="inlineStr">
        <is>
          <t>TIPO</t>
        </is>
      </c>
      <c r="D1029" s="3" t="inlineStr">
        <is>
          <t>PREÇO UNITÁRIO</t>
        </is>
      </c>
      <c r="E1029" s="736" t="n"/>
      <c r="F1029" s="3" t="inlineStr">
        <is>
          <t>QUANTIDADE / KG</t>
        </is>
      </c>
      <c r="G1029" s="737" t="n"/>
      <c r="H1029" s="736" t="n"/>
      <c r="I1029" s="631" t="inlineStr">
        <is>
          <t>PREÇO</t>
        </is>
      </c>
      <c r="J1029" s="631" t="inlineStr">
        <is>
          <t>VALORES</t>
        </is>
      </c>
      <c r="K1029" s="737" t="n"/>
      <c r="L1029" s="736" t="n"/>
    </row>
    <row r="1030" ht="15.75" customHeight="1" s="436" thickBot="1">
      <c r="A1030" s="704" t="n"/>
      <c r="B1030" s="704" t="n"/>
      <c r="C1030" s="704" t="n"/>
      <c r="D1030" s="703" t="n"/>
      <c r="E1030" s="701" t="n"/>
      <c r="F1030" s="705" t="n"/>
      <c r="G1030" s="706" t="n"/>
      <c r="H1030" s="707" t="n"/>
      <c r="I1030" s="704" t="n"/>
      <c r="J1030" s="703" t="n"/>
      <c r="L1030" s="701" t="n"/>
    </row>
    <row r="1031" ht="15.75" customHeight="1" s="436" thickBot="1">
      <c r="A1031" s="704" t="n"/>
      <c r="B1031" s="704" t="n"/>
      <c r="C1031" s="704" t="n"/>
      <c r="D1031" s="705" t="n"/>
      <c r="E1031" s="707" t="n"/>
      <c r="F1031" s="3" t="inlineStr">
        <is>
          <t>ENTRADA</t>
        </is>
      </c>
      <c r="G1031" s="3" t="inlineStr">
        <is>
          <t>SAÍDA</t>
        </is>
      </c>
      <c r="H1031" s="640" t="n"/>
      <c r="I1031" s="633" t="inlineStr">
        <is>
          <t>MÉDIO</t>
        </is>
      </c>
      <c r="J1031" s="739" t="inlineStr">
        <is>
          <t>SALDO EM 30/12/2017</t>
        </is>
      </c>
      <c r="K1031" s="707" t="n"/>
      <c r="L1031" s="17" t="n"/>
    </row>
    <row r="1032" ht="15.75" customHeight="1" s="436" thickBot="1">
      <c r="A1032" s="695" t="n"/>
      <c r="B1032" s="695" t="n"/>
      <c r="C1032" s="695" t="n"/>
      <c r="D1032" s="3" t="inlineStr">
        <is>
          <t>C/ICMS</t>
        </is>
      </c>
      <c r="E1032" s="3" t="inlineStr">
        <is>
          <t>S/ICMS</t>
        </is>
      </c>
      <c r="F1032" s="695" t="n"/>
      <c r="G1032" s="695" t="n"/>
      <c r="H1032" s="361" t="inlineStr">
        <is>
          <t>Saldo em 29/02/2024</t>
        </is>
      </c>
      <c r="I1032" s="695" t="n"/>
      <c r="J1032" s="645" t="inlineStr">
        <is>
          <t>ENTRADA</t>
        </is>
      </c>
      <c r="K1032" s="633" t="inlineStr">
        <is>
          <t>SAÍDA / CMV</t>
        </is>
      </c>
      <c r="L1032" s="633" t="inlineStr">
        <is>
          <t>SALDO</t>
        </is>
      </c>
    </row>
    <row r="1033">
      <c r="A1033" s="297" t="n"/>
      <c r="B1033" s="297" t="n"/>
      <c r="C1033" s="297" t="n"/>
      <c r="D1033" s="297" t="n"/>
      <c r="E1033" s="297" t="n"/>
      <c r="F1033" s="297" t="n"/>
      <c r="G1033" s="297" t="n"/>
      <c r="H1033" s="98" t="n">
        <v>485</v>
      </c>
      <c r="I1033" s="297" t="n"/>
      <c r="J1033" s="297" t="n"/>
      <c r="K1033" s="297" t="n"/>
      <c r="L1033" s="513" t="n"/>
    </row>
    <row r="1034">
      <c r="A1034" s="297" t="n">
        <v>45357</v>
      </c>
      <c r="B1034" s="513" t="n">
        <v>10890</v>
      </c>
      <c r="C1034" s="513" t="n">
        <v>95</v>
      </c>
      <c r="D1034" s="513" t="n"/>
      <c r="E1034" s="513" t="n"/>
      <c r="F1034" s="513" t="n"/>
      <c r="G1034" s="513" t="n">
        <v>30</v>
      </c>
      <c r="H1034" s="98">
        <f>H1033-G1034</f>
        <v/>
      </c>
      <c r="I1034" s="297" t="n"/>
      <c r="J1034" s="297" t="n"/>
      <c r="K1034" s="297" t="n"/>
      <c r="L1034" s="513" t="n"/>
    </row>
    <row r="1035">
      <c r="A1035" s="297" t="n">
        <v>45357</v>
      </c>
      <c r="B1035" s="513" t="n">
        <v>10896</v>
      </c>
      <c r="C1035" s="513" t="n">
        <v>91.14</v>
      </c>
      <c r="D1035" s="513" t="n"/>
      <c r="E1035" s="513" t="n"/>
      <c r="F1035" s="513" t="n"/>
      <c r="G1035" s="513" t="n">
        <v>30</v>
      </c>
      <c r="H1035" s="98">
        <f>H1034-G1035</f>
        <v/>
      </c>
      <c r="I1035" s="297" t="n"/>
      <c r="J1035" s="297" t="n"/>
      <c r="K1035" s="297" t="n"/>
      <c r="L1035" s="513" t="n"/>
    </row>
    <row r="1036">
      <c r="A1036" s="297" t="n">
        <v>45369</v>
      </c>
      <c r="B1036" s="513" t="n">
        <v>10926</v>
      </c>
      <c r="C1036" s="513" t="n">
        <v>85</v>
      </c>
      <c r="D1036" s="513" t="n"/>
      <c r="E1036" s="513" t="n"/>
      <c r="F1036" s="513" t="n"/>
      <c r="G1036" s="513" t="n">
        <v>40</v>
      </c>
      <c r="H1036" s="98">
        <f>H1035-G1036</f>
        <v/>
      </c>
      <c r="I1036" s="297" t="n"/>
      <c r="J1036" s="297" t="n"/>
      <c r="K1036" s="297" t="n"/>
      <c r="L1036" s="513" t="n"/>
    </row>
    <row r="1037">
      <c r="A1037" s="297" t="n">
        <v>45377</v>
      </c>
      <c r="B1037" s="513" t="n">
        <v>10948</v>
      </c>
      <c r="C1037" s="513" t="n">
        <v>93</v>
      </c>
      <c r="D1037" s="513" t="n"/>
      <c r="E1037" s="513" t="n"/>
      <c r="F1037" s="513" t="n"/>
      <c r="G1037" s="513" t="n">
        <v>20</v>
      </c>
      <c r="H1037" s="98">
        <f>H1036-G1037</f>
        <v/>
      </c>
      <c r="I1037" s="297" t="n"/>
      <c r="J1037" s="297" t="n"/>
      <c r="K1037" s="297" t="n"/>
      <c r="L1037" s="513" t="n"/>
    </row>
    <row r="1038">
      <c r="A1038" s="297" t="n">
        <v>8</v>
      </c>
      <c r="B1038" s="513" t="n"/>
      <c r="C1038" s="513" t="n"/>
      <c r="D1038" s="513" t="n"/>
      <c r="E1038" s="513" t="n"/>
      <c r="F1038" s="513" t="n"/>
      <c r="G1038" s="513" t="n"/>
      <c r="H1038" s="98">
        <f>H1037-G1038</f>
        <v/>
      </c>
      <c r="I1038" s="297" t="n"/>
      <c r="J1038" s="297" t="n"/>
      <c r="K1038" s="297" t="n"/>
      <c r="L1038" s="513" t="n"/>
    </row>
    <row r="1039" ht="15.75" customHeight="1" s="436" thickBot="1"/>
    <row r="1040" ht="24" customHeight="1" s="436" thickBot="1">
      <c r="A1040" s="759" t="inlineStr">
        <is>
          <t>Abril</t>
        </is>
      </c>
      <c r="B1040" s="697" t="n"/>
      <c r="C1040" s="697" t="n"/>
      <c r="D1040" s="697" t="n"/>
      <c r="E1040" s="697" t="n"/>
      <c r="F1040" s="697" t="n"/>
      <c r="G1040" s="697" t="n"/>
      <c r="H1040" s="697" t="n"/>
      <c r="I1040" s="697" t="n"/>
      <c r="J1040" s="697" t="n"/>
      <c r="K1040" s="697" t="n"/>
      <c r="L1040" s="698" t="n"/>
    </row>
    <row r="1041" ht="24" customHeight="1" s="436" thickBot="1">
      <c r="A1041" s="759" t="inlineStr">
        <is>
          <t xml:space="preserve">  PRÉ MISTURA -  Pão Doce 25 KG</t>
        </is>
      </c>
      <c r="B1041" s="697" t="n"/>
      <c r="C1041" s="697" t="n"/>
      <c r="D1041" s="697" t="n"/>
      <c r="E1041" s="697" t="n"/>
      <c r="F1041" s="697" t="n"/>
      <c r="G1041" s="697" t="n"/>
      <c r="H1041" s="697" t="n"/>
      <c r="I1041" s="697" t="n"/>
      <c r="J1041" s="697" t="n"/>
      <c r="K1041" s="697" t="n"/>
      <c r="L1041" s="698" t="n"/>
    </row>
    <row r="1042">
      <c r="A1042" s="3" t="inlineStr">
        <is>
          <t>DATA</t>
        </is>
      </c>
      <c r="B1042" s="3" t="inlineStr">
        <is>
          <t>N.F.</t>
        </is>
      </c>
      <c r="C1042" s="3" t="inlineStr">
        <is>
          <t>TIPO</t>
        </is>
      </c>
      <c r="D1042" s="3" t="inlineStr">
        <is>
          <t>PREÇO UNITÁRIO</t>
        </is>
      </c>
      <c r="E1042" s="736" t="n"/>
      <c r="F1042" s="3" t="inlineStr">
        <is>
          <t>QUANTIDADE / KG</t>
        </is>
      </c>
      <c r="G1042" s="737" t="n"/>
      <c r="H1042" s="736" t="n"/>
      <c r="I1042" s="631" t="inlineStr">
        <is>
          <t>PREÇO</t>
        </is>
      </c>
      <c r="J1042" s="631" t="inlineStr">
        <is>
          <t>VALORES</t>
        </is>
      </c>
      <c r="K1042" s="737" t="n"/>
      <c r="L1042" s="736" t="n"/>
    </row>
    <row r="1043" ht="15.75" customHeight="1" s="436" thickBot="1">
      <c r="A1043" s="704" t="n"/>
      <c r="B1043" s="704" t="n"/>
      <c r="C1043" s="704" t="n"/>
      <c r="D1043" s="703" t="n"/>
      <c r="E1043" s="701" t="n"/>
      <c r="F1043" s="705" t="n"/>
      <c r="G1043" s="706" t="n"/>
      <c r="H1043" s="707" t="n"/>
      <c r="I1043" s="704" t="n"/>
      <c r="J1043" s="703" t="n"/>
      <c r="L1043" s="701" t="n"/>
    </row>
    <row r="1044" ht="15.75" customHeight="1" s="436" thickBot="1">
      <c r="A1044" s="704" t="n"/>
      <c r="B1044" s="704" t="n"/>
      <c r="C1044" s="704" t="n"/>
      <c r="D1044" s="705" t="n"/>
      <c r="E1044" s="707" t="n"/>
      <c r="F1044" s="3" t="inlineStr">
        <is>
          <t>ENTRADA</t>
        </is>
      </c>
      <c r="G1044" s="3" t="inlineStr">
        <is>
          <t>SAÍDA</t>
        </is>
      </c>
      <c r="H1044" s="640" t="n"/>
      <c r="I1044" s="633" t="inlineStr">
        <is>
          <t>MÉDIO</t>
        </is>
      </c>
      <c r="J1044" s="739" t="inlineStr">
        <is>
          <t>SALDO EM 30/12/2017</t>
        </is>
      </c>
      <c r="K1044" s="707" t="n"/>
      <c r="L1044" s="17" t="n"/>
    </row>
    <row r="1045" ht="15.75" customHeight="1" s="436" thickBot="1">
      <c r="A1045" s="695" t="n"/>
      <c r="B1045" s="695" t="n"/>
      <c r="C1045" s="695" t="n"/>
      <c r="D1045" s="3" t="inlineStr">
        <is>
          <t>C/ICMS</t>
        </is>
      </c>
      <c r="E1045" s="3" t="inlineStr">
        <is>
          <t>S/ICMS</t>
        </is>
      </c>
      <c r="F1045" s="695" t="n"/>
      <c r="G1045" s="695" t="n"/>
      <c r="H1045" s="361" t="inlineStr">
        <is>
          <t>Saldo em 31/03/2024</t>
        </is>
      </c>
      <c r="I1045" s="695" t="n"/>
      <c r="J1045" s="645" t="inlineStr">
        <is>
          <t>ENTRADA</t>
        </is>
      </c>
      <c r="K1045" s="633" t="inlineStr">
        <is>
          <t>SAÍDA / CMV</t>
        </is>
      </c>
      <c r="L1045" s="633" t="inlineStr">
        <is>
          <t>SALDO</t>
        </is>
      </c>
    </row>
    <row r="1046">
      <c r="A1046" s="297" t="n"/>
      <c r="B1046" s="297" t="n"/>
      <c r="C1046" s="297" t="n"/>
      <c r="D1046" s="297" t="n"/>
      <c r="E1046" s="297" t="n"/>
      <c r="F1046" s="297" t="n"/>
      <c r="G1046" s="297" t="n"/>
      <c r="H1046" s="98" t="n">
        <v>485</v>
      </c>
      <c r="I1046" s="297" t="n"/>
      <c r="J1046" s="297" t="n"/>
      <c r="K1046" s="297" t="n"/>
      <c r="L1046" s="513" t="n"/>
    </row>
    <row r="1047">
      <c r="A1047" s="297" t="n">
        <v>45385</v>
      </c>
      <c r="B1047" s="513" t="n">
        <v>10958</v>
      </c>
      <c r="C1047" s="513" t="n">
        <v>95</v>
      </c>
      <c r="D1047" s="297" t="n"/>
      <c r="E1047" s="513" t="n"/>
      <c r="F1047" s="513" t="n"/>
      <c r="G1047" s="513" t="n">
        <v>30</v>
      </c>
      <c r="H1047" s="98">
        <f>H1046-G1047</f>
        <v/>
      </c>
      <c r="I1047" s="297" t="n"/>
      <c r="J1047" s="297" t="n"/>
      <c r="K1047" s="297" t="n"/>
      <c r="L1047" s="513" t="n"/>
    </row>
    <row r="1048">
      <c r="A1048" s="297" t="n">
        <v>45385</v>
      </c>
      <c r="B1048" s="513" t="n">
        <v>10961</v>
      </c>
      <c r="C1048" s="513" t="n">
        <v>89</v>
      </c>
      <c r="D1048" s="297" t="n"/>
      <c r="E1048" s="513" t="n"/>
      <c r="F1048" s="513" t="n"/>
      <c r="G1048" s="513" t="n">
        <v>30</v>
      </c>
      <c r="H1048" s="98">
        <f>H1047-G1048</f>
        <v/>
      </c>
      <c r="I1048" s="297" t="n"/>
      <c r="J1048" s="297" t="n"/>
      <c r="K1048" s="297" t="n"/>
      <c r="L1048" s="513" t="n"/>
    </row>
    <row r="1049">
      <c r="A1049" s="297" t="n">
        <v>45385</v>
      </c>
      <c r="B1049" s="513" t="n">
        <v>10962</v>
      </c>
      <c r="C1049" s="513" t="n">
        <v>93</v>
      </c>
      <c r="D1049" s="297" t="n"/>
      <c r="E1049" s="513" t="n"/>
      <c r="F1049" s="513" t="n"/>
      <c r="G1049" s="513" t="n">
        <v>70</v>
      </c>
      <c r="H1049" s="98">
        <f>H1048-G1049</f>
        <v/>
      </c>
      <c r="I1049" s="297" t="n"/>
      <c r="J1049" s="297" t="n"/>
      <c r="K1049" s="297" t="n"/>
      <c r="L1049" s="513" t="n"/>
    </row>
    <row r="1050">
      <c r="A1050" s="297" t="n">
        <v>45399</v>
      </c>
      <c r="B1050" s="513" t="n">
        <v>10991</v>
      </c>
      <c r="C1050" s="513" t="n">
        <v>92</v>
      </c>
      <c r="D1050" s="297" t="n"/>
      <c r="E1050" s="513" t="n"/>
      <c r="F1050" s="513" t="n"/>
      <c r="G1050" s="513" t="n">
        <v>20</v>
      </c>
      <c r="H1050" s="98">
        <f>H1049-G1050</f>
        <v/>
      </c>
      <c r="I1050" s="297" t="n"/>
      <c r="J1050" s="297" t="n"/>
      <c r="K1050" s="297" t="n"/>
      <c r="L1050" s="513" t="n"/>
    </row>
    <row r="1051">
      <c r="A1051" s="310" t="n">
        <v>45400</v>
      </c>
      <c r="B1051" s="445" t="n">
        <v>265882</v>
      </c>
      <c r="C1051" s="445" t="n">
        <v>69.5</v>
      </c>
      <c r="D1051" s="445" t="n">
        <v>210</v>
      </c>
      <c r="E1051" s="445" t="n"/>
      <c r="F1051" s="445" t="n"/>
      <c r="G1051" s="445" t="n"/>
      <c r="H1051" s="277" t="n">
        <v>545</v>
      </c>
      <c r="I1051" s="297" t="n"/>
      <c r="J1051" s="297" t="n"/>
      <c r="K1051" s="297" t="n"/>
      <c r="L1051" s="513" t="n"/>
    </row>
    <row r="1052">
      <c r="A1052" s="297" t="n">
        <v>45405</v>
      </c>
      <c r="B1052" s="513" t="n">
        <v>11012</v>
      </c>
      <c r="C1052" s="513" t="n">
        <v>90</v>
      </c>
      <c r="D1052" s="297" t="n"/>
      <c r="E1052" s="513" t="n"/>
      <c r="F1052" s="513" t="n"/>
      <c r="G1052" s="513" t="n">
        <v>10</v>
      </c>
      <c r="H1052" s="98">
        <f>H1051-G1052</f>
        <v/>
      </c>
      <c r="I1052" s="297" t="n"/>
      <c r="J1052" s="297" t="n"/>
      <c r="K1052" s="297" t="n"/>
      <c r="L1052" s="513" t="n"/>
    </row>
    <row r="1053">
      <c r="A1053" s="297" t="n">
        <v>45405</v>
      </c>
      <c r="B1053" s="513" t="n">
        <v>11013</v>
      </c>
      <c r="C1053" s="513" t="n">
        <v>90</v>
      </c>
      <c r="D1053" s="297" t="n"/>
      <c r="E1053" s="513" t="n"/>
      <c r="F1053" s="513" t="n"/>
      <c r="G1053" s="513" t="n">
        <v>20</v>
      </c>
      <c r="H1053" s="98">
        <f>H1052-G1053</f>
        <v/>
      </c>
      <c r="I1053" s="297" t="n"/>
      <c r="J1053" s="297" t="n"/>
      <c r="K1053" s="297" t="n"/>
      <c r="L1053" s="513" t="n"/>
    </row>
    <row r="1054">
      <c r="A1054" s="297" t="n">
        <v>45405</v>
      </c>
      <c r="B1054" s="513" t="n">
        <v>11015</v>
      </c>
      <c r="C1054" s="513" t="n">
        <v>82</v>
      </c>
      <c r="D1054" s="297" t="n"/>
      <c r="E1054" s="513" t="n"/>
      <c r="F1054" s="513" t="n"/>
      <c r="G1054" s="513" t="n">
        <v>30</v>
      </c>
      <c r="H1054" s="98">
        <f>H1053-G1054</f>
        <v/>
      </c>
      <c r="I1054" s="297" t="n"/>
      <c r="J1054" s="297" t="n"/>
      <c r="K1054" s="297" t="n"/>
      <c r="L1054" s="513" t="n"/>
    </row>
    <row r="1055">
      <c r="A1055" s="297" t="n">
        <v>45406</v>
      </c>
      <c r="B1055" s="513" t="n">
        <v>11017</v>
      </c>
      <c r="C1055" s="513" t="n">
        <v>86.5</v>
      </c>
      <c r="D1055" s="297" t="n"/>
      <c r="E1055" s="513" t="n"/>
      <c r="F1055" s="513" t="n"/>
      <c r="G1055" s="513" t="n">
        <v>42</v>
      </c>
      <c r="H1055" s="98">
        <f>H1054-G1055</f>
        <v/>
      </c>
      <c r="I1055" s="297" t="n"/>
      <c r="J1055" s="297" t="n"/>
      <c r="K1055" s="297" t="n"/>
      <c r="L1055" s="513" t="n"/>
    </row>
    <row r="1056">
      <c r="A1056" s="297" t="n">
        <v>45406</v>
      </c>
      <c r="B1056" s="513" t="n">
        <v>11018</v>
      </c>
      <c r="C1056" s="513" t="n">
        <v>85</v>
      </c>
      <c r="D1056" s="297" t="n"/>
      <c r="E1056" s="513" t="n"/>
      <c r="F1056" s="513" t="n"/>
      <c r="G1056" s="513" t="n">
        <v>10</v>
      </c>
      <c r="H1056" s="98">
        <f>H1055-G1056</f>
        <v/>
      </c>
      <c r="I1056" s="297" t="n"/>
      <c r="J1056" s="297" t="n"/>
      <c r="K1056" s="297" t="n"/>
      <c r="L1056" s="513" t="n"/>
    </row>
    <row r="1057">
      <c r="A1057" s="297" t="n">
        <v>45411</v>
      </c>
      <c r="B1057" s="513" t="n">
        <v>11021</v>
      </c>
      <c r="C1057" s="513" t="n">
        <v>80.84</v>
      </c>
      <c r="D1057" s="297" t="n"/>
      <c r="E1057" s="513" t="n"/>
      <c r="F1057" s="513" t="n"/>
      <c r="G1057" s="513" t="n">
        <v>42</v>
      </c>
      <c r="H1057" s="98">
        <f>H1056-G1057</f>
        <v/>
      </c>
      <c r="I1057" s="297" t="n"/>
      <c r="J1057" s="297" t="n"/>
      <c r="K1057" s="297" t="n"/>
      <c r="L1057" s="513" t="n"/>
    </row>
    <row r="1058">
      <c r="A1058" s="297" t="n">
        <v>45411</v>
      </c>
      <c r="B1058" s="513" t="n">
        <v>11022</v>
      </c>
      <c r="C1058" s="513" t="n">
        <v>90.90000000000001</v>
      </c>
      <c r="D1058" s="297" t="n"/>
      <c r="E1058" s="513" t="n"/>
      <c r="F1058" s="513" t="n"/>
      <c r="G1058" s="513" t="n">
        <v>20</v>
      </c>
      <c r="H1058" s="98">
        <f>H1057-G1058</f>
        <v/>
      </c>
      <c r="I1058" s="297" t="n"/>
      <c r="J1058" s="297" t="n"/>
      <c r="K1058" s="297" t="n"/>
      <c r="L1058" s="513" t="n"/>
    </row>
    <row r="1059">
      <c r="A1059" s="297" t="n">
        <v>45412</v>
      </c>
      <c r="B1059" s="513" t="n">
        <v>11027</v>
      </c>
      <c r="C1059" s="513" t="n">
        <v>84.67</v>
      </c>
      <c r="D1059" s="297" t="n"/>
      <c r="E1059" s="513" t="n"/>
      <c r="F1059" s="513" t="n"/>
      <c r="G1059" s="513" t="n">
        <v>42</v>
      </c>
      <c r="H1059" s="98">
        <f>H1058-G1059</f>
        <v/>
      </c>
      <c r="I1059" s="297" t="n"/>
      <c r="J1059" s="297" t="n"/>
      <c r="K1059" s="297" t="n"/>
      <c r="L1059" s="513" t="n"/>
    </row>
    <row r="1060">
      <c r="A1060" s="297" t="n">
        <v>45412</v>
      </c>
      <c r="B1060" s="513" t="n">
        <v>11028</v>
      </c>
      <c r="C1060" s="513" t="n">
        <v>84</v>
      </c>
      <c r="D1060" s="297" t="n"/>
      <c r="E1060" s="513" t="n"/>
      <c r="F1060" s="513" t="n"/>
      <c r="G1060" s="513" t="n">
        <v>20</v>
      </c>
      <c r="H1060" s="98">
        <f>H1059-G1060</f>
        <v/>
      </c>
      <c r="I1060" s="297" t="n"/>
      <c r="J1060" s="297" t="n"/>
      <c r="K1060" s="297" t="n"/>
      <c r="L1060" s="513" t="n"/>
    </row>
    <row r="1061">
      <c r="A1061" s="297" t="n">
        <v>45412</v>
      </c>
      <c r="B1061" s="513" t="n">
        <v>11030</v>
      </c>
      <c r="C1061" s="513" t="n">
        <v>87.09999999999999</v>
      </c>
      <c r="D1061" s="297" t="n"/>
      <c r="E1061" s="513" t="n"/>
      <c r="F1061" s="513" t="n"/>
      <c r="G1061" s="513" t="n">
        <v>20</v>
      </c>
      <c r="H1061" s="98">
        <f>H1060-G1061</f>
        <v/>
      </c>
      <c r="I1061" s="297" t="n"/>
      <c r="J1061" s="297" t="n"/>
      <c r="K1061" s="297" t="n"/>
      <c r="L1061" s="513" t="n"/>
    </row>
    <row r="1062">
      <c r="A1062" s="297" t="n">
        <v>45412</v>
      </c>
      <c r="B1062" s="513" t="n">
        <v>11033</v>
      </c>
      <c r="C1062" s="513" t="n">
        <v>90.63</v>
      </c>
      <c r="D1062" s="297" t="n"/>
      <c r="E1062" s="513" t="n"/>
      <c r="F1062" s="513" t="n"/>
      <c r="G1062" s="513" t="n">
        <v>40</v>
      </c>
      <c r="H1062" s="98">
        <f>H1061-G1062</f>
        <v/>
      </c>
      <c r="I1062" s="297" t="n"/>
      <c r="J1062" s="297" t="n"/>
      <c r="K1062" s="297" t="n"/>
      <c r="L1062" s="513" t="n"/>
    </row>
    <row r="1063" ht="15.75" customHeight="1" s="436" thickBot="1"/>
    <row r="1064" ht="24" customHeight="1" s="436" thickBot="1">
      <c r="A1064" s="759" t="inlineStr">
        <is>
          <t>Maio</t>
        </is>
      </c>
      <c r="B1064" s="697" t="n"/>
      <c r="C1064" s="697" t="n"/>
      <c r="D1064" s="697" t="n"/>
      <c r="E1064" s="697" t="n"/>
      <c r="F1064" s="697" t="n"/>
      <c r="G1064" s="697" t="n"/>
      <c r="H1064" s="697" t="n"/>
      <c r="I1064" s="697" t="n"/>
      <c r="J1064" s="697" t="n"/>
      <c r="K1064" s="697" t="n"/>
      <c r="L1064" s="698" t="n"/>
    </row>
    <row r="1065" ht="24" customHeight="1" s="436" thickBot="1">
      <c r="A1065" s="759" t="inlineStr">
        <is>
          <t xml:space="preserve">  PRÉ MISTURA -  Pão Doce 25 KG</t>
        </is>
      </c>
      <c r="B1065" s="697" t="n"/>
      <c r="C1065" s="697" t="n"/>
      <c r="D1065" s="697" t="n"/>
      <c r="E1065" s="697" t="n"/>
      <c r="F1065" s="697" t="n"/>
      <c r="G1065" s="697" t="n"/>
      <c r="H1065" s="697" t="n"/>
      <c r="I1065" s="697" t="n"/>
      <c r="J1065" s="697" t="n"/>
      <c r="K1065" s="697" t="n"/>
      <c r="L1065" s="698" t="n"/>
    </row>
    <row r="1066">
      <c r="A1066" s="3" t="inlineStr">
        <is>
          <t>DATA</t>
        </is>
      </c>
      <c r="B1066" s="3" t="inlineStr">
        <is>
          <t>N.F.</t>
        </is>
      </c>
      <c r="C1066" s="3" t="inlineStr">
        <is>
          <t>TIPO</t>
        </is>
      </c>
      <c r="D1066" s="3" t="inlineStr">
        <is>
          <t>PREÇO UNITÁRIO</t>
        </is>
      </c>
      <c r="E1066" s="736" t="n"/>
      <c r="F1066" s="3" t="inlineStr">
        <is>
          <t>QUANTIDADE / KG</t>
        </is>
      </c>
      <c r="G1066" s="737" t="n"/>
      <c r="H1066" s="736" t="n"/>
      <c r="I1066" s="631" t="inlineStr">
        <is>
          <t>PREÇO</t>
        </is>
      </c>
      <c r="J1066" s="631" t="inlineStr">
        <is>
          <t>VALORES</t>
        </is>
      </c>
      <c r="K1066" s="737" t="n"/>
      <c r="L1066" s="736" t="n"/>
    </row>
    <row r="1067" ht="15.75" customHeight="1" s="436" thickBot="1">
      <c r="A1067" s="704" t="n"/>
      <c r="B1067" s="704" t="n"/>
      <c r="C1067" s="704" t="n"/>
      <c r="D1067" s="703" t="n"/>
      <c r="E1067" s="701" t="n"/>
      <c r="F1067" s="705" t="n"/>
      <c r="G1067" s="706" t="n"/>
      <c r="H1067" s="707" t="n"/>
      <c r="I1067" s="704" t="n"/>
      <c r="J1067" s="703" t="n"/>
      <c r="L1067" s="701" t="n"/>
    </row>
    <row r="1068" ht="15.75" customHeight="1" s="436" thickBot="1">
      <c r="A1068" s="704" t="n"/>
      <c r="B1068" s="704" t="n"/>
      <c r="C1068" s="704" t="n"/>
      <c r="D1068" s="705" t="n"/>
      <c r="E1068" s="707" t="n"/>
      <c r="F1068" s="3" t="inlineStr">
        <is>
          <t>ENTRADA</t>
        </is>
      </c>
      <c r="G1068" s="3" t="inlineStr">
        <is>
          <t>SAÍDA</t>
        </is>
      </c>
      <c r="H1068" s="640" t="n"/>
      <c r="I1068" s="633" t="inlineStr">
        <is>
          <t>MÉDIO</t>
        </is>
      </c>
      <c r="J1068" s="739" t="inlineStr">
        <is>
          <t>SALDO EM 30/12/2017</t>
        </is>
      </c>
      <c r="K1068" s="707" t="n"/>
      <c r="L1068" s="17" t="n"/>
    </row>
    <row r="1069" ht="15.75" customHeight="1" s="436" thickBot="1">
      <c r="A1069" s="695" t="n"/>
      <c r="B1069" s="695" t="n"/>
      <c r="C1069" s="695" t="n"/>
      <c r="D1069" s="3" t="inlineStr">
        <is>
          <t>C/ICMS</t>
        </is>
      </c>
      <c r="E1069" s="3" t="inlineStr">
        <is>
          <t>S/ICMS</t>
        </is>
      </c>
      <c r="F1069" s="695" t="n"/>
      <c r="G1069" s="695" t="n"/>
      <c r="H1069" s="361" t="inlineStr">
        <is>
          <t>Saldo em 30/04/2024</t>
        </is>
      </c>
      <c r="I1069" s="695" t="n"/>
      <c r="J1069" s="645" t="inlineStr">
        <is>
          <t>ENTRADA</t>
        </is>
      </c>
      <c r="K1069" s="633" t="inlineStr">
        <is>
          <t>SAÍDA / CMV</t>
        </is>
      </c>
      <c r="L1069" s="633" t="inlineStr">
        <is>
          <t>SALDO</t>
        </is>
      </c>
    </row>
    <row r="1070">
      <c r="A1070" s="297" t="n"/>
      <c r="B1070" s="297" t="n"/>
      <c r="C1070" s="297" t="n"/>
      <c r="D1070" s="297" t="n"/>
      <c r="E1070" s="297" t="n"/>
      <c r="F1070" s="297" t="n"/>
      <c r="G1070" s="297" t="n"/>
      <c r="H1070" s="98" t="n">
        <v>249</v>
      </c>
      <c r="I1070" s="297" t="n"/>
      <c r="J1070" s="297" t="n"/>
      <c r="K1070" s="297" t="n"/>
      <c r="L1070" s="513" t="n"/>
    </row>
    <row r="1071">
      <c r="A1071" s="297" t="n">
        <v>45414</v>
      </c>
      <c r="B1071" s="513" t="n">
        <v>11035</v>
      </c>
      <c r="C1071" s="513" t="n">
        <v>90</v>
      </c>
      <c r="D1071" s="513" t="n"/>
      <c r="E1071" s="513" t="n"/>
      <c r="F1071" s="513" t="n"/>
      <c r="G1071" s="513" t="n">
        <v>50</v>
      </c>
      <c r="H1071" s="98">
        <f>H1070-G1071</f>
        <v/>
      </c>
      <c r="I1071" s="297" t="n"/>
      <c r="J1071" s="297" t="n"/>
      <c r="K1071" s="297" t="n"/>
      <c r="L1071" s="513" t="n"/>
    </row>
    <row r="1072">
      <c r="A1072" s="310" t="n">
        <v>45418</v>
      </c>
      <c r="B1072" s="445" t="n">
        <v>266558</v>
      </c>
      <c r="C1072" s="445" t="n">
        <v>69.5</v>
      </c>
      <c r="D1072" s="445" t="n">
        <v>188</v>
      </c>
      <c r="E1072" s="445" t="n"/>
      <c r="F1072" s="445" t="n"/>
      <c r="G1072" s="445" t="n"/>
      <c r="H1072" s="277" t="n">
        <v>387</v>
      </c>
      <c r="I1072" s="297" t="n"/>
      <c r="J1072" s="297" t="n"/>
      <c r="K1072" s="297" t="n"/>
      <c r="L1072" s="513" t="n"/>
    </row>
    <row r="1073">
      <c r="A1073" s="297" t="n">
        <v>45420</v>
      </c>
      <c r="B1073" s="513" t="n">
        <v>11051</v>
      </c>
      <c r="C1073" s="513" t="n">
        <v>90</v>
      </c>
      <c r="D1073" s="513" t="n"/>
      <c r="E1073" s="513" t="n"/>
      <c r="F1073" s="513" t="n"/>
      <c r="G1073" s="513" t="n">
        <v>10</v>
      </c>
      <c r="H1073" s="98">
        <f>H1072-G1073</f>
        <v/>
      </c>
      <c r="I1073" s="297" t="n"/>
      <c r="J1073" s="297" t="n"/>
      <c r="K1073" s="297" t="n"/>
      <c r="L1073" s="513" t="n"/>
    </row>
    <row r="1074">
      <c r="A1074" s="297" t="n">
        <v>45421</v>
      </c>
      <c r="B1074" s="513" t="n">
        <v>11055</v>
      </c>
      <c r="C1074" s="513" t="n">
        <v>83.33</v>
      </c>
      <c r="D1074" s="513" t="n"/>
      <c r="E1074" s="513" t="n"/>
      <c r="F1074" s="513" t="n"/>
      <c r="G1074" s="513" t="n">
        <v>42</v>
      </c>
      <c r="H1074" s="98">
        <f>H1073-G1074</f>
        <v/>
      </c>
      <c r="I1074" s="297" t="n"/>
      <c r="J1074" s="297" t="n"/>
      <c r="K1074" s="297" t="n"/>
      <c r="L1074" s="513" t="n"/>
    </row>
    <row r="1075">
      <c r="A1075" s="310" t="n">
        <v>45432</v>
      </c>
      <c r="B1075" s="445" t="n">
        <v>267160</v>
      </c>
      <c r="C1075" s="445" t="n">
        <v>69.5</v>
      </c>
      <c r="D1075" s="445" t="n">
        <v>150</v>
      </c>
      <c r="E1075" s="445" t="n"/>
      <c r="F1075" s="445" t="n"/>
      <c r="G1075" s="445" t="n"/>
      <c r="H1075" s="277" t="n">
        <v>485</v>
      </c>
      <c r="I1075" s="297" t="n"/>
      <c r="J1075" s="297" t="n"/>
      <c r="K1075" s="297" t="n"/>
      <c r="L1075" s="513" t="n"/>
    </row>
    <row r="1076">
      <c r="A1076" s="310" t="n">
        <v>45433</v>
      </c>
      <c r="B1076" s="445" t="n">
        <v>245451</v>
      </c>
      <c r="C1076" s="445" t="n">
        <v>72</v>
      </c>
      <c r="D1076" s="445" t="n">
        <v>230</v>
      </c>
      <c r="E1076" s="445" t="n"/>
      <c r="F1076" s="445" t="n"/>
      <c r="G1076" s="445" t="n"/>
      <c r="H1076" s="277" t="n">
        <v>715</v>
      </c>
      <c r="I1076" s="297" t="n"/>
      <c r="J1076" s="297" t="n"/>
      <c r="K1076" s="297" t="n"/>
      <c r="L1076" s="513" t="n"/>
    </row>
    <row r="1077">
      <c r="A1077" s="297" t="n">
        <v>45434</v>
      </c>
      <c r="B1077" s="513" t="n">
        <v>11074</v>
      </c>
      <c r="C1077" s="513" t="n">
        <v>89.5</v>
      </c>
      <c r="D1077" s="513" t="n"/>
      <c r="E1077" s="513" t="n"/>
      <c r="F1077" s="513" t="n"/>
      <c r="G1077" s="513" t="n">
        <v>32</v>
      </c>
      <c r="H1077" s="98">
        <f>H1076-G1077</f>
        <v/>
      </c>
      <c r="I1077" s="297" t="n"/>
      <c r="J1077" s="297" t="n"/>
      <c r="K1077" s="297" t="n"/>
      <c r="L1077" s="513" t="n"/>
    </row>
    <row r="1078">
      <c r="A1078" s="297" t="n">
        <v>45434</v>
      </c>
      <c r="B1078" s="513" t="n">
        <v>11075</v>
      </c>
      <c r="C1078" s="513" t="n">
        <v>87</v>
      </c>
      <c r="D1078" s="513" t="n"/>
      <c r="E1078" s="513" t="n"/>
      <c r="F1078" s="513" t="n"/>
      <c r="G1078" s="513" t="n">
        <v>30</v>
      </c>
      <c r="H1078" s="98">
        <f>H1077-G1078</f>
        <v/>
      </c>
      <c r="I1078" s="297" t="n"/>
      <c r="J1078" s="297" t="n"/>
      <c r="K1078" s="297" t="n"/>
      <c r="L1078" s="513" t="n"/>
    </row>
    <row r="1079">
      <c r="A1079" s="297" t="n">
        <v>45434</v>
      </c>
      <c r="B1079" s="513" t="n">
        <v>11081</v>
      </c>
      <c r="C1079" s="513" t="n">
        <v>90</v>
      </c>
      <c r="D1079" s="513" t="n"/>
      <c r="E1079" s="513" t="n"/>
      <c r="F1079" s="513" t="n"/>
      <c r="G1079" s="513" t="n">
        <v>10</v>
      </c>
      <c r="H1079" s="98">
        <f>H1078-G1079</f>
        <v/>
      </c>
      <c r="I1079" s="297" t="n"/>
      <c r="J1079" s="297" t="n"/>
      <c r="K1079" s="297" t="n"/>
      <c r="L1079" s="513" t="n"/>
    </row>
    <row r="1080">
      <c r="A1080" s="297" t="n">
        <v>45434</v>
      </c>
      <c r="B1080" s="513" t="n">
        <v>11085</v>
      </c>
      <c r="C1080" s="513" t="n">
        <v>90</v>
      </c>
      <c r="D1080" s="513" t="n"/>
      <c r="E1080" s="513" t="n"/>
      <c r="F1080" s="513" t="n"/>
      <c r="G1080" s="513" t="n">
        <v>20</v>
      </c>
      <c r="H1080" s="98">
        <f>H1079-G1080</f>
        <v/>
      </c>
      <c r="I1080" s="297" t="n"/>
      <c r="J1080" s="297" t="n"/>
      <c r="K1080" s="297" t="n"/>
      <c r="L1080" s="513" t="n"/>
    </row>
    <row r="1081">
      <c r="A1081" s="297" t="n">
        <v>45440</v>
      </c>
      <c r="B1081" s="513" t="n">
        <v>11098</v>
      </c>
      <c r="C1081" s="513" t="n">
        <v>89</v>
      </c>
      <c r="D1081" s="513" t="n"/>
      <c r="E1081" s="513" t="n"/>
      <c r="F1081" s="513" t="n"/>
      <c r="G1081" s="513" t="n">
        <v>50</v>
      </c>
      <c r="H1081" s="98">
        <f>H1080-G1081</f>
        <v/>
      </c>
      <c r="I1081" s="297" t="n"/>
      <c r="J1081" s="297" t="n"/>
      <c r="K1081" s="297" t="n"/>
      <c r="L1081" s="513" t="n"/>
    </row>
    <row r="1082">
      <c r="A1082" s="297" t="n">
        <v>45443</v>
      </c>
      <c r="B1082" s="513" t="n">
        <v>267807</v>
      </c>
      <c r="C1082" s="513" t="n">
        <v>69.5</v>
      </c>
      <c r="D1082" s="513" t="n">
        <v>320</v>
      </c>
      <c r="E1082" s="513" t="n"/>
      <c r="F1082" s="513" t="n"/>
      <c r="G1082" s="513" t="n"/>
      <c r="H1082" s="98" t="n">
        <v>893</v>
      </c>
      <c r="I1082" s="297" t="n"/>
      <c r="J1082" s="297" t="n"/>
      <c r="K1082" s="297" t="n"/>
      <c r="L1082" s="513" t="n"/>
    </row>
    <row r="1083">
      <c r="A1083" s="297" t="n"/>
      <c r="B1083" s="513" t="n"/>
      <c r="C1083" s="513" t="n"/>
      <c r="D1083" s="513" t="n"/>
      <c r="E1083" s="513" t="n"/>
      <c r="F1083" s="513" t="n"/>
      <c r="G1083" s="513" t="n"/>
      <c r="H1083" s="98" t="n"/>
      <c r="I1083" s="297" t="n"/>
      <c r="J1083" s="297" t="n"/>
      <c r="K1083" s="297" t="n"/>
      <c r="L1083" s="513" t="n"/>
    </row>
    <row r="1084">
      <c r="A1084" s="415" t="n"/>
      <c r="B1084" s="522" t="n"/>
      <c r="C1084" s="522" t="n"/>
      <c r="D1084" s="522" t="n"/>
      <c r="E1084" s="522" t="n"/>
      <c r="F1084" s="522" t="n"/>
      <c r="G1084" s="522" t="n"/>
      <c r="H1084" s="418" t="n"/>
      <c r="I1084" s="415" t="n"/>
      <c r="J1084" s="415" t="n"/>
      <c r="K1084" s="415" t="n"/>
      <c r="L1084" s="522" t="n"/>
    </row>
    <row r="1085" ht="15.75" customHeight="1" s="436" thickBot="1"/>
    <row r="1086" ht="24" customHeight="1" s="436" thickBot="1">
      <c r="A1086" s="759" t="inlineStr">
        <is>
          <t>Junho</t>
        </is>
      </c>
      <c r="B1086" s="697" t="n"/>
      <c r="C1086" s="697" t="n"/>
      <c r="D1086" s="697" t="n"/>
      <c r="E1086" s="697" t="n"/>
      <c r="F1086" s="697" t="n"/>
      <c r="G1086" s="697" t="n"/>
      <c r="H1086" s="697" t="n"/>
      <c r="I1086" s="697" t="n"/>
      <c r="J1086" s="697" t="n"/>
      <c r="K1086" s="697" t="n"/>
      <c r="L1086" s="698" t="n"/>
    </row>
    <row r="1087" ht="24" customHeight="1" s="436" thickBot="1">
      <c r="A1087" s="759" t="inlineStr">
        <is>
          <t xml:space="preserve">  PRÉ MISTURA -  Pão Doce 25 KG</t>
        </is>
      </c>
      <c r="B1087" s="697" t="n"/>
      <c r="C1087" s="697" t="n"/>
      <c r="D1087" s="697" t="n"/>
      <c r="E1087" s="697" t="n"/>
      <c r="F1087" s="697" t="n"/>
      <c r="G1087" s="697" t="n"/>
      <c r="H1087" s="697" t="n"/>
      <c r="I1087" s="697" t="n"/>
      <c r="J1087" s="697" t="n"/>
      <c r="K1087" s="697" t="n"/>
      <c r="L1087" s="698" t="n"/>
    </row>
    <row r="1088">
      <c r="A1088" s="3" t="inlineStr">
        <is>
          <t>DATA</t>
        </is>
      </c>
      <c r="B1088" s="3" t="inlineStr">
        <is>
          <t>N.F.</t>
        </is>
      </c>
      <c r="C1088" s="3" t="inlineStr">
        <is>
          <t>TIPO</t>
        </is>
      </c>
      <c r="D1088" s="3" t="inlineStr">
        <is>
          <t>PREÇO UNITÁRIO</t>
        </is>
      </c>
      <c r="E1088" s="736" t="n"/>
      <c r="F1088" s="3" t="inlineStr">
        <is>
          <t>QUANTIDADE / KG</t>
        </is>
      </c>
      <c r="G1088" s="737" t="n"/>
      <c r="H1088" s="736" t="n"/>
      <c r="I1088" s="631" t="inlineStr">
        <is>
          <t>PREÇO</t>
        </is>
      </c>
      <c r="J1088" s="631" t="inlineStr">
        <is>
          <t>VALORES</t>
        </is>
      </c>
      <c r="K1088" s="737" t="n"/>
      <c r="L1088" s="736" t="n"/>
    </row>
    <row r="1089" ht="15.75" customHeight="1" s="436" thickBot="1">
      <c r="A1089" s="704" t="n"/>
      <c r="B1089" s="704" t="n"/>
      <c r="C1089" s="704" t="n"/>
      <c r="D1089" s="703" t="n"/>
      <c r="E1089" s="701" t="n"/>
      <c r="F1089" s="705" t="n"/>
      <c r="G1089" s="706" t="n"/>
      <c r="H1089" s="707" t="n"/>
      <c r="I1089" s="704" t="n"/>
      <c r="J1089" s="703" t="n"/>
      <c r="L1089" s="701" t="n"/>
    </row>
    <row r="1090" ht="15.75" customHeight="1" s="436" thickBot="1">
      <c r="A1090" s="704" t="n"/>
      <c r="B1090" s="704" t="n"/>
      <c r="C1090" s="704" t="n"/>
      <c r="D1090" s="705" t="n"/>
      <c r="E1090" s="707" t="n"/>
      <c r="F1090" s="3" t="inlineStr">
        <is>
          <t>ENTRADA</t>
        </is>
      </c>
      <c r="G1090" s="3" t="inlineStr">
        <is>
          <t>SAÍDA</t>
        </is>
      </c>
      <c r="H1090" s="640" t="n"/>
      <c r="I1090" s="633" t="inlineStr">
        <is>
          <t>MÉDIO</t>
        </is>
      </c>
      <c r="J1090" s="739" t="inlineStr">
        <is>
          <t>SALDO EM 30/12/2017</t>
        </is>
      </c>
      <c r="K1090" s="707" t="n"/>
      <c r="L1090" s="17" t="n"/>
    </row>
    <row r="1091" ht="15.75" customHeight="1" s="436" thickBot="1">
      <c r="A1091" s="695" t="n"/>
      <c r="B1091" s="695" t="n"/>
      <c r="C1091" s="695" t="n"/>
      <c r="D1091" s="3" t="inlineStr">
        <is>
          <t>C/ICMS</t>
        </is>
      </c>
      <c r="E1091" s="3" t="inlineStr">
        <is>
          <t>S/ICMS</t>
        </is>
      </c>
      <c r="F1091" s="695" t="n"/>
      <c r="G1091" s="695" t="n"/>
      <c r="H1091" s="361" t="inlineStr">
        <is>
          <t>Saldo em 31/05/2024</t>
        </is>
      </c>
      <c r="I1091" s="695" t="n"/>
      <c r="J1091" s="645" t="inlineStr">
        <is>
          <t>ENTRADA</t>
        </is>
      </c>
      <c r="K1091" s="633" t="inlineStr">
        <is>
          <t>SAÍDA / CMV</t>
        </is>
      </c>
      <c r="L1091" s="633" t="inlineStr">
        <is>
          <t>SALDO</t>
        </is>
      </c>
    </row>
    <row r="1092">
      <c r="A1092" s="297" t="n"/>
      <c r="B1092" s="297" t="n"/>
      <c r="C1092" s="297" t="n"/>
      <c r="D1092" s="297" t="n"/>
      <c r="E1092" s="297" t="n"/>
      <c r="F1092" s="297" t="n"/>
      <c r="G1092" s="297" t="n"/>
      <c r="H1092" s="98" t="n">
        <v>893</v>
      </c>
      <c r="I1092" s="297" t="n"/>
      <c r="J1092" s="297" t="n"/>
      <c r="K1092" s="297" t="n"/>
      <c r="L1092" s="513" t="n"/>
    </row>
    <row r="1093">
      <c r="A1093" s="297" t="n">
        <v>45446</v>
      </c>
      <c r="B1093" s="513" t="n">
        <v>11101</v>
      </c>
      <c r="C1093" s="513" t="n">
        <v>83.12</v>
      </c>
      <c r="D1093" s="513" t="n"/>
      <c r="E1093" s="513" t="n"/>
      <c r="F1093" s="513" t="n"/>
      <c r="G1093" s="513" t="n">
        <v>50</v>
      </c>
      <c r="H1093" s="98">
        <f>H1092-G1093</f>
        <v/>
      </c>
      <c r="I1093" s="297" t="n"/>
      <c r="J1093" s="297" t="n"/>
      <c r="K1093" s="297" t="n"/>
      <c r="L1093" s="513" t="n"/>
    </row>
    <row r="1094">
      <c r="A1094" s="297" t="n">
        <v>45448</v>
      </c>
      <c r="B1094" s="513" t="n">
        <v>11103</v>
      </c>
      <c r="C1094" s="513" t="n">
        <v>89.75</v>
      </c>
      <c r="D1094" s="513" t="n"/>
      <c r="E1094" s="513" t="n"/>
      <c r="F1094" s="513" t="n"/>
      <c r="G1094" s="513" t="n">
        <v>32</v>
      </c>
      <c r="H1094" s="98">
        <f>H1093-G1094</f>
        <v/>
      </c>
      <c r="I1094" s="297" t="n"/>
      <c r="J1094" s="297" t="n"/>
      <c r="K1094" s="297" t="n"/>
      <c r="L1094" s="513" t="n"/>
    </row>
    <row r="1095">
      <c r="A1095" s="297" t="n">
        <v>45448</v>
      </c>
      <c r="B1095" s="513" t="n">
        <v>11109</v>
      </c>
      <c r="C1095" s="513" t="n">
        <v>90</v>
      </c>
      <c r="D1095" s="513" t="n"/>
      <c r="E1095" s="513" t="n"/>
      <c r="F1095" s="513" t="n"/>
      <c r="G1095" s="513" t="n">
        <v>10</v>
      </c>
      <c r="H1095" s="98">
        <f>H1094-G1095</f>
        <v/>
      </c>
      <c r="I1095" s="297" t="n"/>
      <c r="J1095" s="297" t="n"/>
      <c r="K1095" s="297" t="n"/>
      <c r="L1095" s="513" t="n"/>
    </row>
    <row r="1096">
      <c r="A1096" s="297" t="n">
        <v>45448</v>
      </c>
      <c r="B1096" s="513" t="n">
        <v>11110</v>
      </c>
      <c r="C1096" s="513" t="n">
        <v>85</v>
      </c>
      <c r="D1096" s="513" t="n"/>
      <c r="E1096" s="513" t="n"/>
      <c r="F1096" s="513" t="n"/>
      <c r="G1096" s="513" t="n">
        <v>20</v>
      </c>
      <c r="H1096" s="98">
        <f>H1095-G1096</f>
        <v/>
      </c>
      <c r="I1096" s="297" t="n"/>
      <c r="J1096" s="297" t="n"/>
      <c r="K1096" s="297" t="n"/>
      <c r="L1096" s="513" t="n"/>
    </row>
    <row r="1097">
      <c r="A1097" s="297" t="n">
        <v>45460</v>
      </c>
      <c r="B1097" s="513" t="n">
        <v>11146</v>
      </c>
      <c r="C1097" s="513" t="n">
        <v>89.75</v>
      </c>
      <c r="D1097" s="513" t="n"/>
      <c r="E1097" s="513" t="n"/>
      <c r="F1097" s="513" t="n"/>
      <c r="G1097" s="513" t="n">
        <v>32</v>
      </c>
      <c r="H1097" s="98">
        <f>H1096-G1097</f>
        <v/>
      </c>
      <c r="I1097" s="297" t="n"/>
      <c r="J1097" s="297" t="n"/>
      <c r="K1097" s="297" t="n"/>
      <c r="L1097" s="513" t="n"/>
    </row>
    <row r="1098">
      <c r="A1098" s="297" t="n">
        <v>45460</v>
      </c>
      <c r="B1098" s="513" t="n">
        <v>11148</v>
      </c>
      <c r="C1098" s="513" t="n">
        <v>88</v>
      </c>
      <c r="D1098" s="513" t="n"/>
      <c r="E1098" s="513" t="n"/>
      <c r="F1098" s="513" t="n"/>
      <c r="G1098" s="513" t="n">
        <v>20</v>
      </c>
      <c r="H1098" s="98">
        <f>H1097-G1098</f>
        <v/>
      </c>
      <c r="I1098" s="297" t="n"/>
      <c r="J1098" s="297" t="n"/>
      <c r="K1098" s="297" t="n"/>
      <c r="L1098" s="513" t="n"/>
    </row>
    <row r="1099">
      <c r="A1099" s="297" t="n">
        <v>45467</v>
      </c>
      <c r="B1099" s="513" t="n">
        <v>11150</v>
      </c>
      <c r="C1099" s="513" t="n">
        <v>83.28</v>
      </c>
      <c r="D1099" s="513" t="n"/>
      <c r="E1099" s="513" t="n"/>
      <c r="F1099" s="513" t="n"/>
      <c r="G1099" s="513" t="n">
        <v>50</v>
      </c>
      <c r="H1099" s="98">
        <f>H1098-G1099</f>
        <v/>
      </c>
      <c r="I1099" s="297" t="n"/>
      <c r="J1099" s="297" t="n"/>
      <c r="K1099" s="297" t="n"/>
      <c r="L1099" s="513" t="n"/>
    </row>
    <row r="1100">
      <c r="A1100" s="297" t="n">
        <v>45468</v>
      </c>
      <c r="B1100" s="513" t="n">
        <v>11161</v>
      </c>
      <c r="C1100" s="513" t="n">
        <v>89</v>
      </c>
      <c r="D1100" s="513" t="n"/>
      <c r="E1100" s="513" t="n"/>
      <c r="F1100" s="513" t="n"/>
      <c r="G1100" s="513" t="n">
        <v>50</v>
      </c>
      <c r="H1100" s="98">
        <f>H1099-G1100</f>
        <v/>
      </c>
      <c r="I1100" s="297" t="n"/>
      <c r="J1100" s="297" t="n"/>
      <c r="K1100" s="297" t="n"/>
      <c r="L1100" s="513" t="n"/>
    </row>
    <row r="1101" ht="15.75" customHeight="1" s="436" thickBot="1"/>
    <row r="1102" ht="24" customHeight="1" s="436" thickBot="1">
      <c r="A1102" s="759" t="inlineStr">
        <is>
          <t>Julho</t>
        </is>
      </c>
      <c r="B1102" s="697" t="n"/>
      <c r="C1102" s="697" t="n"/>
      <c r="D1102" s="697" t="n"/>
      <c r="E1102" s="697" t="n"/>
      <c r="F1102" s="697" t="n"/>
      <c r="G1102" s="697" t="n"/>
      <c r="H1102" s="697" t="n"/>
      <c r="I1102" s="697" t="n"/>
      <c r="J1102" s="697" t="n"/>
      <c r="K1102" s="697" t="n"/>
      <c r="L1102" s="698" t="n"/>
    </row>
    <row r="1103" ht="24" customHeight="1" s="436" thickBot="1">
      <c r="A1103" s="759" t="inlineStr">
        <is>
          <t xml:space="preserve">  PRÉ MISTURA -  Pão Doce 25 KG</t>
        </is>
      </c>
      <c r="B1103" s="697" t="n"/>
      <c r="C1103" s="697" t="n"/>
      <c r="D1103" s="697" t="n"/>
      <c r="E1103" s="697" t="n"/>
      <c r="F1103" s="697" t="n"/>
      <c r="G1103" s="697" t="n"/>
      <c r="H1103" s="697" t="n"/>
      <c r="I1103" s="697" t="n"/>
      <c r="J1103" s="697" t="n"/>
      <c r="K1103" s="697" t="n"/>
      <c r="L1103" s="698" t="n"/>
    </row>
    <row r="1104">
      <c r="A1104" s="3" t="inlineStr">
        <is>
          <t>DATA</t>
        </is>
      </c>
      <c r="B1104" s="3" t="inlineStr">
        <is>
          <t>N.F.</t>
        </is>
      </c>
      <c r="C1104" s="3" t="inlineStr">
        <is>
          <t>TIPO</t>
        </is>
      </c>
      <c r="D1104" s="3" t="inlineStr">
        <is>
          <t>PREÇO UNITÁRIO</t>
        </is>
      </c>
      <c r="E1104" s="736" t="n"/>
      <c r="F1104" s="3" t="inlineStr">
        <is>
          <t>QUANTIDADE / KG</t>
        </is>
      </c>
      <c r="G1104" s="737" t="n"/>
      <c r="H1104" s="736" t="n"/>
      <c r="I1104" s="631" t="inlineStr">
        <is>
          <t>PREÇO</t>
        </is>
      </c>
      <c r="J1104" s="631" t="inlineStr">
        <is>
          <t>VALORES</t>
        </is>
      </c>
      <c r="K1104" s="737" t="n"/>
      <c r="L1104" s="736" t="n"/>
    </row>
    <row r="1105" ht="15.75" customHeight="1" s="436" thickBot="1">
      <c r="A1105" s="704" t="n"/>
      <c r="B1105" s="704" t="n"/>
      <c r="C1105" s="704" t="n"/>
      <c r="D1105" s="703" t="n"/>
      <c r="E1105" s="701" t="n"/>
      <c r="F1105" s="705" t="n"/>
      <c r="G1105" s="706" t="n"/>
      <c r="H1105" s="707" t="n"/>
      <c r="I1105" s="704" t="n"/>
      <c r="J1105" s="703" t="n"/>
      <c r="L1105" s="701" t="n"/>
    </row>
    <row r="1106" ht="15.75" customHeight="1" s="436" thickBot="1">
      <c r="A1106" s="704" t="n"/>
      <c r="B1106" s="704" t="n"/>
      <c r="C1106" s="704" t="n"/>
      <c r="D1106" s="705" t="n"/>
      <c r="E1106" s="707" t="n"/>
      <c r="F1106" s="3" t="inlineStr">
        <is>
          <t>ENTRADA</t>
        </is>
      </c>
      <c r="G1106" s="3" t="inlineStr">
        <is>
          <t>SAÍDA</t>
        </is>
      </c>
      <c r="H1106" s="640" t="n"/>
      <c r="I1106" s="633" t="inlineStr">
        <is>
          <t>MÉDIO</t>
        </is>
      </c>
      <c r="J1106" s="739" t="inlineStr">
        <is>
          <t>SALDO EM 30/12/2017</t>
        </is>
      </c>
      <c r="K1106" s="707" t="n"/>
      <c r="L1106" s="17" t="n"/>
    </row>
    <row r="1107" ht="15.75" customHeight="1" s="436" thickBot="1">
      <c r="A1107" s="695" t="n"/>
      <c r="B1107" s="695" t="n"/>
      <c r="C1107" s="695" t="n"/>
      <c r="D1107" s="3" t="inlineStr">
        <is>
          <t>C/ICMS</t>
        </is>
      </c>
      <c r="E1107" s="3" t="inlineStr">
        <is>
          <t>S/ICMS</t>
        </is>
      </c>
      <c r="F1107" s="695" t="n"/>
      <c r="G1107" s="695" t="n"/>
      <c r="H1107" s="361" t="inlineStr">
        <is>
          <t>Saldo em 31/06/2024</t>
        </is>
      </c>
      <c r="I1107" s="695" t="n"/>
      <c r="J1107" s="645" t="inlineStr">
        <is>
          <t>ENTRADA</t>
        </is>
      </c>
      <c r="K1107" s="633" t="inlineStr">
        <is>
          <t>SAÍDA / CMV</t>
        </is>
      </c>
      <c r="L1107" s="633" t="inlineStr">
        <is>
          <t>SALDO</t>
        </is>
      </c>
    </row>
    <row r="1108">
      <c r="A1108" s="297" t="n"/>
      <c r="B1108" s="297" t="n"/>
      <c r="C1108" s="297" t="n"/>
      <c r="D1108" s="297" t="n"/>
      <c r="E1108" s="297" t="n"/>
      <c r="F1108" s="297" t="n"/>
      <c r="G1108" s="297" t="n"/>
      <c r="H1108" s="98" t="n">
        <v>629</v>
      </c>
      <c r="I1108" s="297" t="n"/>
      <c r="J1108" s="297" t="n"/>
      <c r="K1108" s="297" t="n"/>
      <c r="L1108" s="513" t="n"/>
    </row>
    <row r="1109">
      <c r="A1109" s="297" t="n">
        <v>45476</v>
      </c>
      <c r="B1109" s="513" t="n">
        <v>11170</v>
      </c>
      <c r="C1109" s="513" t="n">
        <v>88</v>
      </c>
      <c r="D1109" s="513" t="n"/>
      <c r="E1109" s="513" t="n"/>
      <c r="F1109" s="513" t="n"/>
      <c r="G1109" s="513" t="n">
        <v>20</v>
      </c>
      <c r="H1109" s="98">
        <f>H1108-G1109</f>
        <v/>
      </c>
      <c r="I1109" s="297" t="n"/>
      <c r="J1109" s="297" t="n"/>
      <c r="K1109" s="297" t="n"/>
      <c r="L1109" s="513" t="n"/>
    </row>
    <row r="1110">
      <c r="A1110" s="297" t="n">
        <v>45481</v>
      </c>
      <c r="B1110" s="513" t="n">
        <v>11183</v>
      </c>
      <c r="C1110" s="513" t="n">
        <v>89</v>
      </c>
      <c r="D1110" s="513" t="n"/>
      <c r="E1110" s="513" t="n"/>
      <c r="F1110" s="513" t="n"/>
      <c r="G1110" s="513" t="n">
        <v>50</v>
      </c>
      <c r="H1110" s="98">
        <f>H1109-G1110</f>
        <v/>
      </c>
      <c r="I1110" s="297" t="n"/>
      <c r="J1110" s="297" t="n"/>
      <c r="K1110" s="297" t="n"/>
      <c r="L1110" s="513" t="n"/>
    </row>
    <row r="1111">
      <c r="A1111" s="297" t="n">
        <v>45483</v>
      </c>
      <c r="B1111" s="513" t="n">
        <v>11193</v>
      </c>
      <c r="C1111" s="513" t="n">
        <v>85.67</v>
      </c>
      <c r="D1111" s="513" t="n"/>
      <c r="E1111" s="513" t="n"/>
      <c r="F1111" s="513" t="n"/>
      <c r="G1111" s="513" t="n">
        <v>30</v>
      </c>
      <c r="H1111" s="98">
        <f>H1110-G1111</f>
        <v/>
      </c>
      <c r="I1111" s="297" t="n"/>
      <c r="J1111" s="297" t="n"/>
      <c r="K1111" s="297" t="n"/>
      <c r="L1111" s="513" t="n"/>
    </row>
    <row r="1112">
      <c r="A1112" s="297" t="n">
        <v>45489</v>
      </c>
      <c r="B1112" s="513" t="n">
        <v>11206</v>
      </c>
      <c r="C1112" s="513" t="n">
        <v>90</v>
      </c>
      <c r="D1112" s="513" t="n"/>
      <c r="E1112" s="513" t="n"/>
      <c r="F1112" s="513" t="n"/>
      <c r="G1112" s="513" t="n">
        <v>10</v>
      </c>
      <c r="H1112" s="98">
        <f>H1111-G1112</f>
        <v/>
      </c>
      <c r="I1112" s="297" t="n"/>
      <c r="J1112" s="297" t="n"/>
      <c r="K1112" s="297" t="n"/>
      <c r="L1112" s="513" t="n"/>
    </row>
    <row r="1113">
      <c r="A1113" s="297" t="n">
        <v>45495</v>
      </c>
      <c r="B1113" s="513" t="n">
        <v>11208</v>
      </c>
      <c r="C1113" s="513" t="n">
        <v>83.28</v>
      </c>
      <c r="D1113" s="513" t="n"/>
      <c r="E1113" s="513" t="n"/>
      <c r="F1113" s="513" t="n"/>
      <c r="G1113" s="513" t="n">
        <v>50</v>
      </c>
      <c r="H1113" s="98">
        <f>H1112-G1113</f>
        <v/>
      </c>
      <c r="I1113" s="297" t="n"/>
      <c r="J1113" s="297" t="n"/>
      <c r="K1113" s="297" t="n"/>
      <c r="L1113" s="513" t="n"/>
    </row>
    <row r="1114">
      <c r="A1114" s="297" t="n">
        <v>45495</v>
      </c>
      <c r="B1114" s="513" t="n">
        <v>11216</v>
      </c>
      <c r="C1114" s="513" t="n">
        <v>89</v>
      </c>
      <c r="D1114" s="513" t="n"/>
      <c r="E1114" s="513" t="n"/>
      <c r="F1114" s="513" t="n"/>
      <c r="G1114" s="513" t="n">
        <v>50</v>
      </c>
      <c r="H1114" s="98">
        <f>H1113-G1114</f>
        <v/>
      </c>
      <c r="I1114" s="297" t="n"/>
      <c r="J1114" s="297" t="n"/>
      <c r="K1114" s="297" t="n"/>
      <c r="L1114" s="513" t="n"/>
    </row>
    <row r="1115">
      <c r="A1115" s="297" t="n">
        <v>45497</v>
      </c>
      <c r="B1115" s="513" t="n">
        <v>11221</v>
      </c>
      <c r="C1115" s="513" t="n">
        <v>82</v>
      </c>
      <c r="D1115" s="513" t="n"/>
      <c r="E1115" s="513" t="n"/>
      <c r="F1115" s="513" t="n"/>
      <c r="G1115" s="513" t="n">
        <v>10</v>
      </c>
      <c r="H1115" s="98">
        <f>H1114-G1115</f>
        <v/>
      </c>
      <c r="I1115" s="297" t="n"/>
      <c r="J1115" s="297" t="n"/>
      <c r="K1115" s="297" t="n"/>
      <c r="L1115" s="513" t="n"/>
    </row>
    <row r="1116">
      <c r="A1116" s="297" t="n">
        <v>45497</v>
      </c>
      <c r="B1116" s="513" t="n">
        <v>11222</v>
      </c>
      <c r="C1116" s="513" t="n">
        <v>86</v>
      </c>
      <c r="D1116" s="513" t="n"/>
      <c r="E1116" s="513" t="n"/>
      <c r="F1116" s="513" t="n"/>
      <c r="G1116" s="513" t="n">
        <v>15</v>
      </c>
      <c r="H1116" s="98">
        <f>H1115-G1116</f>
        <v/>
      </c>
      <c r="I1116" s="297" t="n"/>
      <c r="J1116" s="297" t="n"/>
      <c r="K1116" s="297" t="n"/>
      <c r="L1116" s="513" t="n"/>
    </row>
    <row r="1117">
      <c r="A1117" s="297" t="n">
        <v>45503</v>
      </c>
      <c r="B1117" s="513" t="n">
        <v>11230</v>
      </c>
      <c r="C1117" s="513" t="n">
        <v>89</v>
      </c>
      <c r="D1117" s="513" t="n"/>
      <c r="E1117" s="513" t="n"/>
      <c r="F1117" s="513" t="n"/>
      <c r="G1117" s="513" t="n">
        <v>10</v>
      </c>
      <c r="H1117" s="98">
        <f>H1116-G1117</f>
        <v/>
      </c>
      <c r="I1117" s="297" t="n"/>
      <c r="J1117" s="297" t="n"/>
      <c r="K1117" s="297" t="n"/>
      <c r="L1117" s="513" t="n"/>
    </row>
    <row r="1118" ht="15.75" customHeight="1" s="436" thickBot="1"/>
    <row r="1119" ht="24" customHeight="1" s="436" thickBot="1">
      <c r="A1119" s="759" t="inlineStr">
        <is>
          <t>Agosto</t>
        </is>
      </c>
      <c r="B1119" s="697" t="n"/>
      <c r="C1119" s="697" t="n"/>
      <c r="D1119" s="697" t="n"/>
      <c r="E1119" s="697" t="n"/>
      <c r="F1119" s="697" t="n"/>
      <c r="G1119" s="697" t="n"/>
      <c r="H1119" s="697" t="n"/>
      <c r="I1119" s="697" t="n"/>
      <c r="J1119" s="697" t="n"/>
      <c r="K1119" s="697" t="n"/>
      <c r="L1119" s="698" t="n"/>
    </row>
    <row r="1120" ht="24" customHeight="1" s="436" thickBot="1">
      <c r="A1120" s="759" t="inlineStr">
        <is>
          <t xml:space="preserve">  PRÉ MISTURA -  Pão Doce 25 KG</t>
        </is>
      </c>
      <c r="B1120" s="697" t="n"/>
      <c r="C1120" s="697" t="n"/>
      <c r="D1120" s="697" t="n"/>
      <c r="E1120" s="697" t="n"/>
      <c r="F1120" s="697" t="n"/>
      <c r="G1120" s="697" t="n"/>
      <c r="H1120" s="697" t="n"/>
      <c r="I1120" s="697" t="n"/>
      <c r="J1120" s="697" t="n"/>
      <c r="K1120" s="697" t="n"/>
      <c r="L1120" s="698" t="n"/>
    </row>
    <row r="1121">
      <c r="A1121" s="3" t="inlineStr">
        <is>
          <t>DATA</t>
        </is>
      </c>
      <c r="B1121" s="3" t="inlineStr">
        <is>
          <t>N.F.</t>
        </is>
      </c>
      <c r="C1121" s="3" t="inlineStr">
        <is>
          <t>TIPO</t>
        </is>
      </c>
      <c r="D1121" s="3" t="inlineStr">
        <is>
          <t>PREÇO UNITÁRIO</t>
        </is>
      </c>
      <c r="E1121" s="736" t="n"/>
      <c r="F1121" s="3" t="inlineStr">
        <is>
          <t>QUANTIDADE / KG</t>
        </is>
      </c>
      <c r="G1121" s="737" t="n"/>
      <c r="H1121" s="736" t="n"/>
      <c r="I1121" s="631" t="inlineStr">
        <is>
          <t>PREÇO</t>
        </is>
      </c>
      <c r="J1121" s="631" t="inlineStr">
        <is>
          <t>VALORES</t>
        </is>
      </c>
      <c r="K1121" s="737" t="n"/>
      <c r="L1121" s="736" t="n"/>
    </row>
    <row r="1122" ht="15.75" customHeight="1" s="436" thickBot="1">
      <c r="A1122" s="704" t="n"/>
      <c r="B1122" s="704" t="n"/>
      <c r="C1122" s="704" t="n"/>
      <c r="D1122" s="703" t="n"/>
      <c r="E1122" s="701" t="n"/>
      <c r="F1122" s="705" t="n"/>
      <c r="G1122" s="706" t="n"/>
      <c r="H1122" s="707" t="n"/>
      <c r="I1122" s="704" t="n"/>
      <c r="J1122" s="703" t="n"/>
      <c r="L1122" s="701" t="n"/>
    </row>
    <row r="1123" ht="15.75" customHeight="1" s="436" thickBot="1">
      <c r="A1123" s="704" t="n"/>
      <c r="B1123" s="704" t="n"/>
      <c r="C1123" s="704" t="n"/>
      <c r="D1123" s="705" t="n"/>
      <c r="E1123" s="707" t="n"/>
      <c r="F1123" s="3" t="inlineStr">
        <is>
          <t>ENTRADA</t>
        </is>
      </c>
      <c r="G1123" s="3" t="inlineStr">
        <is>
          <t>SAÍDA</t>
        </is>
      </c>
      <c r="H1123" s="640" t="n"/>
      <c r="I1123" s="633" t="inlineStr">
        <is>
          <t>MÉDIO</t>
        </is>
      </c>
      <c r="J1123" s="739" t="inlineStr">
        <is>
          <t>SALDO EM 30/12/2017</t>
        </is>
      </c>
      <c r="K1123" s="707" t="n"/>
      <c r="L1123" s="17" t="n"/>
    </row>
    <row r="1124" ht="15.75" customHeight="1" s="436" thickBot="1">
      <c r="A1124" s="695" t="n"/>
      <c r="B1124" s="695" t="n"/>
      <c r="C1124" s="695" t="n"/>
      <c r="D1124" s="3" t="inlineStr">
        <is>
          <t>C/ICMS</t>
        </is>
      </c>
      <c r="E1124" s="3" t="inlineStr">
        <is>
          <t>S/ICMS</t>
        </is>
      </c>
      <c r="F1124" s="695" t="n"/>
      <c r="G1124" s="695" t="n"/>
      <c r="H1124" s="361" t="inlineStr">
        <is>
          <t>Saldo em 31/07/2024</t>
        </is>
      </c>
      <c r="I1124" s="695" t="n"/>
      <c r="J1124" s="645" t="inlineStr">
        <is>
          <t>ENTRADA</t>
        </is>
      </c>
      <c r="K1124" s="633" t="inlineStr">
        <is>
          <t>SAÍDA / CMV</t>
        </is>
      </c>
      <c r="L1124" s="633" t="inlineStr">
        <is>
          <t>SALDO</t>
        </is>
      </c>
    </row>
    <row r="1125">
      <c r="A1125" s="297" t="n"/>
      <c r="B1125" s="297" t="n"/>
      <c r="C1125" s="297" t="n"/>
      <c r="D1125" s="297" t="n"/>
      <c r="E1125" s="297" t="n"/>
      <c r="F1125" s="297" t="n"/>
      <c r="G1125" s="297" t="n"/>
      <c r="H1125" s="98" t="n">
        <v>384</v>
      </c>
      <c r="I1125" s="297" t="n"/>
      <c r="J1125" s="297" t="n"/>
      <c r="K1125" s="297" t="n"/>
      <c r="L1125" s="513" t="n"/>
    </row>
    <row r="1126">
      <c r="A1126" s="297" t="n">
        <v>45505</v>
      </c>
      <c r="B1126" s="513" t="n">
        <v>11237</v>
      </c>
      <c r="C1126" s="513" t="n">
        <v>83.2</v>
      </c>
      <c r="D1126" s="513" t="n"/>
      <c r="E1126" s="513" t="n"/>
      <c r="F1126" s="513" t="n"/>
      <c r="G1126" s="513" t="n">
        <v>10</v>
      </c>
      <c r="H1126" s="98">
        <f>H1125-G1126</f>
        <v/>
      </c>
      <c r="I1126" s="297" t="n"/>
      <c r="J1126" s="297" t="n"/>
      <c r="K1126" s="297" t="n"/>
      <c r="L1126" s="513" t="n"/>
    </row>
    <row r="1127">
      <c r="A1127" s="297" t="n">
        <v>45512</v>
      </c>
      <c r="B1127" s="513" t="n">
        <v>11257</v>
      </c>
      <c r="C1127" s="513" t="n">
        <v>85.38</v>
      </c>
      <c r="D1127" s="513" t="n"/>
      <c r="E1127" s="513" t="n"/>
      <c r="F1127" s="513" t="n"/>
      <c r="G1127" s="513" t="n">
        <v>50</v>
      </c>
      <c r="H1127" s="98">
        <f>H1126-G1127</f>
        <v/>
      </c>
      <c r="I1127" s="297" t="n"/>
      <c r="J1127" s="297" t="n"/>
      <c r="K1127" s="297" t="n"/>
      <c r="L1127" s="513" t="n"/>
    </row>
    <row r="1128">
      <c r="A1128" s="297" t="n">
        <v>45517</v>
      </c>
      <c r="B1128" s="513" t="n">
        <v>11259</v>
      </c>
      <c r="C1128" s="513" t="n">
        <v>89</v>
      </c>
      <c r="D1128" s="513" t="n"/>
      <c r="E1128" s="513" t="n"/>
      <c r="F1128" s="513" t="n"/>
      <c r="G1128" s="513" t="n">
        <v>50</v>
      </c>
      <c r="H1128" s="98">
        <f>H1127-G1128</f>
        <v/>
      </c>
      <c r="I1128" s="297" t="n"/>
      <c r="J1128" s="297" t="n"/>
      <c r="K1128" s="297" t="n"/>
      <c r="L1128" s="513" t="n"/>
    </row>
    <row r="1129">
      <c r="A1129" s="297" t="n">
        <v>45517</v>
      </c>
      <c r="B1129" s="513" t="n">
        <v>11263</v>
      </c>
      <c r="C1129" s="513" t="n">
        <v>89</v>
      </c>
      <c r="D1129" s="513" t="n"/>
      <c r="E1129" s="513" t="n"/>
      <c r="F1129" s="513" t="n"/>
      <c r="G1129" s="513" t="n">
        <v>50</v>
      </c>
      <c r="H1129" s="98">
        <f>H1128-G1129</f>
        <v/>
      </c>
      <c r="I1129" s="297" t="n"/>
      <c r="J1129" s="297" t="n"/>
      <c r="K1129" s="297" t="n"/>
      <c r="L1129" s="513" t="n"/>
    </row>
    <row r="1130">
      <c r="A1130" s="297" t="n">
        <v>45517</v>
      </c>
      <c r="B1130" s="513" t="n">
        <v>11269</v>
      </c>
      <c r="C1130" s="513" t="n">
        <v>90</v>
      </c>
      <c r="D1130" s="513" t="n"/>
      <c r="E1130" s="513" t="n"/>
      <c r="F1130" s="513" t="n"/>
      <c r="G1130" s="513" t="n">
        <v>10</v>
      </c>
      <c r="H1130" s="98">
        <f>H1129-G1130</f>
        <v/>
      </c>
      <c r="I1130" s="297" t="n"/>
      <c r="J1130" s="297" t="n"/>
      <c r="K1130" s="297" t="n"/>
      <c r="L1130" s="513" t="n"/>
    </row>
    <row r="1131">
      <c r="A1131" s="297" t="n">
        <v>45517</v>
      </c>
      <c r="B1131" s="513" t="n">
        <v>11270</v>
      </c>
      <c r="C1131" s="513" t="n">
        <v>85.34</v>
      </c>
      <c r="D1131" s="513" t="n"/>
      <c r="E1131" s="513" t="n"/>
      <c r="F1131" s="513" t="n"/>
      <c r="G1131" s="513" t="n">
        <v>30</v>
      </c>
      <c r="H1131" s="98">
        <f>H1130-G1131</f>
        <v/>
      </c>
      <c r="I1131" s="297" t="n"/>
      <c r="J1131" s="297" t="n"/>
      <c r="K1131" s="297" t="n"/>
      <c r="L1131" s="513" t="n"/>
    </row>
    <row r="1132">
      <c r="A1132" s="297" t="n">
        <v>45532</v>
      </c>
      <c r="B1132" s="513" t="n">
        <v>11302</v>
      </c>
      <c r="C1132" s="513" t="n">
        <v>82.8</v>
      </c>
      <c r="D1132" s="513" t="n"/>
      <c r="E1132" s="513" t="n"/>
      <c r="F1132" s="513" t="n"/>
      <c r="G1132" s="513" t="n">
        <v>10</v>
      </c>
      <c r="H1132" s="98">
        <f>H1131-G1132</f>
        <v/>
      </c>
      <c r="I1132" s="297" t="n"/>
      <c r="J1132" s="297" t="n"/>
      <c r="K1132" s="297" t="n"/>
      <c r="L1132" s="513" t="n"/>
    </row>
    <row r="1133" ht="15.75" customHeight="1" s="436" thickBot="1"/>
    <row r="1134" ht="24" customHeight="1" s="436" thickBot="1">
      <c r="A1134" s="759" t="inlineStr">
        <is>
          <t>Setembro</t>
        </is>
      </c>
      <c r="B1134" s="697" t="n"/>
      <c r="C1134" s="697" t="n"/>
      <c r="D1134" s="697" t="n"/>
      <c r="E1134" s="697" t="n"/>
      <c r="F1134" s="697" t="n"/>
      <c r="G1134" s="697" t="n"/>
      <c r="H1134" s="697" t="n"/>
      <c r="I1134" s="697" t="n"/>
      <c r="J1134" s="697" t="n"/>
      <c r="K1134" s="697" t="n"/>
      <c r="L1134" s="698" t="n"/>
    </row>
    <row r="1135" ht="24" customHeight="1" s="436" thickBot="1">
      <c r="A1135" s="759" t="inlineStr">
        <is>
          <t xml:space="preserve">  PRÉ MISTURA -  Pão Doce 25 KG</t>
        </is>
      </c>
      <c r="B1135" s="697" t="n"/>
      <c r="C1135" s="697" t="n"/>
      <c r="D1135" s="697" t="n"/>
      <c r="E1135" s="697" t="n"/>
      <c r="F1135" s="697" t="n"/>
      <c r="G1135" s="697" t="n"/>
      <c r="H1135" s="697" t="n"/>
      <c r="I1135" s="697" t="n"/>
      <c r="J1135" s="697" t="n"/>
      <c r="K1135" s="697" t="n"/>
      <c r="L1135" s="698" t="n"/>
    </row>
    <row r="1136">
      <c r="A1136" s="3" t="inlineStr">
        <is>
          <t>DATA</t>
        </is>
      </c>
      <c r="B1136" s="3" t="inlineStr">
        <is>
          <t>N.F.</t>
        </is>
      </c>
      <c r="C1136" s="3" t="inlineStr">
        <is>
          <t>TIPO</t>
        </is>
      </c>
      <c r="D1136" s="3" t="inlineStr">
        <is>
          <t>PREÇO UNITÁRIO</t>
        </is>
      </c>
      <c r="E1136" s="736" t="n"/>
      <c r="F1136" s="3" t="inlineStr">
        <is>
          <t>QUANTIDADE / KG</t>
        </is>
      </c>
      <c r="G1136" s="737" t="n"/>
      <c r="H1136" s="736" t="n"/>
      <c r="I1136" s="631" t="inlineStr">
        <is>
          <t>PREÇO</t>
        </is>
      </c>
      <c r="J1136" s="631" t="inlineStr">
        <is>
          <t>VALORES</t>
        </is>
      </c>
      <c r="K1136" s="737" t="n"/>
      <c r="L1136" s="736" t="n"/>
    </row>
    <row r="1137" ht="15.75" customHeight="1" s="436" thickBot="1">
      <c r="A1137" s="704" t="n"/>
      <c r="B1137" s="704" t="n"/>
      <c r="C1137" s="704" t="n"/>
      <c r="D1137" s="703" t="n"/>
      <c r="E1137" s="701" t="n"/>
      <c r="F1137" s="705" t="n"/>
      <c r="G1137" s="706" t="n"/>
      <c r="H1137" s="707" t="n"/>
      <c r="I1137" s="704" t="n"/>
      <c r="J1137" s="703" t="n"/>
      <c r="L1137" s="701" t="n"/>
    </row>
    <row r="1138" ht="15.75" customHeight="1" s="436" thickBot="1">
      <c r="A1138" s="704" t="n"/>
      <c r="B1138" s="704" t="n"/>
      <c r="C1138" s="704" t="n"/>
      <c r="D1138" s="705" t="n"/>
      <c r="E1138" s="707" t="n"/>
      <c r="F1138" s="3" t="inlineStr">
        <is>
          <t>ENTRADA</t>
        </is>
      </c>
      <c r="G1138" s="3" t="inlineStr">
        <is>
          <t>SAÍDA</t>
        </is>
      </c>
      <c r="H1138" s="640" t="n"/>
      <c r="I1138" s="633" t="inlineStr">
        <is>
          <t>MÉDIO</t>
        </is>
      </c>
      <c r="J1138" s="739" t="inlineStr">
        <is>
          <t>SALDO EM 30/12/2017</t>
        </is>
      </c>
      <c r="K1138" s="707" t="n"/>
      <c r="L1138" s="17" t="n"/>
    </row>
    <row r="1139" ht="15.75" customHeight="1" s="436" thickBot="1">
      <c r="A1139" s="695" t="n"/>
      <c r="B1139" s="695" t="n"/>
      <c r="C1139" s="695" t="n"/>
      <c r="D1139" s="3" t="inlineStr">
        <is>
          <t>C/ICMS</t>
        </is>
      </c>
      <c r="E1139" s="3" t="inlineStr">
        <is>
          <t>S/ICMS</t>
        </is>
      </c>
      <c r="F1139" s="695" t="n"/>
      <c r="G1139" s="695" t="n"/>
      <c r="H1139" s="361" t="inlineStr">
        <is>
          <t>Saldo em 31/08/2024</t>
        </is>
      </c>
      <c r="I1139" s="695" t="n"/>
      <c r="J1139" s="645" t="inlineStr">
        <is>
          <t>ENTRADA</t>
        </is>
      </c>
      <c r="K1139" s="633" t="inlineStr">
        <is>
          <t>SAÍDA / CMV</t>
        </is>
      </c>
      <c r="L1139" s="633" t="inlineStr">
        <is>
          <t>SALDO</t>
        </is>
      </c>
    </row>
    <row r="1140">
      <c r="A1140" s="297" t="n"/>
      <c r="B1140" s="297" t="n"/>
      <c r="C1140" s="297" t="n"/>
      <c r="D1140" s="297" t="n"/>
      <c r="E1140" s="297" t="n"/>
      <c r="F1140" s="297" t="n"/>
      <c r="G1140" s="297" t="n"/>
      <c r="H1140" s="98" t="n">
        <v>174</v>
      </c>
      <c r="I1140" s="297" t="n"/>
      <c r="J1140" s="297" t="n"/>
      <c r="K1140" s="297" t="n"/>
      <c r="L1140" s="513" t="n"/>
    </row>
    <row r="1141">
      <c r="A1141" s="297" t="n">
        <v>45537</v>
      </c>
      <c r="B1141" s="513" t="n">
        <v>11304</v>
      </c>
      <c r="C1141" s="513" t="n">
        <v>85.59999999999999</v>
      </c>
      <c r="D1141" s="513" t="n"/>
      <c r="E1141" s="513" t="n"/>
      <c r="F1141" s="513" t="n"/>
      <c r="G1141" s="513" t="n">
        <v>50</v>
      </c>
      <c r="H1141" s="98">
        <f>H1140-G1141</f>
        <v/>
      </c>
      <c r="I1141" s="297" t="n"/>
      <c r="J1141" s="297" t="n"/>
      <c r="K1141" s="297" t="n"/>
      <c r="L1141" s="513" t="n"/>
    </row>
    <row r="1142">
      <c r="A1142" s="310" t="n">
        <v>45539</v>
      </c>
      <c r="B1142" s="445" t="n">
        <v>271901</v>
      </c>
      <c r="C1142" s="445" t="n">
        <v>72.59999999999999</v>
      </c>
      <c r="D1142" s="445" t="n">
        <v>200</v>
      </c>
      <c r="E1142" s="445" t="n"/>
      <c r="F1142" s="445" t="n"/>
      <c r="G1142" s="445" t="n"/>
      <c r="H1142" s="277" t="n">
        <v>324</v>
      </c>
      <c r="I1142" s="297" t="n"/>
      <c r="J1142" s="297" t="n"/>
      <c r="K1142" s="297" t="n"/>
      <c r="L1142" s="513" t="n"/>
    </row>
    <row r="1143">
      <c r="A1143" s="297" t="n">
        <v>45544</v>
      </c>
      <c r="B1143" s="513" t="n">
        <v>11315</v>
      </c>
      <c r="C1143" s="513" t="n">
        <v>88.5</v>
      </c>
      <c r="D1143" s="513" t="n"/>
      <c r="E1143" s="513" t="n"/>
      <c r="F1143" s="513" t="n"/>
      <c r="G1143" s="513" t="n">
        <v>52</v>
      </c>
      <c r="H1143" s="98">
        <f>H1142-G1143</f>
        <v/>
      </c>
      <c r="I1143" s="297" t="n"/>
      <c r="J1143" s="297" t="n"/>
      <c r="K1143" s="297" t="n"/>
      <c r="L1143" s="513" t="n"/>
    </row>
    <row r="1144">
      <c r="A1144" s="297" t="n">
        <v>45545</v>
      </c>
      <c r="B1144" s="513" t="n">
        <v>11329</v>
      </c>
      <c r="C1144" s="513" t="n">
        <v>83.40000000000001</v>
      </c>
      <c r="D1144" s="513" t="n"/>
      <c r="E1144" s="513" t="n"/>
      <c r="F1144" s="513" t="n"/>
      <c r="G1144" s="513" t="n">
        <v>25</v>
      </c>
      <c r="H1144" s="98">
        <f>H1143-G1144</f>
        <v/>
      </c>
      <c r="I1144" s="297" t="n"/>
      <c r="J1144" s="297" t="n"/>
      <c r="K1144" s="297" t="n"/>
      <c r="L1144" s="513" t="n"/>
    </row>
    <row r="1145">
      <c r="A1145" s="297" t="n">
        <v>45546</v>
      </c>
      <c r="B1145" s="513" t="n">
        <v>11330</v>
      </c>
      <c r="C1145" s="513" t="n">
        <v>92</v>
      </c>
      <c r="D1145" s="513" t="n"/>
      <c r="E1145" s="513" t="n"/>
      <c r="F1145" s="513" t="n"/>
      <c r="G1145" s="513" t="n">
        <v>20</v>
      </c>
      <c r="H1145" s="98">
        <f>H1144-G1145</f>
        <v/>
      </c>
      <c r="I1145" s="297" t="n"/>
      <c r="J1145" s="297" t="n"/>
      <c r="K1145" s="297" t="n"/>
      <c r="L1145" s="513" t="n"/>
    </row>
    <row r="1146">
      <c r="A1146" s="297" t="n">
        <v>45552</v>
      </c>
      <c r="B1146" s="513" t="n">
        <v>11333</v>
      </c>
      <c r="C1146" s="513" t="n">
        <v>86</v>
      </c>
      <c r="D1146" s="513" t="n"/>
      <c r="E1146" s="513" t="n"/>
      <c r="F1146" s="513" t="n"/>
      <c r="G1146" s="513" t="n">
        <v>50</v>
      </c>
      <c r="H1146" s="98">
        <f>H1145-G1146</f>
        <v/>
      </c>
      <c r="I1146" s="297" t="n"/>
      <c r="J1146" s="297" t="n"/>
      <c r="K1146" s="297" t="n"/>
      <c r="L1146" s="513" t="n"/>
    </row>
    <row r="1147">
      <c r="A1147" s="310" t="n">
        <v>45559</v>
      </c>
      <c r="B1147" s="445" t="n">
        <v>271901</v>
      </c>
      <c r="C1147" s="445" t="n">
        <v>72.59999999999999</v>
      </c>
      <c r="D1147" s="445" t="n">
        <v>100</v>
      </c>
      <c r="E1147" s="445" t="n"/>
      <c r="F1147" s="445" t="n"/>
      <c r="G1147" s="445" t="n"/>
      <c r="H1147" s="277" t="n">
        <v>277</v>
      </c>
      <c r="I1147" s="297" t="n"/>
      <c r="J1147" s="297" t="n"/>
      <c r="K1147" s="297" t="n"/>
      <c r="L1147" s="513" t="n"/>
    </row>
    <row r="1148">
      <c r="A1148" s="297" t="n">
        <v>45561</v>
      </c>
      <c r="B1148" s="513" t="n">
        <v>11363</v>
      </c>
      <c r="C1148" s="513" t="n">
        <v>89</v>
      </c>
      <c r="D1148" s="513" t="n"/>
      <c r="E1148" s="513" t="n"/>
      <c r="F1148" s="513" t="n"/>
      <c r="G1148" s="513" t="n">
        <v>20</v>
      </c>
      <c r="H1148" s="98">
        <f>H1147-G1148</f>
        <v/>
      </c>
      <c r="I1148" s="297" t="n"/>
      <c r="J1148" s="297" t="n"/>
      <c r="K1148" s="297" t="n"/>
      <c r="L1148" s="513" t="n"/>
    </row>
    <row r="1149">
      <c r="A1149" s="297" t="n">
        <v>45565</v>
      </c>
      <c r="B1149" s="513" t="n">
        <v>11364</v>
      </c>
      <c r="C1149" s="513" t="n">
        <v>84.8</v>
      </c>
      <c r="D1149" s="513" t="n"/>
      <c r="E1149" s="513" t="n"/>
      <c r="F1149" s="513" t="n"/>
      <c r="G1149" s="513" t="n">
        <v>50</v>
      </c>
      <c r="H1149" s="98">
        <f>H1148-G1149</f>
        <v/>
      </c>
      <c r="I1149" s="297" t="n"/>
      <c r="J1149" s="297" t="n"/>
      <c r="K1149" s="297" t="n"/>
      <c r="L1149" s="513" t="n"/>
    </row>
    <row r="1150" ht="15.75" customHeight="1" s="436" thickBot="1"/>
    <row r="1151" ht="24" customHeight="1" s="436" thickBot="1">
      <c r="A1151" s="759" t="inlineStr">
        <is>
          <t>Outubro</t>
        </is>
      </c>
      <c r="B1151" s="697" t="n"/>
      <c r="C1151" s="697" t="n"/>
      <c r="D1151" s="697" t="n"/>
      <c r="E1151" s="697" t="n"/>
      <c r="F1151" s="697" t="n"/>
      <c r="G1151" s="697" t="n"/>
      <c r="H1151" s="697" t="n"/>
      <c r="I1151" s="697" t="n"/>
      <c r="J1151" s="697" t="n"/>
      <c r="K1151" s="697" t="n"/>
      <c r="L1151" s="698" t="n"/>
    </row>
    <row r="1152" ht="24" customHeight="1" s="436" thickBot="1">
      <c r="A1152" s="759" t="inlineStr">
        <is>
          <t xml:space="preserve">  PRÉ MISTURA -  Pão Doce 25 KG</t>
        </is>
      </c>
      <c r="B1152" s="697" t="n"/>
      <c r="C1152" s="697" t="n"/>
      <c r="D1152" s="697" t="n"/>
      <c r="E1152" s="697" t="n"/>
      <c r="F1152" s="697" t="n"/>
      <c r="G1152" s="697" t="n"/>
      <c r="H1152" s="697" t="n"/>
      <c r="I1152" s="697" t="n"/>
      <c r="J1152" s="697" t="n"/>
      <c r="K1152" s="697" t="n"/>
      <c r="L1152" s="698" t="n"/>
    </row>
    <row r="1153">
      <c r="A1153" s="3" t="inlineStr">
        <is>
          <t>DATA</t>
        </is>
      </c>
      <c r="B1153" s="3" t="inlineStr">
        <is>
          <t>N.F.</t>
        </is>
      </c>
      <c r="C1153" s="3" t="inlineStr">
        <is>
          <t>TIPO</t>
        </is>
      </c>
      <c r="D1153" s="3" t="inlineStr">
        <is>
          <t>PREÇO UNITÁRIO</t>
        </is>
      </c>
      <c r="E1153" s="736" t="n"/>
      <c r="F1153" s="3" t="inlineStr">
        <is>
          <t>QUANTIDADE / KG</t>
        </is>
      </c>
      <c r="G1153" s="737" t="n"/>
      <c r="H1153" s="736" t="n"/>
      <c r="I1153" s="631" t="inlineStr">
        <is>
          <t>PREÇO</t>
        </is>
      </c>
      <c r="J1153" s="631" t="inlineStr">
        <is>
          <t>VALORES</t>
        </is>
      </c>
      <c r="K1153" s="737" t="n"/>
      <c r="L1153" s="736" t="n"/>
    </row>
    <row r="1154" ht="15.75" customHeight="1" s="436" thickBot="1">
      <c r="A1154" s="704" t="n"/>
      <c r="B1154" s="704" t="n"/>
      <c r="C1154" s="704" t="n"/>
      <c r="D1154" s="703" t="n"/>
      <c r="E1154" s="701" t="n"/>
      <c r="F1154" s="705" t="n"/>
      <c r="G1154" s="706" t="n"/>
      <c r="H1154" s="707" t="n"/>
      <c r="I1154" s="704" t="n"/>
      <c r="J1154" s="703" t="n"/>
      <c r="L1154" s="701" t="n"/>
    </row>
    <row r="1155" ht="15.75" customHeight="1" s="436" thickBot="1">
      <c r="A1155" s="704" t="n"/>
      <c r="B1155" s="704" t="n"/>
      <c r="C1155" s="704" t="n"/>
      <c r="D1155" s="705" t="n"/>
      <c r="E1155" s="707" t="n"/>
      <c r="F1155" s="3" t="inlineStr">
        <is>
          <t>ENTRADA</t>
        </is>
      </c>
      <c r="G1155" s="3" t="inlineStr">
        <is>
          <t>SAÍDA</t>
        </is>
      </c>
      <c r="H1155" s="640" t="n"/>
      <c r="I1155" s="633" t="inlineStr">
        <is>
          <t>MÉDIO</t>
        </is>
      </c>
      <c r="J1155" s="739" t="inlineStr">
        <is>
          <t>SALDO EM 30/12/2017</t>
        </is>
      </c>
      <c r="K1155" s="707" t="n"/>
      <c r="L1155" s="17" t="n"/>
    </row>
    <row r="1156" ht="15.75" customHeight="1" s="436" thickBot="1">
      <c r="A1156" s="695" t="n"/>
      <c r="B1156" s="695" t="n"/>
      <c r="C1156" s="695" t="n"/>
      <c r="D1156" s="3" t="inlineStr">
        <is>
          <t>C/ICMS</t>
        </is>
      </c>
      <c r="E1156" s="3" t="inlineStr">
        <is>
          <t>S/ICMS</t>
        </is>
      </c>
      <c r="F1156" s="695" t="n"/>
      <c r="G1156" s="695" t="n"/>
      <c r="H1156" s="361" t="inlineStr">
        <is>
          <t>Saldo em 30/09/2024</t>
        </is>
      </c>
      <c r="I1156" s="695" t="n"/>
      <c r="J1156" s="645" t="inlineStr">
        <is>
          <t>ENTRADA</t>
        </is>
      </c>
      <c r="K1156" s="633" t="inlineStr">
        <is>
          <t>SAÍDA / CMV</t>
        </is>
      </c>
      <c r="L1156" s="633" t="inlineStr">
        <is>
          <t>SALDO</t>
        </is>
      </c>
    </row>
    <row r="1157">
      <c r="A1157" s="297" t="n"/>
      <c r="B1157" s="297" t="n"/>
      <c r="C1157" s="297" t="n"/>
      <c r="D1157" s="297" t="n"/>
      <c r="E1157" s="297" t="n"/>
      <c r="F1157" s="297" t="n"/>
      <c r="G1157" s="297" t="n"/>
      <c r="H1157" s="98" t="n">
        <v>207</v>
      </c>
      <c r="I1157" s="297" t="n"/>
      <c r="J1157" s="297" t="n"/>
      <c r="K1157" s="297" t="n"/>
      <c r="L1157" s="513" t="n"/>
    </row>
    <row r="1158">
      <c r="A1158" s="297" t="n">
        <v>45566</v>
      </c>
      <c r="B1158" s="513" t="n">
        <v>11370</v>
      </c>
      <c r="C1158" s="513" t="n">
        <v>86</v>
      </c>
      <c r="D1158" s="513" t="n"/>
      <c r="E1158" s="513" t="n"/>
      <c r="F1158" s="513" t="n"/>
      <c r="G1158" s="513" t="n">
        <v>36</v>
      </c>
      <c r="H1158" s="98">
        <f>H1157-G1158</f>
        <v/>
      </c>
      <c r="I1158" s="297" t="n"/>
      <c r="J1158" s="297" t="n"/>
      <c r="K1158" s="297" t="n"/>
      <c r="L1158" s="513" t="n"/>
    </row>
    <row r="1159">
      <c r="A1159" s="297" t="n">
        <v>45566</v>
      </c>
      <c r="B1159" s="513" t="n">
        <v>11372</v>
      </c>
      <c r="C1159" s="513" t="n">
        <v>86.05</v>
      </c>
      <c r="D1159" s="513" t="n"/>
      <c r="E1159" s="513" t="n"/>
      <c r="F1159" s="513" t="n"/>
      <c r="G1159" s="513" t="n">
        <v>54</v>
      </c>
      <c r="H1159" s="98">
        <f>H1158-G1159</f>
        <v/>
      </c>
      <c r="I1159" s="297" t="n"/>
      <c r="J1159" s="297" t="n"/>
      <c r="K1159" s="297" t="n"/>
      <c r="L1159" s="513" t="n"/>
    </row>
    <row r="1160">
      <c r="A1160" s="297" t="n">
        <v>45566</v>
      </c>
      <c r="B1160" s="513" t="n">
        <v>11374</v>
      </c>
      <c r="C1160" s="513" t="n">
        <v>84</v>
      </c>
      <c r="D1160" s="513" t="n"/>
      <c r="E1160" s="513" t="n"/>
      <c r="F1160" s="513" t="n"/>
      <c r="G1160" s="513" t="n">
        <v>12</v>
      </c>
      <c r="H1160" s="98">
        <f>H1159-G1160</f>
        <v/>
      </c>
      <c r="I1160" s="297" t="n"/>
      <c r="J1160" s="297" t="n"/>
      <c r="K1160" s="297" t="n"/>
      <c r="L1160" s="513" t="n"/>
    </row>
    <row r="1161">
      <c r="A1161" s="297" t="n">
        <v>45566</v>
      </c>
      <c r="B1161" s="513" t="n">
        <v>11377</v>
      </c>
      <c r="C1161" s="513" t="n">
        <v>85.67</v>
      </c>
      <c r="D1161" s="513" t="n"/>
      <c r="E1161" s="513" t="n"/>
      <c r="F1161" s="513" t="n"/>
      <c r="G1161" s="513" t="n">
        <v>15</v>
      </c>
      <c r="H1161" s="98">
        <f>H1160-G1161</f>
        <v/>
      </c>
      <c r="I1161" s="297" t="n"/>
      <c r="J1161" s="297" t="n"/>
      <c r="K1161" s="297" t="n"/>
      <c r="L1161" s="513" t="n"/>
    </row>
    <row r="1162">
      <c r="A1162" s="297" t="n">
        <v>45569</v>
      </c>
      <c r="B1162" s="513" t="n">
        <v>11381</v>
      </c>
      <c r="C1162" s="513" t="n">
        <v>72.59999999999999</v>
      </c>
      <c r="D1162" s="513" t="n"/>
      <c r="E1162" s="513" t="n"/>
      <c r="F1162" s="513" t="n"/>
      <c r="G1162" s="513" t="n"/>
      <c r="H1162" s="98">
        <f>H1161-G1162</f>
        <v/>
      </c>
      <c r="I1162" s="297" t="n"/>
      <c r="J1162" s="297" t="n"/>
      <c r="K1162" s="297" t="n"/>
      <c r="L1162" s="513" t="n"/>
    </row>
    <row r="1163">
      <c r="A1163" s="310" t="n">
        <v>45572</v>
      </c>
      <c r="B1163" s="445" t="n">
        <v>273800</v>
      </c>
      <c r="C1163" s="445" t="n">
        <v>72.59999999999999</v>
      </c>
      <c r="D1163" s="445" t="n">
        <v>186</v>
      </c>
      <c r="E1163" s="445" t="n"/>
      <c r="F1163" s="445" t="n"/>
      <c r="G1163" s="445" t="n"/>
      <c r="H1163" s="277" t="n">
        <v>276</v>
      </c>
      <c r="I1163" s="297" t="n"/>
      <c r="J1163" s="297" t="n"/>
      <c r="K1163" s="297" t="n"/>
      <c r="L1163" s="513" t="n"/>
    </row>
    <row r="1164">
      <c r="A1164" s="297" t="n">
        <v>45573</v>
      </c>
      <c r="B1164" s="513" t="n">
        <v>11384</v>
      </c>
      <c r="C1164" s="513" t="n">
        <v>88.64</v>
      </c>
      <c r="D1164" s="513" t="n"/>
      <c r="E1164" s="513" t="n"/>
      <c r="F1164" s="513" t="n"/>
      <c r="G1164" s="513" t="n">
        <v>55</v>
      </c>
      <c r="H1164" s="98">
        <f>H1163-G1164</f>
        <v/>
      </c>
      <c r="I1164" s="297" t="n"/>
      <c r="J1164" s="297" t="n"/>
      <c r="K1164" s="297" t="n"/>
      <c r="L1164" s="513" t="n"/>
    </row>
    <row r="1165">
      <c r="A1165" s="297" t="n">
        <v>45574</v>
      </c>
      <c r="B1165" s="513" t="n">
        <v>11396</v>
      </c>
      <c r="C1165" s="513" t="n">
        <v>89</v>
      </c>
      <c r="D1165" s="513" t="n"/>
      <c r="E1165" s="513" t="n"/>
      <c r="F1165" s="513" t="n"/>
      <c r="G1165" s="513" t="n">
        <v>50</v>
      </c>
      <c r="H1165" s="98">
        <f>H1164-G1165</f>
        <v/>
      </c>
      <c r="I1165" s="297" t="n"/>
      <c r="J1165" s="297" t="n"/>
      <c r="K1165" s="297" t="n"/>
      <c r="L1165" s="513" t="n"/>
    </row>
    <row r="1166">
      <c r="A1166" s="297" t="n">
        <v>45582</v>
      </c>
      <c r="B1166" s="513" t="n">
        <v>11413</v>
      </c>
      <c r="C1166" s="513" t="n">
        <v>87</v>
      </c>
      <c r="D1166" s="513" t="n"/>
      <c r="E1166" s="513" t="n"/>
      <c r="F1166" s="513" t="n"/>
      <c r="G1166" s="513" t="n">
        <v>10</v>
      </c>
      <c r="H1166" s="98">
        <f>H1165-G1166</f>
        <v/>
      </c>
      <c r="I1166" s="297" t="n"/>
      <c r="J1166" s="297" t="n"/>
      <c r="K1166" s="297" t="n"/>
      <c r="L1166" s="513" t="n"/>
    </row>
    <row r="1167">
      <c r="A1167" s="297" t="n">
        <v>45583</v>
      </c>
      <c r="B1167" s="513" t="n">
        <v>11414</v>
      </c>
      <c r="C1167" s="513" t="n">
        <v>89</v>
      </c>
      <c r="D1167" s="513" t="n"/>
      <c r="E1167" s="513" t="n"/>
      <c r="F1167" s="513" t="n"/>
      <c r="G1167" s="513" t="n">
        <v>20</v>
      </c>
      <c r="H1167" s="98">
        <f>H1166-G1167</f>
        <v/>
      </c>
      <c r="I1167" s="297" t="n"/>
      <c r="J1167" s="297" t="n"/>
      <c r="K1167" s="297" t="n"/>
      <c r="L1167" s="513" t="n"/>
    </row>
    <row r="1168">
      <c r="A1168" s="297" t="n">
        <v>45588</v>
      </c>
      <c r="B1168" s="513" t="n">
        <v>11424</v>
      </c>
      <c r="C1168" s="513" t="n">
        <v>85</v>
      </c>
      <c r="D1168" s="513" t="n"/>
      <c r="E1168" s="513" t="n"/>
      <c r="F1168" s="513" t="n"/>
      <c r="G1168" s="513" t="n">
        <v>30</v>
      </c>
      <c r="H1168" s="98">
        <f>H1167-G1168</f>
        <v/>
      </c>
      <c r="I1168" s="297" t="n"/>
      <c r="J1168" s="297" t="n"/>
      <c r="K1168" s="297" t="n"/>
      <c r="L1168" s="513" t="n"/>
    </row>
    <row r="1169">
      <c r="A1169" s="297" t="n">
        <v>45588</v>
      </c>
      <c r="B1169" s="513" t="n">
        <v>11425</v>
      </c>
      <c r="C1169" s="513" t="n">
        <v>82</v>
      </c>
      <c r="D1169" s="513" t="n"/>
      <c r="E1169" s="513" t="n"/>
      <c r="F1169" s="513" t="n"/>
      <c r="G1169" s="513" t="n">
        <v>20</v>
      </c>
      <c r="H1169" s="98">
        <f>H1168-G1169</f>
        <v/>
      </c>
      <c r="I1169" s="297" t="n"/>
      <c r="J1169" s="297" t="n"/>
      <c r="K1169" s="297" t="n"/>
      <c r="L1169" s="513" t="n"/>
    </row>
    <row r="1170">
      <c r="A1170" s="297" t="n">
        <v>45588</v>
      </c>
      <c r="B1170" s="513" t="n">
        <v>11426</v>
      </c>
      <c r="C1170" s="513" t="n">
        <v>85</v>
      </c>
      <c r="D1170" s="513" t="n"/>
      <c r="E1170" s="513" t="n"/>
      <c r="F1170" s="513" t="n"/>
      <c r="G1170" s="513" t="n">
        <v>30</v>
      </c>
      <c r="H1170" s="98">
        <f>H1169-G1170</f>
        <v/>
      </c>
      <c r="I1170" s="297" t="n"/>
      <c r="J1170" s="297" t="n"/>
      <c r="K1170" s="297" t="n"/>
      <c r="L1170" s="513" t="n"/>
    </row>
    <row r="1171">
      <c r="A1171" s="297" t="n">
        <v>45588</v>
      </c>
      <c r="B1171" s="513" t="n">
        <v>11427</v>
      </c>
      <c r="C1171" s="513" t="n">
        <v>83.5</v>
      </c>
      <c r="D1171" s="513" t="n"/>
      <c r="E1171" s="513" t="n"/>
      <c r="F1171" s="513" t="n"/>
      <c r="G1171" s="513" t="n">
        <v>50</v>
      </c>
      <c r="H1171" s="98">
        <f>H1170-G1171</f>
        <v/>
      </c>
      <c r="I1171" s="297" t="n"/>
      <c r="J1171" s="297" t="n"/>
      <c r="K1171" s="297" t="n"/>
      <c r="L1171" s="513" t="n"/>
    </row>
    <row r="1172">
      <c r="A1172" s="310" t="n">
        <v>45590</v>
      </c>
      <c r="B1172" s="445" t="n">
        <v>275051</v>
      </c>
      <c r="C1172" s="445" t="n">
        <v>71.59999999999999</v>
      </c>
      <c r="D1172" s="445" t="n">
        <v>188</v>
      </c>
      <c r="E1172" s="445" t="n"/>
      <c r="F1172" s="445" t="n"/>
      <c r="G1172" s="445" t="n"/>
      <c r="H1172" s="277" t="n">
        <v>199</v>
      </c>
      <c r="I1172" s="297" t="n"/>
      <c r="J1172" s="297" t="n"/>
      <c r="K1172" s="297" t="n"/>
      <c r="L1172" s="513" t="n"/>
    </row>
    <row r="1173">
      <c r="A1173" s="297" t="n">
        <v>45594</v>
      </c>
      <c r="B1173" s="513" t="n">
        <v>11433</v>
      </c>
      <c r="C1173" s="513" t="n">
        <v>89</v>
      </c>
      <c r="D1173" s="513" t="n"/>
      <c r="E1173" s="513" t="n"/>
      <c r="F1173" s="513" t="n"/>
      <c r="G1173" s="513" t="n">
        <v>40</v>
      </c>
      <c r="H1173" s="98">
        <f>H1172-G1173</f>
        <v/>
      </c>
      <c r="I1173" s="297" t="n"/>
      <c r="J1173" s="297" t="n"/>
      <c r="K1173" s="297" t="n"/>
      <c r="L1173" s="513" t="n"/>
    </row>
    <row r="1174">
      <c r="A1174" s="297" t="n">
        <v>45594</v>
      </c>
      <c r="B1174" s="513" t="n">
        <v>11444</v>
      </c>
      <c r="C1174" s="513" t="n">
        <v>84</v>
      </c>
      <c r="D1174" s="513" t="n"/>
      <c r="E1174" s="513" t="n"/>
      <c r="F1174" s="513" t="n"/>
      <c r="G1174" s="513" t="n">
        <v>50</v>
      </c>
      <c r="H1174" s="98">
        <f>H1173-G1174</f>
        <v/>
      </c>
      <c r="I1174" s="297" t="n"/>
      <c r="J1174" s="297" t="n"/>
      <c r="K1174" s="297" t="n"/>
      <c r="L1174" s="513" t="n"/>
    </row>
    <row r="1175" ht="15.75" customHeight="1" s="436" thickBot="1"/>
    <row r="1176" ht="24" customHeight="1" s="436" thickBot="1">
      <c r="A1176" s="759" t="inlineStr">
        <is>
          <t>Novembro</t>
        </is>
      </c>
      <c r="B1176" s="697" t="n"/>
      <c r="C1176" s="697" t="n"/>
      <c r="D1176" s="697" t="n"/>
      <c r="E1176" s="697" t="n"/>
      <c r="F1176" s="697" t="n"/>
      <c r="G1176" s="697" t="n"/>
      <c r="H1176" s="697" t="n"/>
      <c r="I1176" s="697" t="n"/>
      <c r="J1176" s="697" t="n"/>
      <c r="K1176" s="697" t="n"/>
      <c r="L1176" s="698" t="n"/>
    </row>
    <row r="1177" ht="24" customHeight="1" s="436" thickBot="1">
      <c r="A1177" s="759" t="inlineStr">
        <is>
          <t xml:space="preserve">  PRÉ MISTURA -  Pão Doce 25 KG</t>
        </is>
      </c>
      <c r="B1177" s="697" t="n"/>
      <c r="C1177" s="697" t="n"/>
      <c r="D1177" s="697" t="n"/>
      <c r="E1177" s="697" t="n"/>
      <c r="F1177" s="697" t="n"/>
      <c r="G1177" s="697" t="n"/>
      <c r="H1177" s="697" t="n"/>
      <c r="I1177" s="697" t="n"/>
      <c r="J1177" s="697" t="n"/>
      <c r="K1177" s="697" t="n"/>
      <c r="L1177" s="698" t="n"/>
    </row>
    <row r="1178">
      <c r="A1178" s="3" t="inlineStr">
        <is>
          <t>DATA</t>
        </is>
      </c>
      <c r="B1178" s="3" t="inlineStr">
        <is>
          <t>N.F.</t>
        </is>
      </c>
      <c r="C1178" s="3" t="inlineStr">
        <is>
          <t>TIPO</t>
        </is>
      </c>
      <c r="D1178" s="3" t="inlineStr">
        <is>
          <t>PREÇO UNITÁRIO</t>
        </is>
      </c>
      <c r="E1178" s="736" t="n"/>
      <c r="F1178" s="3" t="inlineStr">
        <is>
          <t>QUANTIDADE / KG</t>
        </is>
      </c>
      <c r="G1178" s="737" t="n"/>
      <c r="H1178" s="736" t="n"/>
      <c r="I1178" s="631" t="inlineStr">
        <is>
          <t>PREÇO</t>
        </is>
      </c>
      <c r="J1178" s="631" t="inlineStr">
        <is>
          <t>VALORES</t>
        </is>
      </c>
      <c r="K1178" s="737" t="n"/>
      <c r="L1178" s="736" t="n"/>
    </row>
    <row r="1179" ht="15.75" customHeight="1" s="436" thickBot="1">
      <c r="A1179" s="704" t="n"/>
      <c r="B1179" s="704" t="n"/>
      <c r="C1179" s="704" t="n"/>
      <c r="D1179" s="703" t="n"/>
      <c r="E1179" s="701" t="n"/>
      <c r="F1179" s="705" t="n"/>
      <c r="G1179" s="706" t="n"/>
      <c r="H1179" s="707" t="n"/>
      <c r="I1179" s="704" t="n"/>
      <c r="J1179" s="703" t="n"/>
      <c r="L1179" s="701" t="n"/>
    </row>
    <row r="1180" ht="15.75" customHeight="1" s="436" thickBot="1">
      <c r="A1180" s="704" t="n"/>
      <c r="B1180" s="704" t="n"/>
      <c r="C1180" s="704" t="n"/>
      <c r="D1180" s="705" t="n"/>
      <c r="E1180" s="707" t="n"/>
      <c r="F1180" s="3" t="inlineStr">
        <is>
          <t>ENTRADA</t>
        </is>
      </c>
      <c r="G1180" s="3" t="inlineStr">
        <is>
          <t>SAÍDA</t>
        </is>
      </c>
      <c r="H1180" s="640" t="n"/>
      <c r="I1180" s="633" t="inlineStr">
        <is>
          <t>MÉDIO</t>
        </is>
      </c>
      <c r="J1180" s="739" t="inlineStr">
        <is>
          <t>SALDO EM 30/12/2017</t>
        </is>
      </c>
      <c r="K1180" s="707" t="n"/>
      <c r="L1180" s="17" t="n"/>
    </row>
    <row r="1181" ht="15.75" customHeight="1" s="436" thickBot="1">
      <c r="A1181" s="695" t="n"/>
      <c r="B1181" s="695" t="n"/>
      <c r="C1181" s="695" t="n"/>
      <c r="D1181" s="3" t="inlineStr">
        <is>
          <t>C/ICMS</t>
        </is>
      </c>
      <c r="E1181" s="3" t="inlineStr">
        <is>
          <t>S/ICMS</t>
        </is>
      </c>
      <c r="F1181" s="695" t="n"/>
      <c r="G1181" s="695" t="n"/>
      <c r="H1181" s="361" t="inlineStr">
        <is>
          <t>Saldo em 31/10/2024</t>
        </is>
      </c>
      <c r="I1181" s="695" t="n"/>
      <c r="J1181" s="645" t="inlineStr">
        <is>
          <t>ENTRADA</t>
        </is>
      </c>
      <c r="K1181" s="633" t="inlineStr">
        <is>
          <t>SAÍDA / CMV</t>
        </is>
      </c>
      <c r="L1181" s="633" t="inlineStr">
        <is>
          <t>SALDO</t>
        </is>
      </c>
    </row>
    <row r="1182">
      <c r="A1182" s="297" t="n"/>
      <c r="B1182" s="297" t="n"/>
      <c r="C1182" s="297" t="n"/>
      <c r="D1182" s="297" t="n"/>
      <c r="E1182" s="297" t="n"/>
      <c r="F1182" s="297" t="n"/>
      <c r="G1182" s="297" t="n"/>
      <c r="H1182" s="98" t="n">
        <v>109</v>
      </c>
      <c r="I1182" s="297" t="n"/>
      <c r="J1182" s="297" t="n"/>
      <c r="K1182" s="297" t="n"/>
      <c r="L1182" s="513" t="n"/>
    </row>
    <row r="1183">
      <c r="A1183" s="310" t="n">
        <v>45616</v>
      </c>
      <c r="B1183" s="445" t="n">
        <v>27661</v>
      </c>
      <c r="C1183" s="310" t="n"/>
      <c r="D1183" s="445" t="n">
        <v>88</v>
      </c>
      <c r="E1183" s="310" t="n"/>
      <c r="F1183" s="310" t="n"/>
      <c r="G1183" s="310" t="n"/>
      <c r="H1183" s="277" t="n">
        <v>197</v>
      </c>
      <c r="I1183" s="297" t="n"/>
      <c r="J1183" s="297" t="n"/>
      <c r="K1183" s="297" t="n"/>
      <c r="L1183" s="513" t="n"/>
    </row>
    <row r="1184">
      <c r="A1184" s="297" t="n">
        <v>45600</v>
      </c>
      <c r="B1184" s="513" t="n">
        <v>11454</v>
      </c>
      <c r="C1184" s="513" t="n">
        <v>89</v>
      </c>
      <c r="D1184" s="513" t="n"/>
      <c r="E1184" s="513" t="n"/>
      <c r="F1184" s="513" t="n"/>
      <c r="G1184" s="513" t="n">
        <v>50</v>
      </c>
      <c r="H1184" s="98">
        <f>H1183-G1184</f>
        <v/>
      </c>
      <c r="I1184" s="297" t="n"/>
      <c r="J1184" s="297" t="n"/>
      <c r="K1184" s="297" t="n"/>
      <c r="L1184" s="513" t="n"/>
    </row>
    <row r="1185">
      <c r="A1185" s="297" t="n">
        <v>45608</v>
      </c>
      <c r="B1185" s="513" t="n">
        <v>11463</v>
      </c>
      <c r="C1185" s="513" t="n">
        <v>89</v>
      </c>
      <c r="D1185" s="513" t="n"/>
      <c r="E1185" s="513" t="n"/>
      <c r="F1185" s="513" t="n"/>
      <c r="G1185" s="513" t="n">
        <v>20</v>
      </c>
      <c r="H1185" s="98">
        <f>H1184-G1185</f>
        <v/>
      </c>
      <c r="I1185" s="297" t="n"/>
      <c r="J1185" s="297" t="n"/>
      <c r="K1185" s="297" t="n"/>
      <c r="L1185" s="513" t="n"/>
    </row>
    <row r="1186">
      <c r="A1186" s="297" t="n">
        <v>45622</v>
      </c>
      <c r="B1186" s="513" t="n">
        <v>11500</v>
      </c>
      <c r="C1186" s="513" t="n">
        <v>86</v>
      </c>
      <c r="D1186" s="513" t="n"/>
      <c r="E1186" s="513" t="n"/>
      <c r="F1186" s="513" t="n"/>
      <c r="G1186" s="513" t="n">
        <v>50</v>
      </c>
      <c r="H1186" s="98">
        <f>H1185-G1186</f>
        <v/>
      </c>
      <c r="I1186" s="297" t="n"/>
      <c r="J1186" s="297" t="n"/>
      <c r="K1186" s="297" t="n"/>
      <c r="L1186" s="513" t="n"/>
    </row>
    <row r="1187">
      <c r="A1187" s="297" t="n">
        <v>45623</v>
      </c>
      <c r="B1187" s="513" t="n">
        <v>11502</v>
      </c>
      <c r="C1187" s="513" t="n">
        <v>89</v>
      </c>
      <c r="D1187" s="513" t="n"/>
      <c r="E1187" s="513" t="n"/>
      <c r="F1187" s="513" t="n"/>
      <c r="G1187" s="513" t="n">
        <v>20</v>
      </c>
      <c r="H1187" s="98">
        <f>H1186-G1187</f>
        <v/>
      </c>
      <c r="I1187" s="297" t="n"/>
      <c r="J1187" s="297" t="n"/>
      <c r="K1187" s="297" t="n"/>
      <c r="L1187" s="513" t="n"/>
    </row>
    <row r="1188" ht="15.75" customHeight="1" s="436" thickBot="1"/>
    <row r="1189" ht="24" customHeight="1" s="436" thickBot="1">
      <c r="A1189" s="759" t="inlineStr">
        <is>
          <t>Dezembro</t>
        </is>
      </c>
      <c r="B1189" s="697" t="n"/>
      <c r="C1189" s="697" t="n"/>
      <c r="D1189" s="697" t="n"/>
      <c r="E1189" s="697" t="n"/>
      <c r="F1189" s="697" t="n"/>
      <c r="G1189" s="697" t="n"/>
      <c r="H1189" s="697" t="n"/>
      <c r="I1189" s="697" t="n"/>
      <c r="J1189" s="697" t="n"/>
      <c r="K1189" s="697" t="n"/>
      <c r="L1189" s="698" t="n"/>
    </row>
    <row r="1190" ht="24" customHeight="1" s="436" thickBot="1">
      <c r="A1190" s="759" t="inlineStr">
        <is>
          <t xml:space="preserve">  PRÉ MISTURA -  Pão Doce 25 KG</t>
        </is>
      </c>
      <c r="B1190" s="697" t="n"/>
      <c r="C1190" s="697" t="n"/>
      <c r="D1190" s="697" t="n"/>
      <c r="E1190" s="697" t="n"/>
      <c r="F1190" s="697" t="n"/>
      <c r="G1190" s="697" t="n"/>
      <c r="H1190" s="697" t="n"/>
      <c r="I1190" s="697" t="n"/>
      <c r="J1190" s="697" t="n"/>
      <c r="K1190" s="697" t="n"/>
      <c r="L1190" s="698" t="n"/>
    </row>
    <row r="1191">
      <c r="A1191" s="3" t="inlineStr">
        <is>
          <t>DATA</t>
        </is>
      </c>
      <c r="B1191" s="3" t="inlineStr">
        <is>
          <t>N.F.</t>
        </is>
      </c>
      <c r="C1191" s="3" t="inlineStr">
        <is>
          <t>TIPO</t>
        </is>
      </c>
      <c r="D1191" s="3" t="inlineStr">
        <is>
          <t>PREÇO UNITÁRIO</t>
        </is>
      </c>
      <c r="E1191" s="736" t="n"/>
      <c r="F1191" s="3" t="inlineStr">
        <is>
          <t>QUANTIDADE / KG</t>
        </is>
      </c>
      <c r="G1191" s="737" t="n"/>
      <c r="H1191" s="736" t="n"/>
      <c r="I1191" s="631" t="inlineStr">
        <is>
          <t>PREÇO</t>
        </is>
      </c>
      <c r="J1191" s="631" t="inlineStr">
        <is>
          <t>VALORES</t>
        </is>
      </c>
      <c r="K1191" s="737" t="n"/>
      <c r="L1191" s="736" t="n"/>
    </row>
    <row r="1192" ht="15.75" customHeight="1" s="436" thickBot="1">
      <c r="A1192" s="704" t="n"/>
      <c r="B1192" s="704" t="n"/>
      <c r="C1192" s="704" t="n"/>
      <c r="D1192" s="703" t="n"/>
      <c r="E1192" s="701" t="n"/>
      <c r="F1192" s="705" t="n"/>
      <c r="G1192" s="706" t="n"/>
      <c r="H1192" s="707" t="n"/>
      <c r="I1192" s="704" t="n"/>
      <c r="J1192" s="703" t="n"/>
      <c r="L1192" s="701" t="n"/>
    </row>
    <row r="1193" ht="15.75" customHeight="1" s="436" thickBot="1">
      <c r="A1193" s="704" t="n"/>
      <c r="B1193" s="704" t="n"/>
      <c r="C1193" s="704" t="n"/>
      <c r="D1193" s="705" t="n"/>
      <c r="E1193" s="707" t="n"/>
      <c r="F1193" s="3" t="inlineStr">
        <is>
          <t>ENTRADA</t>
        </is>
      </c>
      <c r="G1193" s="3" t="inlineStr">
        <is>
          <t>SAÍDA</t>
        </is>
      </c>
      <c r="H1193" s="640" t="n"/>
      <c r="I1193" s="633" t="inlineStr">
        <is>
          <t>MÉDIO</t>
        </is>
      </c>
      <c r="J1193" s="739" t="inlineStr">
        <is>
          <t>SALDO EM 30/12/2017</t>
        </is>
      </c>
      <c r="K1193" s="707" t="n"/>
      <c r="L1193" s="17" t="n"/>
    </row>
    <row r="1194" ht="15.75" customHeight="1" s="436" thickBot="1">
      <c r="A1194" s="695" t="n"/>
      <c r="B1194" s="695" t="n"/>
      <c r="C1194" s="695" t="n"/>
      <c r="D1194" s="3" t="inlineStr">
        <is>
          <t>C/ICMS</t>
        </is>
      </c>
      <c r="E1194" s="3" t="inlineStr">
        <is>
          <t>S/ICMS</t>
        </is>
      </c>
      <c r="F1194" s="695" t="n"/>
      <c r="G1194" s="695" t="n"/>
      <c r="H1194" s="361" t="inlineStr">
        <is>
          <t>Saldo em 30/11/2024</t>
        </is>
      </c>
      <c r="I1194" s="695" t="n"/>
      <c r="J1194" s="645" t="inlineStr">
        <is>
          <t>ENTRADA</t>
        </is>
      </c>
      <c r="K1194" s="633" t="inlineStr">
        <is>
          <t>SAÍDA / CMV</t>
        </is>
      </c>
      <c r="L1194" s="633" t="inlineStr">
        <is>
          <t>SALDO</t>
        </is>
      </c>
    </row>
    <row r="1195">
      <c r="A1195" s="297" t="n"/>
      <c r="B1195" s="297" t="n"/>
      <c r="C1195" s="297" t="n"/>
      <c r="D1195" s="297" t="n"/>
      <c r="E1195" s="297" t="n"/>
      <c r="F1195" s="297" t="n"/>
      <c r="G1195" s="297" t="n"/>
      <c r="H1195" s="98" t="n">
        <v>57</v>
      </c>
      <c r="I1195" s="297" t="n"/>
      <c r="J1195" s="297" t="n"/>
      <c r="K1195" s="297" t="n"/>
      <c r="L1195" s="513" t="n"/>
    </row>
    <row r="1196">
      <c r="A1196" s="297" t="n">
        <v>45998</v>
      </c>
      <c r="B1196" s="297" t="n">
        <v>277798</v>
      </c>
      <c r="C1196" s="297" t="n"/>
      <c r="D1196" s="513" t="n">
        <v>71.59999999999999</v>
      </c>
      <c r="E1196" s="297" t="n"/>
      <c r="F1196" s="513" t="n">
        <v>88</v>
      </c>
      <c r="G1196" s="297" t="n"/>
      <c r="H1196" s="98" t="n">
        <v>145</v>
      </c>
      <c r="I1196" s="297" t="n"/>
      <c r="J1196" s="297" t="n"/>
      <c r="K1196" s="297" t="n"/>
      <c r="L1196" s="513" t="n"/>
    </row>
    <row r="1197">
      <c r="A1197" s="297" t="n">
        <v>45629</v>
      </c>
      <c r="B1197" s="513" t="n">
        <v>11509</v>
      </c>
      <c r="C1197" s="513" t="n">
        <v>89</v>
      </c>
      <c r="D1197" s="513" t="n"/>
      <c r="E1197" s="513" t="n"/>
      <c r="F1197" s="513" t="n"/>
      <c r="G1197" s="513" t="n">
        <v>50</v>
      </c>
      <c r="H1197" s="98">
        <f>H1196-G1197</f>
        <v/>
      </c>
      <c r="I1197" s="297" t="n"/>
      <c r="J1197" s="297" t="n"/>
      <c r="K1197" s="297" t="n"/>
      <c r="L1197" s="513" t="n"/>
    </row>
    <row r="1198">
      <c r="A1198" s="297" t="n">
        <v>45629</v>
      </c>
      <c r="B1198" s="513" t="n">
        <v>11515</v>
      </c>
      <c r="C1198" s="513" t="n">
        <v>89</v>
      </c>
      <c r="D1198" s="513" t="n"/>
      <c r="E1198" s="513" t="n"/>
      <c r="F1198" s="513" t="n"/>
      <c r="G1198" s="513" t="n">
        <v>50</v>
      </c>
      <c r="H1198" s="98">
        <f>H1197-G1198</f>
        <v/>
      </c>
      <c r="I1198" s="297" t="n"/>
      <c r="J1198" s="297" t="n"/>
      <c r="K1198" s="297" t="n"/>
      <c r="L1198" s="513" t="n"/>
    </row>
    <row r="1199">
      <c r="A1199" s="297" t="n">
        <v>45638</v>
      </c>
      <c r="B1199" s="513" t="n">
        <v>11528</v>
      </c>
      <c r="C1199" s="513" t="n">
        <v>81.3</v>
      </c>
      <c r="D1199" s="513" t="n"/>
      <c r="E1199" s="513" t="n"/>
      <c r="F1199" s="513" t="n"/>
      <c r="G1199" s="513" t="n">
        <v>50</v>
      </c>
      <c r="H1199" s="98">
        <f>H1198-G1199</f>
        <v/>
      </c>
      <c r="I1199" s="297" t="n"/>
      <c r="J1199" s="297" t="n"/>
      <c r="K1199" s="297" t="n"/>
      <c r="L1199" s="513" t="n"/>
    </row>
    <row r="1200">
      <c r="A1200" s="297" t="n">
        <v>45638</v>
      </c>
      <c r="B1200" s="513" t="n">
        <v>11529</v>
      </c>
      <c r="C1200" s="513" t="n">
        <v>83.25</v>
      </c>
      <c r="D1200" s="513" t="n"/>
      <c r="E1200" s="513" t="n"/>
      <c r="F1200" s="513" t="n"/>
      <c r="G1200" s="513" t="n">
        <v>60</v>
      </c>
      <c r="H1200" s="98">
        <f>H1199-G1200</f>
        <v/>
      </c>
      <c r="I1200" s="297" t="n"/>
      <c r="J1200" s="297" t="n"/>
      <c r="K1200" s="297" t="n"/>
      <c r="L1200" s="513" t="n"/>
    </row>
    <row r="1201">
      <c r="A1201" s="297" t="n">
        <v>45638</v>
      </c>
      <c r="B1201" s="513" t="n">
        <v>11541</v>
      </c>
      <c r="C1201" s="513" t="n">
        <v>88</v>
      </c>
      <c r="D1201" s="513" t="n"/>
      <c r="E1201" s="513" t="n"/>
      <c r="F1201" s="513" t="n"/>
      <c r="G1201" s="513" t="n">
        <v>50</v>
      </c>
      <c r="H1201" s="98">
        <f>H1200-G1201</f>
        <v/>
      </c>
      <c r="I1201" s="297" t="n"/>
      <c r="J1201" s="297" t="n"/>
      <c r="K1201" s="297" t="n"/>
      <c r="L1201" s="513" t="n"/>
    </row>
    <row r="1202">
      <c r="A1202" s="297" t="n">
        <v>45638</v>
      </c>
      <c r="B1202" s="513" t="n">
        <v>11545</v>
      </c>
      <c r="C1202" s="513" t="n">
        <v>87.34</v>
      </c>
      <c r="D1202" s="513" t="n"/>
      <c r="E1202" s="513" t="n"/>
      <c r="F1202" s="513" t="n"/>
      <c r="G1202" s="513" t="n">
        <v>30</v>
      </c>
      <c r="H1202" s="98">
        <f>H1201-G1202</f>
        <v/>
      </c>
      <c r="I1202" s="297" t="n"/>
      <c r="J1202" s="297" t="n"/>
      <c r="K1202" s="297" t="n"/>
      <c r="L1202" s="513" t="n"/>
    </row>
    <row r="1203">
      <c r="A1203" s="297" t="n">
        <v>45638</v>
      </c>
      <c r="B1203" s="513" t="n">
        <v>11546</v>
      </c>
      <c r="C1203" s="513" t="n">
        <v>89</v>
      </c>
      <c r="D1203" s="513" t="n"/>
      <c r="E1203" s="513" t="n"/>
      <c r="F1203" s="513" t="n"/>
      <c r="G1203" s="513" t="n">
        <v>30</v>
      </c>
      <c r="H1203" s="98">
        <f>H1202-G1203</f>
        <v/>
      </c>
      <c r="I1203" s="297" t="n"/>
      <c r="J1203" s="297" t="n"/>
      <c r="K1203" s="297" t="n"/>
      <c r="L1203" s="513" t="n"/>
    </row>
    <row r="1204" ht="15.75" customHeight="1" s="436" thickBot="1"/>
    <row r="1205" ht="24" customHeight="1" s="436" thickBot="1">
      <c r="A1205" s="759" t="inlineStr">
        <is>
          <t>Janeiro</t>
        </is>
      </c>
      <c r="B1205" s="697" t="n"/>
      <c r="C1205" s="697" t="n"/>
      <c r="D1205" s="697" t="n"/>
      <c r="E1205" s="697" t="n"/>
      <c r="F1205" s="697" t="n"/>
      <c r="G1205" s="697" t="n"/>
      <c r="H1205" s="697" t="n"/>
      <c r="I1205" s="697" t="n"/>
      <c r="J1205" s="697" t="n"/>
      <c r="K1205" s="697" t="n"/>
      <c r="L1205" s="698" t="n"/>
    </row>
    <row r="1206" ht="24" customHeight="1" s="436" thickBot="1">
      <c r="A1206" s="759" t="inlineStr">
        <is>
          <t xml:space="preserve">  PRÉ MISTURA -  Pão Doce 25 KG</t>
        </is>
      </c>
      <c r="B1206" s="697" t="n"/>
      <c r="C1206" s="697" t="n"/>
      <c r="D1206" s="697" t="n"/>
      <c r="E1206" s="697" t="n"/>
      <c r="F1206" s="697" t="n"/>
      <c r="G1206" s="697" t="n"/>
      <c r="H1206" s="697" t="n"/>
      <c r="I1206" s="697" t="n"/>
      <c r="J1206" s="697" t="n"/>
      <c r="K1206" s="697" t="n"/>
      <c r="L1206" s="698" t="n"/>
    </row>
    <row r="1207">
      <c r="A1207" s="3" t="inlineStr">
        <is>
          <t>DATA</t>
        </is>
      </c>
      <c r="B1207" s="3" t="inlineStr">
        <is>
          <t>N.F.</t>
        </is>
      </c>
      <c r="C1207" s="3" t="inlineStr">
        <is>
          <t>TIPO</t>
        </is>
      </c>
      <c r="D1207" s="3" t="inlineStr">
        <is>
          <t>PREÇO UNITÁRIO</t>
        </is>
      </c>
      <c r="E1207" s="736" t="n"/>
      <c r="F1207" s="3" t="inlineStr">
        <is>
          <t>QUANTIDADE / KG</t>
        </is>
      </c>
      <c r="G1207" s="737" t="n"/>
      <c r="H1207" s="736" t="n"/>
      <c r="I1207" s="631" t="inlineStr">
        <is>
          <t>PREÇO</t>
        </is>
      </c>
      <c r="J1207" s="631" t="inlineStr">
        <is>
          <t>VALORES</t>
        </is>
      </c>
      <c r="K1207" s="737" t="n"/>
      <c r="L1207" s="736" t="n"/>
    </row>
    <row r="1208" ht="15.75" customHeight="1" s="436" thickBot="1">
      <c r="A1208" s="704" t="n"/>
      <c r="B1208" s="704" t="n"/>
      <c r="C1208" s="704" t="n"/>
      <c r="D1208" s="703" t="n"/>
      <c r="E1208" s="701" t="n"/>
      <c r="F1208" s="705" t="n"/>
      <c r="G1208" s="706" t="n"/>
      <c r="H1208" s="707" t="n"/>
      <c r="I1208" s="704" t="n"/>
      <c r="J1208" s="703" t="n"/>
      <c r="L1208" s="701" t="n"/>
    </row>
    <row r="1209" ht="15.75" customHeight="1" s="436" thickBot="1">
      <c r="A1209" s="704" t="n"/>
      <c r="B1209" s="704" t="n"/>
      <c r="C1209" s="704" t="n"/>
      <c r="D1209" s="705" t="n"/>
      <c r="E1209" s="707" t="n"/>
      <c r="F1209" s="3" t="inlineStr">
        <is>
          <t>ENTRADA</t>
        </is>
      </c>
      <c r="G1209" s="3" t="inlineStr">
        <is>
          <t>SAÍDA</t>
        </is>
      </c>
      <c r="H1209" s="640" t="n"/>
      <c r="I1209" s="633" t="inlineStr">
        <is>
          <t>MÉDIO</t>
        </is>
      </c>
      <c r="J1209" s="739" t="inlineStr">
        <is>
          <t>SALDO EM 30/12/2017</t>
        </is>
      </c>
      <c r="K1209" s="707" t="n"/>
      <c r="L1209" s="17" t="n"/>
    </row>
    <row r="1210" ht="15.75" customHeight="1" s="436" thickBot="1">
      <c r="A1210" s="695" t="n"/>
      <c r="B1210" s="695" t="n"/>
      <c r="C1210" s="695" t="n"/>
      <c r="D1210" s="3" t="inlineStr">
        <is>
          <t>C/ICMS</t>
        </is>
      </c>
      <c r="E1210" s="3" t="inlineStr">
        <is>
          <t>S/ICMS</t>
        </is>
      </c>
      <c r="F1210" s="695" t="n"/>
      <c r="G1210" s="695" t="n"/>
      <c r="H1210" s="361" t="inlineStr">
        <is>
          <t>Saldo em 31/12/2024</t>
        </is>
      </c>
      <c r="I1210" s="695" t="n"/>
      <c r="J1210" s="645" t="inlineStr">
        <is>
          <t>ENTRADA</t>
        </is>
      </c>
      <c r="K1210" s="633" t="inlineStr">
        <is>
          <t>SAÍDA / CMV</t>
        </is>
      </c>
      <c r="L1210" s="633" t="inlineStr">
        <is>
          <t>SALDO</t>
        </is>
      </c>
    </row>
    <row r="1211">
      <c r="A1211" s="297" t="n"/>
      <c r="B1211" s="297" t="n"/>
      <c r="C1211" s="297" t="n"/>
      <c r="D1211" s="297" t="n"/>
      <c r="E1211" s="297" t="n"/>
      <c r="F1211" s="297" t="n"/>
      <c r="G1211" s="297" t="n"/>
      <c r="H1211" s="98" t="n">
        <v>-175</v>
      </c>
      <c r="I1211" s="297" t="n"/>
      <c r="J1211" s="297" t="n"/>
      <c r="K1211" s="297" t="n"/>
      <c r="L1211" s="513" t="n"/>
    </row>
    <row r="1212">
      <c r="A1212" s="310" t="n">
        <v>45679</v>
      </c>
      <c r="B1212" s="310" t="n">
        <v>280106</v>
      </c>
      <c r="C1212" s="310" t="n">
        <v>71.59999999999999</v>
      </c>
      <c r="D1212" s="310" t="n"/>
      <c r="E1212" s="310" t="n"/>
      <c r="F1212" s="445" t="n">
        <v>280</v>
      </c>
      <c r="G1212" s="310" t="n"/>
      <c r="H1212" s="277" t="n">
        <v>105</v>
      </c>
      <c r="I1212" s="297" t="n"/>
      <c r="J1212" s="297" t="n"/>
      <c r="K1212" s="297" t="n"/>
      <c r="L1212" s="513" t="n"/>
    </row>
    <row r="1213">
      <c r="A1213" s="297" t="n">
        <v>45664</v>
      </c>
      <c r="B1213" s="513" t="n">
        <v>11570</v>
      </c>
      <c r="C1213" s="513" t="n">
        <v>89</v>
      </c>
      <c r="D1213" s="513" t="n"/>
      <c r="E1213" s="513" t="n"/>
      <c r="F1213" s="513" t="n"/>
      <c r="G1213" s="513" t="n">
        <v>20</v>
      </c>
      <c r="H1213" s="98">
        <f>H1212-G1213</f>
        <v/>
      </c>
      <c r="I1213" s="297" t="n"/>
      <c r="J1213" s="297" t="n"/>
      <c r="K1213" s="297" t="n"/>
      <c r="L1213" s="513" t="n"/>
    </row>
    <row r="1214">
      <c r="A1214" s="297" t="n">
        <v>45678</v>
      </c>
      <c r="B1214" s="513" t="n">
        <v>11591</v>
      </c>
      <c r="C1214" s="513" t="n">
        <v>80</v>
      </c>
      <c r="D1214" s="513" t="n"/>
      <c r="E1214" s="513" t="n"/>
      <c r="F1214" s="513" t="n"/>
      <c r="G1214" s="513" t="n">
        <v>10</v>
      </c>
      <c r="H1214" s="98">
        <f>H1213-G1214</f>
        <v/>
      </c>
      <c r="I1214" s="297" t="n"/>
      <c r="J1214" s="297" t="n"/>
      <c r="K1214" s="297" t="n"/>
      <c r="L1214" s="513" t="n"/>
    </row>
    <row r="1215">
      <c r="A1215" s="297" t="n">
        <v>45678</v>
      </c>
      <c r="B1215" s="513" t="n">
        <v>11599</v>
      </c>
      <c r="C1215" s="513" t="n">
        <v>89</v>
      </c>
      <c r="D1215" s="513" t="n"/>
      <c r="E1215" s="513" t="n"/>
      <c r="F1215" s="513" t="n"/>
      <c r="G1215" s="513" t="n">
        <v>20</v>
      </c>
      <c r="H1215" s="98">
        <f>H1214-G1215</f>
        <v/>
      </c>
      <c r="I1215" s="297" t="n"/>
      <c r="J1215" s="297" t="n"/>
      <c r="K1215" s="297" t="n"/>
      <c r="L1215" s="513" t="n"/>
    </row>
    <row r="1216">
      <c r="A1216" s="297" t="n">
        <v>45678</v>
      </c>
      <c r="B1216" s="513" t="n">
        <v>11601</v>
      </c>
      <c r="C1216" s="513" t="n">
        <v>90</v>
      </c>
      <c r="D1216" s="513" t="n"/>
      <c r="E1216" s="513" t="n"/>
      <c r="F1216" s="513" t="n"/>
      <c r="G1216" s="513" t="n">
        <v>15</v>
      </c>
      <c r="H1216" s="98">
        <f>H1215-G1216</f>
        <v/>
      </c>
      <c r="I1216" s="297" t="n"/>
      <c r="J1216" s="297" t="n"/>
      <c r="K1216" s="297" t="n"/>
      <c r="L1216" s="513" t="n"/>
    </row>
    <row r="1217">
      <c r="A1217" s="297" t="n">
        <v>45686</v>
      </c>
      <c r="B1217" s="513" t="n">
        <v>11614</v>
      </c>
      <c r="C1217" s="513" t="n">
        <v>86.09999999999999</v>
      </c>
      <c r="D1217" s="513" t="n"/>
      <c r="E1217" s="513" t="n"/>
      <c r="F1217" s="513" t="n"/>
      <c r="G1217" s="513" t="n">
        <v>50</v>
      </c>
      <c r="H1217" s="98">
        <f>H1216-G1217</f>
        <v/>
      </c>
      <c r="I1217" s="297" t="n"/>
      <c r="J1217" s="297" t="n"/>
      <c r="K1217" s="297" t="n"/>
      <c r="L1217" s="513" t="n"/>
    </row>
    <row r="1218" ht="15.75" customHeight="1" s="436" thickBot="1"/>
    <row r="1219" ht="24" customHeight="1" s="436" thickBot="1">
      <c r="A1219" s="759" t="inlineStr">
        <is>
          <t>Fevereiro</t>
        </is>
      </c>
      <c r="B1219" s="697" t="n"/>
      <c r="C1219" s="697" t="n"/>
      <c r="D1219" s="697" t="n"/>
      <c r="E1219" s="697" t="n"/>
      <c r="F1219" s="697" t="n"/>
      <c r="G1219" s="697" t="n"/>
      <c r="H1219" s="697" t="n"/>
      <c r="I1219" s="697" t="n"/>
      <c r="J1219" s="697" t="n"/>
      <c r="K1219" s="697" t="n"/>
      <c r="L1219" s="698" t="n"/>
    </row>
    <row r="1220" ht="24" customHeight="1" s="436" thickBot="1">
      <c r="A1220" s="759" t="inlineStr">
        <is>
          <t xml:space="preserve">  PRÉ MISTURA -  Pão Doce 25 KG</t>
        </is>
      </c>
      <c r="B1220" s="697" t="n"/>
      <c r="C1220" s="697" t="n"/>
      <c r="D1220" s="697" t="n"/>
      <c r="E1220" s="697" t="n"/>
      <c r="F1220" s="697" t="n"/>
      <c r="G1220" s="697" t="n"/>
      <c r="H1220" s="697" t="n"/>
      <c r="I1220" s="697" t="n"/>
      <c r="J1220" s="697" t="n"/>
      <c r="K1220" s="697" t="n"/>
      <c r="L1220" s="698" t="n"/>
    </row>
    <row r="1221">
      <c r="A1221" s="3" t="inlineStr">
        <is>
          <t>DATA</t>
        </is>
      </c>
      <c r="B1221" s="3" t="inlineStr">
        <is>
          <t>N.F.</t>
        </is>
      </c>
      <c r="C1221" s="3" t="inlineStr">
        <is>
          <t>TIPO</t>
        </is>
      </c>
      <c r="D1221" s="3" t="inlineStr">
        <is>
          <t>PREÇO UNITÁRIO</t>
        </is>
      </c>
      <c r="E1221" s="736" t="n"/>
      <c r="F1221" s="3" t="inlineStr">
        <is>
          <t>QUANTIDADE / KG</t>
        </is>
      </c>
      <c r="G1221" s="737" t="n"/>
      <c r="H1221" s="736" t="n"/>
      <c r="I1221" s="631" t="inlineStr">
        <is>
          <t>PREÇO</t>
        </is>
      </c>
      <c r="J1221" s="631" t="inlineStr">
        <is>
          <t>VALORES</t>
        </is>
      </c>
      <c r="K1221" s="737" t="n"/>
      <c r="L1221" s="736" t="n"/>
    </row>
    <row r="1222" ht="15.75" customHeight="1" s="436" thickBot="1">
      <c r="A1222" s="704" t="n"/>
      <c r="B1222" s="704" t="n"/>
      <c r="C1222" s="704" t="n"/>
      <c r="D1222" s="703" t="n"/>
      <c r="E1222" s="701" t="n"/>
      <c r="F1222" s="705" t="n"/>
      <c r="G1222" s="706" t="n"/>
      <c r="H1222" s="707" t="n"/>
      <c r="I1222" s="704" t="n"/>
      <c r="J1222" s="703" t="n"/>
      <c r="L1222" s="701" t="n"/>
    </row>
    <row r="1223" ht="15.75" customHeight="1" s="436" thickBot="1">
      <c r="A1223" s="704" t="n"/>
      <c r="B1223" s="704" t="n"/>
      <c r="C1223" s="704" t="n"/>
      <c r="D1223" s="705" t="n"/>
      <c r="E1223" s="707" t="n"/>
      <c r="F1223" s="3" t="inlineStr">
        <is>
          <t>ENTRADA</t>
        </is>
      </c>
      <c r="G1223" s="3" t="inlineStr">
        <is>
          <t>SAÍDA</t>
        </is>
      </c>
      <c r="H1223" s="640" t="n"/>
      <c r="I1223" s="633" t="inlineStr">
        <is>
          <t>MÉDIO</t>
        </is>
      </c>
      <c r="J1223" s="739" t="inlineStr">
        <is>
          <t>SALDO EM 30/12/2017</t>
        </is>
      </c>
      <c r="K1223" s="707" t="n"/>
      <c r="L1223" s="17" t="n"/>
    </row>
    <row r="1224" ht="15.75" customHeight="1" s="436" thickBot="1">
      <c r="A1224" s="695" t="n"/>
      <c r="B1224" s="695" t="n"/>
      <c r="C1224" s="695" t="n"/>
      <c r="D1224" s="3" t="inlineStr">
        <is>
          <t>C/ICMS</t>
        </is>
      </c>
      <c r="E1224" s="3" t="inlineStr">
        <is>
          <t>S/ICMS</t>
        </is>
      </c>
      <c r="F1224" s="695" t="n"/>
      <c r="G1224" s="695" t="n"/>
      <c r="H1224" s="361" t="inlineStr">
        <is>
          <t>Saldo em 31/01/2024</t>
        </is>
      </c>
      <c r="I1224" s="695" t="n"/>
      <c r="J1224" s="645" t="inlineStr">
        <is>
          <t>ENTRADA</t>
        </is>
      </c>
      <c r="K1224" s="633" t="inlineStr">
        <is>
          <t>SAÍDA / CMV</t>
        </is>
      </c>
      <c r="L1224" s="633" t="inlineStr">
        <is>
          <t>SALDO</t>
        </is>
      </c>
    </row>
    <row r="1225">
      <c r="A1225" s="297" t="n"/>
      <c r="B1225" s="297" t="n"/>
      <c r="C1225" s="297" t="n"/>
      <c r="D1225" s="297" t="n"/>
      <c r="E1225" s="297" t="n"/>
      <c r="F1225" s="297" t="n"/>
      <c r="G1225" s="297" t="n"/>
      <c r="H1225" s="98" t="n">
        <v>-10</v>
      </c>
      <c r="I1225" s="297" t="n"/>
      <c r="J1225" s="297" t="n"/>
      <c r="K1225" s="297" t="n"/>
      <c r="L1225" s="513" t="n"/>
    </row>
    <row r="1226">
      <c r="A1226" s="297" t="n">
        <v>45692</v>
      </c>
      <c r="B1226" s="513" t="n">
        <v>11630</v>
      </c>
      <c r="C1226" s="513" t="n">
        <v>92</v>
      </c>
      <c r="D1226" s="513" t="n"/>
      <c r="E1226" s="513" t="n"/>
      <c r="F1226" s="513" t="n"/>
      <c r="G1226" s="513" t="n">
        <v>10</v>
      </c>
      <c r="H1226" s="98">
        <f>H1225-G1226</f>
        <v/>
      </c>
      <c r="I1226" s="297" t="n"/>
      <c r="J1226" s="297" t="n"/>
      <c r="K1226" s="297" t="n"/>
      <c r="L1226" s="513" t="n"/>
    </row>
    <row r="1227">
      <c r="A1227" s="310" t="n">
        <v>45694</v>
      </c>
      <c r="B1227" s="445" t="n">
        <v>281088</v>
      </c>
      <c r="C1227" s="445" t="n">
        <v>72.95</v>
      </c>
      <c r="D1227" s="445" t="n">
        <v>380</v>
      </c>
      <c r="E1227" s="445" t="n"/>
      <c r="F1227" s="445" t="n"/>
      <c r="G1227" s="445" t="n"/>
      <c r="H1227" s="277" t="n">
        <v>360</v>
      </c>
      <c r="I1227" s="297" t="n"/>
      <c r="J1227" s="297" t="n"/>
      <c r="K1227" s="297" t="n"/>
      <c r="L1227" s="513" t="n"/>
    </row>
    <row r="1228">
      <c r="A1228" s="297" t="n">
        <v>45692</v>
      </c>
      <c r="B1228" s="513" t="n">
        <v>11632</v>
      </c>
      <c r="C1228" s="513" t="n">
        <v>92</v>
      </c>
      <c r="D1228" s="513" t="n"/>
      <c r="E1228" s="513" t="n"/>
      <c r="F1228" s="513" t="n"/>
      <c r="G1228" s="513" t="n">
        <v>50</v>
      </c>
      <c r="H1228" s="98">
        <f>H1227-G1228</f>
        <v/>
      </c>
      <c r="I1228" s="297" t="n"/>
      <c r="J1228" s="297" t="n"/>
      <c r="K1228" s="297" t="n"/>
      <c r="L1228" s="513" t="n"/>
    </row>
    <row r="1229">
      <c r="A1229" s="297" t="n">
        <v>45712</v>
      </c>
      <c r="B1229" s="513" t="n">
        <v>11668</v>
      </c>
      <c r="C1229" s="513" t="n">
        <v>92</v>
      </c>
      <c r="D1229" s="513" t="n"/>
      <c r="E1229" s="513" t="n"/>
      <c r="F1229" s="513" t="n"/>
      <c r="G1229" s="513" t="n">
        <v>40</v>
      </c>
      <c r="H1229" s="98">
        <f>H1228-G1229</f>
        <v/>
      </c>
      <c r="I1229" s="297" t="n"/>
      <c r="J1229" s="297" t="n"/>
      <c r="K1229" s="297" t="n"/>
      <c r="L1229" s="513" t="n"/>
    </row>
    <row r="1230">
      <c r="A1230" s="297" t="n">
        <v>45713</v>
      </c>
      <c r="B1230" s="513" t="n">
        <v>11673</v>
      </c>
      <c r="C1230" s="513" t="n">
        <v>92</v>
      </c>
      <c r="D1230" s="513" t="n"/>
      <c r="E1230" s="513" t="n"/>
      <c r="F1230" s="513" t="n"/>
      <c r="G1230" s="513" t="n">
        <v>50</v>
      </c>
      <c r="H1230" s="98">
        <f>H1229-G1230</f>
        <v/>
      </c>
      <c r="I1230" s="297" t="n"/>
      <c r="J1230" s="297" t="n"/>
      <c r="K1230" s="297" t="n"/>
      <c r="L1230" s="513" t="n"/>
    </row>
    <row r="1231" ht="15.75" customHeight="1" s="436" thickBot="1"/>
    <row r="1232" ht="24" customHeight="1" s="436" thickBot="1">
      <c r="A1232" s="759" t="inlineStr">
        <is>
          <t>Março</t>
        </is>
      </c>
      <c r="B1232" s="697" t="n"/>
      <c r="C1232" s="697" t="n"/>
      <c r="D1232" s="697" t="n"/>
      <c r="E1232" s="697" t="n"/>
      <c r="F1232" s="697" t="n"/>
      <c r="G1232" s="697" t="n"/>
      <c r="H1232" s="697" t="n"/>
      <c r="I1232" s="697" t="n"/>
      <c r="J1232" s="697" t="n"/>
      <c r="K1232" s="697" t="n"/>
      <c r="L1232" s="698" t="n"/>
    </row>
    <row r="1233" ht="24" customHeight="1" s="436" thickBot="1">
      <c r="A1233" s="759" t="inlineStr">
        <is>
          <t xml:space="preserve">  PRÉ MISTURA -  Pão Doce 25 KG</t>
        </is>
      </c>
      <c r="B1233" s="697" t="n"/>
      <c r="C1233" s="697" t="n"/>
      <c r="D1233" s="697" t="n"/>
      <c r="E1233" s="697" t="n"/>
      <c r="F1233" s="697" t="n"/>
      <c r="G1233" s="697" t="n"/>
      <c r="H1233" s="697" t="n"/>
      <c r="I1233" s="697" t="n"/>
      <c r="J1233" s="697" t="n"/>
      <c r="K1233" s="697" t="n"/>
      <c r="L1233" s="698" t="n"/>
    </row>
    <row r="1234">
      <c r="A1234" s="3" t="inlineStr">
        <is>
          <t>DATA</t>
        </is>
      </c>
      <c r="B1234" s="3" t="inlineStr">
        <is>
          <t>N.F.</t>
        </is>
      </c>
      <c r="C1234" s="3" t="inlineStr">
        <is>
          <t>TIPO</t>
        </is>
      </c>
      <c r="D1234" s="3" t="inlineStr">
        <is>
          <t>PREÇO UNITÁRIO</t>
        </is>
      </c>
      <c r="E1234" s="736" t="n"/>
      <c r="F1234" s="3" t="inlineStr">
        <is>
          <t>QUANTIDADE / KG</t>
        </is>
      </c>
      <c r="G1234" s="737" t="n"/>
      <c r="H1234" s="736" t="n"/>
      <c r="I1234" s="631" t="inlineStr">
        <is>
          <t>PREÇO</t>
        </is>
      </c>
      <c r="J1234" s="631" t="inlineStr">
        <is>
          <t>VALORES</t>
        </is>
      </c>
      <c r="K1234" s="737" t="n"/>
      <c r="L1234" s="736" t="n"/>
    </row>
    <row r="1235" ht="15.75" customHeight="1" s="436" thickBot="1">
      <c r="A1235" s="704" t="n"/>
      <c r="B1235" s="704" t="n"/>
      <c r="C1235" s="704" t="n"/>
      <c r="D1235" s="703" t="n"/>
      <c r="E1235" s="701" t="n"/>
      <c r="F1235" s="705" t="n"/>
      <c r="G1235" s="706" t="n"/>
      <c r="H1235" s="707" t="n"/>
      <c r="I1235" s="704" t="n"/>
      <c r="J1235" s="703" t="n"/>
      <c r="L1235" s="701" t="n"/>
    </row>
    <row r="1236" ht="15.75" customHeight="1" s="436" thickBot="1">
      <c r="A1236" s="704" t="n"/>
      <c r="B1236" s="704" t="n"/>
      <c r="C1236" s="704" t="n"/>
      <c r="D1236" s="705" t="n"/>
      <c r="E1236" s="707" t="n"/>
      <c r="F1236" s="3" t="inlineStr">
        <is>
          <t>ENTRADA</t>
        </is>
      </c>
      <c r="G1236" s="3" t="inlineStr">
        <is>
          <t>SAÍDA</t>
        </is>
      </c>
      <c r="H1236" s="640" t="n"/>
      <c r="I1236" s="633" t="inlineStr">
        <is>
          <t>MÉDIO</t>
        </is>
      </c>
      <c r="J1236" s="739" t="inlineStr">
        <is>
          <t>SALDO EM 30/12/2017</t>
        </is>
      </c>
      <c r="K1236" s="707" t="n"/>
      <c r="L1236" s="17" t="n"/>
    </row>
    <row r="1237" ht="15.75" customHeight="1" s="436" thickBot="1">
      <c r="A1237" s="695" t="n"/>
      <c r="B1237" s="695" t="n"/>
      <c r="C1237" s="695" t="n"/>
      <c r="D1237" s="3" t="inlineStr">
        <is>
          <t>C/ICMS</t>
        </is>
      </c>
      <c r="E1237" s="3" t="inlineStr">
        <is>
          <t>S/ICMS</t>
        </is>
      </c>
      <c r="F1237" s="695" t="n"/>
      <c r="G1237" s="695" t="n"/>
      <c r="H1237" s="361" t="inlineStr">
        <is>
          <t>Saldo em 28/02/2024</t>
        </is>
      </c>
      <c r="I1237" s="695" t="n"/>
      <c r="J1237" s="645" t="inlineStr">
        <is>
          <t>ENTRADA</t>
        </is>
      </c>
      <c r="K1237" s="633" t="inlineStr">
        <is>
          <t>SAÍDA / CMV</t>
        </is>
      </c>
      <c r="L1237" s="633" t="inlineStr">
        <is>
          <t>SALDO</t>
        </is>
      </c>
    </row>
    <row r="1238">
      <c r="A1238" s="297" t="n"/>
      <c r="B1238" s="297" t="n"/>
      <c r="C1238" s="297" t="n"/>
      <c r="D1238" s="297" t="n"/>
      <c r="E1238" s="297" t="n"/>
      <c r="F1238" s="297" t="n"/>
      <c r="G1238" s="297" t="n"/>
      <c r="H1238" s="98" t="n">
        <v>220</v>
      </c>
      <c r="I1238" s="297" t="n"/>
      <c r="J1238" s="297" t="n"/>
      <c r="K1238" s="297" t="n"/>
      <c r="L1238" s="513" t="n"/>
    </row>
    <row r="1239">
      <c r="A1239" s="297" t="n">
        <v>45728</v>
      </c>
      <c r="B1239" s="513" t="n">
        <v>11701</v>
      </c>
      <c r="C1239" s="513" t="n">
        <v>94</v>
      </c>
      <c r="D1239" s="513" t="n"/>
      <c r="E1239" s="513" t="n"/>
      <c r="F1239" s="513" t="n"/>
      <c r="G1239" s="513" t="n">
        <v>50</v>
      </c>
      <c r="H1239" s="98">
        <f>H1238-G1239</f>
        <v/>
      </c>
      <c r="I1239" s="297" t="n"/>
      <c r="J1239" s="297" t="n"/>
      <c r="K1239" s="297" t="n"/>
      <c r="L1239" s="513" t="n"/>
    </row>
    <row r="1240">
      <c r="A1240" s="310" t="n">
        <v>45734</v>
      </c>
      <c r="B1240" s="445" t="n">
        <v>283076</v>
      </c>
      <c r="C1240" s="445" t="n"/>
      <c r="D1240" s="445" t="n">
        <v>75</v>
      </c>
      <c r="E1240" s="445" t="n"/>
      <c r="F1240" s="445" t="n">
        <v>200</v>
      </c>
      <c r="G1240" s="445" t="n"/>
      <c r="H1240" s="277" t="n">
        <v>370</v>
      </c>
      <c r="I1240" s="297" t="n"/>
      <c r="J1240" s="297" t="n"/>
      <c r="K1240" s="297" t="n"/>
      <c r="L1240" s="513" t="n"/>
    </row>
    <row r="1241">
      <c r="A1241" s="297" t="n">
        <v>45734</v>
      </c>
      <c r="B1241" s="513" t="n">
        <v>11704</v>
      </c>
      <c r="C1241" s="513" t="n"/>
      <c r="D1241" s="513" t="n">
        <v>91.22</v>
      </c>
      <c r="E1241" s="513" t="n"/>
      <c r="F1241" s="513" t="n"/>
      <c r="G1241" s="513" t="n">
        <v>45</v>
      </c>
      <c r="H1241" s="98">
        <f>H1240-G1241</f>
        <v/>
      </c>
      <c r="I1241" s="297" t="n"/>
      <c r="J1241" s="297" t="n"/>
      <c r="K1241" s="297" t="n"/>
      <c r="L1241" s="513" t="n"/>
    </row>
    <row r="1242">
      <c r="A1242" s="310" t="n">
        <v>45734</v>
      </c>
      <c r="B1242" s="445" t="n">
        <v>283870</v>
      </c>
      <c r="C1242" s="445" t="n"/>
      <c r="D1242" s="445" t="n">
        <v>75</v>
      </c>
      <c r="E1242" s="445" t="n"/>
      <c r="F1242" s="445" t="n">
        <v>100</v>
      </c>
      <c r="G1242" s="445" t="n"/>
      <c r="H1242" s="277" t="n">
        <v>425</v>
      </c>
      <c r="I1242" s="297" t="n"/>
      <c r="J1242" s="297" t="n"/>
      <c r="K1242" s="297" t="n"/>
      <c r="L1242" s="513" t="n"/>
    </row>
    <row r="1243">
      <c r="A1243" s="415" t="n"/>
      <c r="B1243" s="522" t="n"/>
      <c r="C1243" s="522" t="n"/>
      <c r="D1243" s="522" t="n"/>
      <c r="E1243" s="522" t="n"/>
      <c r="F1243" s="522" t="n"/>
      <c r="G1243" s="522" t="n"/>
      <c r="H1243" s="418" t="n"/>
      <c r="I1243" s="415" t="n"/>
      <c r="J1243" s="415" t="n"/>
      <c r="K1243" s="415" t="n"/>
      <c r="L1243" s="522" t="n"/>
    </row>
    <row r="1244">
      <c r="A1244" s="415" t="n"/>
      <c r="B1244" s="522" t="n"/>
      <c r="C1244" s="522" t="n"/>
      <c r="D1244" s="522" t="n"/>
      <c r="E1244" s="522" t="n"/>
      <c r="F1244" s="522" t="n"/>
      <c r="G1244" s="522" t="n"/>
      <c r="H1244" s="418" t="n"/>
      <c r="I1244" s="415" t="n"/>
      <c r="J1244" s="415" t="n"/>
      <c r="K1244" s="415" t="n"/>
      <c r="L1244" s="522" t="n"/>
    </row>
    <row r="1245">
      <c r="A1245" s="415" t="n"/>
      <c r="B1245" s="522" t="n"/>
      <c r="C1245" s="522" t="n"/>
      <c r="D1245" s="522" t="n"/>
      <c r="E1245" s="522" t="n"/>
      <c r="F1245" s="522" t="n"/>
      <c r="G1245" s="522" t="n"/>
      <c r="H1245" s="418" t="n"/>
      <c r="I1245" s="415" t="n"/>
      <c r="J1245" s="415" t="n"/>
      <c r="K1245" s="415" t="n"/>
      <c r="L1245" s="522" t="n"/>
    </row>
    <row r="1246" ht="15.75" customHeight="1" s="436" thickBot="1"/>
    <row r="1247" ht="24" customHeight="1" s="436" thickBot="1">
      <c r="A1247" s="759" t="inlineStr">
        <is>
          <t>Abril</t>
        </is>
      </c>
      <c r="B1247" s="697" t="n"/>
      <c r="C1247" s="697" t="n"/>
      <c r="D1247" s="697" t="n"/>
      <c r="E1247" s="697" t="n"/>
      <c r="F1247" s="697" t="n"/>
      <c r="G1247" s="697" t="n"/>
      <c r="H1247" s="697" t="n"/>
      <c r="I1247" s="697" t="n"/>
      <c r="J1247" s="697" t="n"/>
      <c r="K1247" s="697" t="n"/>
      <c r="L1247" s="698" t="n"/>
    </row>
    <row r="1248" ht="24" customHeight="1" s="436" thickBot="1">
      <c r="A1248" s="759" t="inlineStr">
        <is>
          <t xml:space="preserve">  PRÉ MISTURA -  Pão Doce 25 KG</t>
        </is>
      </c>
      <c r="B1248" s="697" t="n"/>
      <c r="C1248" s="697" t="n"/>
      <c r="D1248" s="697" t="n"/>
      <c r="E1248" s="697" t="n"/>
      <c r="F1248" s="697" t="n"/>
      <c r="G1248" s="697" t="n"/>
      <c r="H1248" s="697" t="n"/>
      <c r="I1248" s="697" t="n"/>
      <c r="J1248" s="697" t="n"/>
      <c r="K1248" s="697" t="n"/>
      <c r="L1248" s="698" t="n"/>
    </row>
    <row r="1249">
      <c r="A1249" s="3" t="inlineStr">
        <is>
          <t>DATA</t>
        </is>
      </c>
      <c r="B1249" s="3" t="inlineStr">
        <is>
          <t>N.F.</t>
        </is>
      </c>
      <c r="C1249" s="3" t="inlineStr">
        <is>
          <t>TIPO</t>
        </is>
      </c>
      <c r="D1249" s="3" t="inlineStr">
        <is>
          <t>PREÇO UNITÁRIO</t>
        </is>
      </c>
      <c r="E1249" s="736" t="n"/>
      <c r="F1249" s="3" t="inlineStr">
        <is>
          <t>QUANTIDADE / KG</t>
        </is>
      </c>
      <c r="G1249" s="737" t="n"/>
      <c r="H1249" s="736" t="n"/>
      <c r="I1249" s="631" t="inlineStr">
        <is>
          <t>PREÇO</t>
        </is>
      </c>
      <c r="J1249" s="631" t="inlineStr">
        <is>
          <t>VALORES</t>
        </is>
      </c>
      <c r="K1249" s="737" t="n"/>
      <c r="L1249" s="736" t="n"/>
    </row>
    <row r="1250" ht="15.75" customHeight="1" s="436" thickBot="1">
      <c r="A1250" s="704" t="n"/>
      <c r="B1250" s="704" t="n"/>
      <c r="C1250" s="704" t="n"/>
      <c r="D1250" s="703" t="n"/>
      <c r="E1250" s="701" t="n"/>
      <c r="F1250" s="705" t="n"/>
      <c r="G1250" s="706" t="n"/>
      <c r="H1250" s="707" t="n"/>
      <c r="I1250" s="704" t="n"/>
      <c r="J1250" s="703" t="n"/>
      <c r="L1250" s="701" t="n"/>
    </row>
    <row r="1251" ht="15.75" customHeight="1" s="436" thickBot="1">
      <c r="A1251" s="704" t="n"/>
      <c r="B1251" s="704" t="n"/>
      <c r="C1251" s="704" t="n"/>
      <c r="D1251" s="705" t="n"/>
      <c r="E1251" s="707" t="n"/>
      <c r="F1251" s="3" t="inlineStr">
        <is>
          <t>ENTRADA</t>
        </is>
      </c>
      <c r="G1251" s="3" t="inlineStr">
        <is>
          <t>SAÍDA</t>
        </is>
      </c>
      <c r="H1251" s="640" t="n"/>
      <c r="I1251" s="633" t="inlineStr">
        <is>
          <t>MÉDIO</t>
        </is>
      </c>
      <c r="J1251" s="739" t="inlineStr">
        <is>
          <t>SALDO EM 30/12/2017</t>
        </is>
      </c>
      <c r="K1251" s="707" t="n"/>
      <c r="L1251" s="17" t="n"/>
    </row>
    <row r="1252" ht="15.75" customHeight="1" s="436" thickBot="1">
      <c r="A1252" s="695" t="n"/>
      <c r="B1252" s="695" t="n"/>
      <c r="C1252" s="695" t="n"/>
      <c r="D1252" s="3" t="inlineStr">
        <is>
          <t>C/ICMS</t>
        </is>
      </c>
      <c r="E1252" s="3" t="inlineStr">
        <is>
          <t>S/ICMS</t>
        </is>
      </c>
      <c r="F1252" s="695" t="n"/>
      <c r="G1252" s="695" t="n"/>
      <c r="H1252" s="361" t="inlineStr">
        <is>
          <t>Saldo em 31/03/2024</t>
        </is>
      </c>
      <c r="I1252" s="695" t="n"/>
      <c r="J1252" s="645" t="inlineStr">
        <is>
          <t>ENTRADA</t>
        </is>
      </c>
      <c r="K1252" s="633" t="inlineStr">
        <is>
          <t>SAÍDA / CMV</t>
        </is>
      </c>
      <c r="L1252" s="633" t="inlineStr">
        <is>
          <t>SALDO</t>
        </is>
      </c>
    </row>
    <row r="1253">
      <c r="A1253" s="297" t="n"/>
      <c r="B1253" s="297" t="n"/>
      <c r="C1253" s="297" t="n"/>
      <c r="D1253" s="297" t="n"/>
      <c r="E1253" s="297" t="n"/>
      <c r="F1253" s="297" t="n"/>
      <c r="G1253" s="297" t="n"/>
      <c r="H1253" s="98" t="n">
        <v>425</v>
      </c>
      <c r="I1253" s="297" t="n"/>
      <c r="J1253" s="297" t="n"/>
      <c r="K1253" s="297" t="n"/>
      <c r="L1253" s="513" t="n"/>
    </row>
    <row r="1254">
      <c r="A1254" s="297" t="n">
        <v>45749</v>
      </c>
      <c r="B1254" s="513" t="n">
        <v>11754</v>
      </c>
      <c r="C1254" s="513" t="n">
        <v>94</v>
      </c>
      <c r="D1254" s="513" t="n"/>
      <c r="E1254" s="513" t="n"/>
      <c r="F1254" s="513" t="n"/>
      <c r="G1254" s="513" t="n">
        <v>50</v>
      </c>
      <c r="H1254" s="98">
        <f>H1253-G1254</f>
        <v/>
      </c>
      <c r="I1254" s="297" t="n"/>
      <c r="J1254" s="297" t="n"/>
      <c r="K1254" s="297" t="n"/>
      <c r="L1254" s="513" t="n"/>
    </row>
    <row r="1255">
      <c r="A1255" s="297" t="n">
        <v>45749</v>
      </c>
      <c r="B1255" s="513" t="n">
        <v>11755</v>
      </c>
      <c r="C1255" s="513" t="n">
        <v>86.15000000000001</v>
      </c>
      <c r="D1255" s="513" t="n"/>
      <c r="E1255" s="513" t="n"/>
      <c r="F1255" s="513" t="n"/>
      <c r="G1255" s="513" t="n">
        <v>50</v>
      </c>
      <c r="H1255" s="98">
        <f>H1254-G1255</f>
        <v/>
      </c>
      <c r="I1255" s="297" t="n"/>
      <c r="J1255" s="297" t="n"/>
      <c r="K1255" s="297" t="n"/>
      <c r="L1255" s="513" t="n"/>
    </row>
    <row r="1256">
      <c r="A1256" s="297" t="n">
        <v>45756</v>
      </c>
      <c r="B1256" s="513" t="n">
        <v>11765</v>
      </c>
      <c r="C1256" s="513" t="n">
        <v>80</v>
      </c>
      <c r="D1256" s="513" t="n"/>
      <c r="E1256" s="513" t="n"/>
      <c r="F1256" s="513" t="n"/>
      <c r="G1256" s="513" t="n">
        <v>20</v>
      </c>
      <c r="H1256" s="98">
        <f>H1255-G1256</f>
        <v/>
      </c>
      <c r="I1256" s="297" t="n"/>
      <c r="J1256" s="297" t="n"/>
      <c r="K1256" s="297" t="n"/>
      <c r="L1256" s="513" t="n"/>
    </row>
    <row r="1257">
      <c r="A1257" s="297" t="n">
        <v>45756</v>
      </c>
      <c r="B1257" s="513" t="n">
        <v>11771</v>
      </c>
      <c r="C1257" s="513" t="n">
        <v>86.90000000000001</v>
      </c>
      <c r="D1257" s="513" t="n"/>
      <c r="E1257" s="513" t="n"/>
      <c r="F1257" s="513" t="n"/>
      <c r="G1257" s="513" t="n">
        <v>40</v>
      </c>
      <c r="H1257" s="98">
        <f>H1256-G1257</f>
        <v/>
      </c>
      <c r="I1257" s="297" t="n"/>
      <c r="J1257" s="297" t="n"/>
      <c r="K1257" s="297" t="n"/>
      <c r="L1257" s="513" t="n"/>
    </row>
    <row r="1258">
      <c r="A1258" s="297" t="n">
        <v>45756</v>
      </c>
      <c r="B1258" s="513" t="n">
        <v>11772</v>
      </c>
      <c r="C1258" s="513" t="n">
        <v>87</v>
      </c>
      <c r="D1258" s="513" t="n"/>
      <c r="E1258" s="513" t="n"/>
      <c r="F1258" s="513" t="n"/>
      <c r="G1258" s="513" t="n">
        <v>20</v>
      </c>
      <c r="H1258" s="98">
        <f>H1257-G1258</f>
        <v/>
      </c>
      <c r="I1258" s="297" t="n"/>
      <c r="J1258" s="297" t="n"/>
      <c r="K1258" s="297" t="n"/>
      <c r="L1258" s="513" t="n"/>
    </row>
    <row r="1259">
      <c r="A1259" s="297" t="n">
        <v>45762</v>
      </c>
      <c r="B1259" s="513" t="n">
        <v>11786</v>
      </c>
      <c r="C1259" s="513" t="n">
        <v>94</v>
      </c>
      <c r="D1259" s="513" t="n"/>
      <c r="E1259" s="513" t="n"/>
      <c r="F1259" s="513" t="n"/>
      <c r="G1259" s="513" t="n">
        <v>40</v>
      </c>
      <c r="H1259" s="98">
        <f>H1258-G1259</f>
        <v/>
      </c>
      <c r="I1259" s="297" t="n"/>
      <c r="J1259" s="297" t="n"/>
      <c r="K1259" s="297" t="n"/>
      <c r="L1259" s="513" t="n"/>
    </row>
    <row r="1260">
      <c r="A1260" s="297" t="n">
        <v>45775</v>
      </c>
      <c r="B1260" s="513" t="n">
        <v>11808</v>
      </c>
      <c r="C1260" s="513" t="n">
        <v>90.59999999999999</v>
      </c>
      <c r="D1260" s="513" t="n"/>
      <c r="E1260" s="513" t="n"/>
      <c r="F1260" s="513" t="n"/>
      <c r="G1260" s="513" t="n">
        <v>35</v>
      </c>
      <c r="H1260" s="98">
        <f>H1259-G1260</f>
        <v/>
      </c>
      <c r="I1260" s="297" t="n"/>
      <c r="J1260" s="297" t="n"/>
      <c r="K1260" s="297" t="n"/>
      <c r="L1260" s="513" t="n"/>
    </row>
    <row r="1261">
      <c r="A1261" s="297" t="n"/>
      <c r="B1261" s="513" t="n"/>
      <c r="C1261" s="513" t="n"/>
      <c r="D1261" s="513" t="n"/>
      <c r="E1261" s="513" t="n"/>
      <c r="F1261" s="513" t="n"/>
      <c r="G1261" s="513" t="n"/>
      <c r="H1261" s="98">
        <f>H1260-G1261</f>
        <v/>
      </c>
      <c r="I1261" s="297" t="n"/>
      <c r="J1261" s="297" t="n"/>
      <c r="K1261" s="297" t="n"/>
      <c r="L1261" s="513" t="n"/>
    </row>
    <row r="1262" ht="15.75" customHeight="1" s="436" thickBot="1"/>
    <row r="1263" ht="24" customHeight="1" s="436" thickBot="1">
      <c r="A1263" s="759" t="inlineStr">
        <is>
          <t>Maio</t>
        </is>
      </c>
      <c r="B1263" s="697" t="n"/>
      <c r="C1263" s="697" t="n"/>
      <c r="D1263" s="697" t="n"/>
      <c r="E1263" s="697" t="n"/>
      <c r="F1263" s="697" t="n"/>
      <c r="G1263" s="697" t="n"/>
      <c r="H1263" s="697" t="n"/>
      <c r="I1263" s="697" t="n"/>
      <c r="J1263" s="697" t="n"/>
      <c r="K1263" s="697" t="n"/>
      <c r="L1263" s="698" t="n"/>
    </row>
    <row r="1264" ht="24" customHeight="1" s="436" thickBot="1">
      <c r="A1264" s="759" t="inlineStr">
        <is>
          <t xml:space="preserve">  PRÉ MISTURA -  Pão Doce 25 KG</t>
        </is>
      </c>
      <c r="B1264" s="697" t="n"/>
      <c r="C1264" s="697" t="n"/>
      <c r="D1264" s="697" t="n"/>
      <c r="E1264" s="697" t="n"/>
      <c r="F1264" s="697" t="n"/>
      <c r="G1264" s="697" t="n"/>
      <c r="H1264" s="697" t="n"/>
      <c r="I1264" s="697" t="n"/>
      <c r="J1264" s="697" t="n"/>
      <c r="K1264" s="697" t="n"/>
      <c r="L1264" s="698" t="n"/>
    </row>
    <row r="1265">
      <c r="A1265" s="3" t="inlineStr">
        <is>
          <t>DATA</t>
        </is>
      </c>
      <c r="B1265" s="3" t="inlineStr">
        <is>
          <t>N.F.</t>
        </is>
      </c>
      <c r="C1265" s="3" t="inlineStr">
        <is>
          <t>TIPO</t>
        </is>
      </c>
      <c r="D1265" s="3" t="inlineStr">
        <is>
          <t>PREÇO UNITÁRIO</t>
        </is>
      </c>
      <c r="E1265" s="736" t="n"/>
      <c r="F1265" s="3" t="inlineStr">
        <is>
          <t>QUANTIDADE / KG</t>
        </is>
      </c>
      <c r="G1265" s="737" t="n"/>
      <c r="H1265" s="736" t="n"/>
      <c r="I1265" s="631" t="inlineStr">
        <is>
          <t>PREÇO</t>
        </is>
      </c>
      <c r="J1265" s="631" t="inlineStr">
        <is>
          <t>VALORES</t>
        </is>
      </c>
      <c r="K1265" s="737" t="n"/>
      <c r="L1265" s="736" t="n"/>
    </row>
    <row r="1266" ht="15.75" customHeight="1" s="436" thickBot="1">
      <c r="A1266" s="704" t="n"/>
      <c r="B1266" s="704" t="n"/>
      <c r="C1266" s="704" t="n"/>
      <c r="D1266" s="703" t="n"/>
      <c r="E1266" s="701" t="n"/>
      <c r="F1266" s="705" t="n"/>
      <c r="G1266" s="706" t="n"/>
      <c r="H1266" s="707" t="n"/>
      <c r="I1266" s="704" t="n"/>
      <c r="J1266" s="703" t="n"/>
      <c r="L1266" s="701" t="n"/>
    </row>
    <row r="1267" ht="15.75" customHeight="1" s="436" thickBot="1">
      <c r="A1267" s="704" t="n"/>
      <c r="B1267" s="704" t="n"/>
      <c r="C1267" s="704" t="n"/>
      <c r="D1267" s="705" t="n"/>
      <c r="E1267" s="707" t="n"/>
      <c r="F1267" s="3" t="inlineStr">
        <is>
          <t>ENTRADA</t>
        </is>
      </c>
      <c r="G1267" s="3" t="inlineStr">
        <is>
          <t>SAÍDA</t>
        </is>
      </c>
      <c r="H1267" s="640" t="n"/>
      <c r="I1267" s="633" t="inlineStr">
        <is>
          <t>MÉDIO</t>
        </is>
      </c>
      <c r="J1267" s="739" t="inlineStr">
        <is>
          <t>SALDO EM 30/12/2017</t>
        </is>
      </c>
      <c r="K1267" s="707" t="n"/>
      <c r="L1267" s="17" t="n"/>
    </row>
    <row r="1268" ht="15.75" customHeight="1" s="436" thickBot="1">
      <c r="A1268" s="695" t="n"/>
      <c r="B1268" s="695" t="n"/>
      <c r="C1268" s="695" t="n"/>
      <c r="D1268" s="3" t="inlineStr">
        <is>
          <t>C/ICMS</t>
        </is>
      </c>
      <c r="E1268" s="3" t="inlineStr">
        <is>
          <t>S/ICMS</t>
        </is>
      </c>
      <c r="F1268" s="695" t="n"/>
      <c r="G1268" s="695" t="n"/>
      <c r="H1268" s="361" t="inlineStr">
        <is>
          <t>Saldo em 30/04/2024</t>
        </is>
      </c>
      <c r="I1268" s="695" t="n"/>
      <c r="J1268" s="645" t="inlineStr">
        <is>
          <t>ENTRADA</t>
        </is>
      </c>
      <c r="K1268" s="633" t="inlineStr">
        <is>
          <t>SAÍDA / CMV</t>
        </is>
      </c>
      <c r="L1268" s="633" t="inlineStr">
        <is>
          <t>SALDO</t>
        </is>
      </c>
    </row>
    <row r="1269">
      <c r="A1269" s="297" t="n"/>
      <c r="B1269" s="297" t="n"/>
      <c r="C1269" s="297" t="n"/>
      <c r="D1269" s="297" t="n"/>
      <c r="E1269" s="297" t="n"/>
      <c r="F1269" s="297" t="n"/>
      <c r="G1269" s="297" t="n"/>
      <c r="H1269" s="98" t="n">
        <v>170</v>
      </c>
      <c r="I1269" s="297" t="n"/>
      <c r="J1269" s="297" t="n"/>
      <c r="K1269" s="297" t="n"/>
      <c r="L1269" s="513" t="n"/>
    </row>
    <row r="1270">
      <c r="A1270" s="297" t="n">
        <v>45783</v>
      </c>
      <c r="B1270" s="513" t="n">
        <v>11830</v>
      </c>
      <c r="C1270" s="513" t="n">
        <v>87.42</v>
      </c>
      <c r="D1270" s="513" t="n"/>
      <c r="E1270" s="513" t="n"/>
      <c r="F1270" s="513" t="n"/>
      <c r="G1270" s="513" t="n">
        <v>60</v>
      </c>
      <c r="H1270" s="98">
        <f>H1269-G1270</f>
        <v/>
      </c>
      <c r="I1270" s="297" t="n"/>
      <c r="J1270" s="297" t="n"/>
      <c r="K1270" s="297" t="n"/>
      <c r="L1270" s="513" t="n"/>
    </row>
    <row r="1271">
      <c r="A1271" s="297" t="n">
        <v>45784</v>
      </c>
      <c r="B1271" s="513" t="n">
        <v>11834</v>
      </c>
      <c r="C1271" s="513" t="n">
        <v>94</v>
      </c>
      <c r="D1271" s="513" t="n"/>
      <c r="E1271" s="513" t="n"/>
      <c r="F1271" s="513" t="n"/>
      <c r="G1271" s="513" t="n">
        <v>100</v>
      </c>
      <c r="H1271" s="98">
        <f>H1270-G1271</f>
        <v/>
      </c>
      <c r="I1271" s="297" t="n"/>
      <c r="J1271" s="297" t="n"/>
      <c r="K1271" s="297" t="n"/>
      <c r="L1271" s="513" t="n"/>
    </row>
    <row r="1272">
      <c r="A1272" s="310" t="n">
        <v>45785</v>
      </c>
      <c r="B1272" s="445" t="n">
        <v>285967</v>
      </c>
      <c r="C1272" s="445" t="n">
        <v>75</v>
      </c>
      <c r="D1272" s="445" t="n">
        <v>400</v>
      </c>
      <c r="E1272" s="445" t="n"/>
      <c r="F1272" s="445" t="n"/>
      <c r="G1272" s="445" t="n"/>
      <c r="H1272" s="277" t="n">
        <v>410</v>
      </c>
      <c r="I1272" s="297" t="n"/>
      <c r="J1272" s="297" t="n"/>
      <c r="K1272" s="297" t="n"/>
      <c r="L1272" s="513" t="n"/>
    </row>
    <row r="1273">
      <c r="A1273" s="297" t="n">
        <v>45792</v>
      </c>
      <c r="B1273" s="513" t="n">
        <v>11858</v>
      </c>
      <c r="C1273" s="513" t="n">
        <v>87</v>
      </c>
      <c r="D1273" s="513" t="n"/>
      <c r="E1273" s="513" t="n"/>
      <c r="F1273" s="513" t="n"/>
      <c r="G1273" s="513" t="n">
        <v>15</v>
      </c>
      <c r="H1273" s="98">
        <f>H1272-G1273</f>
        <v/>
      </c>
      <c r="I1273" s="297" t="n"/>
      <c r="J1273" s="297" t="n"/>
      <c r="K1273" s="297" t="n"/>
      <c r="L1273" s="513" t="n"/>
    </row>
    <row r="1274">
      <c r="A1274" s="297" t="n">
        <v>45798</v>
      </c>
      <c r="B1274" s="513" t="n">
        <v>11872</v>
      </c>
      <c r="C1274" s="513" t="n">
        <v>92</v>
      </c>
      <c r="D1274" s="513" t="n"/>
      <c r="E1274" s="513" t="n"/>
      <c r="F1274" s="513" t="n"/>
      <c r="G1274" s="513" t="n">
        <v>20</v>
      </c>
      <c r="H1274" s="98">
        <f>H1273-G1274</f>
        <v/>
      </c>
      <c r="I1274" s="297" t="n"/>
      <c r="J1274" s="297" t="n"/>
      <c r="K1274" s="297" t="n"/>
      <c r="L1274" s="513" t="n"/>
    </row>
    <row r="1275">
      <c r="A1275" s="297" t="n">
        <v>45799</v>
      </c>
      <c r="B1275" s="513" t="n">
        <v>11874</v>
      </c>
      <c r="C1275" s="513" t="n">
        <v>80</v>
      </c>
      <c r="D1275" s="513" t="n"/>
      <c r="E1275" s="513" t="n"/>
      <c r="F1275" s="513" t="n"/>
      <c r="G1275" s="513" t="n">
        <v>30</v>
      </c>
      <c r="H1275" s="98">
        <f>H1274-G1275</f>
        <v/>
      </c>
      <c r="I1275" s="297" t="n"/>
      <c r="J1275" s="297" t="n"/>
      <c r="K1275" s="297" t="n"/>
      <c r="L1275" s="513" t="n"/>
    </row>
    <row r="1276">
      <c r="A1276" s="297" t="n">
        <v>45805</v>
      </c>
      <c r="B1276" s="513" t="n">
        <v>11887</v>
      </c>
      <c r="C1276" s="513" t="n">
        <v>90.5</v>
      </c>
      <c r="D1276" s="513" t="n"/>
      <c r="E1276" s="513" t="n"/>
      <c r="F1276" s="513" t="n"/>
      <c r="G1276" s="513" t="n">
        <v>30</v>
      </c>
      <c r="H1276" s="98">
        <f>H1275-G1276</f>
        <v/>
      </c>
      <c r="I1276" s="297" t="n"/>
      <c r="J1276" s="297" t="n"/>
      <c r="K1276" s="297" t="n"/>
      <c r="L1276" s="513" t="n"/>
    </row>
    <row r="1277" ht="15.75" customHeight="1" s="436" thickBot="1"/>
    <row r="1278" ht="24" customHeight="1" s="436" thickBot="1">
      <c r="A1278" s="759" t="inlineStr">
        <is>
          <t>Junho</t>
        </is>
      </c>
      <c r="B1278" s="697" t="n"/>
      <c r="C1278" s="697" t="n"/>
      <c r="D1278" s="697" t="n"/>
      <c r="E1278" s="697" t="n"/>
      <c r="F1278" s="697" t="n"/>
      <c r="G1278" s="697" t="n"/>
      <c r="H1278" s="697" t="n"/>
      <c r="I1278" s="697" t="n"/>
      <c r="J1278" s="697" t="n"/>
      <c r="K1278" s="697" t="n"/>
      <c r="L1278" s="698" t="n"/>
    </row>
    <row r="1279" ht="24" customHeight="1" s="436" thickBot="1">
      <c r="A1279" s="759" t="inlineStr">
        <is>
          <t xml:space="preserve">  PRÉ MISTURA -  Pão Doce 25 KG</t>
        </is>
      </c>
      <c r="B1279" s="697" t="n"/>
      <c r="C1279" s="697" t="n"/>
      <c r="D1279" s="697" t="n"/>
      <c r="E1279" s="697" t="n"/>
      <c r="F1279" s="697" t="n"/>
      <c r="G1279" s="697" t="n"/>
      <c r="H1279" s="697" t="n"/>
      <c r="I1279" s="697" t="n"/>
      <c r="J1279" s="697" t="n"/>
      <c r="K1279" s="697" t="n"/>
      <c r="L1279" s="698" t="n"/>
    </row>
    <row r="1280">
      <c r="A1280" s="3" t="inlineStr">
        <is>
          <t>DATA</t>
        </is>
      </c>
      <c r="B1280" s="3" t="inlineStr">
        <is>
          <t>N.F.</t>
        </is>
      </c>
      <c r="C1280" s="3" t="inlineStr">
        <is>
          <t>TIPO</t>
        </is>
      </c>
      <c r="D1280" s="3" t="inlineStr">
        <is>
          <t>PREÇO UNITÁRIO</t>
        </is>
      </c>
      <c r="E1280" s="736" t="n"/>
      <c r="F1280" s="3" t="inlineStr">
        <is>
          <t>QUANTIDADE / KG</t>
        </is>
      </c>
      <c r="G1280" s="737" t="n"/>
      <c r="H1280" s="736" t="n"/>
      <c r="I1280" s="631" t="inlineStr">
        <is>
          <t>PREÇO</t>
        </is>
      </c>
      <c r="J1280" s="631" t="inlineStr">
        <is>
          <t>VALORES</t>
        </is>
      </c>
      <c r="K1280" s="737" t="n"/>
      <c r="L1280" s="736" t="n"/>
    </row>
    <row r="1281" ht="15.75" customHeight="1" s="436" thickBot="1">
      <c r="A1281" s="704" t="n"/>
      <c r="B1281" s="704" t="n"/>
      <c r="C1281" s="704" t="n"/>
      <c r="D1281" s="703" t="n"/>
      <c r="E1281" s="701" t="n"/>
      <c r="F1281" s="705" t="n"/>
      <c r="G1281" s="706" t="n"/>
      <c r="H1281" s="707" t="n"/>
      <c r="I1281" s="704" t="n"/>
      <c r="J1281" s="703" t="n"/>
      <c r="L1281" s="701" t="n"/>
    </row>
    <row r="1282" ht="15.75" customHeight="1" s="436" thickBot="1">
      <c r="A1282" s="704" t="n"/>
      <c r="B1282" s="704" t="n"/>
      <c r="C1282" s="704" t="n"/>
      <c r="D1282" s="705" t="n"/>
      <c r="E1282" s="707" t="n"/>
      <c r="F1282" s="3" t="inlineStr">
        <is>
          <t>ENTRADA</t>
        </is>
      </c>
      <c r="G1282" s="3" t="inlineStr">
        <is>
          <t>SAÍDA</t>
        </is>
      </c>
      <c r="H1282" s="640" t="n"/>
      <c r="I1282" s="633" t="inlineStr">
        <is>
          <t>MÉDIO</t>
        </is>
      </c>
      <c r="J1282" s="739" t="inlineStr">
        <is>
          <t>SALDO EM 30/12/2017</t>
        </is>
      </c>
      <c r="K1282" s="707" t="n"/>
      <c r="L1282" s="17" t="n"/>
    </row>
    <row r="1283" ht="15.75" customHeight="1" s="436" thickBot="1">
      <c r="A1283" s="695" t="n"/>
      <c r="B1283" s="695" t="n"/>
      <c r="C1283" s="695" t="n"/>
      <c r="D1283" s="3" t="inlineStr">
        <is>
          <t>C/ICMS</t>
        </is>
      </c>
      <c r="E1283" s="3" t="inlineStr">
        <is>
          <t>S/ICMS</t>
        </is>
      </c>
      <c r="F1283" s="695" t="n"/>
      <c r="G1283" s="695" t="n"/>
      <c r="H1283" s="361" t="inlineStr">
        <is>
          <t>Saldo em 31/05/2024</t>
        </is>
      </c>
      <c r="I1283" s="695" t="n"/>
      <c r="J1283" s="645" t="inlineStr">
        <is>
          <t>ENTRADA</t>
        </is>
      </c>
      <c r="K1283" s="633" t="inlineStr">
        <is>
          <t>SAÍDA / CMV</t>
        </is>
      </c>
      <c r="L1283" s="633" t="inlineStr">
        <is>
          <t>SALDO</t>
        </is>
      </c>
    </row>
    <row r="1284">
      <c r="A1284" s="297" t="n"/>
      <c r="B1284" s="297" t="n"/>
      <c r="C1284" s="297" t="n"/>
      <c r="D1284" s="297" t="n"/>
      <c r="E1284" s="297" t="n"/>
      <c r="F1284" s="297" t="n"/>
      <c r="G1284" s="297" t="n"/>
      <c r="H1284" s="98" t="n">
        <v>315</v>
      </c>
      <c r="I1284" s="297" t="n"/>
      <c r="J1284" s="297" t="n"/>
      <c r="K1284" s="297" t="n"/>
      <c r="L1284" s="513" t="n"/>
    </row>
    <row r="1285">
      <c r="A1285" s="297" t="n">
        <v>45810</v>
      </c>
      <c r="B1285" s="513" t="n">
        <v>11893</v>
      </c>
      <c r="C1285" s="513" t="n">
        <v>94</v>
      </c>
      <c r="D1285" s="513" t="n"/>
      <c r="E1285" s="513" t="n"/>
      <c r="F1285" s="513" t="n"/>
      <c r="G1285" s="513" t="n">
        <v>40</v>
      </c>
      <c r="H1285" s="98">
        <f>H1284-G1285</f>
        <v/>
      </c>
      <c r="I1285" s="297" t="n"/>
      <c r="J1285" s="297" t="n"/>
      <c r="K1285" s="297" t="n"/>
      <c r="L1285" s="513" t="n"/>
    </row>
    <row r="1286">
      <c r="A1286" s="297" t="n">
        <v>45812</v>
      </c>
      <c r="B1286" s="513" t="n">
        <v>11896</v>
      </c>
      <c r="C1286" s="513" t="n">
        <v>94</v>
      </c>
      <c r="D1286" s="513" t="n"/>
      <c r="E1286" s="513" t="n"/>
      <c r="F1286" s="513" t="n"/>
      <c r="G1286" s="513" t="n">
        <v>10</v>
      </c>
      <c r="H1286" s="98">
        <f>H1285-G1286</f>
        <v/>
      </c>
      <c r="I1286" s="297" t="n"/>
      <c r="J1286" s="297" t="n"/>
      <c r="K1286" s="297" t="n"/>
      <c r="L1286" s="513" t="n"/>
    </row>
    <row r="1287">
      <c r="A1287" s="297" t="n">
        <v>45817</v>
      </c>
      <c r="B1287" s="513" t="n">
        <v>11905</v>
      </c>
      <c r="C1287" s="513" t="n">
        <v>94</v>
      </c>
      <c r="D1287" s="513" t="n"/>
      <c r="E1287" s="513" t="n"/>
      <c r="F1287" s="513" t="n"/>
      <c r="G1287" s="513" t="n">
        <v>100</v>
      </c>
      <c r="H1287" s="98">
        <f>H1286-G1287</f>
        <v/>
      </c>
      <c r="I1287" s="297" t="n"/>
      <c r="J1287" s="297" t="n"/>
      <c r="K1287" s="297" t="n"/>
      <c r="L1287" s="513" t="n"/>
    </row>
    <row r="1288">
      <c r="A1288" s="297" t="n">
        <v>45825</v>
      </c>
      <c r="B1288" s="513" t="n">
        <v>11930</v>
      </c>
      <c r="C1288" s="513" t="n">
        <v>82</v>
      </c>
      <c r="D1288" s="513" t="n"/>
      <c r="E1288" s="513" t="n"/>
      <c r="F1288" s="513" t="n"/>
      <c r="G1288" s="513" t="n">
        <v>30</v>
      </c>
      <c r="H1288" s="98">
        <f>H1287-G1288</f>
        <v/>
      </c>
      <c r="I1288" s="297" t="n"/>
      <c r="J1288" s="297" t="n"/>
      <c r="K1288" s="297" t="n"/>
      <c r="L1288" s="513" t="n"/>
    </row>
    <row r="1289">
      <c r="A1289" s="297" t="n">
        <v>45837</v>
      </c>
      <c r="B1289" s="513" t="n">
        <v>11956</v>
      </c>
      <c r="C1289" s="513" t="n">
        <v>88.84999999999999</v>
      </c>
      <c r="D1289" s="513" t="n"/>
      <c r="E1289" s="513" t="n"/>
      <c r="F1289" s="513" t="n"/>
      <c r="G1289" s="513" t="n">
        <v>53</v>
      </c>
      <c r="H1289" s="98">
        <f>H1288-G1289</f>
        <v/>
      </c>
      <c r="I1289" s="297" t="n"/>
      <c r="J1289" s="297" t="n"/>
      <c r="K1289" s="297" t="n"/>
      <c r="L1289" s="513" t="n"/>
    </row>
    <row r="1290" ht="15.75" customHeight="1" s="436" thickBot="1"/>
    <row r="1291" ht="24" customHeight="1" s="436" thickBot="1">
      <c r="A1291" s="759" t="inlineStr">
        <is>
          <t>Julho</t>
        </is>
      </c>
      <c r="B1291" s="697" t="n"/>
      <c r="C1291" s="697" t="n"/>
      <c r="D1291" s="697" t="n"/>
      <c r="E1291" s="697" t="n"/>
      <c r="F1291" s="697" t="n"/>
      <c r="G1291" s="697" t="n"/>
      <c r="H1291" s="697" t="n"/>
      <c r="I1291" s="697" t="n"/>
      <c r="J1291" s="697" t="n"/>
      <c r="K1291" s="697" t="n"/>
      <c r="L1291" s="698" t="n"/>
    </row>
    <row r="1292" ht="24" customHeight="1" s="436" thickBot="1">
      <c r="A1292" s="759" t="inlineStr">
        <is>
          <t xml:space="preserve">  PRÉ MISTURA -  Pão Doce 25 KG</t>
        </is>
      </c>
      <c r="B1292" s="697" t="n"/>
      <c r="C1292" s="697" t="n"/>
      <c r="D1292" s="697" t="n"/>
      <c r="E1292" s="697" t="n"/>
      <c r="F1292" s="697" t="n"/>
      <c r="G1292" s="697" t="n"/>
      <c r="H1292" s="697" t="n"/>
      <c r="I1292" s="697" t="n"/>
      <c r="J1292" s="697" t="n"/>
      <c r="K1292" s="697" t="n"/>
      <c r="L1292" s="698" t="n"/>
    </row>
    <row r="1293">
      <c r="A1293" s="3" t="inlineStr">
        <is>
          <t>DATA</t>
        </is>
      </c>
      <c r="B1293" s="3" t="inlineStr">
        <is>
          <t>N.F.</t>
        </is>
      </c>
      <c r="C1293" s="3" t="inlineStr">
        <is>
          <t>TIPO</t>
        </is>
      </c>
      <c r="D1293" s="3" t="inlineStr">
        <is>
          <t>PREÇO UNITÁRIO</t>
        </is>
      </c>
      <c r="E1293" s="736" t="n"/>
      <c r="F1293" s="3" t="inlineStr">
        <is>
          <t>QUANTIDADE / KG</t>
        </is>
      </c>
      <c r="G1293" s="737" t="n"/>
      <c r="H1293" s="736" t="n"/>
      <c r="I1293" s="631" t="inlineStr">
        <is>
          <t>PREÇO</t>
        </is>
      </c>
      <c r="J1293" s="631" t="inlineStr">
        <is>
          <t>VALORES</t>
        </is>
      </c>
      <c r="K1293" s="737" t="n"/>
      <c r="L1293" s="736" t="n"/>
    </row>
    <row r="1294" ht="15.75" customHeight="1" s="436" thickBot="1">
      <c r="A1294" s="704" t="n"/>
      <c r="B1294" s="704" t="n"/>
      <c r="C1294" s="704" t="n"/>
      <c r="D1294" s="703" t="n"/>
      <c r="E1294" s="701" t="n"/>
      <c r="F1294" s="705" t="n"/>
      <c r="G1294" s="706" t="n"/>
      <c r="H1294" s="707" t="n"/>
      <c r="I1294" s="704" t="n"/>
      <c r="J1294" s="703" t="n"/>
      <c r="L1294" s="701" t="n"/>
    </row>
    <row r="1295" ht="15.75" customHeight="1" s="436" thickBot="1">
      <c r="A1295" s="704" t="n"/>
      <c r="B1295" s="704" t="n"/>
      <c r="C1295" s="704" t="n"/>
      <c r="D1295" s="705" t="n"/>
      <c r="E1295" s="707" t="n"/>
      <c r="F1295" s="3" t="inlineStr">
        <is>
          <t>ENTRADA</t>
        </is>
      </c>
      <c r="G1295" s="3" t="inlineStr">
        <is>
          <t>SAÍDA</t>
        </is>
      </c>
      <c r="H1295" s="640" t="n"/>
      <c r="I1295" s="633" t="inlineStr">
        <is>
          <t>MÉDIO</t>
        </is>
      </c>
      <c r="J1295" s="739" t="inlineStr">
        <is>
          <t>SALDO EM 30/12/2017</t>
        </is>
      </c>
      <c r="K1295" s="707" t="n"/>
      <c r="L1295" s="17" t="n"/>
    </row>
    <row r="1296" ht="15.75" customHeight="1" s="436" thickBot="1">
      <c r="A1296" s="695" t="n"/>
      <c r="B1296" s="695" t="n"/>
      <c r="C1296" s="695" t="n"/>
      <c r="D1296" s="3" t="inlineStr">
        <is>
          <t>C/ICMS</t>
        </is>
      </c>
      <c r="E1296" s="3" t="inlineStr">
        <is>
          <t>S/ICMS</t>
        </is>
      </c>
      <c r="F1296" s="695" t="n"/>
      <c r="G1296" s="695" t="n"/>
      <c r="H1296" s="361" t="inlineStr">
        <is>
          <t>Saldo em 30/06/2024</t>
        </is>
      </c>
      <c r="I1296" s="695" t="n"/>
      <c r="J1296" s="645" t="inlineStr">
        <is>
          <t>ENTRADA</t>
        </is>
      </c>
      <c r="K1296" s="633" t="inlineStr">
        <is>
          <t>SAÍDA / CMV</t>
        </is>
      </c>
      <c r="L1296" s="633" t="inlineStr">
        <is>
          <t>SALDO</t>
        </is>
      </c>
    </row>
    <row r="1297">
      <c r="A1297" s="297" t="n"/>
      <c r="B1297" s="297" t="n"/>
      <c r="C1297" s="297" t="n"/>
      <c r="D1297" s="297" t="n"/>
      <c r="E1297" s="297" t="n"/>
      <c r="F1297" s="297" t="n"/>
      <c r="G1297" s="297" t="n"/>
      <c r="H1297" s="98" t="n">
        <v>82</v>
      </c>
      <c r="I1297" s="297" t="n"/>
      <c r="J1297" s="297" t="n"/>
      <c r="K1297" s="297" t="n"/>
      <c r="L1297" s="513" t="n"/>
    </row>
    <row r="1298">
      <c r="A1298" s="310" t="n">
        <v>45855</v>
      </c>
      <c r="B1298" s="445" t="n">
        <v>290337</v>
      </c>
      <c r="C1298" s="445" t="n"/>
      <c r="D1298" s="445" t="n">
        <v>75</v>
      </c>
      <c r="E1298" s="445" t="n"/>
      <c r="F1298" s="445" t="n">
        <v>250</v>
      </c>
      <c r="G1298" s="445" t="n"/>
      <c r="H1298" s="277" t="n">
        <v>332</v>
      </c>
      <c r="I1298" s="297" t="n"/>
      <c r="J1298" s="297" t="n"/>
      <c r="K1298" s="297" t="n"/>
      <c r="L1298" s="513" t="n"/>
    </row>
    <row r="1299">
      <c r="A1299" s="297" t="n"/>
      <c r="B1299" s="513" t="n"/>
      <c r="C1299" s="513" t="n"/>
      <c r="D1299" s="513" t="n"/>
      <c r="E1299" s="513" t="n"/>
      <c r="F1299" s="513" t="n"/>
      <c r="G1299" s="513" t="n"/>
      <c r="H1299" s="98">
        <f>H1298-G1299</f>
        <v/>
      </c>
      <c r="I1299" s="297" t="n"/>
      <c r="J1299" s="297" t="n"/>
      <c r="K1299" s="297" t="n"/>
      <c r="L1299" s="513" t="n"/>
    </row>
    <row r="1300" ht="15.75" customHeight="1" s="436" thickBot="1"/>
    <row r="1301" ht="24" customHeight="1" s="436" thickBot="1">
      <c r="A1301" s="759" t="inlineStr">
        <is>
          <t>Agosto</t>
        </is>
      </c>
      <c r="B1301" s="697" t="n"/>
      <c r="C1301" s="697" t="n"/>
      <c r="D1301" s="697" t="n"/>
      <c r="E1301" s="697" t="n"/>
      <c r="F1301" s="697" t="n"/>
      <c r="G1301" s="697" t="n"/>
      <c r="H1301" s="697" t="n"/>
      <c r="I1301" s="697" t="n"/>
      <c r="J1301" s="697" t="n"/>
      <c r="K1301" s="697" t="n"/>
      <c r="L1301" s="698" t="n"/>
    </row>
    <row r="1302" ht="24" customHeight="1" s="436" thickBot="1">
      <c r="A1302" s="759" t="inlineStr">
        <is>
          <t xml:space="preserve">  PRÉ MISTURA -  Pão Doce 25 KG</t>
        </is>
      </c>
      <c r="B1302" s="697" t="n"/>
      <c r="C1302" s="697" t="n"/>
      <c r="D1302" s="697" t="n"/>
      <c r="E1302" s="697" t="n"/>
      <c r="F1302" s="697" t="n"/>
      <c r="G1302" s="697" t="n"/>
      <c r="H1302" s="697" t="n"/>
      <c r="I1302" s="697" t="n"/>
      <c r="J1302" s="697" t="n"/>
      <c r="K1302" s="697" t="n"/>
      <c r="L1302" s="698" t="n"/>
    </row>
    <row r="1303">
      <c r="A1303" s="3" t="inlineStr">
        <is>
          <t>DATA</t>
        </is>
      </c>
      <c r="B1303" s="3" t="inlineStr">
        <is>
          <t>N.F.</t>
        </is>
      </c>
      <c r="C1303" s="3" t="inlineStr">
        <is>
          <t>TIPO</t>
        </is>
      </c>
      <c r="D1303" s="3" t="inlineStr">
        <is>
          <t>PREÇO UNITÁRIO</t>
        </is>
      </c>
      <c r="E1303" s="736" t="n"/>
      <c r="F1303" s="3" t="inlineStr">
        <is>
          <t>QUANTIDADE / KG</t>
        </is>
      </c>
      <c r="G1303" s="737" t="n"/>
      <c r="H1303" s="736" t="n"/>
      <c r="I1303" s="631" t="inlineStr">
        <is>
          <t>PREÇO</t>
        </is>
      </c>
      <c r="J1303" s="631" t="inlineStr">
        <is>
          <t>VALORES</t>
        </is>
      </c>
      <c r="K1303" s="737" t="n"/>
      <c r="L1303" s="736" t="n"/>
    </row>
    <row r="1304" ht="15.75" customHeight="1" s="436" thickBot="1">
      <c r="A1304" s="704" t="n"/>
      <c r="B1304" s="704" t="n"/>
      <c r="C1304" s="704" t="n"/>
      <c r="D1304" s="703" t="n"/>
      <c r="E1304" s="701" t="n"/>
      <c r="F1304" s="705" t="n"/>
      <c r="G1304" s="706" t="n"/>
      <c r="H1304" s="707" t="n"/>
      <c r="I1304" s="704" t="n"/>
      <c r="J1304" s="703" t="n"/>
      <c r="L1304" s="701" t="n"/>
    </row>
    <row r="1305" ht="15.75" customHeight="1" s="436" thickBot="1">
      <c r="A1305" s="704" t="n"/>
      <c r="B1305" s="704" t="n"/>
      <c r="C1305" s="704" t="n"/>
      <c r="D1305" s="705" t="n"/>
      <c r="E1305" s="707" t="n"/>
      <c r="F1305" s="3" t="inlineStr">
        <is>
          <t>ENTRADA</t>
        </is>
      </c>
      <c r="G1305" s="3" t="inlineStr">
        <is>
          <t>SAÍDA</t>
        </is>
      </c>
      <c r="H1305" s="640" t="n"/>
      <c r="I1305" s="633" t="inlineStr">
        <is>
          <t>MÉDIO</t>
        </is>
      </c>
      <c r="J1305" s="739" t="inlineStr">
        <is>
          <t>SALDO EM 30/12/2017</t>
        </is>
      </c>
      <c r="K1305" s="707" t="n"/>
      <c r="L1305" s="17" t="n"/>
    </row>
    <row r="1306" ht="15.75" customHeight="1" s="436" thickBot="1">
      <c r="A1306" s="695" t="n"/>
      <c r="B1306" s="695" t="n"/>
      <c r="C1306" s="695" t="n"/>
      <c r="D1306" s="3" t="inlineStr">
        <is>
          <t>C/ICMS</t>
        </is>
      </c>
      <c r="E1306" s="3" t="inlineStr">
        <is>
          <t>S/ICMS</t>
        </is>
      </c>
      <c r="F1306" s="695" t="n"/>
      <c r="G1306" s="695" t="n"/>
      <c r="H1306" s="361" t="inlineStr">
        <is>
          <t>Saldo em 31/07/2024</t>
        </is>
      </c>
      <c r="I1306" s="695" t="n"/>
      <c r="J1306" s="645" t="inlineStr">
        <is>
          <t>ENTRADA</t>
        </is>
      </c>
      <c r="K1306" s="633" t="inlineStr">
        <is>
          <t>SAÍDA / CMV</t>
        </is>
      </c>
      <c r="L1306" s="633" t="inlineStr">
        <is>
          <t>SALDO</t>
        </is>
      </c>
    </row>
    <row r="1307">
      <c r="A1307" s="297" t="n"/>
      <c r="B1307" s="297" t="n"/>
      <c r="C1307" s="297" t="n"/>
      <c r="D1307" s="297" t="n"/>
      <c r="E1307" s="297" t="n"/>
      <c r="F1307" s="297" t="n"/>
      <c r="G1307" s="297" t="n"/>
      <c r="H1307" s="98" t="n">
        <v>332</v>
      </c>
      <c r="I1307" s="297" t="n"/>
      <c r="J1307" s="297" t="n"/>
      <c r="K1307" s="297" t="n"/>
      <c r="L1307" s="513" t="n"/>
    </row>
    <row r="1308">
      <c r="A1308" s="297" t="n">
        <v>45874</v>
      </c>
      <c r="B1308" s="513" t="n">
        <v>12059</v>
      </c>
      <c r="C1308" s="513" t="n">
        <v>94</v>
      </c>
      <c r="D1308" s="513" t="n"/>
      <c r="E1308" s="513" t="n"/>
      <c r="F1308" s="513" t="n"/>
      <c r="G1308" s="513" t="n">
        <v>100</v>
      </c>
      <c r="H1308" s="98">
        <f>H1307-G1308</f>
        <v/>
      </c>
      <c r="I1308" s="297" t="n"/>
      <c r="J1308" s="297" t="n"/>
      <c r="K1308" s="297" t="n"/>
      <c r="L1308" s="513" t="n"/>
    </row>
    <row r="1309">
      <c r="A1309" s="297" t="n">
        <v>45887</v>
      </c>
      <c r="B1309" s="513" t="n">
        <v>12091</v>
      </c>
      <c r="C1309" s="513" t="n">
        <v>88.95999999999999</v>
      </c>
      <c r="D1309" s="513" t="n"/>
      <c r="E1309" s="513" t="n"/>
      <c r="F1309" s="513" t="n"/>
      <c r="G1309" s="513" t="n">
        <v>53</v>
      </c>
      <c r="H1309" s="98">
        <f>H1308-G1309</f>
        <v/>
      </c>
      <c r="I1309" s="297" t="n"/>
      <c r="J1309" s="297" t="n"/>
      <c r="K1309" s="297" t="n"/>
      <c r="L1309" s="513" t="n"/>
    </row>
    <row r="1310">
      <c r="A1310" s="310" t="n">
        <v>45890</v>
      </c>
      <c r="B1310" s="445" t="n">
        <v>292745</v>
      </c>
      <c r="C1310" s="445" t="n"/>
      <c r="D1310" s="445" t="n">
        <v>150</v>
      </c>
      <c r="E1310" s="445" t="n"/>
      <c r="F1310" s="445" t="n"/>
      <c r="G1310" s="445" t="n"/>
      <c r="H1310" s="277" t="n">
        <v>312</v>
      </c>
      <c r="I1310" s="297" t="n"/>
      <c r="J1310" s="297" t="n"/>
      <c r="K1310" s="297" t="n"/>
      <c r="L1310" s="513" t="n"/>
    </row>
    <row r="1311">
      <c r="A1311" s="297" t="n">
        <v>45900</v>
      </c>
      <c r="B1311" s="513" t="n">
        <v>12116</v>
      </c>
      <c r="C1311" s="513" t="n">
        <v>84.8</v>
      </c>
      <c r="D1311" s="513" t="n"/>
      <c r="E1311" s="513" t="n"/>
      <c r="F1311" s="513" t="n"/>
      <c r="G1311" s="513" t="n">
        <v>50</v>
      </c>
      <c r="H1311" s="98">
        <f>H1310-G1311</f>
        <v/>
      </c>
      <c r="I1311" s="297" t="n"/>
      <c r="J1311" s="297" t="n"/>
      <c r="K1311" s="297" t="n"/>
      <c r="L1311" s="513" t="n"/>
    </row>
    <row r="1312" ht="15.75" customHeight="1" s="436" thickBot="1"/>
    <row r="1313" ht="24" customHeight="1" s="436" thickBot="1">
      <c r="A1313" s="759" t="inlineStr">
        <is>
          <t>Setembro</t>
        </is>
      </c>
      <c r="B1313" s="697" t="n"/>
      <c r="C1313" s="697" t="n"/>
      <c r="D1313" s="697" t="n"/>
      <c r="E1313" s="697" t="n"/>
      <c r="F1313" s="697" t="n"/>
      <c r="G1313" s="697" t="n"/>
      <c r="H1313" s="697" t="n"/>
      <c r="I1313" s="697" t="n"/>
      <c r="J1313" s="697" t="n"/>
      <c r="K1313" s="697" t="n"/>
      <c r="L1313" s="698" t="n"/>
    </row>
    <row r="1314" ht="24" customHeight="1" s="436" thickBot="1">
      <c r="A1314" s="759" t="inlineStr">
        <is>
          <t xml:space="preserve">  PRÉ MISTURA -  Pão Doce 25 KG</t>
        </is>
      </c>
      <c r="B1314" s="697" t="n"/>
      <c r="C1314" s="697" t="n"/>
      <c r="D1314" s="697" t="n"/>
      <c r="E1314" s="697" t="n"/>
      <c r="F1314" s="697" t="n"/>
      <c r="G1314" s="697" t="n"/>
      <c r="H1314" s="697" t="n"/>
      <c r="I1314" s="697" t="n"/>
      <c r="J1314" s="697" t="n"/>
      <c r="K1314" s="697" t="n"/>
      <c r="L1314" s="698" t="n"/>
    </row>
    <row r="1315">
      <c r="A1315" s="3" t="inlineStr">
        <is>
          <t>DATA</t>
        </is>
      </c>
      <c r="B1315" s="3" t="inlineStr">
        <is>
          <t>N.F.</t>
        </is>
      </c>
      <c r="C1315" s="3" t="inlineStr">
        <is>
          <t>TIPO</t>
        </is>
      </c>
      <c r="D1315" s="3" t="inlineStr">
        <is>
          <t>PREÇO UNITÁRIO</t>
        </is>
      </c>
      <c r="E1315" s="736" t="n"/>
      <c r="F1315" s="3" t="inlineStr">
        <is>
          <t>QUANTIDADE / KG</t>
        </is>
      </c>
      <c r="G1315" s="737" t="n"/>
      <c r="H1315" s="736" t="n"/>
      <c r="I1315" s="631" t="inlineStr">
        <is>
          <t>PREÇO</t>
        </is>
      </c>
      <c r="J1315" s="631" t="inlineStr">
        <is>
          <t>VALORES</t>
        </is>
      </c>
      <c r="K1315" s="737" t="n"/>
      <c r="L1315" s="736" t="n"/>
    </row>
    <row r="1316" ht="15.75" customHeight="1" s="436" thickBot="1">
      <c r="A1316" s="704" t="n"/>
      <c r="B1316" s="704" t="n"/>
      <c r="C1316" s="704" t="n"/>
      <c r="D1316" s="703" t="n"/>
      <c r="E1316" s="701" t="n"/>
      <c r="F1316" s="705" t="n"/>
      <c r="G1316" s="706" t="n"/>
      <c r="H1316" s="707" t="n"/>
      <c r="I1316" s="704" t="n"/>
      <c r="J1316" s="703" t="n"/>
      <c r="L1316" s="701" t="n"/>
    </row>
    <row r="1317" ht="15.75" customHeight="1" s="436" thickBot="1">
      <c r="A1317" s="704" t="n"/>
      <c r="B1317" s="704" t="n"/>
      <c r="C1317" s="704" t="n"/>
      <c r="D1317" s="705" t="n"/>
      <c r="E1317" s="707" t="n"/>
      <c r="F1317" s="3" t="inlineStr">
        <is>
          <t>ENTRADA</t>
        </is>
      </c>
      <c r="G1317" s="3" t="inlineStr">
        <is>
          <t>SAÍDA</t>
        </is>
      </c>
      <c r="H1317" s="640" t="n"/>
      <c r="I1317" s="633" t="inlineStr">
        <is>
          <t>MÉDIO</t>
        </is>
      </c>
      <c r="J1317" s="739" t="inlineStr">
        <is>
          <t>SALDO EM 30/12/2017</t>
        </is>
      </c>
      <c r="K1317" s="707" t="n"/>
      <c r="L1317" s="17" t="n"/>
    </row>
    <row r="1318" ht="15.75" customHeight="1" s="436" thickBot="1">
      <c r="A1318" s="695" t="n"/>
      <c r="B1318" s="695" t="n"/>
      <c r="C1318" s="695" t="n"/>
      <c r="D1318" s="3" t="inlineStr">
        <is>
          <t>C/ICMS</t>
        </is>
      </c>
      <c r="E1318" s="3" t="inlineStr">
        <is>
          <t>S/ICMS</t>
        </is>
      </c>
      <c r="F1318" s="695" t="n"/>
      <c r="G1318" s="695" t="n"/>
      <c r="H1318" s="361" t="inlineStr">
        <is>
          <t>Saldo em 31/08/2024</t>
        </is>
      </c>
      <c r="I1318" s="695" t="n"/>
      <c r="J1318" s="645" t="inlineStr">
        <is>
          <t>ENTRADA</t>
        </is>
      </c>
      <c r="K1318" s="633" t="inlineStr">
        <is>
          <t>SAÍDA / CMV</t>
        </is>
      </c>
      <c r="L1318" s="633" t="inlineStr">
        <is>
          <t>SALDO</t>
        </is>
      </c>
    </row>
    <row r="1319">
      <c r="A1319" s="297" t="n"/>
      <c r="B1319" s="297" t="n"/>
      <c r="C1319" s="297" t="n"/>
      <c r="D1319" s="297" t="n"/>
      <c r="E1319" s="297" t="n"/>
      <c r="F1319" s="297" t="n"/>
      <c r="G1319" s="297" t="n"/>
      <c r="H1319" s="98" t="n">
        <v>262</v>
      </c>
      <c r="I1319" s="297" t="n"/>
      <c r="J1319" s="297" t="n"/>
      <c r="K1319" s="297" t="n"/>
      <c r="L1319" s="513" t="n"/>
    </row>
    <row r="1320">
      <c r="A1320" s="297" t="n">
        <v>45908</v>
      </c>
      <c r="B1320" s="513" t="n">
        <v>12134</v>
      </c>
      <c r="C1320" s="513" t="n">
        <v>94</v>
      </c>
      <c r="D1320" s="513" t="n"/>
      <c r="E1320" s="513" t="n"/>
      <c r="F1320" s="513" t="n"/>
      <c r="G1320" s="513" t="n">
        <v>50</v>
      </c>
      <c r="H1320" s="98">
        <f>H1319-G1320</f>
        <v/>
      </c>
      <c r="I1320" s="297" t="n"/>
      <c r="J1320" s="297" t="n"/>
      <c r="K1320" s="297" t="n"/>
      <c r="L1320" s="513" t="n"/>
    </row>
    <row r="1321">
      <c r="A1321" s="297" t="n">
        <v>45916</v>
      </c>
      <c r="B1321" s="513" t="n">
        <v>12163</v>
      </c>
      <c r="C1321" s="513" t="n">
        <v>85.72</v>
      </c>
      <c r="D1321" s="513" t="n"/>
      <c r="E1321" s="513" t="n"/>
      <c r="F1321" s="513" t="n"/>
      <c r="G1321" s="513" t="n">
        <v>25</v>
      </c>
      <c r="H1321" s="98">
        <f>H1320-G1321</f>
        <v/>
      </c>
      <c r="I1321" s="297" t="n"/>
      <c r="J1321" s="297" t="n"/>
      <c r="K1321" s="297" t="n"/>
      <c r="L1321" s="513" t="n"/>
    </row>
    <row r="1322">
      <c r="A1322" s="310" t="n">
        <v>45929</v>
      </c>
      <c r="B1322" s="445" t="n">
        <v>295202</v>
      </c>
      <c r="C1322" s="445" t="n">
        <v>74</v>
      </c>
      <c r="D1322" s="445" t="n">
        <v>400</v>
      </c>
      <c r="E1322" s="445" t="n"/>
      <c r="F1322" s="445" t="n"/>
      <c r="G1322" s="445" t="n"/>
      <c r="H1322" s="277" t="n">
        <v>587</v>
      </c>
      <c r="I1322" s="297" t="n"/>
      <c r="J1322" s="297" t="n"/>
      <c r="K1322" s="297" t="n"/>
      <c r="L1322" s="513" t="n"/>
    </row>
    <row r="1323">
      <c r="A1323" s="297" t="n">
        <v>45929</v>
      </c>
      <c r="B1323" s="513" t="n">
        <v>12183</v>
      </c>
      <c r="C1323" s="513" t="n">
        <v>94</v>
      </c>
      <c r="D1323" s="513" t="n"/>
      <c r="E1323" s="513" t="n"/>
      <c r="F1323" s="513" t="n"/>
      <c r="G1323" s="513" t="n">
        <v>100</v>
      </c>
      <c r="H1323" s="98">
        <f>H1322-G1323</f>
        <v/>
      </c>
      <c r="I1323" s="297" t="n"/>
      <c r="J1323" s="297" t="n"/>
      <c r="K1323" s="297" t="n"/>
      <c r="L1323" s="513" t="n"/>
    </row>
    <row r="1324" ht="15.75" customHeight="1" s="436" thickBot="1"/>
    <row r="1325" ht="24" customHeight="1" s="436" thickBot="1">
      <c r="A1325" s="759" t="inlineStr">
        <is>
          <t>Outubro</t>
        </is>
      </c>
      <c r="B1325" s="697" t="n"/>
      <c r="C1325" s="697" t="n"/>
      <c r="D1325" s="697" t="n"/>
      <c r="E1325" s="697" t="n"/>
      <c r="F1325" s="697" t="n"/>
      <c r="G1325" s="697" t="n"/>
      <c r="H1325" s="697" t="n"/>
      <c r="I1325" s="697" t="n"/>
      <c r="J1325" s="697" t="n"/>
      <c r="K1325" s="697" t="n"/>
      <c r="L1325" s="698" t="n"/>
    </row>
    <row r="1326" ht="24" customHeight="1" s="436" thickBot="1">
      <c r="A1326" s="759" t="inlineStr">
        <is>
          <t xml:space="preserve">  PRÉ MISTURA -  Pão Doce 25 KG</t>
        </is>
      </c>
      <c r="B1326" s="697" t="n"/>
      <c r="C1326" s="697" t="n"/>
      <c r="D1326" s="697" t="n"/>
      <c r="E1326" s="697" t="n"/>
      <c r="F1326" s="697" t="n"/>
      <c r="G1326" s="697" t="n"/>
      <c r="H1326" s="697" t="n"/>
      <c r="I1326" s="697" t="n"/>
      <c r="J1326" s="697" t="n"/>
      <c r="K1326" s="697" t="n"/>
      <c r="L1326" s="698" t="n"/>
    </row>
    <row r="1327">
      <c r="A1327" s="3" t="inlineStr">
        <is>
          <t>DATA</t>
        </is>
      </c>
      <c r="B1327" s="3" t="inlineStr">
        <is>
          <t>N.F.</t>
        </is>
      </c>
      <c r="C1327" s="3" t="inlineStr">
        <is>
          <t>TIPO</t>
        </is>
      </c>
      <c r="D1327" s="3" t="inlineStr">
        <is>
          <t>PREÇO UNITÁRIO</t>
        </is>
      </c>
      <c r="E1327" s="736" t="n"/>
      <c r="F1327" s="3" t="inlineStr">
        <is>
          <t>QUANTIDADE / KG</t>
        </is>
      </c>
      <c r="G1327" s="737" t="n"/>
      <c r="H1327" s="736" t="n"/>
      <c r="I1327" s="631" t="inlineStr">
        <is>
          <t>PREÇO</t>
        </is>
      </c>
      <c r="J1327" s="631" t="inlineStr">
        <is>
          <t>VALORES</t>
        </is>
      </c>
      <c r="K1327" s="737" t="n"/>
      <c r="L1327" s="736" t="n"/>
    </row>
    <row r="1328" ht="15.75" customHeight="1" s="436" thickBot="1">
      <c r="A1328" s="704" t="n"/>
      <c r="B1328" s="704" t="n"/>
      <c r="C1328" s="704" t="n"/>
      <c r="D1328" s="703" t="n"/>
      <c r="E1328" s="701" t="n"/>
      <c r="F1328" s="705" t="n"/>
      <c r="G1328" s="706" t="n"/>
      <c r="H1328" s="707" t="n"/>
      <c r="I1328" s="704" t="n"/>
      <c r="J1328" s="703" t="n"/>
      <c r="L1328" s="701" t="n"/>
    </row>
    <row r="1329" ht="15.75" customHeight="1" s="436" thickBot="1">
      <c r="A1329" s="704" t="n"/>
      <c r="B1329" s="704" t="n"/>
      <c r="C1329" s="704" t="n"/>
      <c r="D1329" s="705" t="n"/>
      <c r="E1329" s="707" t="n"/>
      <c r="F1329" s="3" t="inlineStr">
        <is>
          <t>ENTRADA</t>
        </is>
      </c>
      <c r="G1329" s="3" t="inlineStr">
        <is>
          <t>SAÍDA</t>
        </is>
      </c>
      <c r="H1329" s="640" t="n"/>
      <c r="I1329" s="633" t="inlineStr">
        <is>
          <t>MÉDIO</t>
        </is>
      </c>
      <c r="J1329" s="739" t="inlineStr">
        <is>
          <t>SALDO EM 30/12/2017</t>
        </is>
      </c>
      <c r="K1329" s="707" t="n"/>
      <c r="L1329" s="17" t="n"/>
    </row>
    <row r="1330" ht="15.75" customHeight="1" s="436" thickBot="1">
      <c r="A1330" s="695" t="n"/>
      <c r="B1330" s="695" t="n"/>
      <c r="C1330" s="695" t="n"/>
      <c r="D1330" s="3" t="inlineStr">
        <is>
          <t>C/ICMS</t>
        </is>
      </c>
      <c r="E1330" s="3" t="inlineStr">
        <is>
          <t>S/ICMS</t>
        </is>
      </c>
      <c r="F1330" s="695" t="n"/>
      <c r="G1330" s="695" t="n"/>
      <c r="H1330" s="361" t="inlineStr">
        <is>
          <t>Saldo em 30/09/2024</t>
        </is>
      </c>
      <c r="I1330" s="695" t="n"/>
      <c r="J1330" s="645" t="inlineStr">
        <is>
          <t>ENTRADA</t>
        </is>
      </c>
      <c r="K1330" s="633" t="inlineStr">
        <is>
          <t>SAÍDA / CMV</t>
        </is>
      </c>
      <c r="L1330" s="633" t="inlineStr">
        <is>
          <t>SALDO</t>
        </is>
      </c>
    </row>
    <row r="1331">
      <c r="A1331" s="297" t="n"/>
      <c r="B1331" s="297" t="n"/>
      <c r="C1331" s="297" t="n"/>
      <c r="D1331" s="297" t="n"/>
      <c r="E1331" s="297" t="n"/>
      <c r="F1331" s="297" t="n"/>
      <c r="G1331" s="297" t="n"/>
      <c r="H1331" s="98" t="n">
        <v>487</v>
      </c>
      <c r="I1331" s="297" t="n"/>
      <c r="J1331" s="297" t="n"/>
      <c r="K1331" s="297" t="n"/>
      <c r="L1331" s="513" t="n"/>
    </row>
    <row r="1332">
      <c r="A1332" s="297" t="n">
        <v>45932</v>
      </c>
      <c r="B1332" s="513" t="n">
        <v>12201</v>
      </c>
      <c r="C1332" s="513" t="n">
        <v>88</v>
      </c>
      <c r="D1332" s="513" t="n"/>
      <c r="E1332" s="513" t="n"/>
      <c r="F1332" s="513" t="n"/>
      <c r="G1332" s="513" t="n">
        <v>30</v>
      </c>
      <c r="H1332" s="98">
        <f>H1331-G1332</f>
        <v/>
      </c>
      <c r="I1332" s="297" t="n"/>
      <c r="J1332" s="297" t="n"/>
      <c r="K1332" s="297" t="n"/>
      <c r="L1332" s="513" t="n"/>
    </row>
    <row r="1333">
      <c r="A1333" s="297" t="n">
        <v>45937</v>
      </c>
      <c r="B1333" s="513" t="n">
        <v>12212</v>
      </c>
      <c r="C1333" s="513" t="n">
        <v>82.33</v>
      </c>
      <c r="D1333" s="513" t="n"/>
      <c r="E1333" s="513" t="n"/>
      <c r="F1333" s="513" t="n"/>
      <c r="G1333" s="513" t="n">
        <v>60</v>
      </c>
      <c r="H1333" s="98">
        <f>H1332-G1333</f>
        <v/>
      </c>
      <c r="I1333" s="297" t="n"/>
      <c r="J1333" s="297" t="n"/>
      <c r="K1333" s="297" t="n"/>
      <c r="L1333" s="513" t="n"/>
    </row>
    <row r="1334">
      <c r="A1334" s="297" t="n">
        <v>45946</v>
      </c>
      <c r="B1334" s="513" t="n">
        <v>12231</v>
      </c>
      <c r="C1334" s="513" t="n">
        <v>80</v>
      </c>
      <c r="D1334" s="513" t="n"/>
      <c r="E1334" s="513" t="n"/>
      <c r="F1334" s="513" t="n"/>
      <c r="G1334" s="513" t="n">
        <v>15</v>
      </c>
      <c r="H1334" s="98">
        <f>H1333-G1334</f>
        <v/>
      </c>
      <c r="I1334" s="297" t="n"/>
      <c r="J1334" s="297" t="n"/>
      <c r="K1334" s="297" t="n"/>
      <c r="L1334" s="513" t="n"/>
    </row>
    <row r="1335">
      <c r="A1335" s="297" t="n">
        <v>45957</v>
      </c>
      <c r="B1335" s="513" t="n">
        <v>12249</v>
      </c>
      <c r="C1335" s="513" t="n">
        <v>92</v>
      </c>
      <c r="D1335" s="513" t="n"/>
      <c r="E1335" s="513" t="n"/>
      <c r="F1335" s="513" t="n"/>
      <c r="G1335" s="513" t="n">
        <v>100</v>
      </c>
      <c r="H1335" s="98">
        <f>H1334-G1335</f>
        <v/>
      </c>
      <c r="I1335" s="297" t="n"/>
      <c r="J1335" s="297" t="n"/>
      <c r="K1335" s="297" t="n"/>
      <c r="L1335" s="513" t="n"/>
    </row>
    <row r="1336">
      <c r="A1336" s="297" t="n">
        <v>45958</v>
      </c>
      <c r="B1336" s="513" t="n">
        <v>12259</v>
      </c>
      <c r="C1336" s="513" t="n">
        <v>89.5</v>
      </c>
      <c r="D1336" s="513" t="n"/>
      <c r="E1336" s="513" t="n"/>
      <c r="F1336" s="513" t="n"/>
      <c r="G1336" s="513" t="n">
        <v>40</v>
      </c>
      <c r="H1336" s="98">
        <f>H1335-G1336</f>
        <v/>
      </c>
      <c r="I1336" s="297" t="n"/>
      <c r="J1336" s="297" t="n"/>
      <c r="K1336" s="297" t="n"/>
      <c r="L1336" s="513" t="n"/>
    </row>
    <row r="1337">
      <c r="A1337" s="297" t="n">
        <v>45959</v>
      </c>
      <c r="B1337" s="513" t="n">
        <v>12262</v>
      </c>
      <c r="C1337" s="513" t="n">
        <v>78</v>
      </c>
      <c r="D1337" s="513" t="n"/>
      <c r="E1337" s="513" t="n"/>
      <c r="F1337" s="513" t="n"/>
      <c r="G1337" s="513" t="n">
        <v>30</v>
      </c>
      <c r="H1337" s="98">
        <f>H1336-G1337</f>
        <v/>
      </c>
      <c r="I1337" s="297" t="n"/>
      <c r="J1337" s="297" t="n"/>
      <c r="K1337" s="297" t="n"/>
      <c r="L1337" s="513" t="n"/>
    </row>
    <row r="1338">
      <c r="A1338" s="297" t="n">
        <v>45959</v>
      </c>
      <c r="B1338" s="513" t="n">
        <v>12263</v>
      </c>
      <c r="C1338" s="513" t="n">
        <v>84.67</v>
      </c>
      <c r="D1338" s="513" t="n"/>
      <c r="E1338" s="513" t="n"/>
      <c r="F1338" s="513" t="n"/>
      <c r="G1338" s="513" t="n">
        <v>30</v>
      </c>
      <c r="H1338" s="98">
        <f>H1337-G1338</f>
        <v/>
      </c>
      <c r="I1338" s="297" t="n"/>
      <c r="J1338" s="297" t="n"/>
      <c r="K1338" s="297" t="n"/>
      <c r="L1338" s="513" t="n"/>
    </row>
    <row r="1339" ht="15.75" customHeight="1" s="436" thickBot="1"/>
    <row r="1340" ht="24" customHeight="1" s="436" thickBot="1">
      <c r="A1340" s="759" t="inlineStr">
        <is>
          <t>Novembro</t>
        </is>
      </c>
      <c r="B1340" s="697" t="n"/>
      <c r="C1340" s="697" t="n"/>
      <c r="D1340" s="697" t="n"/>
      <c r="E1340" s="697" t="n"/>
      <c r="F1340" s="697" t="n"/>
      <c r="G1340" s="697" t="n"/>
      <c r="H1340" s="697" t="n"/>
      <c r="I1340" s="697" t="n"/>
      <c r="J1340" s="697" t="n"/>
      <c r="K1340" s="697" t="n"/>
      <c r="L1340" s="698" t="n"/>
    </row>
    <row r="1341" ht="24" customHeight="1" s="436" thickBot="1">
      <c r="A1341" s="759" t="inlineStr">
        <is>
          <t xml:space="preserve">  PRÉ MISTURA -  Pão Doce 25 KG</t>
        </is>
      </c>
      <c r="B1341" s="697" t="n"/>
      <c r="C1341" s="697" t="n"/>
      <c r="D1341" s="697" t="n"/>
      <c r="E1341" s="697" t="n"/>
      <c r="F1341" s="697" t="n"/>
      <c r="G1341" s="697" t="n"/>
      <c r="H1341" s="697" t="n"/>
      <c r="I1341" s="697" t="n"/>
      <c r="J1341" s="697" t="n"/>
      <c r="K1341" s="697" t="n"/>
      <c r="L1341" s="698" t="n"/>
    </row>
    <row r="1342">
      <c r="A1342" s="3" t="inlineStr">
        <is>
          <t>DATA</t>
        </is>
      </c>
      <c r="B1342" s="3" t="inlineStr">
        <is>
          <t>N.F.</t>
        </is>
      </c>
      <c r="C1342" s="3" t="inlineStr">
        <is>
          <t>TIPO</t>
        </is>
      </c>
      <c r="D1342" s="3" t="inlineStr">
        <is>
          <t>PREÇO UNITÁRIO</t>
        </is>
      </c>
      <c r="E1342" s="736" t="n"/>
      <c r="F1342" s="3" t="inlineStr">
        <is>
          <t>QUANTIDADE / KG</t>
        </is>
      </c>
      <c r="G1342" s="737" t="n"/>
      <c r="H1342" s="736" t="n"/>
      <c r="I1342" s="631" t="inlineStr">
        <is>
          <t>PREÇO</t>
        </is>
      </c>
      <c r="J1342" s="631" t="inlineStr">
        <is>
          <t>VALORES</t>
        </is>
      </c>
      <c r="K1342" s="737" t="n"/>
      <c r="L1342" s="736" t="n"/>
    </row>
    <row r="1343" ht="15.75" customHeight="1" s="436" thickBot="1">
      <c r="A1343" s="704" t="n"/>
      <c r="B1343" s="704" t="n"/>
      <c r="C1343" s="704" t="n"/>
      <c r="D1343" s="703" t="n"/>
      <c r="E1343" s="701" t="n"/>
      <c r="F1343" s="705" t="n"/>
      <c r="G1343" s="706" t="n"/>
      <c r="H1343" s="707" t="n"/>
      <c r="I1343" s="704" t="n"/>
      <c r="J1343" s="703" t="n"/>
      <c r="L1343" s="701" t="n"/>
    </row>
    <row r="1344" ht="15.75" customHeight="1" s="436" thickBot="1">
      <c r="A1344" s="704" t="n"/>
      <c r="B1344" s="704" t="n"/>
      <c r="C1344" s="704" t="n"/>
      <c r="D1344" s="705" t="n"/>
      <c r="E1344" s="707" t="n"/>
      <c r="F1344" s="3" t="inlineStr">
        <is>
          <t>ENTRADA</t>
        </is>
      </c>
      <c r="G1344" s="3" t="inlineStr">
        <is>
          <t>SAÍDA</t>
        </is>
      </c>
      <c r="H1344" s="640" t="n"/>
      <c r="I1344" s="633" t="inlineStr">
        <is>
          <t>MÉDIO</t>
        </is>
      </c>
      <c r="J1344" s="739" t="inlineStr">
        <is>
          <t>SALDO EM 30/12/2017</t>
        </is>
      </c>
      <c r="K1344" s="707" t="n"/>
      <c r="L1344" s="17" t="n"/>
    </row>
    <row r="1345" ht="15.75" customHeight="1" s="436" thickBot="1">
      <c r="A1345" s="695" t="n"/>
      <c r="B1345" s="695" t="n"/>
      <c r="C1345" s="695" t="n"/>
      <c r="D1345" s="3" t="inlineStr">
        <is>
          <t>C/ICMS</t>
        </is>
      </c>
      <c r="E1345" s="3" t="inlineStr">
        <is>
          <t>S/ICMS</t>
        </is>
      </c>
      <c r="F1345" s="695" t="n"/>
      <c r="G1345" s="695" t="n"/>
      <c r="H1345" s="361" t="inlineStr">
        <is>
          <t>Saldo em 31/10/2024</t>
        </is>
      </c>
      <c r="I1345" s="695" t="n"/>
      <c r="J1345" s="645" t="inlineStr">
        <is>
          <t>ENTRADA</t>
        </is>
      </c>
      <c r="K1345" s="633" t="inlineStr">
        <is>
          <t>SAÍDA / CMV</t>
        </is>
      </c>
      <c r="L1345" s="633" t="inlineStr">
        <is>
          <t>SALDO</t>
        </is>
      </c>
    </row>
    <row r="1346">
      <c r="A1346" s="297" t="n"/>
      <c r="B1346" s="297" t="n"/>
      <c r="C1346" s="297" t="n"/>
      <c r="D1346" s="297" t="n"/>
      <c r="E1346" s="297" t="n"/>
      <c r="F1346" s="297" t="n"/>
      <c r="G1346" s="297" t="n"/>
      <c r="H1346" s="98" t="n">
        <v>182</v>
      </c>
      <c r="I1346" s="297" t="n"/>
      <c r="J1346" s="297" t="n"/>
      <c r="K1346" s="297" t="n"/>
      <c r="L1346" s="513" t="n"/>
    </row>
    <row r="1347">
      <c r="A1347" s="310" t="n">
        <v>45964</v>
      </c>
      <c r="B1347" s="310" t="n">
        <v>297505</v>
      </c>
      <c r="C1347" s="310" t="n"/>
      <c r="D1347" s="445" t="n">
        <v>380</v>
      </c>
      <c r="E1347" s="310" t="n"/>
      <c r="F1347" s="310" t="n"/>
      <c r="G1347" s="310" t="n"/>
      <c r="H1347" s="277" t="n">
        <v>562</v>
      </c>
      <c r="I1347" s="297" t="n"/>
      <c r="J1347" s="297" t="n"/>
      <c r="K1347" s="297" t="n"/>
      <c r="L1347" s="513" t="n"/>
    </row>
    <row r="1348">
      <c r="A1348" s="297" t="n">
        <v>45964</v>
      </c>
      <c r="B1348" s="513" t="n">
        <v>12270</v>
      </c>
      <c r="C1348" s="513" t="n">
        <v>90.5</v>
      </c>
      <c r="D1348" s="513" t="n"/>
      <c r="E1348" s="513" t="n"/>
      <c r="F1348" s="513" t="n"/>
      <c r="G1348" s="513" t="n">
        <v>30</v>
      </c>
      <c r="H1348" s="98">
        <f>H1347-G1348</f>
        <v/>
      </c>
      <c r="I1348" s="297" t="n"/>
      <c r="J1348" s="297" t="n"/>
      <c r="K1348" s="297" t="n"/>
      <c r="L1348" s="513" t="n"/>
    </row>
    <row r="1349">
      <c r="A1349" s="297" t="n">
        <v>45985</v>
      </c>
      <c r="B1349" s="513" t="n">
        <v>12311</v>
      </c>
      <c r="C1349" s="513" t="n">
        <v>82.23999999999999</v>
      </c>
      <c r="D1349" s="513" t="n"/>
      <c r="E1349" s="513" t="n"/>
      <c r="F1349" s="513" t="n"/>
      <c r="G1349" s="513" t="n">
        <v>50</v>
      </c>
      <c r="H1349" s="98">
        <f>H1348-G1349</f>
        <v/>
      </c>
      <c r="I1349" s="297" t="n"/>
      <c r="J1349" s="297" t="n"/>
      <c r="K1349" s="297" t="n"/>
      <c r="L1349" s="513" t="n"/>
    </row>
    <row r="1350">
      <c r="A1350" s="297" t="n">
        <v>45985</v>
      </c>
      <c r="B1350" s="513" t="n">
        <v>12312</v>
      </c>
      <c r="C1350" s="513" t="n">
        <v>88.58</v>
      </c>
      <c r="D1350" s="513" t="n"/>
      <c r="E1350" s="513" t="n"/>
      <c r="F1350" s="513" t="n"/>
      <c r="G1350" s="513" t="n">
        <v>35</v>
      </c>
      <c r="H1350" s="98">
        <f>H1349-G1350</f>
        <v/>
      </c>
      <c r="I1350" s="297" t="n"/>
      <c r="J1350" s="297" t="n"/>
      <c r="K1350" s="297" t="n"/>
      <c r="L1350" s="513" t="n"/>
    </row>
    <row r="1351" ht="15.75" customHeight="1" s="436" thickBot="1"/>
    <row r="1352" ht="24" customHeight="1" s="436" thickBot="1">
      <c r="A1352" s="759" t="inlineStr">
        <is>
          <t>Dezembro</t>
        </is>
      </c>
      <c r="B1352" s="697" t="n"/>
      <c r="C1352" s="697" t="n"/>
      <c r="D1352" s="697" t="n"/>
      <c r="E1352" s="697" t="n"/>
      <c r="F1352" s="697" t="n"/>
      <c r="G1352" s="697" t="n"/>
      <c r="H1352" s="697" t="n"/>
      <c r="I1352" s="697" t="n"/>
      <c r="J1352" s="697" t="n"/>
      <c r="K1352" s="697" t="n"/>
      <c r="L1352" s="698" t="n"/>
    </row>
    <row r="1353" ht="24" customHeight="1" s="436" thickBot="1">
      <c r="A1353" s="759" t="inlineStr">
        <is>
          <t xml:space="preserve">  PRÉ MISTURA -  Pão Doce 25 KG</t>
        </is>
      </c>
      <c r="B1353" s="697" t="n"/>
      <c r="C1353" s="697" t="n"/>
      <c r="D1353" s="697" t="n"/>
      <c r="E1353" s="697" t="n"/>
      <c r="F1353" s="697" t="n"/>
      <c r="G1353" s="697" t="n"/>
      <c r="H1353" s="697" t="n"/>
      <c r="I1353" s="697" t="n"/>
      <c r="J1353" s="697" t="n"/>
      <c r="K1353" s="697" t="n"/>
      <c r="L1353" s="698" t="n"/>
    </row>
    <row r="1354">
      <c r="A1354" s="3" t="inlineStr">
        <is>
          <t>DATA</t>
        </is>
      </c>
      <c r="B1354" s="3" t="inlineStr">
        <is>
          <t>N.F.</t>
        </is>
      </c>
      <c r="C1354" s="3" t="inlineStr">
        <is>
          <t>TIPO</t>
        </is>
      </c>
      <c r="D1354" s="3" t="inlineStr">
        <is>
          <t>PREÇO UNITÁRIO</t>
        </is>
      </c>
      <c r="E1354" s="736" t="n"/>
      <c r="F1354" s="3" t="inlineStr">
        <is>
          <t>QUANTIDADE / KG</t>
        </is>
      </c>
      <c r="G1354" s="737" t="n"/>
      <c r="H1354" s="736" t="n"/>
      <c r="I1354" s="631" t="inlineStr">
        <is>
          <t>PREÇO</t>
        </is>
      </c>
      <c r="J1354" s="631" t="inlineStr">
        <is>
          <t>VALORES</t>
        </is>
      </c>
      <c r="K1354" s="737" t="n"/>
      <c r="L1354" s="736" t="n"/>
    </row>
    <row r="1355" ht="15.75" customHeight="1" s="436" thickBot="1">
      <c r="A1355" s="704" t="n"/>
      <c r="B1355" s="704" t="n"/>
      <c r="C1355" s="704" t="n"/>
      <c r="D1355" s="703" t="n"/>
      <c r="E1355" s="701" t="n"/>
      <c r="F1355" s="705" t="n"/>
      <c r="G1355" s="706" t="n"/>
      <c r="H1355" s="707" t="n"/>
      <c r="I1355" s="704" t="n"/>
      <c r="J1355" s="703" t="n"/>
      <c r="L1355" s="701" t="n"/>
    </row>
    <row r="1356" ht="15.75" customHeight="1" s="436" thickBot="1">
      <c r="A1356" s="704" t="n"/>
      <c r="B1356" s="704" t="n"/>
      <c r="C1356" s="704" t="n"/>
      <c r="D1356" s="705" t="n"/>
      <c r="E1356" s="707" t="n"/>
      <c r="F1356" s="3" t="inlineStr">
        <is>
          <t>ENTRADA</t>
        </is>
      </c>
      <c r="G1356" s="3" t="inlineStr">
        <is>
          <t>SAÍDA</t>
        </is>
      </c>
      <c r="H1356" s="640" t="n"/>
      <c r="I1356" s="633" t="inlineStr">
        <is>
          <t>MÉDIO</t>
        </is>
      </c>
      <c r="J1356" s="739" t="inlineStr">
        <is>
          <t>SALDO EM 30/12/2017</t>
        </is>
      </c>
      <c r="K1356" s="707" t="n"/>
      <c r="L1356" s="17" t="n"/>
    </row>
    <row r="1357" ht="15.75" customHeight="1" s="436" thickBot="1">
      <c r="A1357" s="695" t="n"/>
      <c r="B1357" s="695" t="n"/>
      <c r="C1357" s="695" t="n"/>
      <c r="D1357" s="3" t="inlineStr">
        <is>
          <t>C/ICMS</t>
        </is>
      </c>
      <c r="E1357" s="3" t="inlineStr">
        <is>
          <t>S/ICMS</t>
        </is>
      </c>
      <c r="F1357" s="695" t="n"/>
      <c r="G1357" s="695" t="n"/>
      <c r="H1357" s="361" t="inlineStr">
        <is>
          <t>Saldo em 30/11/2024</t>
        </is>
      </c>
      <c r="I1357" s="695" t="n"/>
      <c r="J1357" s="645" t="inlineStr">
        <is>
          <t>ENTRADA</t>
        </is>
      </c>
      <c r="K1357" s="633" t="inlineStr">
        <is>
          <t>SAÍDA / CMV</t>
        </is>
      </c>
      <c r="L1357" s="633" t="inlineStr">
        <is>
          <t>SALDO</t>
        </is>
      </c>
    </row>
    <row r="1358">
      <c r="A1358" s="297" t="n"/>
      <c r="B1358" s="297" t="n"/>
      <c r="C1358" s="297" t="n"/>
      <c r="D1358" s="297" t="n"/>
      <c r="E1358" s="297" t="n"/>
      <c r="F1358" s="297" t="n"/>
      <c r="G1358" s="297" t="n"/>
      <c r="H1358" s="98" t="n">
        <v>447</v>
      </c>
      <c r="I1358" s="297" t="n"/>
      <c r="J1358" s="297" t="n"/>
      <c r="K1358" s="297" t="n"/>
      <c r="L1358" s="513" t="n"/>
    </row>
    <row r="1359">
      <c r="A1359" s="297" t="n">
        <v>45993</v>
      </c>
      <c r="B1359" s="513" t="n">
        <v>12335</v>
      </c>
      <c r="C1359" s="513" t="n">
        <v>80.7</v>
      </c>
      <c r="D1359" s="513" t="n"/>
      <c r="E1359" s="513" t="n"/>
      <c r="F1359" s="513" t="n"/>
      <c r="G1359" s="513" t="n">
        <v>50</v>
      </c>
      <c r="H1359" s="98">
        <f>H1358-G1359</f>
        <v/>
      </c>
      <c r="I1359" s="297" t="n"/>
      <c r="J1359" s="297" t="n"/>
      <c r="K1359" s="297" t="n"/>
      <c r="L1359" s="513" t="n"/>
    </row>
    <row r="1360">
      <c r="A1360" s="297" t="n">
        <v>46001</v>
      </c>
      <c r="B1360" s="513" t="n">
        <v>12348</v>
      </c>
      <c r="C1360" s="513" t="n">
        <v>80.40000000000001</v>
      </c>
      <c r="D1360" s="513" t="n"/>
      <c r="E1360" s="513" t="n"/>
      <c r="F1360" s="513" t="n"/>
      <c r="G1360" s="513" t="n">
        <v>75</v>
      </c>
      <c r="H1360" s="98">
        <f>H1359-G1360</f>
        <v/>
      </c>
      <c r="I1360" s="297" t="n"/>
      <c r="J1360" s="297" t="n"/>
      <c r="K1360" s="297" t="n"/>
      <c r="L1360" s="513" t="n"/>
    </row>
    <row r="1361">
      <c r="A1361" s="297" t="n">
        <v>46007</v>
      </c>
      <c r="B1361" s="513" t="n">
        <v>12364</v>
      </c>
      <c r="C1361" s="513" t="n">
        <v>89.37</v>
      </c>
      <c r="D1361" s="513" t="n"/>
      <c r="E1361" s="513" t="n"/>
      <c r="F1361" s="513" t="n"/>
      <c r="G1361" s="513" t="n">
        <v>55</v>
      </c>
      <c r="H1361" s="98">
        <f>H1360-G1361</f>
        <v/>
      </c>
      <c r="I1361" s="297" t="n"/>
      <c r="J1361" s="297" t="n"/>
      <c r="K1361" s="297" t="n"/>
      <c r="L1361" s="513" t="n"/>
    </row>
    <row r="1362">
      <c r="A1362" s="297" t="n">
        <v>46007</v>
      </c>
      <c r="B1362" s="513" t="n">
        <v>12366</v>
      </c>
      <c r="C1362" s="513" t="n">
        <v>90</v>
      </c>
      <c r="D1362" s="513" t="n"/>
      <c r="E1362" s="513" t="n"/>
      <c r="F1362" s="513" t="n"/>
      <c r="G1362" s="513" t="n">
        <v>20</v>
      </c>
      <c r="H1362" s="98">
        <f>H1361-G1362</f>
        <v/>
      </c>
      <c r="I1362" s="297" t="n"/>
      <c r="J1362" s="297" t="n"/>
      <c r="K1362" s="297" t="n"/>
      <c r="L1362" s="513" t="n"/>
    </row>
    <row r="1363">
      <c r="A1363" s="297" t="n">
        <v>46008</v>
      </c>
      <c r="B1363" s="513" t="n">
        <v>12372</v>
      </c>
      <c r="C1363" s="513" t="n">
        <v>90</v>
      </c>
      <c r="D1363" s="513" t="n"/>
      <c r="E1363" s="513" t="n"/>
      <c r="F1363" s="513" t="n"/>
      <c r="G1363" s="513" t="n">
        <v>20</v>
      </c>
      <c r="H1363" s="98">
        <f>H1362-G1363</f>
        <v/>
      </c>
      <c r="I1363" s="297" t="n"/>
      <c r="J1363" s="297" t="n"/>
      <c r="K1363" s="297" t="n"/>
      <c r="L1363" s="513" t="n"/>
    </row>
    <row r="1364" ht="15.75" customHeight="1" s="436" thickBot="1"/>
    <row r="1365" ht="24" customHeight="1" s="436" thickBot="1">
      <c r="A1365" s="759" t="inlineStr">
        <is>
          <t>Janeiro</t>
        </is>
      </c>
      <c r="B1365" s="697" t="n"/>
      <c r="C1365" s="697" t="n"/>
      <c r="D1365" s="697" t="n"/>
      <c r="E1365" s="697" t="n"/>
      <c r="F1365" s="697" t="n"/>
      <c r="G1365" s="697" t="n"/>
      <c r="H1365" s="697" t="n"/>
      <c r="I1365" s="697" t="n"/>
      <c r="J1365" s="697" t="n"/>
      <c r="K1365" s="697" t="n"/>
      <c r="L1365" s="698" t="n"/>
    </row>
    <row r="1366" ht="24" customHeight="1" s="436" thickBot="1">
      <c r="A1366" s="759" t="inlineStr">
        <is>
          <t xml:space="preserve">  PRÉ MISTURA -  Pão Doce 25 KG</t>
        </is>
      </c>
      <c r="B1366" s="697" t="n"/>
      <c r="C1366" s="697" t="n"/>
      <c r="D1366" s="697" t="n"/>
      <c r="E1366" s="697" t="n"/>
      <c r="F1366" s="697" t="n"/>
      <c r="G1366" s="697" t="n"/>
      <c r="H1366" s="697" t="n"/>
      <c r="I1366" s="697" t="n"/>
      <c r="J1366" s="697" t="n"/>
      <c r="K1366" s="697" t="n"/>
      <c r="L1366" s="698" t="n"/>
    </row>
    <row r="1367">
      <c r="A1367" s="3" t="inlineStr">
        <is>
          <t>DATA</t>
        </is>
      </c>
      <c r="B1367" s="3" t="inlineStr">
        <is>
          <t>N.F.</t>
        </is>
      </c>
      <c r="C1367" s="3" t="inlineStr">
        <is>
          <t>TIPO</t>
        </is>
      </c>
      <c r="D1367" s="3" t="inlineStr">
        <is>
          <t>PREÇO UNITÁRIO</t>
        </is>
      </c>
      <c r="E1367" s="736" t="n"/>
      <c r="F1367" s="3" t="inlineStr">
        <is>
          <t>QUANTIDADE / KG</t>
        </is>
      </c>
      <c r="G1367" s="737" t="n"/>
      <c r="H1367" s="736" t="n"/>
      <c r="I1367" s="631" t="inlineStr">
        <is>
          <t>PREÇO</t>
        </is>
      </c>
      <c r="J1367" s="631" t="inlineStr">
        <is>
          <t>VALORES</t>
        </is>
      </c>
      <c r="K1367" s="737" t="n"/>
      <c r="L1367" s="736" t="n"/>
    </row>
    <row r="1368" ht="15.75" customHeight="1" s="436" thickBot="1">
      <c r="A1368" s="704" t="n"/>
      <c r="B1368" s="704" t="n"/>
      <c r="C1368" s="704" t="n"/>
      <c r="D1368" s="703" t="n"/>
      <c r="E1368" s="701" t="n"/>
      <c r="F1368" s="705" t="n"/>
      <c r="G1368" s="706" t="n"/>
      <c r="H1368" s="707" t="n"/>
      <c r="I1368" s="704" t="n"/>
      <c r="J1368" s="703" t="n"/>
      <c r="L1368" s="701" t="n"/>
    </row>
    <row r="1369" ht="15.75" customHeight="1" s="436" thickBot="1">
      <c r="A1369" s="704" t="n"/>
      <c r="B1369" s="704" t="n"/>
      <c r="C1369" s="704" t="n"/>
      <c r="D1369" s="705" t="n"/>
      <c r="E1369" s="707" t="n"/>
      <c r="F1369" s="3" t="inlineStr">
        <is>
          <t>ENTRADA</t>
        </is>
      </c>
      <c r="G1369" s="3" t="inlineStr">
        <is>
          <t>SAÍDA</t>
        </is>
      </c>
      <c r="H1369" s="640" t="n"/>
      <c r="I1369" s="633" t="inlineStr">
        <is>
          <t>MÉDIO</t>
        </is>
      </c>
      <c r="J1369" s="739" t="inlineStr">
        <is>
          <t>SALDO EM 30/12/2017</t>
        </is>
      </c>
      <c r="K1369" s="707" t="n"/>
      <c r="L1369" s="17" t="n"/>
    </row>
    <row r="1370" ht="15.75" customHeight="1" s="436" thickBot="1">
      <c r="A1370" s="695" t="n"/>
      <c r="B1370" s="695" t="n"/>
      <c r="C1370" s="695" t="n"/>
      <c r="D1370" s="3" t="inlineStr">
        <is>
          <t>C/ICMS</t>
        </is>
      </c>
      <c r="E1370" s="3" t="inlineStr">
        <is>
          <t>S/ICMS</t>
        </is>
      </c>
      <c r="F1370" s="695" t="n"/>
      <c r="G1370" s="695" t="n"/>
      <c r="H1370" s="361" t="inlineStr">
        <is>
          <t>Saldo em 31/12/2025</t>
        </is>
      </c>
      <c r="I1370" s="695" t="n"/>
      <c r="J1370" s="645" t="inlineStr">
        <is>
          <t>ENTRADA</t>
        </is>
      </c>
      <c r="K1370" s="633" t="inlineStr">
        <is>
          <t>SAÍDA / CMV</t>
        </is>
      </c>
      <c r="L1370" s="633" t="inlineStr">
        <is>
          <t>SALDO</t>
        </is>
      </c>
    </row>
    <row r="1371">
      <c r="A1371" s="297" t="n"/>
      <c r="B1371" s="297" t="n"/>
      <c r="C1371" s="297" t="n"/>
      <c r="D1371" s="297" t="n"/>
      <c r="E1371" s="297" t="n"/>
      <c r="F1371" s="297" t="n"/>
      <c r="G1371" s="297" t="n"/>
      <c r="H1371" s="98" t="n">
        <v>227</v>
      </c>
      <c r="I1371" s="297" t="n"/>
      <c r="J1371" s="297" t="n"/>
      <c r="K1371" s="297" t="n"/>
      <c r="L1371" s="513" t="n"/>
    </row>
    <row r="1372">
      <c r="A1372" s="297" t="n">
        <v>46025</v>
      </c>
      <c r="B1372" s="513" t="n">
        <v>12377</v>
      </c>
      <c r="C1372" s="513" t="n">
        <v>81.34</v>
      </c>
      <c r="D1372" s="513" t="n"/>
      <c r="E1372" s="513" t="n"/>
      <c r="F1372" s="513" t="n"/>
      <c r="G1372" s="513" t="n">
        <v>15</v>
      </c>
      <c r="H1372" s="98">
        <f>H1371-G1372</f>
        <v/>
      </c>
      <c r="I1372" s="297" t="n"/>
      <c r="J1372" s="297" t="n"/>
      <c r="K1372" s="297" t="n"/>
      <c r="L1372" s="513" t="n"/>
    </row>
    <row r="1373">
      <c r="A1373" s="297" t="n">
        <v>46028</v>
      </c>
      <c r="B1373" s="513" t="n">
        <v>12387</v>
      </c>
      <c r="C1373" s="513" t="n">
        <v>88</v>
      </c>
      <c r="D1373" s="513" t="n"/>
      <c r="E1373" s="513" t="n"/>
      <c r="F1373" s="513" t="n"/>
      <c r="G1373" s="513" t="n">
        <v>10</v>
      </c>
      <c r="H1373" s="98">
        <f>H1372-G1373</f>
        <v/>
      </c>
      <c r="I1373" s="297" t="n"/>
      <c r="J1373" s="297" t="n"/>
      <c r="K1373" s="297" t="n"/>
      <c r="L1373" s="513" t="n"/>
    </row>
    <row r="1374">
      <c r="A1374" s="297" t="n">
        <v>46043</v>
      </c>
      <c r="B1374" s="513" t="n">
        <v>12412</v>
      </c>
      <c r="C1374" s="513" t="n">
        <v>80</v>
      </c>
      <c r="D1374" s="513" t="n"/>
      <c r="E1374" s="513" t="n"/>
      <c r="F1374" s="513" t="n"/>
      <c r="G1374" s="513" t="n">
        <v>15</v>
      </c>
      <c r="H1374" s="98">
        <f>H1373-G1374</f>
        <v/>
      </c>
      <c r="I1374" s="297" t="n"/>
      <c r="J1374" s="297" t="n"/>
      <c r="K1374" s="297" t="n"/>
      <c r="L1374" s="513" t="n"/>
    </row>
    <row r="1375">
      <c r="A1375" s="297" t="n">
        <v>46043</v>
      </c>
      <c r="B1375" s="513" t="n">
        <v>12418</v>
      </c>
      <c r="C1375" s="513" t="n">
        <v>78.5</v>
      </c>
      <c r="D1375" s="513" t="n"/>
      <c r="E1375" s="513" t="n"/>
      <c r="F1375" s="513" t="n"/>
      <c r="G1375" s="513" t="n">
        <v>20</v>
      </c>
      <c r="H1375" s="98">
        <f>H1374-G1375</f>
        <v/>
      </c>
      <c r="I1375" s="297" t="n"/>
      <c r="J1375" s="297" t="n"/>
      <c r="K1375" s="297" t="n"/>
      <c r="L1375" s="513" t="n"/>
    </row>
    <row r="1376">
      <c r="A1376" s="297" t="n">
        <v>46043</v>
      </c>
      <c r="B1376" s="513" t="n">
        <v>12422</v>
      </c>
      <c r="C1376" s="513" t="n">
        <v>84</v>
      </c>
      <c r="D1376" s="513" t="n"/>
      <c r="E1376" s="513" t="n"/>
      <c r="F1376" s="513" t="n"/>
      <c r="G1376" s="513" t="n">
        <v>20</v>
      </c>
      <c r="H1376" s="98">
        <f>H1375-G1376</f>
        <v/>
      </c>
      <c r="I1376" s="297" t="n"/>
      <c r="J1376" s="297" t="n"/>
      <c r="K1376" s="297" t="n"/>
      <c r="L1376" s="513" t="n"/>
    </row>
    <row r="1377">
      <c r="A1377" s="297" t="n">
        <v>46050</v>
      </c>
      <c r="B1377" s="513" t="n">
        <v>12437</v>
      </c>
      <c r="C1377" s="513" t="n">
        <v>79.34</v>
      </c>
      <c r="D1377" s="513" t="n"/>
      <c r="E1377" s="513" t="n"/>
      <c r="F1377" s="513" t="n"/>
      <c r="G1377" s="513" t="n">
        <v>45</v>
      </c>
      <c r="H1377" s="98">
        <f>H1376-G1377</f>
        <v/>
      </c>
      <c r="I1377" s="297" t="n"/>
      <c r="J1377" s="297" t="n"/>
      <c r="K1377" s="297" t="n"/>
      <c r="L1377" s="513" t="n"/>
    </row>
    <row r="1378" ht="15.75" customHeight="1" s="436" thickBot="1"/>
    <row r="1379" ht="24" customHeight="1" s="436" thickBot="1">
      <c r="A1379" s="759" t="inlineStr">
        <is>
          <t>Fevereiro</t>
        </is>
      </c>
      <c r="B1379" s="697" t="n"/>
      <c r="C1379" s="697" t="n"/>
      <c r="D1379" s="697" t="n"/>
      <c r="E1379" s="697" t="n"/>
      <c r="F1379" s="697" t="n"/>
      <c r="G1379" s="697" t="n"/>
      <c r="H1379" s="697" t="n"/>
      <c r="I1379" s="697" t="n"/>
      <c r="J1379" s="697" t="n"/>
      <c r="K1379" s="697" t="n"/>
      <c r="L1379" s="698" t="n"/>
    </row>
    <row r="1380" ht="24" customHeight="1" s="436" thickBot="1">
      <c r="A1380" s="759" t="inlineStr">
        <is>
          <t xml:space="preserve">  PRÉ MISTURA -  Pão Doce 25 KG</t>
        </is>
      </c>
      <c r="B1380" s="697" t="n"/>
      <c r="C1380" s="697" t="n"/>
      <c r="D1380" s="697" t="n"/>
      <c r="E1380" s="697" t="n"/>
      <c r="F1380" s="697" t="n"/>
      <c r="G1380" s="697" t="n"/>
      <c r="H1380" s="697" t="n"/>
      <c r="I1380" s="697" t="n"/>
      <c r="J1380" s="697" t="n"/>
      <c r="K1380" s="697" t="n"/>
      <c r="L1380" s="698" t="n"/>
    </row>
    <row r="1381">
      <c r="A1381" s="3" t="inlineStr">
        <is>
          <t>DATA</t>
        </is>
      </c>
      <c r="B1381" s="3" t="inlineStr">
        <is>
          <t>N.F.</t>
        </is>
      </c>
      <c r="C1381" s="3" t="inlineStr">
        <is>
          <t>TIPO</t>
        </is>
      </c>
      <c r="D1381" s="3" t="inlineStr">
        <is>
          <t>PREÇO UNITÁRIO</t>
        </is>
      </c>
      <c r="E1381" s="736" t="n"/>
      <c r="F1381" s="3" t="inlineStr">
        <is>
          <t>QUANTIDADE / KG</t>
        </is>
      </c>
      <c r="G1381" s="737" t="n"/>
      <c r="H1381" s="736" t="n"/>
      <c r="I1381" s="631" t="inlineStr">
        <is>
          <t>PREÇO</t>
        </is>
      </c>
      <c r="J1381" s="631" t="inlineStr">
        <is>
          <t>VALORES</t>
        </is>
      </c>
      <c r="K1381" s="737" t="n"/>
      <c r="L1381" s="736" t="n"/>
    </row>
    <row r="1382" ht="15.75" customHeight="1" s="436" thickBot="1">
      <c r="A1382" s="704" t="n"/>
      <c r="B1382" s="704" t="n"/>
      <c r="C1382" s="704" t="n"/>
      <c r="D1382" s="703" t="n"/>
      <c r="E1382" s="701" t="n"/>
      <c r="F1382" s="705" t="n"/>
      <c r="G1382" s="706" t="n"/>
      <c r="H1382" s="707" t="n"/>
      <c r="I1382" s="704" t="n"/>
      <c r="J1382" s="703" t="n"/>
      <c r="L1382" s="701" t="n"/>
    </row>
    <row r="1383" ht="15.75" customHeight="1" s="436" thickBot="1">
      <c r="A1383" s="704" t="n"/>
      <c r="B1383" s="704" t="n"/>
      <c r="C1383" s="704" t="n"/>
      <c r="D1383" s="705" t="n"/>
      <c r="E1383" s="707" t="n"/>
      <c r="F1383" s="3" t="inlineStr">
        <is>
          <t>ENTRADA</t>
        </is>
      </c>
      <c r="G1383" s="3" t="inlineStr">
        <is>
          <t>SAÍDA</t>
        </is>
      </c>
      <c r="H1383" s="640" t="n"/>
      <c r="I1383" s="633" t="inlineStr">
        <is>
          <t>MÉDIO</t>
        </is>
      </c>
      <c r="J1383" s="739" t="inlineStr">
        <is>
          <t>SALDO EM 30/12/2017</t>
        </is>
      </c>
      <c r="K1383" s="707" t="n"/>
      <c r="L1383" s="17" t="n"/>
    </row>
    <row r="1384" ht="15.75" customHeight="1" s="436" thickBot="1">
      <c r="A1384" s="695" t="n"/>
      <c r="B1384" s="695" t="n"/>
      <c r="C1384" s="695" t="n"/>
      <c r="D1384" s="3" t="inlineStr">
        <is>
          <t>C/ICMS</t>
        </is>
      </c>
      <c r="E1384" s="3" t="inlineStr">
        <is>
          <t>S/ICMS</t>
        </is>
      </c>
      <c r="F1384" s="695" t="n"/>
      <c r="G1384" s="695" t="n"/>
      <c r="H1384" s="361" t="inlineStr">
        <is>
          <t>Saldo em 31/01/2026</t>
        </is>
      </c>
      <c r="I1384" s="695" t="n"/>
      <c r="J1384" s="645" t="inlineStr">
        <is>
          <t>ENTRADA</t>
        </is>
      </c>
      <c r="K1384" s="633" t="inlineStr">
        <is>
          <t>SAÍDA / CMV</t>
        </is>
      </c>
      <c r="L1384" s="633" t="inlineStr">
        <is>
          <t>SALDO</t>
        </is>
      </c>
    </row>
    <row r="1385">
      <c r="A1385" s="297" t="n"/>
      <c r="B1385" s="297" t="n"/>
      <c r="C1385" s="297" t="n"/>
      <c r="D1385" s="297" t="n"/>
      <c r="E1385" s="297" t="n"/>
      <c r="F1385" s="297" t="n"/>
      <c r="G1385" s="297" t="n"/>
      <c r="H1385" s="98" t="n">
        <v>102</v>
      </c>
      <c r="I1385" s="297" t="n"/>
      <c r="J1385" s="297" t="n"/>
      <c r="K1385" s="297" t="n"/>
      <c r="L1385" s="513" t="n"/>
    </row>
    <row r="1386">
      <c r="A1386" s="445" t="n">
        <v>46067</v>
      </c>
      <c r="B1386" s="445" t="n">
        <v>304297</v>
      </c>
      <c r="C1386" s="445" t="n"/>
      <c r="D1386" s="445" t="n">
        <v>150</v>
      </c>
      <c r="E1386" s="445" t="n"/>
      <c r="F1386" s="445" t="n"/>
      <c r="G1386" s="445" t="n"/>
      <c r="H1386" s="601" t="n">
        <v>252</v>
      </c>
      <c r="I1386" s="297" t="n"/>
      <c r="J1386" s="297" t="n"/>
      <c r="K1386" s="297" t="n"/>
      <c r="L1386" s="513" t="n"/>
    </row>
    <row r="1387">
      <c r="A1387" s="297" t="n">
        <v>46070</v>
      </c>
      <c r="B1387" s="513" t="n">
        <v>12473</v>
      </c>
      <c r="C1387" s="513" t="n">
        <v>89</v>
      </c>
      <c r="D1387" s="513" t="n"/>
      <c r="E1387" s="513" t="n"/>
      <c r="F1387" s="513" t="n"/>
      <c r="G1387" s="513" t="n">
        <v>30</v>
      </c>
      <c r="H1387" s="98">
        <f>H1386-G1387</f>
        <v/>
      </c>
      <c r="I1387" s="297" t="n"/>
      <c r="J1387" s="297" t="n"/>
      <c r="K1387" s="297" t="n"/>
      <c r="L1387" s="513" t="n"/>
    </row>
    <row r="1388">
      <c r="A1388" s="297" t="n">
        <v>46077</v>
      </c>
      <c r="B1388" s="513" t="n">
        <v>12490</v>
      </c>
      <c r="C1388" s="513" t="n">
        <v>77</v>
      </c>
      <c r="D1388" s="513" t="n"/>
      <c r="E1388" s="513" t="n"/>
      <c r="F1388" s="513" t="n"/>
      <c r="G1388" s="513" t="n">
        <v>50</v>
      </c>
      <c r="H1388" s="98">
        <f>H1387-G1388</f>
        <v/>
      </c>
      <c r="I1388" s="297" t="n"/>
      <c r="J1388" s="297" t="n"/>
      <c r="K1388" s="297" t="n"/>
      <c r="L1388" s="513" t="n"/>
    </row>
    <row r="1389">
      <c r="A1389" s="297" t="n">
        <v>46078</v>
      </c>
      <c r="B1389" s="513" t="n">
        <v>12491</v>
      </c>
      <c r="C1389" s="513" t="n">
        <v>76.34</v>
      </c>
      <c r="D1389" s="513" t="n"/>
      <c r="E1389" s="513" t="n"/>
      <c r="F1389" s="513" t="n"/>
      <c r="G1389" s="513" t="n">
        <v>30</v>
      </c>
      <c r="H1389" s="98">
        <f>H1388-G1389</f>
        <v/>
      </c>
      <c r="I1389" s="297" t="n"/>
      <c r="J1389" s="297" t="n"/>
      <c r="K1389" s="297" t="n"/>
      <c r="L1389" s="513" t="n"/>
    </row>
    <row r="1390" ht="15.75" customHeight="1" s="436" thickBot="1"/>
    <row r="1391" ht="24" customHeight="1" s="436" thickBot="1">
      <c r="A1391" s="759" t="inlineStr">
        <is>
          <t>Março</t>
        </is>
      </c>
      <c r="B1391" s="697" t="n"/>
      <c r="C1391" s="697" t="n"/>
      <c r="D1391" s="697" t="n"/>
      <c r="E1391" s="697" t="n"/>
      <c r="F1391" s="697" t="n"/>
      <c r="G1391" s="697" t="n"/>
      <c r="H1391" s="697" t="n"/>
      <c r="I1391" s="697" t="n"/>
      <c r="J1391" s="697" t="n"/>
      <c r="K1391" s="697" t="n"/>
      <c r="L1391" s="698" t="n"/>
    </row>
    <row r="1392" ht="24" customHeight="1" s="436" thickBot="1">
      <c r="A1392" s="759" t="inlineStr">
        <is>
          <t xml:space="preserve">  PRÉ MISTURA -  Pão Doce 25 KG</t>
        </is>
      </c>
      <c r="B1392" s="697" t="n"/>
      <c r="C1392" s="697" t="n"/>
      <c r="D1392" s="697" t="n"/>
      <c r="E1392" s="697" t="n"/>
      <c r="F1392" s="697" t="n"/>
      <c r="G1392" s="697" t="n"/>
      <c r="H1392" s="697" t="n"/>
      <c r="I1392" s="697" t="n"/>
      <c r="J1392" s="697" t="n"/>
      <c r="K1392" s="697" t="n"/>
      <c r="L1392" s="698" t="n"/>
    </row>
    <row r="1393">
      <c r="A1393" s="3" t="inlineStr">
        <is>
          <t>DATA</t>
        </is>
      </c>
      <c r="B1393" s="3" t="inlineStr">
        <is>
          <t>N.F.</t>
        </is>
      </c>
      <c r="C1393" s="3" t="inlineStr">
        <is>
          <t>TIPO</t>
        </is>
      </c>
      <c r="D1393" s="3" t="inlineStr">
        <is>
          <t>PREÇO UNITÁRIO</t>
        </is>
      </c>
      <c r="E1393" s="736" t="n"/>
      <c r="F1393" s="3" t="inlineStr">
        <is>
          <t>QUANTIDADE / KG</t>
        </is>
      </c>
      <c r="G1393" s="737" t="n"/>
      <c r="H1393" s="736" t="n"/>
      <c r="I1393" s="631" t="inlineStr">
        <is>
          <t>PREÇO</t>
        </is>
      </c>
      <c r="J1393" s="631" t="inlineStr">
        <is>
          <t>VALORES</t>
        </is>
      </c>
      <c r="K1393" s="737" t="n"/>
      <c r="L1393" s="736" t="n"/>
    </row>
    <row r="1394" ht="15.75" customHeight="1" s="436" thickBot="1">
      <c r="A1394" s="704" t="n"/>
      <c r="B1394" s="704" t="n"/>
      <c r="C1394" s="704" t="n"/>
      <c r="D1394" s="703" t="n"/>
      <c r="E1394" s="701" t="n"/>
      <c r="F1394" s="705" t="n"/>
      <c r="G1394" s="706" t="n"/>
      <c r="H1394" s="707" t="n"/>
      <c r="I1394" s="704" t="n"/>
      <c r="J1394" s="703" t="n"/>
      <c r="L1394" s="701" t="n"/>
    </row>
    <row r="1395" ht="15.75" customHeight="1" s="436" thickBot="1">
      <c r="A1395" s="704" t="n"/>
      <c r="B1395" s="704" t="n"/>
      <c r="C1395" s="704" t="n"/>
      <c r="D1395" s="705" t="n"/>
      <c r="E1395" s="707" t="n"/>
      <c r="F1395" s="3" t="inlineStr">
        <is>
          <t>ENTRADA</t>
        </is>
      </c>
      <c r="G1395" s="3" t="inlineStr">
        <is>
          <t>SAÍDA</t>
        </is>
      </c>
      <c r="H1395" s="640" t="n"/>
      <c r="I1395" s="633" t="inlineStr">
        <is>
          <t>MÉDIO</t>
        </is>
      </c>
      <c r="J1395" s="739" t="inlineStr">
        <is>
          <t>SALDO EM 30/12/2017</t>
        </is>
      </c>
      <c r="K1395" s="707" t="n"/>
      <c r="L1395" s="17" t="n"/>
    </row>
    <row r="1396" ht="15.75" customHeight="1" s="436" thickBot="1">
      <c r="A1396" s="695" t="n"/>
      <c r="B1396" s="695" t="n"/>
      <c r="C1396" s="695" t="n"/>
      <c r="D1396" s="3" t="inlineStr">
        <is>
          <t>C/ICMS</t>
        </is>
      </c>
      <c r="E1396" s="3" t="inlineStr">
        <is>
          <t>S/ICMS</t>
        </is>
      </c>
      <c r="F1396" s="695" t="n"/>
      <c r="G1396" s="695" t="n"/>
      <c r="H1396" s="361" t="inlineStr">
        <is>
          <t>Saldo em 28/02/2026</t>
        </is>
      </c>
      <c r="I1396" s="695" t="n"/>
      <c r="J1396" s="645" t="inlineStr">
        <is>
          <t>ENTRADA</t>
        </is>
      </c>
      <c r="K1396" s="633" t="inlineStr">
        <is>
          <t>SAÍDA / CMV</t>
        </is>
      </c>
      <c r="L1396" s="633" t="inlineStr">
        <is>
          <t>SALDO</t>
        </is>
      </c>
    </row>
    <row r="1397">
      <c r="A1397" s="297" t="n"/>
      <c r="B1397" s="297" t="n"/>
      <c r="C1397" s="297" t="n"/>
      <c r="D1397" s="297" t="n"/>
      <c r="E1397" s="297" t="n"/>
      <c r="F1397" s="297" t="n"/>
      <c r="G1397" s="297" t="n"/>
      <c r="H1397" s="98" t="n">
        <v>142</v>
      </c>
      <c r="I1397" s="297" t="n"/>
      <c r="J1397" s="297" t="n"/>
      <c r="K1397" s="297" t="n"/>
      <c r="L1397" s="513" t="n"/>
    </row>
    <row r="1398">
      <c r="A1398" s="297" t="n">
        <v>46083</v>
      </c>
      <c r="B1398" s="513" t="n">
        <v>12500</v>
      </c>
      <c r="C1398" s="513" t="n">
        <v>88</v>
      </c>
      <c r="D1398" s="513" t="n"/>
      <c r="E1398" s="513" t="n"/>
      <c r="F1398" s="513" t="n"/>
      <c r="G1398" s="513" t="n">
        <v>15</v>
      </c>
      <c r="H1398" s="98">
        <f>H1397-G1398</f>
        <v/>
      </c>
      <c r="I1398" s="297" t="n"/>
      <c r="J1398" s="297" t="n"/>
      <c r="K1398" s="297" t="n"/>
      <c r="L1398" s="513" t="n"/>
    </row>
    <row r="1399">
      <c r="A1399" s="297" t="n">
        <v>46084</v>
      </c>
      <c r="B1399" s="513" t="n">
        <v>12504</v>
      </c>
      <c r="C1399" s="513" t="n">
        <v>83.13</v>
      </c>
      <c r="D1399" s="513" t="n"/>
      <c r="E1399" s="513" t="n"/>
      <c r="F1399" s="513" t="n"/>
      <c r="G1399" s="513" t="n">
        <v>32</v>
      </c>
      <c r="H1399" s="98">
        <f>H1398-G1399</f>
        <v/>
      </c>
      <c r="I1399" s="297" t="n"/>
      <c r="J1399" s="297" t="n"/>
      <c r="K1399" s="297" t="n"/>
      <c r="L1399" s="513" t="n"/>
    </row>
    <row r="1400">
      <c r="A1400" s="297" t="n">
        <v>46090</v>
      </c>
      <c r="B1400" s="513" t="n">
        <v>12510</v>
      </c>
      <c r="C1400" s="513" t="n">
        <v>86.48999999999999</v>
      </c>
      <c r="D1400" s="513" t="n"/>
      <c r="E1400" s="513" t="n"/>
      <c r="F1400" s="513" t="n"/>
      <c r="G1400" s="513" t="n">
        <v>37</v>
      </c>
      <c r="H1400" s="98">
        <f>H1399-G1400</f>
        <v/>
      </c>
      <c r="I1400" s="297" t="n"/>
      <c r="J1400" s="297" t="n"/>
      <c r="K1400" s="297" t="n"/>
      <c r="L1400" s="513" t="n"/>
    </row>
    <row r="1401" ht="15.75" customHeight="1" s="436" thickBot="1"/>
    <row r="1402" ht="24" customHeight="1" s="436" thickBot="1">
      <c r="A1402" s="759" t="inlineStr">
        <is>
          <t>Abril</t>
        </is>
      </c>
      <c r="B1402" s="697" t="n"/>
      <c r="C1402" s="697" t="n"/>
      <c r="D1402" s="697" t="n"/>
      <c r="E1402" s="697" t="n"/>
      <c r="F1402" s="697" t="n"/>
      <c r="G1402" s="697" t="n"/>
      <c r="H1402" s="697" t="n"/>
      <c r="I1402" s="697" t="n"/>
      <c r="J1402" s="697" t="n"/>
      <c r="K1402" s="697" t="n"/>
      <c r="L1402" s="698" t="n"/>
    </row>
    <row r="1403" ht="24" customHeight="1" s="436" thickBot="1">
      <c r="A1403" s="759" t="inlineStr">
        <is>
          <t xml:space="preserve">  PRÉ MISTURA -  Pão Doce 25 KG</t>
        </is>
      </c>
      <c r="B1403" s="697" t="n"/>
      <c r="C1403" s="697" t="n"/>
      <c r="D1403" s="697" t="n"/>
      <c r="E1403" s="697" t="n"/>
      <c r="F1403" s="697" t="n"/>
      <c r="G1403" s="697" t="n"/>
      <c r="H1403" s="697" t="n"/>
      <c r="I1403" s="697" t="n"/>
      <c r="J1403" s="697" t="n"/>
      <c r="K1403" s="697" t="n"/>
      <c r="L1403" s="698" t="n"/>
    </row>
    <row r="1404">
      <c r="A1404" s="3" t="inlineStr">
        <is>
          <t>DATA</t>
        </is>
      </c>
      <c r="B1404" s="3" t="inlineStr">
        <is>
          <t>N.F.</t>
        </is>
      </c>
      <c r="C1404" s="3" t="inlineStr">
        <is>
          <t>TIPO</t>
        </is>
      </c>
      <c r="D1404" s="3" t="inlineStr">
        <is>
          <t>PREÇO UNITÁRIO</t>
        </is>
      </c>
      <c r="E1404" s="736" t="n"/>
      <c r="F1404" s="3" t="inlineStr">
        <is>
          <t>QUANTIDADE / KG</t>
        </is>
      </c>
      <c r="G1404" s="737" t="n"/>
      <c r="H1404" s="736" t="n"/>
      <c r="I1404" s="631" t="inlineStr">
        <is>
          <t>PREÇO</t>
        </is>
      </c>
      <c r="J1404" s="631" t="inlineStr">
        <is>
          <t>VALORES</t>
        </is>
      </c>
      <c r="K1404" s="737" t="n"/>
      <c r="L1404" s="736" t="n"/>
    </row>
    <row r="1405" ht="15.75" customHeight="1" s="436" thickBot="1">
      <c r="A1405" s="704" t="n"/>
      <c r="B1405" s="704" t="n"/>
      <c r="C1405" s="704" t="n"/>
      <c r="D1405" s="703" t="n"/>
      <c r="E1405" s="701" t="n"/>
      <c r="F1405" s="705" t="n"/>
      <c r="G1405" s="706" t="n"/>
      <c r="H1405" s="707" t="n"/>
      <c r="I1405" s="704" t="n"/>
      <c r="J1405" s="703" t="n"/>
      <c r="L1405" s="701" t="n"/>
    </row>
    <row r="1406" ht="15.75" customHeight="1" s="436" thickBot="1">
      <c r="A1406" s="704" t="n"/>
      <c r="B1406" s="704" t="n"/>
      <c r="C1406" s="704" t="n"/>
      <c r="D1406" s="705" t="n"/>
      <c r="E1406" s="707" t="n"/>
      <c r="F1406" s="3" t="inlineStr">
        <is>
          <t>ENTRADA</t>
        </is>
      </c>
      <c r="G1406" s="3" t="inlineStr">
        <is>
          <t>SAÍDA</t>
        </is>
      </c>
      <c r="H1406" s="640" t="n"/>
      <c r="I1406" s="633" t="inlineStr">
        <is>
          <t>MÉDIO</t>
        </is>
      </c>
      <c r="J1406" s="739" t="inlineStr">
        <is>
          <t>SALDO EM 30/12/2017</t>
        </is>
      </c>
      <c r="K1406" s="707" t="n"/>
      <c r="L1406" s="17" t="n"/>
    </row>
    <row r="1407" ht="15.75" customHeight="1" s="436" thickBot="1">
      <c r="A1407" s="695" t="n"/>
      <c r="B1407" s="695" t="n"/>
      <c r="C1407" s="695" t="n"/>
      <c r="D1407" s="3" t="inlineStr">
        <is>
          <t>C/ICMS</t>
        </is>
      </c>
      <c r="E1407" s="3" t="inlineStr">
        <is>
          <t>S/ICMS</t>
        </is>
      </c>
      <c r="F1407" s="695" t="n"/>
      <c r="G1407" s="695" t="n"/>
      <c r="H1407" s="361" t="inlineStr">
        <is>
          <t>Saldo em 31/03/2026</t>
        </is>
      </c>
      <c r="I1407" s="695" t="n"/>
      <c r="J1407" s="645" t="inlineStr">
        <is>
          <t>ENTRADA</t>
        </is>
      </c>
      <c r="K1407" s="633" t="inlineStr">
        <is>
          <t>SAÍDA / CMV</t>
        </is>
      </c>
      <c r="L1407" s="633" t="inlineStr">
        <is>
          <t>SALDO</t>
        </is>
      </c>
    </row>
    <row r="1408">
      <c r="A1408" s="297" t="n"/>
      <c r="B1408" s="297" t="n"/>
      <c r="C1408" s="297" t="n"/>
      <c r="D1408" s="297" t="n"/>
      <c r="E1408" s="297" t="n"/>
      <c r="F1408" s="297" t="n"/>
      <c r="G1408" s="297" t="n"/>
      <c r="H1408" s="98" t="n">
        <v>58</v>
      </c>
      <c r="I1408" s="297" t="n"/>
      <c r="J1408" s="297" t="n"/>
      <c r="K1408" s="297" t="n"/>
      <c r="L1408" s="513" t="n"/>
    </row>
    <row r="1409">
      <c r="A1409" s="297" t="n">
        <v>46118</v>
      </c>
      <c r="B1409" s="513" t="n">
        <v>12578</v>
      </c>
      <c r="C1409" s="513" t="n">
        <v>88</v>
      </c>
      <c r="D1409" s="513" t="n"/>
      <c r="E1409" s="513" t="n"/>
      <c r="F1409" s="513" t="n"/>
      <c r="G1409" s="513" t="n">
        <v>10</v>
      </c>
      <c r="H1409" s="98">
        <f>H1408-G1409</f>
        <v/>
      </c>
      <c r="I1409" s="297" t="n"/>
      <c r="J1409" s="297" t="n"/>
      <c r="K1409" s="297" t="n"/>
      <c r="L1409" s="513" t="n"/>
    </row>
    <row r="1410">
      <c r="A1410" s="297" t="n">
        <v>46132</v>
      </c>
      <c r="B1410" s="513" t="n">
        <v>12595</v>
      </c>
      <c r="C1410" s="513" t="n">
        <v>90</v>
      </c>
      <c r="D1410" s="513" t="n"/>
      <c r="E1410" s="513" t="n"/>
      <c r="F1410" s="513" t="n"/>
      <c r="G1410" s="513" t="n">
        <v>8</v>
      </c>
      <c r="H1410" s="98">
        <f>H1409-G1410</f>
        <v/>
      </c>
      <c r="I1410" s="297" t="n"/>
      <c r="J1410" s="297" t="n"/>
      <c r="K1410" s="297" t="n"/>
      <c r="L1410" s="513" t="n"/>
    </row>
    <row r="1411">
      <c r="A1411" s="297" t="n">
        <v>46132</v>
      </c>
      <c r="B1411" s="513" t="n">
        <v>12599</v>
      </c>
      <c r="C1411" s="513" t="n">
        <v>88</v>
      </c>
      <c r="D1411" s="513" t="n"/>
      <c r="E1411" s="513" t="n"/>
      <c r="F1411" s="513" t="n"/>
      <c r="G1411" s="513" t="n">
        <v>10</v>
      </c>
      <c r="H1411" s="98">
        <f>H1410-G1411</f>
        <v/>
      </c>
      <c r="I1411" s="297" t="n"/>
      <c r="J1411" s="297" t="n"/>
      <c r="K1411" s="297" t="n"/>
      <c r="L1411" s="513" t="n"/>
    </row>
    <row r="1412">
      <c r="A1412" s="297" t="n">
        <v>46141</v>
      </c>
      <c r="B1412" s="513" t="n">
        <v>12618</v>
      </c>
      <c r="C1412" s="513" t="n">
        <v>90</v>
      </c>
      <c r="D1412" s="513" t="n"/>
      <c r="E1412" s="513" t="n"/>
      <c r="F1412" s="513" t="n"/>
      <c r="G1412" s="513" t="n">
        <v>10</v>
      </c>
      <c r="H1412" s="98">
        <f>H1411-G1412</f>
        <v/>
      </c>
      <c r="I1412" s="297" t="n"/>
      <c r="J1412" s="297" t="n"/>
      <c r="K1412" s="297" t="n"/>
      <c r="L1412" s="513" t="n"/>
    </row>
    <row r="1413">
      <c r="A1413" s="310" t="n">
        <v>46126</v>
      </c>
      <c r="B1413" s="445" t="n">
        <v>307766</v>
      </c>
      <c r="C1413" s="445" t="n"/>
      <c r="D1413" s="445" t="n">
        <v>300</v>
      </c>
      <c r="E1413" s="445" t="n"/>
      <c r="F1413" s="445" t="n"/>
      <c r="G1413" s="445" t="n"/>
      <c r="H1413" s="277" t="n">
        <v>320</v>
      </c>
      <c r="I1413" s="297" t="n"/>
      <c r="J1413" s="297" t="n"/>
      <c r="K1413" s="297" t="n"/>
      <c r="L1413" s="513" t="n"/>
    </row>
    <row r="1414" ht="15.75" customHeight="1" s="436" thickBot="1"/>
    <row r="1415" ht="24" customHeight="1" s="436" thickBot="1">
      <c r="A1415" s="759" t="inlineStr">
        <is>
          <t>Maio</t>
        </is>
      </c>
      <c r="B1415" s="697" t="n"/>
      <c r="C1415" s="697" t="n"/>
      <c r="D1415" s="697" t="n"/>
      <c r="E1415" s="697" t="n"/>
      <c r="F1415" s="697" t="n"/>
      <c r="G1415" s="697" t="n"/>
      <c r="H1415" s="697" t="n"/>
      <c r="I1415" s="697" t="n"/>
      <c r="J1415" s="697" t="n"/>
      <c r="K1415" s="697" t="n"/>
      <c r="L1415" s="698" t="n"/>
    </row>
    <row r="1416" ht="24" customHeight="1" s="436" thickBot="1">
      <c r="A1416" s="759" t="inlineStr">
        <is>
          <t xml:space="preserve">  PRÉ MISTURA -  Pão Doce 25 KG</t>
        </is>
      </c>
      <c r="B1416" s="697" t="n"/>
      <c r="C1416" s="697" t="n"/>
      <c r="D1416" s="697" t="n"/>
      <c r="E1416" s="697" t="n"/>
      <c r="F1416" s="697" t="n"/>
      <c r="G1416" s="697" t="n"/>
      <c r="H1416" s="697" t="n"/>
      <c r="I1416" s="697" t="n"/>
      <c r="J1416" s="697" t="n"/>
      <c r="K1416" s="697" t="n"/>
      <c r="L1416" s="698" t="n"/>
    </row>
    <row r="1417">
      <c r="A1417" s="3" t="inlineStr">
        <is>
          <t>DATA</t>
        </is>
      </c>
      <c r="B1417" s="3" t="inlineStr">
        <is>
          <t>N.F.</t>
        </is>
      </c>
      <c r="C1417" s="3" t="inlineStr">
        <is>
          <t>TIPO</t>
        </is>
      </c>
      <c r="D1417" s="3" t="inlineStr">
        <is>
          <t>PREÇO UNITÁRIO</t>
        </is>
      </c>
      <c r="E1417" s="736" t="n"/>
      <c r="F1417" s="3" t="inlineStr">
        <is>
          <t>QUANTIDADE / KG</t>
        </is>
      </c>
      <c r="G1417" s="737" t="n"/>
      <c r="H1417" s="736" t="n"/>
      <c r="I1417" s="631" t="inlineStr">
        <is>
          <t>PREÇO</t>
        </is>
      </c>
      <c r="J1417" s="631" t="inlineStr">
        <is>
          <t>VALORES</t>
        </is>
      </c>
      <c r="K1417" s="737" t="n"/>
      <c r="L1417" s="736" t="n"/>
    </row>
    <row r="1418" ht="15.75" customHeight="1" s="436" thickBot="1">
      <c r="A1418" s="704" t="n"/>
      <c r="B1418" s="704" t="n"/>
      <c r="C1418" s="704" t="n"/>
      <c r="D1418" s="703" t="n"/>
      <c r="E1418" s="701" t="n"/>
      <c r="F1418" s="705" t="n"/>
      <c r="G1418" s="706" t="n"/>
      <c r="H1418" s="707" t="n"/>
      <c r="I1418" s="704" t="n"/>
      <c r="J1418" s="703" t="n"/>
      <c r="L1418" s="701" t="n"/>
    </row>
    <row r="1419" ht="15.75" customHeight="1" s="436" thickBot="1">
      <c r="A1419" s="704" t="n"/>
      <c r="B1419" s="704" t="n"/>
      <c r="C1419" s="704" t="n"/>
      <c r="D1419" s="705" t="n"/>
      <c r="E1419" s="707" t="n"/>
      <c r="F1419" s="3" t="inlineStr">
        <is>
          <t>ENTRADA</t>
        </is>
      </c>
      <c r="G1419" s="3" t="inlineStr">
        <is>
          <t>SAÍDA</t>
        </is>
      </c>
      <c r="H1419" s="640" t="n"/>
      <c r="I1419" s="633" t="inlineStr">
        <is>
          <t>MÉDIO</t>
        </is>
      </c>
      <c r="J1419" s="739" t="inlineStr">
        <is>
          <t>SALDO EM 30/12/2017</t>
        </is>
      </c>
      <c r="K1419" s="707" t="n"/>
      <c r="L1419" s="17" t="n"/>
    </row>
    <row r="1420" ht="15.75" customHeight="1" s="436" thickBot="1">
      <c r="A1420" s="695" t="n"/>
      <c r="B1420" s="695" t="n"/>
      <c r="C1420" s="695" t="n"/>
      <c r="D1420" s="3" t="inlineStr">
        <is>
          <t>C/ICMS</t>
        </is>
      </c>
      <c r="E1420" s="3" t="inlineStr">
        <is>
          <t>S/ICMS</t>
        </is>
      </c>
      <c r="F1420" s="695" t="n"/>
      <c r="G1420" s="695" t="n"/>
      <c r="H1420" s="361" t="inlineStr">
        <is>
          <t>Saldo em 30/04/2026</t>
        </is>
      </c>
      <c r="I1420" s="695" t="n"/>
      <c r="J1420" s="645" t="inlineStr">
        <is>
          <t>ENTRADA</t>
        </is>
      </c>
      <c r="K1420" s="633" t="inlineStr">
        <is>
          <t>SAÍDA / CMV</t>
        </is>
      </c>
      <c r="L1420" s="633" t="inlineStr">
        <is>
          <t>SALDO</t>
        </is>
      </c>
    </row>
    <row r="1421">
      <c r="A1421" s="297" t="n"/>
      <c r="B1421" s="297" t="n"/>
      <c r="C1421" s="297" t="n"/>
      <c r="D1421" s="297" t="n"/>
      <c r="E1421" s="297" t="n"/>
      <c r="F1421" s="297" t="n"/>
      <c r="G1421" s="297" t="n"/>
      <c r="H1421" s="98" t="n">
        <v>320</v>
      </c>
      <c r="I1421" s="297" t="n"/>
      <c r="J1421" s="297" t="n"/>
      <c r="K1421" s="297" t="n"/>
      <c r="L1421" s="513" t="n"/>
    </row>
    <row r="1422">
      <c r="A1422" s="297" t="n">
        <v>46148</v>
      </c>
      <c r="B1422" s="513" t="n">
        <v>12629</v>
      </c>
      <c r="C1422" s="513" t="n">
        <v>84.86</v>
      </c>
      <c r="D1422" s="513" t="n"/>
      <c r="E1422" s="513" t="n"/>
      <c r="F1422" s="513" t="n"/>
      <c r="G1422" s="513" t="n">
        <v>35</v>
      </c>
      <c r="H1422" s="98">
        <f>H1421-G1422</f>
        <v/>
      </c>
      <c r="I1422" s="297" t="n"/>
      <c r="J1422" s="297" t="n"/>
      <c r="K1422" s="297" t="n"/>
      <c r="L1422" s="513" t="n"/>
    </row>
    <row r="1423">
      <c r="A1423" s="297" t="n">
        <v>46155</v>
      </c>
      <c r="B1423" s="513" t="n">
        <v>12645</v>
      </c>
      <c r="C1423" s="513" t="n">
        <v>82</v>
      </c>
      <c r="D1423" s="513" t="n"/>
      <c r="E1423" s="513" t="n"/>
      <c r="F1423" s="513" t="n"/>
      <c r="G1423" s="513" t="n">
        <v>50</v>
      </c>
      <c r="H1423" s="98">
        <f>H1422-G1423</f>
        <v/>
      </c>
      <c r="I1423" s="297" t="n"/>
      <c r="J1423" s="297" t="n"/>
      <c r="K1423" s="297" t="n"/>
      <c r="L1423" s="513" t="n"/>
    </row>
    <row r="1424">
      <c r="A1424" s="297" t="n">
        <v>46160</v>
      </c>
      <c r="B1424" s="513" t="n">
        <v>12646</v>
      </c>
      <c r="C1424" s="513" t="n">
        <v>90</v>
      </c>
      <c r="D1424" s="513" t="n"/>
      <c r="E1424" s="513" t="n"/>
      <c r="F1424" s="513" t="n"/>
      <c r="G1424" s="513" t="n">
        <v>30</v>
      </c>
      <c r="H1424" s="98">
        <f>H1423-G1424</f>
        <v/>
      </c>
      <c r="I1424" s="297" t="n"/>
      <c r="J1424" s="297" t="n"/>
      <c r="K1424" s="297" t="n"/>
      <c r="L1424" s="513" t="n"/>
    </row>
    <row r="1425">
      <c r="A1425" s="297" t="n">
        <v>46162</v>
      </c>
      <c r="B1425" s="513" t="n">
        <v>12660</v>
      </c>
      <c r="C1425" s="513" t="n">
        <v>82</v>
      </c>
      <c r="D1425" s="513" t="n"/>
      <c r="E1425" s="513" t="n"/>
      <c r="F1425" s="513" t="n"/>
      <c r="G1425" s="513" t="n">
        <v>50</v>
      </c>
      <c r="H1425" s="98">
        <f>H1424-G1425</f>
        <v/>
      </c>
      <c r="I1425" s="297" t="n"/>
      <c r="J1425" s="297" t="n"/>
      <c r="K1425" s="297" t="n"/>
      <c r="L1425" s="513" t="n"/>
    </row>
    <row r="1426" ht="17.25" customHeight="1" s="436">
      <c r="A1426" s="297" t="n">
        <v>46164</v>
      </c>
      <c r="B1426" s="513" t="n">
        <v>12661</v>
      </c>
      <c r="C1426" s="513" t="n">
        <v>84.75</v>
      </c>
      <c r="D1426" s="513" t="n"/>
      <c r="E1426" s="513" t="n"/>
      <c r="F1426" s="513" t="n"/>
      <c r="G1426" s="513" t="n">
        <v>32</v>
      </c>
      <c r="H1426" s="610">
        <f>H1425-G1426</f>
        <v/>
      </c>
      <c r="I1426" s="297" t="n"/>
      <c r="J1426" s="297" t="n"/>
      <c r="K1426" s="297" t="n"/>
      <c r="L1426" s="513" t="n"/>
    </row>
    <row r="1427" ht="15.75" customHeight="1" s="436" thickBot="1"/>
    <row r="1428" ht="24" customHeight="1" s="436" thickBot="1">
      <c r="A1428" s="759" t="inlineStr">
        <is>
          <t>Junho</t>
        </is>
      </c>
      <c r="B1428" s="697" t="n"/>
      <c r="C1428" s="697" t="n"/>
      <c r="D1428" s="697" t="n"/>
      <c r="E1428" s="697" t="n"/>
      <c r="F1428" s="697" t="n"/>
      <c r="G1428" s="697" t="n"/>
      <c r="H1428" s="697" t="n"/>
      <c r="I1428" s="697" t="n"/>
      <c r="J1428" s="697" t="n"/>
      <c r="K1428" s="697" t="n"/>
      <c r="L1428" s="698" t="n"/>
    </row>
    <row r="1429" ht="24" customHeight="1" s="436" thickBot="1">
      <c r="A1429" s="759" t="inlineStr">
        <is>
          <t xml:space="preserve">  PRÉ MISTURA -  Pão Doce 25 KG</t>
        </is>
      </c>
      <c r="B1429" s="697" t="n"/>
      <c r="C1429" s="697" t="n"/>
      <c r="D1429" s="697" t="n"/>
      <c r="E1429" s="697" t="n"/>
      <c r="F1429" s="697" t="n"/>
      <c r="G1429" s="697" t="n"/>
      <c r="H1429" s="697" t="n"/>
      <c r="I1429" s="697" t="n"/>
      <c r="J1429" s="697" t="n"/>
      <c r="K1429" s="697" t="n"/>
      <c r="L1429" s="698" t="n"/>
    </row>
    <row r="1430">
      <c r="A1430" s="3" t="inlineStr">
        <is>
          <t>DATA</t>
        </is>
      </c>
      <c r="B1430" s="3" t="inlineStr">
        <is>
          <t>N.F.</t>
        </is>
      </c>
      <c r="C1430" s="3" t="inlineStr">
        <is>
          <t>TIPO</t>
        </is>
      </c>
      <c r="D1430" s="3" t="inlineStr">
        <is>
          <t>PREÇO UNITÁRIO</t>
        </is>
      </c>
      <c r="E1430" s="736" t="n"/>
      <c r="F1430" s="3" t="inlineStr">
        <is>
          <t>QUANTIDADE / KG</t>
        </is>
      </c>
      <c r="G1430" s="737" t="n"/>
      <c r="H1430" s="736" t="n"/>
      <c r="I1430" s="631" t="inlineStr">
        <is>
          <t>PREÇO</t>
        </is>
      </c>
      <c r="J1430" s="631" t="inlineStr">
        <is>
          <t>VALORES</t>
        </is>
      </c>
      <c r="K1430" s="737" t="n"/>
      <c r="L1430" s="736" t="n"/>
    </row>
    <row r="1431" ht="15.75" customHeight="1" s="436" thickBot="1">
      <c r="A1431" s="704" t="n"/>
      <c r="B1431" s="704" t="n"/>
      <c r="C1431" s="704" t="n"/>
      <c r="D1431" s="703" t="n"/>
      <c r="E1431" s="701" t="n"/>
      <c r="F1431" s="705" t="n"/>
      <c r="G1431" s="706" t="n"/>
      <c r="H1431" s="707" t="n"/>
      <c r="I1431" s="704" t="n"/>
      <c r="J1431" s="703" t="n"/>
      <c r="L1431" s="701" t="n"/>
    </row>
    <row r="1432" ht="15.75" customHeight="1" s="436" thickBot="1">
      <c r="A1432" s="704" t="n"/>
      <c r="B1432" s="704" t="n"/>
      <c r="C1432" s="704" t="n"/>
      <c r="D1432" s="705" t="n"/>
      <c r="E1432" s="707" t="n"/>
      <c r="F1432" s="3" t="inlineStr">
        <is>
          <t>ENTRADA</t>
        </is>
      </c>
      <c r="G1432" s="3" t="inlineStr">
        <is>
          <t>SAÍDA</t>
        </is>
      </c>
      <c r="H1432" s="640" t="n"/>
      <c r="I1432" s="633" t="inlineStr">
        <is>
          <t>MÉDIO</t>
        </is>
      </c>
      <c r="J1432" s="739" t="inlineStr">
        <is>
          <t>SALDO EM 30/12/2017</t>
        </is>
      </c>
      <c r="K1432" s="707" t="n"/>
      <c r="L1432" s="17" t="n"/>
    </row>
    <row r="1433" ht="15.75" customHeight="1" s="436" thickBot="1">
      <c r="A1433" s="695" t="n"/>
      <c r="B1433" s="695" t="n"/>
      <c r="C1433" s="695" t="n"/>
      <c r="D1433" s="3" t="inlineStr">
        <is>
          <t>C/ICMS</t>
        </is>
      </c>
      <c r="E1433" s="3" t="inlineStr">
        <is>
          <t>S/ICMS</t>
        </is>
      </c>
      <c r="F1433" s="695" t="n"/>
      <c r="G1433" s="695" t="n"/>
      <c r="H1433" s="361" t="inlineStr">
        <is>
          <t>Saldo em 31/05/2026</t>
        </is>
      </c>
      <c r="I1433" s="695" t="n"/>
      <c r="J1433" s="645" t="inlineStr">
        <is>
          <t>ENTRADA</t>
        </is>
      </c>
      <c r="K1433" s="633" t="inlineStr">
        <is>
          <t>SAÍDA / CMV</t>
        </is>
      </c>
      <c r="L1433" s="633" t="inlineStr">
        <is>
          <t>SALDO</t>
        </is>
      </c>
    </row>
    <row r="1434">
      <c r="A1434" s="297" t="n"/>
      <c r="B1434" s="297" t="n"/>
      <c r="C1434" s="297" t="n"/>
      <c r="D1434" s="297" t="n"/>
      <c r="E1434" s="297" t="n"/>
      <c r="F1434" s="297" t="n"/>
      <c r="G1434" s="297" t="n"/>
      <c r="H1434" s="98" t="n">
        <v>123</v>
      </c>
      <c r="I1434" s="297" t="n"/>
      <c r="J1434" s="297" t="n"/>
      <c r="K1434" s="297" t="n"/>
      <c r="L1434" s="513" t="n"/>
    </row>
    <row r="1435">
      <c r="A1435" s="297" t="n">
        <v>46176</v>
      </c>
      <c r="B1435" s="513" t="n">
        <v>12686</v>
      </c>
      <c r="C1435" s="513" t="n">
        <v>80</v>
      </c>
      <c r="D1435" s="513" t="n"/>
      <c r="E1435" s="513" t="n"/>
      <c r="F1435" s="513" t="n"/>
      <c r="G1435" s="513" t="n">
        <v>20</v>
      </c>
      <c r="H1435" s="98">
        <f>H1434-G1435</f>
        <v/>
      </c>
      <c r="I1435" s="297" t="n"/>
      <c r="J1435" s="297" t="n"/>
      <c r="K1435" s="297" t="n"/>
      <c r="L1435" s="513" t="n"/>
    </row>
    <row r="1436">
      <c r="A1436" s="297" t="n">
        <v>46182</v>
      </c>
      <c r="B1436" s="513" t="n">
        <v>12694</v>
      </c>
      <c r="C1436" s="513" t="n">
        <v>89</v>
      </c>
      <c r="D1436" s="513" t="n"/>
      <c r="E1436" s="513" t="n"/>
      <c r="F1436" s="513" t="n"/>
      <c r="G1436" s="513" t="n">
        <v>36</v>
      </c>
      <c r="H1436" s="98">
        <f>H1435-G1436</f>
        <v/>
      </c>
      <c r="I1436" s="297" t="n"/>
      <c r="J1436" s="297" t="n"/>
      <c r="K1436" s="297" t="n"/>
      <c r="L1436" s="513" t="n"/>
    </row>
    <row r="1437">
      <c r="A1437" s="297" t="n">
        <v>46190</v>
      </c>
      <c r="B1437" s="513" t="n">
        <v>12718</v>
      </c>
      <c r="C1437" s="513" t="n">
        <v>90</v>
      </c>
      <c r="D1437" s="513" t="n"/>
      <c r="E1437" s="513" t="n"/>
      <c r="F1437" s="513" t="n"/>
      <c r="G1437" s="513" t="n">
        <v>15</v>
      </c>
      <c r="H1437" s="98">
        <f>H1436-G1437</f>
        <v/>
      </c>
      <c r="I1437" s="297" t="n"/>
      <c r="J1437" s="297" t="n"/>
      <c r="K1437" s="297" t="n"/>
      <c r="L1437" s="513" t="n"/>
    </row>
    <row r="1438">
      <c r="A1438" s="297" t="n">
        <v>46200</v>
      </c>
      <c r="B1438" s="513" t="n">
        <v>12725</v>
      </c>
      <c r="C1438" s="513" t="n">
        <v>84</v>
      </c>
      <c r="D1438" s="513" t="n"/>
      <c r="E1438" s="513" t="n"/>
      <c r="F1438" s="513" t="n"/>
      <c r="G1438" s="513" t="n">
        <v>20</v>
      </c>
      <c r="H1438" s="98">
        <f>H1437-G1438</f>
        <v/>
      </c>
      <c r="I1438" s="297" t="n"/>
      <c r="J1438" s="297" t="n"/>
      <c r="K1438" s="297" t="n"/>
      <c r="L1438" s="513" t="n"/>
    </row>
    <row r="1439" ht="15.75" customHeight="1" s="436" thickBot="1"/>
    <row r="1440" ht="24" customHeight="1" s="436" thickBot="1">
      <c r="A1440" s="759" t="inlineStr">
        <is>
          <t>Julho</t>
        </is>
      </c>
      <c r="B1440" s="697" t="n"/>
      <c r="C1440" s="697" t="n"/>
      <c r="D1440" s="697" t="n"/>
      <c r="E1440" s="697" t="n"/>
      <c r="F1440" s="697" t="n"/>
      <c r="G1440" s="697" t="n"/>
      <c r="H1440" s="697" t="n"/>
      <c r="I1440" s="697" t="n"/>
      <c r="J1440" s="697" t="n"/>
      <c r="K1440" s="697" t="n"/>
      <c r="L1440" s="698" t="n"/>
    </row>
    <row r="1441" ht="24" customHeight="1" s="436" thickBot="1">
      <c r="A1441" s="759" t="inlineStr">
        <is>
          <t xml:space="preserve">  PRÉ MISTURA -  Pão Doce 25 KG</t>
        </is>
      </c>
      <c r="B1441" s="697" t="n"/>
      <c r="C1441" s="697" t="n"/>
      <c r="D1441" s="697" t="n"/>
      <c r="E1441" s="697" t="n"/>
      <c r="F1441" s="697" t="n"/>
      <c r="G1441" s="697" t="n"/>
      <c r="H1441" s="697" t="n"/>
      <c r="I1441" s="697" t="n"/>
      <c r="J1441" s="697" t="n"/>
      <c r="K1441" s="697" t="n"/>
      <c r="L1441" s="698" t="n"/>
    </row>
    <row r="1442">
      <c r="A1442" s="3" t="inlineStr">
        <is>
          <t>DATA</t>
        </is>
      </c>
      <c r="B1442" s="3" t="inlineStr">
        <is>
          <t>N.F.</t>
        </is>
      </c>
      <c r="C1442" s="3" t="inlineStr">
        <is>
          <t>TIPO</t>
        </is>
      </c>
      <c r="D1442" s="3" t="inlineStr">
        <is>
          <t>PREÇO UNITÁRIO</t>
        </is>
      </c>
      <c r="E1442" s="736" t="n"/>
      <c r="F1442" s="3" t="inlineStr">
        <is>
          <t>QUANTIDADE / KG</t>
        </is>
      </c>
      <c r="G1442" s="737" t="n"/>
      <c r="H1442" s="736" t="n"/>
      <c r="I1442" s="631" t="inlineStr">
        <is>
          <t>PREÇO</t>
        </is>
      </c>
      <c r="J1442" s="631" t="inlineStr">
        <is>
          <t>VALORES</t>
        </is>
      </c>
      <c r="K1442" s="737" t="n"/>
      <c r="L1442" s="736" t="n"/>
    </row>
    <row r="1443" ht="15.75" customHeight="1" s="436" thickBot="1">
      <c r="A1443" s="704" t="n"/>
      <c r="B1443" s="704" t="n"/>
      <c r="C1443" s="704" t="n"/>
      <c r="D1443" s="703" t="n"/>
      <c r="E1443" s="701" t="n"/>
      <c r="F1443" s="705" t="n"/>
      <c r="G1443" s="706" t="n"/>
      <c r="H1443" s="707" t="n"/>
      <c r="I1443" s="704" t="n"/>
      <c r="J1443" s="703" t="n"/>
      <c r="L1443" s="701" t="n"/>
    </row>
    <row r="1444" ht="15.75" customHeight="1" s="436" thickBot="1">
      <c r="A1444" s="704" t="n"/>
      <c r="B1444" s="704" t="n"/>
      <c r="C1444" s="704" t="n"/>
      <c r="D1444" s="705" t="n"/>
      <c r="E1444" s="707" t="n"/>
      <c r="F1444" s="3" t="inlineStr">
        <is>
          <t>ENTRADA</t>
        </is>
      </c>
      <c r="G1444" s="3" t="inlineStr">
        <is>
          <t>SAÍDA</t>
        </is>
      </c>
      <c r="H1444" s="640" t="n"/>
      <c r="I1444" s="633" t="inlineStr">
        <is>
          <t>MÉDIO</t>
        </is>
      </c>
      <c r="J1444" s="739" t="inlineStr">
        <is>
          <t>SALDO EM 30/12/2017</t>
        </is>
      </c>
      <c r="K1444" s="707" t="n"/>
      <c r="L1444" s="17" t="n"/>
    </row>
    <row r="1445" ht="15.75" customHeight="1" s="436" thickBot="1">
      <c r="A1445" s="695" t="n"/>
      <c r="B1445" s="695" t="n"/>
      <c r="C1445" s="695" t="n"/>
      <c r="D1445" s="3" t="inlineStr">
        <is>
          <t>C/ICMS</t>
        </is>
      </c>
      <c r="E1445" s="3" t="inlineStr">
        <is>
          <t>S/ICMS</t>
        </is>
      </c>
      <c r="F1445" s="695" t="n"/>
      <c r="G1445" s="695" t="n"/>
      <c r="H1445" s="361" t="n">
        <v>32</v>
      </c>
      <c r="I1445" s="695" t="n"/>
      <c r="J1445" s="645" t="inlineStr">
        <is>
          <t>ENTRADA</t>
        </is>
      </c>
      <c r="K1445" s="633" t="inlineStr">
        <is>
          <t>SAÍDA / CMV</t>
        </is>
      </c>
      <c r="L1445" s="633" t="inlineStr">
        <is>
          <t>SALDO</t>
        </is>
      </c>
    </row>
    <row r="1446">
      <c r="A1446" s="297" t="n"/>
      <c r="B1446" s="297" t="n"/>
      <c r="C1446" s="297" t="n"/>
      <c r="D1446" s="297" t="n"/>
      <c r="E1446" s="297" t="n"/>
      <c r="F1446" s="297" t="n"/>
      <c r="G1446" s="297" t="n"/>
      <c r="H1446" s="98" t="n">
        <v>32</v>
      </c>
      <c r="I1446" s="297" t="n"/>
      <c r="J1446" s="297" t="n"/>
      <c r="K1446" s="297" t="n"/>
      <c r="L1446" s="513" t="n"/>
    </row>
    <row r="1447">
      <c r="A1447" s="297" t="n">
        <v>46204</v>
      </c>
      <c r="B1447" s="513" t="n">
        <v>12736</v>
      </c>
      <c r="C1447" s="513" t="n">
        <v>84.8</v>
      </c>
      <c r="D1447" s="513" t="n"/>
      <c r="E1447" s="513" t="n"/>
      <c r="F1447" s="513" t="n"/>
      <c r="G1447" s="513" t="n">
        <v>30</v>
      </c>
      <c r="H1447" s="98">
        <f>H1446-G1447</f>
        <v/>
      </c>
      <c r="I1447" s="297" t="n"/>
      <c r="J1447" s="297" t="n"/>
      <c r="K1447" s="297" t="n"/>
      <c r="L1447" s="513" t="n"/>
    </row>
    <row r="1448">
      <c r="A1448" s="297" t="n">
        <v>46209</v>
      </c>
      <c r="B1448" s="513" t="n">
        <v>12744</v>
      </c>
      <c r="C1448" s="513" t="n">
        <v>90</v>
      </c>
      <c r="D1448" s="513" t="n"/>
      <c r="E1448" s="513" t="n"/>
      <c r="F1448" s="513" t="n"/>
      <c r="G1448" s="513" t="n">
        <v>30</v>
      </c>
      <c r="H1448" s="98">
        <f>H1447-G1448</f>
        <v/>
      </c>
      <c r="I1448" s="297" t="n"/>
      <c r="J1448" s="297" t="n"/>
      <c r="K1448" s="297" t="n"/>
      <c r="L1448" s="513" t="n"/>
    </row>
    <row r="1449">
      <c r="A1449" s="297" t="n">
        <v>46209</v>
      </c>
      <c r="B1449" s="513" t="n">
        <v>12747</v>
      </c>
      <c r="C1449" s="513" t="n">
        <v>90</v>
      </c>
      <c r="D1449" s="513" t="n"/>
      <c r="E1449" s="513" t="n"/>
      <c r="F1449" s="513" t="n"/>
      <c r="G1449" s="513" t="n">
        <v>10</v>
      </c>
      <c r="H1449" s="98">
        <f>H1448-G1449</f>
        <v/>
      </c>
      <c r="I1449" s="297" t="n"/>
      <c r="J1449" s="297" t="n"/>
      <c r="K1449" s="297" t="n"/>
      <c r="L1449" s="513" t="n"/>
    </row>
    <row r="1450">
      <c r="A1450" s="297" t="n">
        <v>46209</v>
      </c>
      <c r="B1450" s="513" t="n">
        <v>12748</v>
      </c>
      <c r="C1450" s="513" t="n">
        <v>90</v>
      </c>
      <c r="D1450" s="513" t="n"/>
      <c r="E1450" s="513" t="n"/>
      <c r="F1450" s="513" t="n"/>
      <c r="G1450" s="513" t="n">
        <v>15</v>
      </c>
      <c r="H1450" s="98">
        <f>H1449-G1450</f>
        <v/>
      </c>
      <c r="I1450" s="297" t="n"/>
      <c r="J1450" s="297" t="n"/>
      <c r="K1450" s="297" t="n"/>
      <c r="L1450" s="513" t="n"/>
    </row>
    <row r="1451">
      <c r="A1451" s="310" t="n">
        <v>46232</v>
      </c>
      <c r="B1451" s="445" t="n">
        <v>312968</v>
      </c>
      <c r="C1451" s="445" t="n">
        <v>73.90000000000001</v>
      </c>
      <c r="D1451" s="445" t="n">
        <v>300</v>
      </c>
      <c r="E1451" s="445" t="n"/>
      <c r="F1451" s="445" t="n"/>
      <c r="G1451" s="445" t="n"/>
      <c r="H1451" s="277" t="n">
        <v>247</v>
      </c>
      <c r="I1451" s="297" t="n"/>
      <c r="J1451" s="297" t="n"/>
      <c r="K1451" s="297" t="n"/>
      <c r="L1451" s="513" t="n"/>
    </row>
    <row r="1452">
      <c r="A1452" s="297" t="n"/>
      <c r="B1452" s="513" t="n"/>
      <c r="C1452" s="513" t="n"/>
      <c r="D1452" s="513" t="n"/>
      <c r="E1452" s="513" t="n"/>
      <c r="F1452" s="513" t="n"/>
      <c r="G1452" s="513" t="n"/>
      <c r="H1452" s="98" t="n"/>
      <c r="I1452" s="297" t="n"/>
      <c r="J1452" s="297" t="n"/>
      <c r="K1452" s="297" t="n"/>
      <c r="L1452" s="513" t="n"/>
    </row>
    <row r="1453" ht="15.75" customHeight="1" s="436" thickBot="1"/>
    <row r="1454" ht="24" customHeight="1" s="436" thickBot="1">
      <c r="A1454" s="759" t="inlineStr">
        <is>
          <t>Agosto</t>
        </is>
      </c>
      <c r="B1454" s="697" t="n"/>
      <c r="C1454" s="697" t="n"/>
      <c r="D1454" s="697" t="n"/>
      <c r="E1454" s="697" t="n"/>
      <c r="F1454" s="697" t="n"/>
      <c r="G1454" s="697" t="n"/>
      <c r="H1454" s="697" t="n"/>
      <c r="I1454" s="697" t="n"/>
      <c r="J1454" s="697" t="n"/>
      <c r="K1454" s="697" t="n"/>
      <c r="L1454" s="698" t="n"/>
    </row>
    <row r="1455" ht="24" customHeight="1" s="436" thickBot="1">
      <c r="A1455" s="759" t="inlineStr">
        <is>
          <t xml:space="preserve">  PRÉ MISTURA -  Pão Doce 25 KG</t>
        </is>
      </c>
      <c r="B1455" s="697" t="n"/>
      <c r="C1455" s="697" t="n"/>
      <c r="D1455" s="697" t="n"/>
      <c r="E1455" s="697" t="n"/>
      <c r="F1455" s="697" t="n"/>
      <c r="G1455" s="697" t="n"/>
      <c r="H1455" s="697" t="n"/>
      <c r="I1455" s="697" t="n"/>
      <c r="J1455" s="697" t="n"/>
      <c r="K1455" s="697" t="n"/>
      <c r="L1455" s="698" t="n"/>
    </row>
    <row r="1456">
      <c r="A1456" s="3" t="inlineStr">
        <is>
          <t>DATA</t>
        </is>
      </c>
      <c r="B1456" s="3" t="inlineStr">
        <is>
          <t>N.F.</t>
        </is>
      </c>
      <c r="C1456" s="3" t="inlineStr">
        <is>
          <t>TIPO</t>
        </is>
      </c>
      <c r="D1456" s="3" t="inlineStr">
        <is>
          <t>PREÇO UNITÁRIO</t>
        </is>
      </c>
      <c r="E1456" s="736" t="n"/>
      <c r="F1456" s="3" t="inlineStr">
        <is>
          <t>QUANTIDADE / KG</t>
        </is>
      </c>
      <c r="G1456" s="737" t="n"/>
      <c r="H1456" s="736" t="n"/>
      <c r="I1456" s="631" t="inlineStr">
        <is>
          <t>PREÇO</t>
        </is>
      </c>
      <c r="J1456" s="631" t="inlineStr">
        <is>
          <t>VALORES</t>
        </is>
      </c>
      <c r="K1456" s="737" t="n"/>
      <c r="L1456" s="736" t="n"/>
    </row>
    <row r="1457" ht="15.75" customHeight="1" s="436" thickBot="1">
      <c r="A1457" s="704" t="n"/>
      <c r="B1457" s="704" t="n"/>
      <c r="C1457" s="704" t="n"/>
      <c r="D1457" s="703" t="n"/>
      <c r="E1457" s="701" t="n"/>
      <c r="F1457" s="705" t="n"/>
      <c r="G1457" s="706" t="n"/>
      <c r="H1457" s="707" t="n"/>
      <c r="I1457" s="704" t="n"/>
      <c r="J1457" s="703" t="n"/>
      <c r="L1457" s="701" t="n"/>
    </row>
    <row r="1458" ht="15.75" customHeight="1" s="436" thickBot="1">
      <c r="A1458" s="704" t="n"/>
      <c r="B1458" s="704" t="n"/>
      <c r="C1458" s="704" t="n"/>
      <c r="D1458" s="705" t="n"/>
      <c r="E1458" s="707" t="n"/>
      <c r="F1458" s="3" t="inlineStr">
        <is>
          <t>ENTRADA</t>
        </is>
      </c>
      <c r="G1458" s="3" t="inlineStr">
        <is>
          <t>SAÍDA</t>
        </is>
      </c>
      <c r="H1458" s="640" t="n"/>
      <c r="I1458" s="633" t="inlineStr">
        <is>
          <t>MÉDIO</t>
        </is>
      </c>
      <c r="J1458" s="739" t="inlineStr">
        <is>
          <t>SALDO EM 30/12/2017</t>
        </is>
      </c>
      <c r="K1458" s="707" t="n"/>
      <c r="L1458" s="17" t="n"/>
    </row>
    <row r="1459" ht="15.75" customHeight="1" s="436" thickBot="1">
      <c r="A1459" s="695" t="n"/>
      <c r="B1459" s="695" t="n"/>
      <c r="C1459" s="695" t="n"/>
      <c r="D1459" s="3" t="inlineStr">
        <is>
          <t>C/ICMS</t>
        </is>
      </c>
      <c r="E1459" s="3" t="inlineStr">
        <is>
          <t>S/ICMS</t>
        </is>
      </c>
      <c r="F1459" s="695" t="n"/>
      <c r="G1459" s="695" t="n"/>
      <c r="H1459" s="361" t="inlineStr">
        <is>
          <t>Saldo em 31/07/2026</t>
        </is>
      </c>
      <c r="I1459" s="695" t="n"/>
      <c r="J1459" s="645" t="inlineStr">
        <is>
          <t>ENTRADA</t>
        </is>
      </c>
      <c r="K1459" s="633" t="inlineStr">
        <is>
          <t>SAÍDA / CMV</t>
        </is>
      </c>
      <c r="L1459" s="633" t="inlineStr">
        <is>
          <t>SALDO</t>
        </is>
      </c>
    </row>
    <row r="1460">
      <c r="A1460" s="297" t="n"/>
      <c r="B1460" s="297" t="n"/>
      <c r="C1460" s="297" t="n"/>
      <c r="D1460" s="297" t="n"/>
      <c r="E1460" s="297" t="n"/>
      <c r="F1460" s="297" t="n"/>
      <c r="G1460" s="297" t="n"/>
      <c r="H1460" s="98" t="n">
        <v>247</v>
      </c>
      <c r="I1460" s="297" t="n"/>
      <c r="J1460" s="297" t="n"/>
      <c r="K1460" s="297" t="n"/>
      <c r="L1460" s="513" t="n"/>
    </row>
    <row r="1461">
      <c r="A1461" s="297" t="n">
        <v>46237</v>
      </c>
      <c r="B1461" s="513" t="n">
        <v>12794</v>
      </c>
      <c r="C1461" s="513" t="n">
        <v>88.05</v>
      </c>
      <c r="D1461" s="513" t="n"/>
      <c r="E1461" s="513" t="n"/>
      <c r="F1461" s="513" t="n"/>
      <c r="G1461" s="513" t="n">
        <v>37</v>
      </c>
      <c r="H1461" s="98">
        <f>H1460-G1461</f>
        <v/>
      </c>
      <c r="I1461" s="297" t="n"/>
      <c r="J1461" s="297" t="n"/>
      <c r="K1461" s="297" t="n"/>
      <c r="L1461" s="513" t="n"/>
    </row>
    <row r="1462">
      <c r="A1462" s="297" t="n">
        <v>46244</v>
      </c>
      <c r="B1462" s="513" t="n">
        <v>12811</v>
      </c>
      <c r="C1462" s="513" t="n">
        <v>90</v>
      </c>
      <c r="D1462" s="513" t="n"/>
      <c r="E1462" s="513" t="n"/>
      <c r="F1462" s="513" t="n"/>
      <c r="G1462" s="513" t="n">
        <v>10</v>
      </c>
      <c r="H1462" s="98">
        <f>H1461-G1462</f>
        <v/>
      </c>
      <c r="I1462" s="297" t="n"/>
      <c r="J1462" s="297" t="n"/>
      <c r="K1462" s="297" t="n"/>
      <c r="L1462" s="513" t="n"/>
    </row>
    <row r="1463">
      <c r="A1463" s="297" t="n">
        <v>46245</v>
      </c>
      <c r="B1463" s="513" t="n">
        <v>12820</v>
      </c>
      <c r="C1463" s="513" t="n">
        <v>90</v>
      </c>
      <c r="D1463" s="513" t="n"/>
      <c r="E1463" s="513" t="n"/>
      <c r="F1463" s="513" t="n"/>
      <c r="G1463" s="513" t="n">
        <v>17</v>
      </c>
      <c r="H1463" s="98">
        <f>H1462-G1463</f>
        <v/>
      </c>
      <c r="I1463" s="297" t="n"/>
      <c r="J1463" s="297" t="n"/>
      <c r="K1463" s="297" t="n"/>
      <c r="L1463" s="513" t="n"/>
    </row>
    <row r="1464">
      <c r="A1464" s="297" t="n">
        <v>46253</v>
      </c>
      <c r="B1464" s="513" t="n">
        <v>12835</v>
      </c>
      <c r="C1464" s="513" t="n">
        <v>90</v>
      </c>
      <c r="D1464" s="513" t="n"/>
      <c r="E1464" s="513" t="n"/>
      <c r="F1464" s="513" t="n"/>
      <c r="G1464" s="513" t="n">
        <v>10</v>
      </c>
      <c r="H1464" s="98">
        <f>H1463-G1464</f>
        <v/>
      </c>
      <c r="I1464" s="297" t="n"/>
      <c r="J1464" s="297" t="n"/>
      <c r="K1464" s="297" t="n"/>
      <c r="L1464" s="513" t="n"/>
    </row>
    <row r="1465">
      <c r="A1465" s="297" t="n">
        <v>46260</v>
      </c>
      <c r="B1465" s="513" t="n">
        <v>12845</v>
      </c>
      <c r="C1465" s="513" t="n">
        <v>90</v>
      </c>
      <c r="D1465" s="513" t="n"/>
      <c r="E1465" s="513" t="n"/>
      <c r="F1465" s="513" t="n"/>
      <c r="G1465" s="513" t="n">
        <v>10</v>
      </c>
      <c r="H1465" s="98">
        <f>H1464-G1465</f>
        <v/>
      </c>
      <c r="I1465" s="297" t="n"/>
      <c r="J1465" s="297" t="n"/>
      <c r="K1465" s="297" t="n"/>
      <c r="L1465" s="513" t="n"/>
    </row>
    <row r="1466">
      <c r="A1466" s="297" t="n">
        <v>46260</v>
      </c>
      <c r="B1466" s="513" t="n">
        <v>12852</v>
      </c>
      <c r="C1466" s="513" t="n">
        <v>90</v>
      </c>
      <c r="D1466" s="513" t="n"/>
      <c r="E1466" s="513" t="n"/>
      <c r="F1466" s="513" t="n"/>
      <c r="G1466" s="513" t="n">
        <v>5</v>
      </c>
      <c r="H1466" s="98">
        <f>H1465-G1466</f>
        <v/>
      </c>
      <c r="I1466" s="297" t="n"/>
      <c r="J1466" s="297" t="n"/>
      <c r="K1466" s="297" t="n"/>
      <c r="L1466" s="513" t="n"/>
    </row>
    <row r="1467" ht="15.75" customHeight="1" s="436" thickBot="1"/>
    <row r="1468" ht="24" customHeight="1" s="436" thickBot="1">
      <c r="A1468" s="759" t="inlineStr">
        <is>
          <t>Setembro</t>
        </is>
      </c>
      <c r="B1468" s="697" t="n"/>
      <c r="C1468" s="697" t="n"/>
      <c r="D1468" s="697" t="n"/>
      <c r="E1468" s="697" t="n"/>
      <c r="F1468" s="697" t="n"/>
      <c r="G1468" s="697" t="n"/>
      <c r="H1468" s="697" t="n"/>
      <c r="I1468" s="697" t="n"/>
      <c r="J1468" s="697" t="n"/>
      <c r="K1468" s="697" t="n"/>
      <c r="L1468" s="698" t="n"/>
    </row>
    <row r="1469" ht="24" customHeight="1" s="436" thickBot="1">
      <c r="A1469" s="759" t="inlineStr">
        <is>
          <t xml:space="preserve">  PRÉ MISTURA -  Pão Doce 25 KG</t>
        </is>
      </c>
      <c r="B1469" s="697" t="n"/>
      <c r="C1469" s="697" t="n"/>
      <c r="D1469" s="697" t="n"/>
      <c r="E1469" s="697" t="n"/>
      <c r="F1469" s="697" t="n"/>
      <c r="G1469" s="697" t="n"/>
      <c r="H1469" s="697" t="n"/>
      <c r="I1469" s="697" t="n"/>
      <c r="J1469" s="697" t="n"/>
      <c r="K1469" s="697" t="n"/>
      <c r="L1469" s="698" t="n"/>
    </row>
    <row r="1470">
      <c r="A1470" s="3" t="inlineStr">
        <is>
          <t>DATA</t>
        </is>
      </c>
      <c r="B1470" s="3" t="inlineStr">
        <is>
          <t>N.F.</t>
        </is>
      </c>
      <c r="C1470" s="3" t="inlineStr">
        <is>
          <t>TIPO</t>
        </is>
      </c>
      <c r="D1470" s="3" t="inlineStr">
        <is>
          <t>PREÇO UNITÁRIO</t>
        </is>
      </c>
      <c r="E1470" s="736" t="n"/>
      <c r="F1470" s="3" t="inlineStr">
        <is>
          <t>QUANTIDADE / KG</t>
        </is>
      </c>
      <c r="G1470" s="737" t="n"/>
      <c r="H1470" s="736" t="n"/>
      <c r="I1470" s="631" t="inlineStr">
        <is>
          <t>PREÇO</t>
        </is>
      </c>
      <c r="J1470" s="631" t="inlineStr">
        <is>
          <t>VALORES</t>
        </is>
      </c>
      <c r="K1470" s="737" t="n"/>
      <c r="L1470" s="736" t="n"/>
    </row>
    <row r="1471" ht="15.75" customHeight="1" s="436" thickBot="1">
      <c r="A1471" s="704" t="n"/>
      <c r="B1471" s="704" t="n"/>
      <c r="C1471" s="704" t="n"/>
      <c r="D1471" s="703" t="n"/>
      <c r="E1471" s="701" t="n"/>
      <c r="F1471" s="705" t="n"/>
      <c r="G1471" s="706" t="n"/>
      <c r="H1471" s="707" t="n"/>
      <c r="I1471" s="704" t="n"/>
      <c r="J1471" s="703" t="n"/>
      <c r="L1471" s="701" t="n"/>
    </row>
    <row r="1472" ht="15.75" customHeight="1" s="436" thickBot="1">
      <c r="A1472" s="704" t="n"/>
      <c r="B1472" s="704" t="n"/>
      <c r="C1472" s="704" t="n"/>
      <c r="D1472" s="705" t="n"/>
      <c r="E1472" s="707" t="n"/>
      <c r="F1472" s="3" t="inlineStr">
        <is>
          <t>ENTRADA</t>
        </is>
      </c>
      <c r="G1472" s="3" t="inlineStr">
        <is>
          <t>SAÍDA</t>
        </is>
      </c>
      <c r="H1472" s="640" t="n"/>
      <c r="I1472" s="633" t="inlineStr">
        <is>
          <t>MÉDIO</t>
        </is>
      </c>
      <c r="J1472" s="739" t="inlineStr">
        <is>
          <t>SALDO EM 30/12/2017</t>
        </is>
      </c>
      <c r="K1472" s="707" t="n"/>
      <c r="L1472" s="17" t="n"/>
    </row>
    <row r="1473" ht="15.75" customHeight="1" s="436" thickBot="1">
      <c r="A1473" s="695" t="n"/>
      <c r="B1473" s="695" t="n"/>
      <c r="C1473" s="695" t="n"/>
      <c r="D1473" s="3" t="inlineStr">
        <is>
          <t>C/ICMS</t>
        </is>
      </c>
      <c r="E1473" s="3" t="inlineStr">
        <is>
          <t>S/ICMS</t>
        </is>
      </c>
      <c r="F1473" s="695" t="n"/>
      <c r="G1473" s="695" t="n"/>
      <c r="H1473" s="361" t="inlineStr">
        <is>
          <t>Saldo em 31/08/2026</t>
        </is>
      </c>
      <c r="I1473" s="695" t="n"/>
      <c r="J1473" s="645" t="inlineStr">
        <is>
          <t>ENTRADA</t>
        </is>
      </c>
      <c r="K1473" s="633" t="inlineStr">
        <is>
          <t>SAÍDA / CMV</t>
        </is>
      </c>
      <c r="L1473" s="633" t="inlineStr">
        <is>
          <t>SALDO</t>
        </is>
      </c>
    </row>
    <row r="1474">
      <c r="A1474" s="297" t="n"/>
      <c r="B1474" s="297" t="n"/>
      <c r="C1474" s="297" t="n"/>
      <c r="D1474" s="297" t="n"/>
      <c r="E1474" s="297" t="n"/>
      <c r="F1474" s="297" t="n"/>
      <c r="G1474" s="297" t="n"/>
      <c r="H1474" s="98" t="n">
        <v>158</v>
      </c>
      <c r="I1474" s="297" t="n"/>
      <c r="J1474" s="297" t="n"/>
      <c r="K1474" s="297" t="n"/>
      <c r="L1474" s="513" t="n"/>
    </row>
    <row r="1475">
      <c r="A1475" s="297" t="n">
        <v>46266</v>
      </c>
      <c r="B1475" s="513" t="n">
        <v>12863</v>
      </c>
      <c r="C1475" s="513" t="n">
        <v>89</v>
      </c>
      <c r="D1475" s="513" t="n"/>
      <c r="E1475" s="513" t="n"/>
      <c r="F1475" s="513" t="n"/>
      <c r="G1475" s="513" t="n">
        <v>30</v>
      </c>
      <c r="H1475" s="98">
        <f>H1474-G1475</f>
        <v/>
      </c>
      <c r="I1475" s="297" t="n"/>
      <c r="J1475" s="297" t="n"/>
      <c r="K1475" s="297" t="n"/>
      <c r="L1475" s="513" t="n"/>
    </row>
    <row r="1476">
      <c r="A1476" s="297" t="n">
        <v>46266</v>
      </c>
      <c r="B1476" s="513" t="n">
        <v>12865</v>
      </c>
      <c r="C1476" s="513" t="n">
        <v>90</v>
      </c>
      <c r="D1476" s="513" t="n"/>
      <c r="E1476" s="513" t="n"/>
      <c r="F1476" s="513" t="n"/>
      <c r="G1476" s="513" t="n">
        <v>10</v>
      </c>
      <c r="H1476" s="98">
        <f>H1475-G1476</f>
        <v/>
      </c>
      <c r="I1476" s="297" t="n"/>
      <c r="J1476" s="297" t="n"/>
      <c r="K1476" s="297" t="n"/>
      <c r="L1476" s="513" t="n"/>
    </row>
    <row r="1477">
      <c r="A1477" s="297" t="n">
        <v>46266</v>
      </c>
      <c r="B1477" s="513" t="n">
        <v>12867</v>
      </c>
      <c r="C1477" s="513" t="n">
        <v>90</v>
      </c>
      <c r="D1477" s="513" t="n"/>
      <c r="E1477" s="513" t="n"/>
      <c r="F1477" s="513" t="n"/>
      <c r="G1477" s="513" t="n">
        <v>8</v>
      </c>
      <c r="H1477" s="98">
        <f>H1476-G1477</f>
        <v/>
      </c>
      <c r="I1477" s="297" t="n"/>
      <c r="J1477" s="297" t="n"/>
      <c r="K1477" s="297" t="n"/>
      <c r="L1477" s="513" t="n"/>
    </row>
    <row r="1478">
      <c r="A1478" s="297" t="n">
        <v>46272</v>
      </c>
      <c r="B1478" s="513" t="n">
        <v>12877</v>
      </c>
      <c r="C1478" s="513" t="n">
        <v>90</v>
      </c>
      <c r="D1478" s="513" t="n"/>
      <c r="E1478" s="513" t="n"/>
      <c r="F1478" s="513" t="n"/>
      <c r="G1478" s="513" t="n">
        <v>10</v>
      </c>
      <c r="H1478" s="98">
        <f>H1477-G1478</f>
        <v/>
      </c>
      <c r="I1478" s="297" t="n"/>
      <c r="J1478" s="297" t="n"/>
      <c r="K1478" s="297" t="n"/>
      <c r="L1478" s="513" t="n"/>
    </row>
    <row r="1479">
      <c r="A1479" s="297" t="n">
        <v>46272</v>
      </c>
      <c r="B1479" s="513" t="n">
        <v>12878</v>
      </c>
      <c r="C1479" s="513" t="n">
        <v>89</v>
      </c>
      <c r="D1479" s="513" t="n"/>
      <c r="E1479" s="513" t="n"/>
      <c r="F1479" s="513" t="n"/>
      <c r="G1479" s="513" t="n">
        <v>2</v>
      </c>
      <c r="H1479" s="98">
        <f>H1478-G1479</f>
        <v/>
      </c>
      <c r="I1479" s="297" t="n"/>
      <c r="J1479" s="297" t="n"/>
      <c r="K1479" s="297" t="n"/>
      <c r="L1479" s="513" t="n"/>
    </row>
    <row r="1480">
      <c r="A1480" s="297" t="n">
        <v>46274</v>
      </c>
      <c r="B1480" s="513" t="n">
        <v>12880</v>
      </c>
      <c r="C1480" s="513" t="n">
        <v>90</v>
      </c>
      <c r="D1480" s="513" t="n"/>
      <c r="E1480" s="513" t="n"/>
      <c r="F1480" s="513" t="n"/>
      <c r="G1480" s="513" t="n">
        <v>5</v>
      </c>
      <c r="H1480" s="98">
        <f>H1479-G1480</f>
        <v/>
      </c>
      <c r="I1480" s="297" t="n"/>
      <c r="J1480" s="297" t="n"/>
      <c r="K1480" s="297" t="n"/>
      <c r="L1480" s="513" t="n"/>
    </row>
    <row r="1481">
      <c r="A1481" s="297" t="n">
        <v>46274</v>
      </c>
      <c r="B1481" s="513" t="n">
        <v>12881</v>
      </c>
      <c r="C1481" s="513" t="n">
        <v>90</v>
      </c>
      <c r="D1481" s="513" t="n"/>
      <c r="E1481" s="513" t="n"/>
      <c r="F1481" s="513" t="n"/>
      <c r="G1481" s="513" t="n">
        <v>10</v>
      </c>
      <c r="H1481" s="98">
        <f>H1480-G1481</f>
        <v/>
      </c>
      <c r="I1481" s="297" t="n"/>
      <c r="J1481" s="297" t="n"/>
      <c r="K1481" s="297" t="n"/>
      <c r="L1481" s="513" t="n"/>
    </row>
    <row r="1482">
      <c r="A1482" s="297" t="n">
        <v>46274</v>
      </c>
      <c r="B1482" s="513" t="n">
        <v>12883</v>
      </c>
      <c r="C1482" s="513" t="n">
        <v>90</v>
      </c>
      <c r="D1482" s="513" t="n"/>
      <c r="E1482" s="513" t="n"/>
      <c r="F1482" s="513" t="n"/>
      <c r="G1482" s="513" t="n">
        <v>4</v>
      </c>
      <c r="H1482" s="98">
        <f>H1481-G1482</f>
        <v/>
      </c>
      <c r="I1482" s="297" t="n"/>
      <c r="J1482" s="297" t="n"/>
      <c r="K1482" s="297" t="n"/>
      <c r="L1482" s="513" t="n"/>
    </row>
    <row r="1483">
      <c r="A1483" s="310" t="n">
        <v>46280</v>
      </c>
      <c r="B1483" s="445" t="n">
        <v>315648</v>
      </c>
      <c r="C1483" s="445" t="n"/>
      <c r="D1483" s="445" t="n"/>
      <c r="E1483" s="445" t="n">
        <v>250</v>
      </c>
      <c r="F1483" s="445" t="n"/>
      <c r="G1483" s="445" t="n"/>
      <c r="H1483" s="277" t="n">
        <v>329</v>
      </c>
      <c r="I1483" s="297" t="n"/>
      <c r="J1483" s="297" t="n"/>
      <c r="K1483" s="297" t="n"/>
      <c r="L1483" s="513" t="n"/>
    </row>
    <row r="1484">
      <c r="A1484" s="297" t="n">
        <v>46280</v>
      </c>
      <c r="B1484" s="513" t="n">
        <v>12885</v>
      </c>
      <c r="C1484" s="513" t="n">
        <v>84</v>
      </c>
      <c r="D1484" s="513" t="n"/>
      <c r="E1484" s="513" t="n"/>
      <c r="F1484" s="513" t="n"/>
      <c r="G1484" s="513" t="n">
        <v>5</v>
      </c>
      <c r="H1484" s="98">
        <f>H1483-G1484</f>
        <v/>
      </c>
      <c r="I1484" s="297" t="n"/>
      <c r="J1484" s="297" t="n"/>
      <c r="K1484" s="297" t="n"/>
      <c r="L1484" s="513" t="n"/>
    </row>
    <row r="1485">
      <c r="A1485" s="297" t="n">
        <v>46280</v>
      </c>
      <c r="B1485" s="513" t="n">
        <v>12891</v>
      </c>
      <c r="C1485" s="513" t="n">
        <v>90</v>
      </c>
      <c r="D1485" s="513" t="n"/>
      <c r="E1485" s="513" t="n"/>
      <c r="F1485" s="513" t="n"/>
      <c r="G1485" s="513" t="n">
        <v>10</v>
      </c>
      <c r="H1485" s="98">
        <f>H1484-G1485</f>
        <v/>
      </c>
      <c r="I1485" s="297" t="n"/>
      <c r="J1485" s="297" t="n"/>
      <c r="K1485" s="297" t="n"/>
      <c r="L1485" s="513" t="n"/>
    </row>
    <row r="1486">
      <c r="A1486" s="297" t="n">
        <v>46280</v>
      </c>
      <c r="B1486" s="513" t="n">
        <v>12893</v>
      </c>
      <c r="C1486" s="513" t="n">
        <v>90</v>
      </c>
      <c r="D1486" s="513" t="n"/>
      <c r="E1486" s="513" t="n"/>
      <c r="F1486" s="513" t="n"/>
      <c r="G1486" s="513" t="n">
        <v>8</v>
      </c>
      <c r="H1486" s="98">
        <f>H1485-G1486</f>
        <v/>
      </c>
      <c r="I1486" s="297" t="n"/>
      <c r="J1486" s="297" t="n"/>
      <c r="K1486" s="297" t="n"/>
      <c r="L1486" s="513" t="n"/>
    </row>
    <row r="1487">
      <c r="A1487" s="297" t="n">
        <v>46281</v>
      </c>
      <c r="B1487" s="513" t="n">
        <v>12899</v>
      </c>
      <c r="C1487" s="513" t="n">
        <v>89</v>
      </c>
      <c r="D1487" s="513" t="n"/>
      <c r="E1487" s="513" t="n"/>
      <c r="F1487" s="513" t="n"/>
      <c r="G1487" s="513" t="n">
        <v>30</v>
      </c>
      <c r="H1487" s="98">
        <f>H1486-G1487</f>
        <v/>
      </c>
      <c r="I1487" s="297" t="n"/>
      <c r="J1487" s="297" t="n"/>
      <c r="K1487" s="297" t="n"/>
      <c r="L1487" s="513" t="n"/>
    </row>
    <row r="1488">
      <c r="A1488" s="297" t="n">
        <v>46286</v>
      </c>
      <c r="B1488" s="513" t="n">
        <v>12907</v>
      </c>
      <c r="C1488" s="513" t="n">
        <v>90</v>
      </c>
      <c r="D1488" s="513" t="n"/>
      <c r="E1488" s="513" t="n"/>
      <c r="F1488" s="513" t="n"/>
      <c r="G1488" s="513" t="n">
        <v>10</v>
      </c>
      <c r="H1488" s="98">
        <f>H1487-G1488</f>
        <v/>
      </c>
      <c r="I1488" s="297" t="n"/>
      <c r="J1488" s="297" t="n"/>
      <c r="K1488" s="297" t="n"/>
      <c r="L1488" s="513" t="n"/>
    </row>
    <row r="1489">
      <c r="A1489" s="297" t="n">
        <v>46293</v>
      </c>
      <c r="B1489" s="513" t="n">
        <v>12918</v>
      </c>
      <c r="C1489" s="513" t="n">
        <v>90</v>
      </c>
      <c r="D1489" s="513" t="n"/>
      <c r="E1489" s="513" t="n"/>
      <c r="F1489" s="513" t="n"/>
      <c r="G1489" s="513" t="n">
        <v>10</v>
      </c>
      <c r="H1489" s="98">
        <f>H1488-G1489</f>
        <v/>
      </c>
      <c r="I1489" s="297" t="n"/>
      <c r="J1489" s="297" t="n"/>
      <c r="K1489" s="297" t="n"/>
      <c r="L1489" s="513" t="n"/>
    </row>
    <row r="1490">
      <c r="A1490" s="297" t="n">
        <v>46293</v>
      </c>
      <c r="B1490" s="513" t="n">
        <v>12919</v>
      </c>
      <c r="C1490" s="513" t="n">
        <v>90</v>
      </c>
      <c r="D1490" s="513" t="n"/>
      <c r="E1490" s="513" t="n"/>
      <c r="F1490" s="513" t="n"/>
      <c r="G1490" s="513" t="n">
        <v>5</v>
      </c>
      <c r="H1490" s="98">
        <f>H1489-G1490</f>
        <v/>
      </c>
      <c r="I1490" s="297" t="n"/>
      <c r="J1490" s="297" t="n"/>
      <c r="K1490" s="297" t="n"/>
      <c r="L1490" s="513" t="n"/>
    </row>
    <row r="1491">
      <c r="A1491" s="297" t="n">
        <v>46293</v>
      </c>
      <c r="B1491" s="513" t="n">
        <v>12920</v>
      </c>
      <c r="C1491" s="513" t="n">
        <v>90</v>
      </c>
      <c r="D1491" s="513" t="n"/>
      <c r="E1491" s="513" t="n"/>
      <c r="F1491" s="513" t="n"/>
      <c r="G1491" s="513" t="n">
        <v>10</v>
      </c>
      <c r="H1491" s="98">
        <f>H1490-G1491</f>
        <v/>
      </c>
      <c r="I1491" s="297" t="n"/>
      <c r="J1491" s="297" t="n"/>
      <c r="K1491" s="297" t="n"/>
      <c r="L1491" s="513" t="n"/>
    </row>
    <row r="1492">
      <c r="A1492" s="297" t="n">
        <v>46293</v>
      </c>
      <c r="B1492" s="513" t="n">
        <v>12921</v>
      </c>
      <c r="C1492" s="513" t="n">
        <v>90</v>
      </c>
      <c r="D1492" s="513" t="n"/>
      <c r="E1492" s="513" t="n"/>
      <c r="F1492" s="513" t="n"/>
      <c r="G1492" s="513" t="n">
        <v>8</v>
      </c>
      <c r="H1492" s="98">
        <f>H1491-G1492</f>
        <v/>
      </c>
      <c r="I1492" s="297" t="n"/>
      <c r="J1492" s="297" t="n"/>
      <c r="K1492" s="297" t="n"/>
      <c r="L1492" s="513" t="n"/>
    </row>
    <row r="1493">
      <c r="A1493" s="297" t="n">
        <v>46295</v>
      </c>
      <c r="B1493" s="513" t="n">
        <v>12931</v>
      </c>
      <c r="C1493" s="513" t="n">
        <v>92</v>
      </c>
      <c r="D1493" s="513" t="n"/>
      <c r="E1493" s="513" t="n"/>
      <c r="F1493" s="513" t="n"/>
      <c r="G1493" s="513" t="n">
        <v>10</v>
      </c>
      <c r="H1493" s="98">
        <f>H1492-G1493</f>
        <v/>
      </c>
      <c r="I1493" s="297" t="n"/>
      <c r="J1493" s="297" t="n"/>
      <c r="K1493" s="297" t="n"/>
      <c r="L1493" s="513" t="n"/>
    </row>
    <row r="1494">
      <c r="A1494" s="297" t="n"/>
      <c r="B1494" s="513" t="n"/>
      <c r="C1494" s="513" t="n"/>
      <c r="D1494" s="513" t="n"/>
      <c r="E1494" s="513" t="n"/>
      <c r="F1494" s="513" t="n"/>
      <c r="G1494" s="513" t="n"/>
      <c r="H1494" s="98">
        <f>H1493-G1494</f>
        <v/>
      </c>
      <c r="I1494" s="297" t="n"/>
      <c r="J1494" s="297" t="n"/>
      <c r="K1494" s="297" t="n"/>
      <c r="L1494" s="513" t="n"/>
    </row>
    <row r="1495">
      <c r="A1495" s="297" t="n"/>
      <c r="B1495" s="513" t="n"/>
      <c r="C1495" s="513" t="n"/>
      <c r="D1495" s="513" t="n"/>
      <c r="E1495" s="513" t="n"/>
      <c r="F1495" s="513" t="n"/>
      <c r="G1495" s="513" t="n"/>
      <c r="H1495" s="98">
        <f>H1494-G1495</f>
        <v/>
      </c>
      <c r="I1495" s="297" t="n"/>
      <c r="J1495" s="297" t="n"/>
      <c r="K1495" s="297" t="n"/>
      <c r="L1495" s="513" t="n"/>
    </row>
    <row r="1496">
      <c r="A1496" s="297" t="n"/>
      <c r="B1496" s="513" t="n"/>
      <c r="C1496" s="513" t="n"/>
      <c r="D1496" s="513" t="n"/>
      <c r="E1496" s="513" t="n"/>
      <c r="F1496" s="513" t="n"/>
      <c r="G1496" s="513" t="n"/>
      <c r="H1496" s="98">
        <f>H1495-G1496</f>
        <v/>
      </c>
      <c r="I1496" s="297" t="n"/>
      <c r="J1496" s="297" t="n"/>
      <c r="K1496" s="297" t="n"/>
      <c r="L1496" s="513" t="n"/>
    </row>
    <row r="1497">
      <c r="A1497" s="297" t="n"/>
      <c r="B1497" s="513" t="n"/>
      <c r="C1497" s="513" t="n"/>
      <c r="D1497" s="513" t="n"/>
      <c r="E1497" s="513" t="n"/>
      <c r="F1497" s="513" t="n"/>
      <c r="G1497" s="513" t="n"/>
      <c r="H1497" s="98">
        <f>H1496-G1497</f>
        <v/>
      </c>
      <c r="I1497" s="297" t="n"/>
      <c r="J1497" s="297" t="n"/>
      <c r="K1497" s="297" t="n"/>
      <c r="L1497" s="513" t="n"/>
    </row>
    <row r="1498">
      <c r="A1498" s="297" t="n"/>
      <c r="B1498" s="513" t="n"/>
      <c r="C1498" s="513" t="n"/>
      <c r="D1498" s="513" t="n"/>
      <c r="E1498" s="513" t="n"/>
      <c r="F1498" s="513" t="n"/>
      <c r="G1498" s="513" t="n"/>
      <c r="H1498" s="98">
        <f>H1497-G1498</f>
        <v/>
      </c>
      <c r="I1498" s="297" t="n"/>
      <c r="J1498" s="297" t="n"/>
      <c r="K1498" s="297" t="n"/>
      <c r="L1498" s="513" t="n"/>
    </row>
    <row r="1499">
      <c r="A1499" s="297" t="n"/>
      <c r="B1499" s="513" t="n"/>
      <c r="C1499" s="513" t="n"/>
      <c r="D1499" s="513" t="n"/>
      <c r="E1499" s="513" t="n"/>
      <c r="F1499" s="513" t="n"/>
      <c r="G1499" s="513" t="n"/>
      <c r="H1499" s="98">
        <f>H1498-G1499</f>
        <v/>
      </c>
      <c r="I1499" s="297" t="n"/>
      <c r="J1499" s="297" t="n"/>
      <c r="K1499" s="297" t="n"/>
      <c r="L1499" s="513" t="n"/>
    </row>
    <row r="1500">
      <c r="A1500" s="297" t="n"/>
      <c r="B1500" s="513" t="n"/>
      <c r="C1500" s="513" t="n"/>
      <c r="D1500" s="513" t="n"/>
      <c r="E1500" s="513" t="n"/>
      <c r="F1500" s="513" t="n"/>
      <c r="G1500" s="513" t="n"/>
      <c r="H1500" s="98">
        <f>H1499-G1500</f>
        <v/>
      </c>
      <c r="I1500" s="297" t="n"/>
      <c r="J1500" s="297" t="n"/>
      <c r="K1500" s="297" t="n"/>
      <c r="L1500" s="513" t="n"/>
    </row>
    <row r="1501">
      <c r="A1501" s="297" t="n"/>
      <c r="B1501" s="513" t="n"/>
      <c r="C1501" s="513" t="n"/>
      <c r="D1501" s="513" t="n"/>
      <c r="E1501" s="513" t="n"/>
      <c r="F1501" s="513" t="n"/>
      <c r="G1501" s="513" t="n"/>
      <c r="H1501" s="98">
        <f>H1500-G1501</f>
        <v/>
      </c>
      <c r="I1501" s="297" t="n"/>
      <c r="J1501" s="297" t="n"/>
      <c r="K1501" s="297" t="n"/>
      <c r="L1501" s="513" t="n"/>
    </row>
    <row r="1502">
      <c r="A1502" s="297" t="n"/>
      <c r="B1502" s="513" t="n"/>
      <c r="C1502" s="513" t="n"/>
      <c r="D1502" s="513" t="n"/>
      <c r="E1502" s="513" t="n"/>
      <c r="F1502" s="513" t="n"/>
      <c r="G1502" s="513" t="n"/>
      <c r="H1502" s="98">
        <f>H1501-G1502</f>
        <v/>
      </c>
      <c r="I1502" s="297" t="n"/>
      <c r="J1502" s="297" t="n"/>
      <c r="K1502" s="297" t="n"/>
      <c r="L1502" s="513" t="n"/>
    </row>
    <row r="1503">
      <c r="A1503" s="297" t="n"/>
      <c r="B1503" s="513" t="n"/>
      <c r="C1503" s="513" t="n"/>
      <c r="D1503" s="513" t="n"/>
      <c r="E1503" s="513" t="n"/>
      <c r="F1503" s="513" t="n"/>
      <c r="G1503" s="513" t="n"/>
      <c r="H1503" s="98">
        <f>H1502-G1503</f>
        <v/>
      </c>
      <c r="I1503" s="297" t="n"/>
      <c r="J1503" s="297" t="n"/>
      <c r="K1503" s="297" t="n"/>
      <c r="L1503" s="513" t="n"/>
    </row>
    <row r="1504">
      <c r="A1504" s="297" t="n"/>
      <c r="B1504" s="513" t="n"/>
      <c r="C1504" s="513" t="n"/>
      <c r="D1504" s="513" t="n"/>
      <c r="E1504" s="513" t="n"/>
      <c r="F1504" s="513" t="n"/>
      <c r="G1504" s="513" t="n"/>
      <c r="H1504" s="98">
        <f>H1503-G1504</f>
        <v/>
      </c>
      <c r="I1504" s="297" t="n"/>
      <c r="J1504" s="297" t="n"/>
      <c r="K1504" s="297" t="n"/>
      <c r="L1504" s="513" t="n"/>
    </row>
    <row r="1505">
      <c r="A1505" s="297" t="n"/>
      <c r="B1505" s="513" t="n"/>
      <c r="C1505" s="513" t="n"/>
      <c r="D1505" s="513" t="n"/>
      <c r="E1505" s="513" t="n"/>
      <c r="F1505" s="513" t="n"/>
      <c r="G1505" s="513" t="n"/>
      <c r="H1505" s="98">
        <f>H1504-G1505</f>
        <v/>
      </c>
      <c r="I1505" s="297" t="n"/>
      <c r="J1505" s="297" t="n"/>
      <c r="K1505" s="297" t="n"/>
      <c r="L1505" s="513" t="n"/>
    </row>
    <row r="1506">
      <c r="A1506" s="297" t="n"/>
      <c r="B1506" s="513" t="n"/>
      <c r="C1506" s="513" t="n"/>
      <c r="D1506" s="513" t="n"/>
      <c r="E1506" s="513" t="n"/>
      <c r="F1506" s="513" t="n"/>
      <c r="G1506" s="513" t="n"/>
      <c r="H1506" s="98">
        <f>H1505-G1506</f>
        <v/>
      </c>
      <c r="I1506" s="297" t="n"/>
      <c r="J1506" s="297" t="n"/>
      <c r="K1506" s="297" t="n"/>
      <c r="L1506" s="513" t="n"/>
    </row>
    <row r="1507">
      <c r="A1507" s="297" t="n"/>
      <c r="B1507" s="513" t="n"/>
      <c r="C1507" s="513" t="n"/>
      <c r="D1507" s="513" t="n"/>
      <c r="E1507" s="513" t="n"/>
      <c r="F1507" s="513" t="n"/>
      <c r="G1507" s="513" t="n"/>
      <c r="H1507" s="98">
        <f>H1506-G1507</f>
        <v/>
      </c>
      <c r="I1507" s="297" t="n"/>
      <c r="J1507" s="297" t="n"/>
      <c r="K1507" s="297" t="n"/>
      <c r="L1507" s="513" t="n"/>
    </row>
    <row r="1508">
      <c r="A1508" s="297" t="n"/>
      <c r="B1508" s="513" t="n"/>
      <c r="C1508" s="513" t="n"/>
      <c r="D1508" s="513" t="n"/>
      <c r="E1508" s="513" t="n"/>
      <c r="F1508" s="513" t="n"/>
      <c r="G1508" s="513" t="n"/>
      <c r="H1508" s="98">
        <f>H1507-G1508</f>
        <v/>
      </c>
      <c r="I1508" s="297" t="n"/>
      <c r="J1508" s="297" t="n"/>
      <c r="K1508" s="297" t="n"/>
      <c r="L1508" s="513" t="n"/>
    </row>
    <row r="1509">
      <c r="A1509" s="297" t="n"/>
      <c r="B1509" s="513" t="n"/>
      <c r="C1509" s="513" t="n"/>
      <c r="D1509" s="513" t="n"/>
      <c r="E1509" s="513" t="n"/>
      <c r="F1509" s="513" t="n"/>
      <c r="G1509" s="513" t="n"/>
      <c r="H1509" s="98">
        <f>H1508-G1509</f>
        <v/>
      </c>
      <c r="I1509" s="297" t="n"/>
      <c r="J1509" s="297" t="n"/>
      <c r="K1509" s="297" t="n"/>
      <c r="L1509" s="513" t="n"/>
    </row>
    <row r="1510">
      <c r="A1510" s="297" t="n"/>
      <c r="B1510" s="513" t="n"/>
      <c r="C1510" s="513" t="n"/>
      <c r="D1510" s="513" t="n"/>
      <c r="E1510" s="513" t="n"/>
      <c r="F1510" s="513" t="n"/>
      <c r="G1510" s="513" t="n"/>
      <c r="H1510" s="98">
        <f>H1509-G1510</f>
        <v/>
      </c>
      <c r="I1510" s="297" t="n"/>
      <c r="J1510" s="297" t="n"/>
      <c r="K1510" s="297" t="n"/>
      <c r="L1510" s="513" t="n"/>
    </row>
    <row r="1511">
      <c r="A1511" s="297" t="n"/>
      <c r="B1511" s="513" t="n"/>
      <c r="C1511" s="513" t="n"/>
      <c r="D1511" s="513" t="n"/>
      <c r="E1511" s="513" t="n"/>
      <c r="F1511" s="513" t="n"/>
      <c r="G1511" s="513" t="n"/>
      <c r="H1511" s="98">
        <f>H1510-G1511</f>
        <v/>
      </c>
      <c r="I1511" s="297" t="n"/>
      <c r="J1511" s="297" t="n"/>
      <c r="K1511" s="297" t="n"/>
      <c r="L1511" s="513" t="n"/>
    </row>
    <row r="1512">
      <c r="A1512" s="297" t="n"/>
      <c r="B1512" s="513" t="n"/>
      <c r="C1512" s="513" t="n"/>
      <c r="D1512" s="513" t="n"/>
      <c r="E1512" s="513" t="n"/>
      <c r="F1512" s="513" t="n"/>
      <c r="G1512" s="513" t="n"/>
      <c r="H1512" s="98">
        <f>H1511-G1512</f>
        <v/>
      </c>
      <c r="I1512" s="297" t="n"/>
      <c r="J1512" s="297" t="n"/>
      <c r="K1512" s="297" t="n"/>
      <c r="L1512" s="513" t="n"/>
    </row>
    <row r="1513">
      <c r="A1513" s="297" t="n"/>
      <c r="B1513" s="513" t="n"/>
      <c r="C1513" s="513" t="n"/>
      <c r="D1513" s="513" t="n"/>
      <c r="E1513" s="513" t="n"/>
      <c r="F1513" s="513" t="n"/>
      <c r="G1513" s="513" t="n"/>
      <c r="H1513" s="98">
        <f>H1512-G1513</f>
        <v/>
      </c>
      <c r="I1513" s="297" t="n"/>
      <c r="J1513" s="297" t="n"/>
      <c r="K1513" s="297" t="n"/>
      <c r="L1513" s="513" t="n"/>
    </row>
    <row r="1514">
      <c r="A1514" s="297" t="n"/>
      <c r="B1514" s="513" t="n"/>
      <c r="C1514" s="513" t="n"/>
      <c r="D1514" s="513" t="n"/>
      <c r="E1514" s="513" t="n"/>
      <c r="F1514" s="513" t="n"/>
      <c r="G1514" s="513" t="n"/>
      <c r="H1514" s="98">
        <f>H1513-G1514</f>
        <v/>
      </c>
      <c r="I1514" s="297" t="n"/>
      <c r="J1514" s="297" t="n"/>
      <c r="K1514" s="297" t="n"/>
      <c r="L1514" s="513" t="n"/>
    </row>
    <row r="1515">
      <c r="A1515" s="297" t="n"/>
      <c r="B1515" s="513" t="n"/>
      <c r="C1515" s="513" t="n"/>
      <c r="D1515" s="513" t="n"/>
      <c r="E1515" s="513" t="n"/>
      <c r="F1515" s="513" t="n"/>
      <c r="G1515" s="513" t="n"/>
      <c r="H1515" s="98">
        <f>H1514-G1515</f>
        <v/>
      </c>
      <c r="I1515" s="297" t="n"/>
      <c r="J1515" s="297" t="n"/>
      <c r="K1515" s="297" t="n"/>
      <c r="L1515" s="513" t="n"/>
    </row>
    <row r="1516">
      <c r="A1516" s="297" t="n"/>
      <c r="B1516" s="513" t="n"/>
      <c r="C1516" s="513" t="n"/>
      <c r="D1516" s="513" t="n"/>
      <c r="E1516" s="513" t="n"/>
      <c r="F1516" s="513" t="n"/>
      <c r="G1516" s="513" t="n"/>
      <c r="H1516" s="98">
        <f>H1515-G1516</f>
        <v/>
      </c>
      <c r="I1516" s="297" t="n"/>
      <c r="J1516" s="297" t="n"/>
      <c r="K1516" s="297" t="n"/>
      <c r="L1516" s="513" t="n"/>
    </row>
    <row r="1517">
      <c r="A1517" s="297" t="n"/>
      <c r="B1517" s="513" t="n"/>
      <c r="C1517" s="513" t="n"/>
      <c r="D1517" s="513" t="n"/>
      <c r="E1517" s="513" t="n"/>
      <c r="F1517" s="513" t="n"/>
      <c r="G1517" s="513" t="n"/>
      <c r="H1517" s="98">
        <f>H1516-G1517</f>
        <v/>
      </c>
      <c r="I1517" s="297" t="n"/>
      <c r="J1517" s="297" t="n"/>
      <c r="K1517" s="297" t="n"/>
      <c r="L1517" s="513" t="n"/>
    </row>
    <row r="1518">
      <c r="A1518" s="297" t="n"/>
      <c r="B1518" s="513" t="n"/>
      <c r="C1518" s="513" t="n"/>
      <c r="D1518" s="513" t="n"/>
      <c r="E1518" s="513" t="n"/>
      <c r="F1518" s="513" t="n"/>
      <c r="G1518" s="513" t="n"/>
      <c r="H1518" s="98">
        <f>H1517-G1518</f>
        <v/>
      </c>
      <c r="I1518" s="297" t="n"/>
      <c r="J1518" s="297" t="n"/>
      <c r="K1518" s="297" t="n"/>
      <c r="L1518" s="513" t="n"/>
    </row>
    <row r="1519">
      <c r="A1519" s="297" t="n"/>
      <c r="B1519" s="513" t="n"/>
      <c r="C1519" s="513" t="n"/>
      <c r="D1519" s="513" t="n"/>
      <c r="E1519" s="513" t="n"/>
      <c r="F1519" s="513" t="n"/>
      <c r="G1519" s="513" t="n"/>
      <c r="H1519" s="98">
        <f>H1518-G1519</f>
        <v/>
      </c>
      <c r="I1519" s="297" t="n"/>
      <c r="J1519" s="297" t="n"/>
      <c r="K1519" s="297" t="n"/>
      <c r="L1519" s="513" t="n"/>
    </row>
    <row r="1520">
      <c r="A1520" s="297" t="n"/>
      <c r="B1520" s="513" t="n"/>
      <c r="C1520" s="513" t="n"/>
      <c r="D1520" s="513" t="n"/>
      <c r="E1520" s="513" t="n"/>
      <c r="F1520" s="513" t="n"/>
      <c r="G1520" s="513" t="n"/>
      <c r="H1520" s="98">
        <f>H1519-G1520</f>
        <v/>
      </c>
      <c r="I1520" s="297" t="n"/>
      <c r="J1520" s="297" t="n"/>
      <c r="K1520" s="297" t="n"/>
      <c r="L1520" s="513" t="n"/>
    </row>
    <row r="1521">
      <c r="A1521" s="297" t="n"/>
      <c r="B1521" s="513" t="n"/>
      <c r="C1521" s="513" t="n"/>
      <c r="D1521" s="513" t="n"/>
      <c r="E1521" s="513" t="n"/>
      <c r="F1521" s="513" t="n"/>
      <c r="G1521" s="513" t="n"/>
      <c r="H1521" s="98">
        <f>H1520-G1521</f>
        <v/>
      </c>
      <c r="I1521" s="297" t="n"/>
      <c r="J1521" s="297" t="n"/>
      <c r="K1521" s="297" t="n"/>
      <c r="L1521" s="513" t="n"/>
    </row>
    <row r="1522">
      <c r="A1522" s="297" t="n"/>
      <c r="B1522" s="513" t="n"/>
      <c r="C1522" s="513" t="n"/>
      <c r="D1522" s="513" t="n"/>
      <c r="E1522" s="513" t="n"/>
      <c r="F1522" s="513" t="n"/>
      <c r="G1522" s="513" t="n"/>
      <c r="H1522" s="98">
        <f>H1521-G1522</f>
        <v/>
      </c>
      <c r="I1522" s="297" t="n"/>
      <c r="J1522" s="297" t="n"/>
      <c r="K1522" s="297" t="n"/>
      <c r="L1522" s="513" t="n"/>
    </row>
    <row r="1523">
      <c r="A1523" s="297" t="n"/>
      <c r="B1523" s="513" t="n"/>
      <c r="C1523" s="513" t="n"/>
      <c r="D1523" s="513" t="n"/>
      <c r="E1523" s="513" t="n"/>
      <c r="F1523" s="513" t="n"/>
      <c r="G1523" s="513" t="n"/>
      <c r="H1523" s="98">
        <f>H1522-G1523</f>
        <v/>
      </c>
      <c r="I1523" s="297" t="n"/>
      <c r="J1523" s="297" t="n"/>
      <c r="K1523" s="297" t="n"/>
      <c r="L1523" s="513" t="n"/>
    </row>
    <row r="1524">
      <c r="A1524" s="297" t="n"/>
      <c r="B1524" s="513" t="n"/>
      <c r="C1524" s="513" t="n"/>
      <c r="D1524" s="513" t="n"/>
      <c r="E1524" s="513" t="n"/>
      <c r="F1524" s="513" t="n"/>
      <c r="G1524" s="513" t="n"/>
      <c r="H1524" s="98">
        <f>H1523-G1524</f>
        <v/>
      </c>
      <c r="I1524" s="297" t="n"/>
      <c r="J1524" s="297" t="n"/>
      <c r="K1524" s="297" t="n"/>
      <c r="L1524" s="513" t="n"/>
    </row>
    <row r="1525">
      <c r="A1525" s="297" t="n"/>
      <c r="B1525" s="513" t="n"/>
      <c r="C1525" s="513" t="n"/>
      <c r="D1525" s="513" t="n"/>
      <c r="E1525" s="513" t="n"/>
      <c r="F1525" s="513" t="n"/>
      <c r="G1525" s="513" t="n"/>
      <c r="H1525" s="98">
        <f>H1524-G1525</f>
        <v/>
      </c>
      <c r="I1525" s="297" t="n"/>
      <c r="J1525" s="297" t="n"/>
      <c r="K1525" s="297" t="n"/>
      <c r="L1525" s="513" t="n"/>
    </row>
    <row r="1526">
      <c r="A1526" s="297" t="n"/>
      <c r="B1526" s="513" t="n"/>
      <c r="C1526" s="513" t="n"/>
      <c r="D1526" s="513" t="n"/>
      <c r="E1526" s="513" t="n"/>
      <c r="F1526" s="513" t="n"/>
      <c r="G1526" s="513" t="n"/>
      <c r="H1526" s="98">
        <f>H1525-G1526</f>
        <v/>
      </c>
      <c r="I1526" s="297" t="n"/>
      <c r="J1526" s="297" t="n"/>
      <c r="K1526" s="297" t="n"/>
      <c r="L1526" s="513" t="n"/>
    </row>
    <row r="1527">
      <c r="A1527" s="297" t="n"/>
      <c r="B1527" s="513" t="n"/>
      <c r="C1527" s="513" t="n"/>
      <c r="D1527" s="513" t="n"/>
      <c r="E1527" s="513" t="n"/>
      <c r="F1527" s="513" t="n"/>
      <c r="G1527" s="513" t="n"/>
      <c r="H1527" s="98">
        <f>H1526-G1527</f>
        <v/>
      </c>
      <c r="I1527" s="297" t="n"/>
      <c r="J1527" s="297" t="n"/>
      <c r="K1527" s="297" t="n"/>
      <c r="L1527" s="513" t="n"/>
    </row>
    <row r="1528">
      <c r="A1528" s="297" t="n"/>
      <c r="B1528" s="513" t="n"/>
      <c r="C1528" s="513" t="n"/>
      <c r="D1528" s="513" t="n"/>
      <c r="E1528" s="513" t="n"/>
      <c r="F1528" s="513" t="n"/>
      <c r="G1528" s="513" t="n"/>
      <c r="H1528" s="98">
        <f>H1527-G1528</f>
        <v/>
      </c>
      <c r="I1528" s="297" t="n"/>
      <c r="J1528" s="297" t="n"/>
      <c r="K1528" s="297" t="n"/>
      <c r="L1528" s="513" t="n"/>
    </row>
    <row r="1529">
      <c r="A1529" s="297" t="n"/>
      <c r="B1529" s="513" t="n"/>
      <c r="C1529" s="513" t="n"/>
      <c r="D1529" s="513" t="n"/>
      <c r="E1529" s="513" t="n"/>
      <c r="F1529" s="513" t="n"/>
      <c r="G1529" s="513" t="n"/>
      <c r="H1529" s="98">
        <f>H1528-G1529</f>
        <v/>
      </c>
      <c r="I1529" s="297" t="n"/>
      <c r="J1529" s="297" t="n"/>
      <c r="K1529" s="297" t="n"/>
      <c r="L1529" s="513" t="n"/>
    </row>
    <row r="1530">
      <c r="A1530" s="297" t="n"/>
      <c r="B1530" s="513" t="n"/>
      <c r="C1530" s="513" t="n"/>
      <c r="D1530" s="513" t="n"/>
      <c r="E1530" s="513" t="n"/>
      <c r="F1530" s="513" t="n"/>
      <c r="G1530" s="513" t="n"/>
      <c r="H1530" s="98">
        <f>H1529-G1530</f>
        <v/>
      </c>
      <c r="I1530" s="297" t="n"/>
      <c r="J1530" s="297" t="n"/>
      <c r="K1530" s="297" t="n"/>
      <c r="L1530" s="513" t="n"/>
    </row>
    <row r="1531">
      <c r="A1531" s="297" t="n"/>
      <c r="B1531" s="513" t="n"/>
      <c r="C1531" s="513" t="n"/>
      <c r="D1531" s="513" t="n"/>
      <c r="E1531" s="513" t="n"/>
      <c r="F1531" s="513" t="n"/>
      <c r="G1531" s="513" t="n"/>
      <c r="H1531" s="98">
        <f>H1530-G1531</f>
        <v/>
      </c>
      <c r="I1531" s="297" t="n"/>
      <c r="J1531" s="297" t="n"/>
      <c r="K1531" s="297" t="n"/>
      <c r="L1531" s="513" t="n"/>
    </row>
    <row r="1532">
      <c r="A1532" s="297" t="n"/>
      <c r="B1532" s="513" t="n"/>
      <c r="C1532" s="513" t="n"/>
      <c r="D1532" s="513" t="n"/>
      <c r="E1532" s="513" t="n"/>
      <c r="F1532" s="513" t="n"/>
      <c r="G1532" s="513" t="n"/>
      <c r="H1532" s="98">
        <f>H1531-G1532</f>
        <v/>
      </c>
      <c r="I1532" s="297" t="n"/>
      <c r="J1532" s="297" t="n"/>
      <c r="K1532" s="297" t="n"/>
      <c r="L1532" s="513" t="n"/>
    </row>
    <row r="1533">
      <c r="A1533" s="297" t="n"/>
      <c r="B1533" s="513" t="n"/>
      <c r="C1533" s="513" t="n"/>
      <c r="D1533" s="513" t="n"/>
      <c r="E1533" s="513" t="n"/>
      <c r="F1533" s="513" t="n"/>
      <c r="G1533" s="513" t="n"/>
      <c r="H1533" s="98">
        <f>H1532-G1533</f>
        <v/>
      </c>
      <c r="I1533" s="297" t="n"/>
      <c r="J1533" s="297" t="n"/>
      <c r="K1533" s="297" t="n"/>
      <c r="L1533" s="513" t="n"/>
    </row>
    <row r="1534">
      <c r="A1534" s="297" t="n"/>
      <c r="B1534" s="513" t="n"/>
      <c r="C1534" s="513" t="n"/>
      <c r="D1534" s="513" t="n"/>
      <c r="E1534" s="513" t="n"/>
      <c r="F1534" s="513" t="n"/>
      <c r="G1534" s="513" t="n"/>
      <c r="H1534" s="98">
        <f>H1533-G1534</f>
        <v/>
      </c>
      <c r="I1534" s="297" t="n"/>
      <c r="J1534" s="297" t="n"/>
      <c r="K1534" s="297" t="n"/>
      <c r="L1534" s="513" t="n"/>
    </row>
    <row r="1535">
      <c r="A1535" s="297" t="n"/>
      <c r="B1535" s="513" t="n"/>
      <c r="C1535" s="513" t="n"/>
      <c r="D1535" s="513" t="n"/>
      <c r="E1535" s="513" t="n"/>
      <c r="F1535" s="513" t="n"/>
      <c r="G1535" s="513" t="n"/>
      <c r="H1535" s="98">
        <f>H1534-G1535</f>
        <v/>
      </c>
      <c r="I1535" s="297" t="n"/>
      <c r="J1535" s="297" t="n"/>
      <c r="K1535" s="297" t="n"/>
      <c r="L1535" s="513" t="n"/>
    </row>
    <row r="1536">
      <c r="A1536" s="297" t="n"/>
      <c r="B1536" s="513" t="n"/>
      <c r="C1536" s="513" t="n"/>
      <c r="D1536" s="513" t="n"/>
      <c r="E1536" s="513" t="n"/>
      <c r="F1536" s="513" t="n"/>
      <c r="G1536" s="513" t="n"/>
      <c r="H1536" s="98">
        <f>H1535-G1536</f>
        <v/>
      </c>
      <c r="I1536" s="297" t="n"/>
      <c r="J1536" s="297" t="n"/>
      <c r="K1536" s="297" t="n"/>
      <c r="L1536" s="513" t="n"/>
    </row>
    <row r="1537">
      <c r="A1537" s="297" t="n"/>
      <c r="B1537" s="513" t="n"/>
      <c r="C1537" s="513" t="n"/>
      <c r="D1537" s="513" t="n"/>
      <c r="E1537" s="513" t="n"/>
      <c r="F1537" s="513" t="n"/>
      <c r="G1537" s="513" t="n"/>
      <c r="H1537" s="98">
        <f>H1536-G1537</f>
        <v/>
      </c>
      <c r="I1537" s="297" t="n"/>
      <c r="J1537" s="297" t="n"/>
      <c r="K1537" s="297" t="n"/>
      <c r="L1537" s="513" t="n"/>
    </row>
    <row r="1538">
      <c r="A1538" s="297" t="n"/>
      <c r="B1538" s="513" t="n"/>
      <c r="C1538" s="513" t="n"/>
      <c r="D1538" s="513" t="n"/>
      <c r="E1538" s="513" t="n"/>
      <c r="F1538" s="513" t="n"/>
      <c r="G1538" s="513" t="n"/>
      <c r="H1538" s="98">
        <f>H1537-G1538</f>
        <v/>
      </c>
      <c r="I1538" s="297" t="n"/>
      <c r="J1538" s="297" t="n"/>
      <c r="K1538" s="297" t="n"/>
      <c r="L1538" s="513" t="n"/>
    </row>
    <row r="1539">
      <c r="A1539" s="297" t="n"/>
      <c r="B1539" s="513" t="n"/>
      <c r="C1539" s="513" t="n"/>
      <c r="D1539" s="513" t="n"/>
      <c r="E1539" s="513" t="n"/>
      <c r="F1539" s="513" t="n"/>
      <c r="G1539" s="513" t="n"/>
      <c r="H1539" s="98">
        <f>H1538-G1539</f>
        <v/>
      </c>
      <c r="I1539" s="297" t="n"/>
      <c r="J1539" s="297" t="n"/>
      <c r="K1539" s="297" t="n"/>
      <c r="L1539" s="513" t="n"/>
    </row>
    <row r="1540">
      <c r="A1540" s="297" t="n"/>
      <c r="B1540" s="513" t="n"/>
      <c r="C1540" s="513" t="n"/>
      <c r="D1540" s="513" t="n"/>
      <c r="E1540" s="513" t="n"/>
      <c r="F1540" s="513" t="n"/>
      <c r="G1540" s="513" t="n"/>
      <c r="H1540" s="98">
        <f>H1539-G1540</f>
        <v/>
      </c>
      <c r="I1540" s="297" t="n"/>
      <c r="J1540" s="297" t="n"/>
      <c r="K1540" s="297" t="n"/>
      <c r="L1540" s="513" t="n"/>
    </row>
    <row r="1541">
      <c r="A1541" s="297" t="n"/>
      <c r="B1541" s="513" t="n"/>
      <c r="C1541" s="513" t="n"/>
      <c r="D1541" s="513" t="n"/>
      <c r="E1541" s="513" t="n"/>
      <c r="F1541" s="513" t="n"/>
      <c r="G1541" s="513" t="n"/>
      <c r="H1541" s="98">
        <f>H1540-G1541</f>
        <v/>
      </c>
      <c r="I1541" s="297" t="n"/>
      <c r="J1541" s="297" t="n"/>
      <c r="K1541" s="297" t="n"/>
      <c r="L1541" s="513" t="n"/>
    </row>
    <row r="1542">
      <c r="A1542" s="297" t="n"/>
      <c r="B1542" s="513" t="n"/>
      <c r="C1542" s="513" t="n"/>
      <c r="D1542" s="513" t="n"/>
      <c r="E1542" s="513" t="n"/>
      <c r="F1542" s="513" t="n"/>
      <c r="G1542" s="513" t="n"/>
      <c r="H1542" s="98">
        <f>H1541-G1542</f>
        <v/>
      </c>
      <c r="I1542" s="297" t="n"/>
      <c r="J1542" s="297" t="n"/>
      <c r="K1542" s="297" t="n"/>
      <c r="L1542" s="513" t="n"/>
    </row>
    <row r="1543">
      <c r="A1543" s="297" t="n"/>
      <c r="B1543" s="513" t="n"/>
      <c r="C1543" s="513" t="n"/>
      <c r="D1543" s="513" t="n"/>
      <c r="E1543" s="513" t="n"/>
      <c r="F1543" s="513" t="n"/>
      <c r="G1543" s="513" t="n"/>
      <c r="H1543" s="98">
        <f>H1542-G1543</f>
        <v/>
      </c>
      <c r="I1543" s="297" t="n"/>
      <c r="J1543" s="297" t="n"/>
      <c r="K1543" s="297" t="n"/>
      <c r="L1543" s="513" t="n"/>
    </row>
    <row r="1544">
      <c r="A1544" s="297" t="n"/>
      <c r="B1544" s="513" t="n"/>
      <c r="C1544" s="513" t="n"/>
      <c r="D1544" s="513" t="n"/>
      <c r="E1544" s="513" t="n"/>
      <c r="F1544" s="513" t="n"/>
      <c r="G1544" s="513" t="n"/>
      <c r="H1544" s="98">
        <f>H1543-G1544</f>
        <v/>
      </c>
      <c r="I1544" s="297" t="n"/>
      <c r="J1544" s="297" t="n"/>
      <c r="K1544" s="297" t="n"/>
      <c r="L1544" s="513" t="n"/>
    </row>
    <row r="1545">
      <c r="A1545" s="297" t="n"/>
      <c r="B1545" s="513" t="n"/>
      <c r="C1545" s="513" t="n"/>
      <c r="D1545" s="513" t="n"/>
      <c r="E1545" s="513" t="n"/>
      <c r="F1545" s="513" t="n"/>
      <c r="G1545" s="513" t="n"/>
      <c r="H1545" s="98">
        <f>H1544-G1545</f>
        <v/>
      </c>
      <c r="I1545" s="297" t="n"/>
      <c r="J1545" s="297" t="n"/>
      <c r="K1545" s="297" t="n"/>
      <c r="L1545" s="513" t="n"/>
    </row>
    <row r="1546">
      <c r="A1546" s="297" t="n"/>
      <c r="B1546" s="513" t="n"/>
      <c r="C1546" s="513" t="n"/>
      <c r="D1546" s="513" t="n"/>
      <c r="E1546" s="513" t="n"/>
      <c r="F1546" s="513" t="n"/>
      <c r="G1546" s="513" t="n"/>
      <c r="H1546" s="98">
        <f>H1545-G1546</f>
        <v/>
      </c>
      <c r="I1546" s="297" t="n"/>
      <c r="J1546" s="297" t="n"/>
      <c r="K1546" s="297" t="n"/>
      <c r="L1546" s="513" t="n"/>
    </row>
    <row r="1547">
      <c r="A1547" s="297" t="n"/>
      <c r="B1547" s="513" t="n"/>
      <c r="C1547" s="513" t="n"/>
      <c r="D1547" s="513" t="n"/>
      <c r="E1547" s="513" t="n"/>
      <c r="F1547" s="513" t="n"/>
      <c r="G1547" s="513" t="n"/>
      <c r="H1547" s="98">
        <f>H1546-G1547</f>
        <v/>
      </c>
      <c r="I1547" s="297" t="n"/>
      <c r="J1547" s="297" t="n"/>
      <c r="K1547" s="297" t="n"/>
      <c r="L1547" s="513" t="n"/>
    </row>
    <row r="1548">
      <c r="A1548" s="297" t="n"/>
      <c r="B1548" s="513" t="n"/>
      <c r="C1548" s="513" t="n"/>
      <c r="D1548" s="513" t="n"/>
      <c r="E1548" s="513" t="n"/>
      <c r="F1548" s="513" t="n"/>
      <c r="G1548" s="513" t="n"/>
      <c r="H1548" s="98">
        <f>H1547-G1548</f>
        <v/>
      </c>
      <c r="I1548" s="297" t="n"/>
      <c r="J1548" s="297" t="n"/>
      <c r="K1548" s="297" t="n"/>
      <c r="L1548" s="513" t="n"/>
    </row>
  </sheetData>
  <mergeCells count="1091">
    <mergeCell ref="B1014:B1017"/>
    <mergeCell ref="C225:C228"/>
    <mergeCell ref="F127:F128"/>
    <mergeCell ref="F940:H941"/>
    <mergeCell ref="F294:H295"/>
    <mergeCell ref="F49:H50"/>
    <mergeCell ref="D674:E676"/>
    <mergeCell ref="F785:H786"/>
    <mergeCell ref="I1293:I1294"/>
    <mergeCell ref="A21:L21"/>
    <mergeCell ref="F187:H188"/>
    <mergeCell ref="I355:I356"/>
    <mergeCell ref="A1176:L1176"/>
    <mergeCell ref="C373:C376"/>
    <mergeCell ref="G955:G956"/>
    <mergeCell ref="J1193:K1193"/>
    <mergeCell ref="A784:L784"/>
    <mergeCell ref="C187:C190"/>
    <mergeCell ref="J1295:K1295"/>
    <mergeCell ref="B1104:B1107"/>
    <mergeCell ref="F1066:H1067"/>
    <mergeCell ref="G357:G358"/>
    <mergeCell ref="I357:I358"/>
    <mergeCell ref="A479:L479"/>
    <mergeCell ref="J538:L539"/>
    <mergeCell ref="A1417:A1420"/>
    <mergeCell ref="F262:F263"/>
    <mergeCell ref="J728:K728"/>
    <mergeCell ref="I940:I941"/>
    <mergeCell ref="J4:K4"/>
    <mergeCell ref="I294:I295"/>
    <mergeCell ref="A494:L494"/>
    <mergeCell ref="I421:I422"/>
    <mergeCell ref="I1369:I1370"/>
    <mergeCell ref="I785:I786"/>
    <mergeCell ref="D871:E873"/>
    <mergeCell ref="I942:I943"/>
    <mergeCell ref="F1383:F1384"/>
    <mergeCell ref="I187:I188"/>
    <mergeCell ref="J1090:K1090"/>
    <mergeCell ref="D637:E639"/>
    <mergeCell ref="F278:F279"/>
    <mergeCell ref="I892:I893"/>
    <mergeCell ref="C355:C358"/>
    <mergeCell ref="G439:G440"/>
    <mergeCell ref="J1430:L1431"/>
    <mergeCell ref="A391:A394"/>
    <mergeCell ref="A833:A836"/>
    <mergeCell ref="C391:C394"/>
    <mergeCell ref="B419:B422"/>
    <mergeCell ref="D726:E728"/>
    <mergeCell ref="A1354:A1357"/>
    <mergeCell ref="C86:C89"/>
    <mergeCell ref="C1354:C1357"/>
    <mergeCell ref="A1135:L1135"/>
    <mergeCell ref="F907:H908"/>
    <mergeCell ref="J439:K439"/>
    <mergeCell ref="J1123:K1123"/>
    <mergeCell ref="G70:G71"/>
    <mergeCell ref="G483:G484"/>
    <mergeCell ref="I70:I71"/>
    <mergeCell ref="G676:G677"/>
    <mergeCell ref="J1044:K1044"/>
    <mergeCell ref="F260:H261"/>
    <mergeCell ref="B1417:B1420"/>
    <mergeCell ref="G470:G471"/>
    <mergeCell ref="B276:B279"/>
    <mergeCell ref="A968:L968"/>
    <mergeCell ref="I955:I956"/>
    <mergeCell ref="I305:I306"/>
    <mergeCell ref="A1207:A1210"/>
    <mergeCell ref="I1191:I1192"/>
    <mergeCell ref="I243:I244"/>
    <mergeCell ref="C1207:C1210"/>
    <mergeCell ref="F375:F376"/>
    <mergeCell ref="F909:F910"/>
    <mergeCell ref="J676:K676"/>
    <mergeCell ref="G1068:G1069"/>
    <mergeCell ref="D1280:E1282"/>
    <mergeCell ref="A1430:A1433"/>
    <mergeCell ref="F68:H69"/>
    <mergeCell ref="D940:E942"/>
    <mergeCell ref="C1430:C1433"/>
    <mergeCell ref="G1016:G1017"/>
    <mergeCell ref="I307:I308"/>
    <mergeCell ref="F439:F440"/>
    <mergeCell ref="C591:C594"/>
    <mergeCell ref="I1016:I1017"/>
    <mergeCell ref="J391:L392"/>
    <mergeCell ref="J833:L834"/>
    <mergeCell ref="A1136:A1139"/>
    <mergeCell ref="A419:A422"/>
    <mergeCell ref="A1367:A1370"/>
    <mergeCell ref="A1278:L1278"/>
    <mergeCell ref="C1367:C1370"/>
    <mergeCell ref="I1472:I1473"/>
    <mergeCell ref="I1393:I1394"/>
    <mergeCell ref="J1354:L1355"/>
    <mergeCell ref="A436:L436"/>
    <mergeCell ref="D1088:E1090"/>
    <mergeCell ref="J375:K375"/>
    <mergeCell ref="D454:E456"/>
    <mergeCell ref="C106:C109"/>
    <mergeCell ref="J296:K296"/>
    <mergeCell ref="I1090:I1091"/>
    <mergeCell ref="A1190:L1190"/>
    <mergeCell ref="F163:H164"/>
    <mergeCell ref="A258:L258"/>
    <mergeCell ref="F1456:H1457"/>
    <mergeCell ref="G340:G341"/>
    <mergeCell ref="G25:G26"/>
    <mergeCell ref="C243:C246"/>
    <mergeCell ref="C1191:C1194"/>
    <mergeCell ref="F1393:H1394"/>
    <mergeCell ref="J773:K773"/>
    <mergeCell ref="F1249:H1250"/>
    <mergeCell ref="A1263:L1263"/>
    <mergeCell ref="J1207:L1208"/>
    <mergeCell ref="F555:F556"/>
    <mergeCell ref="F88:F89"/>
    <mergeCell ref="F1088:H1089"/>
    <mergeCell ref="I1029:I1030"/>
    <mergeCell ref="A68:A71"/>
    <mergeCell ref="I1327:I1328"/>
    <mergeCell ref="F953:H954"/>
    <mergeCell ref="B1430:B1433"/>
    <mergeCell ref="I1121:I1122"/>
    <mergeCell ref="A124:L124"/>
    <mergeCell ref="I1419:I1420"/>
    <mergeCell ref="I189:I190"/>
    <mergeCell ref="F296:F297"/>
    <mergeCell ref="G262:G263"/>
    <mergeCell ref="J1136:L1137"/>
    <mergeCell ref="J419:L420"/>
    <mergeCell ref="A338:A341"/>
    <mergeCell ref="F728:F729"/>
    <mergeCell ref="J1367:L1368"/>
    <mergeCell ref="I1329:I1330"/>
    <mergeCell ref="F1395:F1396"/>
    <mergeCell ref="I1014:I1015"/>
    <mergeCell ref="I1356:I1357"/>
    <mergeCell ref="A84:L84"/>
    <mergeCell ref="D1293:E1295"/>
    <mergeCell ref="D970:E972"/>
    <mergeCell ref="C294:C297"/>
    <mergeCell ref="F1090:F1091"/>
    <mergeCell ref="F857:F858"/>
    <mergeCell ref="F1155:F1156"/>
    <mergeCell ref="F955:F956"/>
    <mergeCell ref="I1249:I1250"/>
    <mergeCell ref="D338:E340"/>
    <mergeCell ref="J243:L244"/>
    <mergeCell ref="A1403:L1403"/>
    <mergeCell ref="F1327:H1328"/>
    <mergeCell ref="B726:B729"/>
    <mergeCell ref="C1121:C1124"/>
    <mergeCell ref="F1342:H1343"/>
    <mergeCell ref="G555:G556"/>
    <mergeCell ref="I142:I143"/>
    <mergeCell ref="A853:L853"/>
    <mergeCell ref="A513:L513"/>
    <mergeCell ref="A748:A751"/>
    <mergeCell ref="A951:L951"/>
    <mergeCell ref="A1103:L1103"/>
    <mergeCell ref="D890:E892"/>
    <mergeCell ref="G1282:G1283"/>
    <mergeCell ref="A969:L969"/>
    <mergeCell ref="J955:K955"/>
    <mergeCell ref="F1044:F1045"/>
    <mergeCell ref="A1205:L1205"/>
    <mergeCell ref="A514:A517"/>
    <mergeCell ref="J338:L339"/>
    <mergeCell ref="J25:K25"/>
    <mergeCell ref="G728:G729"/>
    <mergeCell ref="B1354:B1357"/>
    <mergeCell ref="I23:I24"/>
    <mergeCell ref="A673:L673"/>
    <mergeCell ref="I771:I772"/>
    <mergeCell ref="I1042:I1043"/>
    <mergeCell ref="I208:I209"/>
    <mergeCell ref="J1282:K1282"/>
    <mergeCell ref="I1432:I1433"/>
    <mergeCell ref="F676:F677"/>
    <mergeCell ref="F674:H675"/>
    <mergeCell ref="A320:A323"/>
    <mergeCell ref="C833:C836"/>
    <mergeCell ref="I835:I836"/>
    <mergeCell ref="D391:E393"/>
    <mergeCell ref="F890:H891"/>
    <mergeCell ref="I516:I517"/>
    <mergeCell ref="I1342:I1343"/>
    <mergeCell ref="A589:L589"/>
    <mergeCell ref="C338:C341"/>
    <mergeCell ref="A241:L241"/>
    <mergeCell ref="I1317:I1318"/>
    <mergeCell ref="J1121:L1122"/>
    <mergeCell ref="F748:H749"/>
    <mergeCell ref="C907:C910"/>
    <mergeCell ref="F496:H497"/>
    <mergeCell ref="I468:I469"/>
    <mergeCell ref="A808:L808"/>
    <mergeCell ref="B1136:B1139"/>
    <mergeCell ref="F514:H515"/>
    <mergeCell ref="A1416:L1416"/>
    <mergeCell ref="B1367:B1370"/>
    <mergeCell ref="C771:C774"/>
    <mergeCell ref="G989:G990"/>
    <mergeCell ref="A1087:L1087"/>
    <mergeCell ref="I163:I164"/>
    <mergeCell ref="I989:I990"/>
    <mergeCell ref="F1315:H1316"/>
    <mergeCell ref="J127:K127"/>
    <mergeCell ref="A1391:L1391"/>
    <mergeCell ref="D538:E540"/>
    <mergeCell ref="F1265:H1266"/>
    <mergeCell ref="G245:G246"/>
    <mergeCell ref="A1088:A1091"/>
    <mergeCell ref="J1068:K1068"/>
    <mergeCell ref="F1123:F1124"/>
    <mergeCell ref="I165:I166"/>
    <mergeCell ref="F340:F341"/>
    <mergeCell ref="A674:A677"/>
    <mergeCell ref="B833:B836"/>
    <mergeCell ref="J320:L321"/>
    <mergeCell ref="G972:G973"/>
    <mergeCell ref="B243:B246"/>
    <mergeCell ref="I972:I973"/>
    <mergeCell ref="B1191:B1194"/>
    <mergeCell ref="A140:L140"/>
    <mergeCell ref="D1136:E1138"/>
    <mergeCell ref="I953:I954"/>
    <mergeCell ref="I1251:I1252"/>
    <mergeCell ref="I496:I497"/>
    <mergeCell ref="J86:L87"/>
    <mergeCell ref="D1470:E1472"/>
    <mergeCell ref="J726:L727"/>
    <mergeCell ref="D125:E127"/>
    <mergeCell ref="J972:K972"/>
    <mergeCell ref="I1066:I1067"/>
    <mergeCell ref="A700:A703"/>
    <mergeCell ref="I538:I539"/>
    <mergeCell ref="D106:E108"/>
    <mergeCell ref="C700:C703"/>
    <mergeCell ref="A1119:L1119"/>
    <mergeCell ref="A1040:L1040"/>
    <mergeCell ref="C1234:C1237"/>
    <mergeCell ref="F210:F211"/>
    <mergeCell ref="C1221:C1224"/>
    <mergeCell ref="J771:L772"/>
    <mergeCell ref="F1329:F1330"/>
    <mergeCell ref="A1469:L1469"/>
    <mergeCell ref="A1177:L1177"/>
    <mergeCell ref="I1153:I1154"/>
    <mergeCell ref="B1207:B1210"/>
    <mergeCell ref="A1442:A1445"/>
    <mergeCell ref="F1470:H1471"/>
    <mergeCell ref="A1340:L1340"/>
    <mergeCell ref="A452:L452"/>
    <mergeCell ref="G621:G622"/>
    <mergeCell ref="F553:H554"/>
    <mergeCell ref="D1104:E1106"/>
    <mergeCell ref="A921:L921"/>
    <mergeCell ref="G857:G858"/>
    <mergeCell ref="G1090:G1091"/>
    <mergeCell ref="G1155:G1156"/>
    <mergeCell ref="I1155:I1156"/>
    <mergeCell ref="J999:K999"/>
    <mergeCell ref="B454:B457"/>
    <mergeCell ref="J106:L107"/>
    <mergeCell ref="J262:K262"/>
    <mergeCell ref="I514:I515"/>
    <mergeCell ref="A1381:A1384"/>
    <mergeCell ref="J1305:K1305"/>
    <mergeCell ref="A453:L453"/>
    <mergeCell ref="B1121:B1124"/>
    <mergeCell ref="A1279:L1279"/>
    <mergeCell ref="D1249:E1251"/>
    <mergeCell ref="I787:I788"/>
    <mergeCell ref="J593:K593"/>
    <mergeCell ref="A105:L105"/>
    <mergeCell ref="I1442:I1443"/>
    <mergeCell ref="J700:L701"/>
    <mergeCell ref="I591:I592"/>
    <mergeCell ref="F1282:F1283"/>
    <mergeCell ref="G189:G190"/>
    <mergeCell ref="A855:A858"/>
    <mergeCell ref="C855:C858"/>
    <mergeCell ref="I553:I554"/>
    <mergeCell ref="C1153:C1156"/>
    <mergeCell ref="F144:F145"/>
    <mergeCell ref="D997:E999"/>
    <mergeCell ref="D419:E421"/>
    <mergeCell ref="A1366:L1366"/>
    <mergeCell ref="B810:B813"/>
    <mergeCell ref="J1442:L1443"/>
    <mergeCell ref="F621:F622"/>
    <mergeCell ref="G1295:G1296"/>
    <mergeCell ref="A371:L371"/>
    <mergeCell ref="I1295:I1296"/>
    <mergeCell ref="A336:L336"/>
    <mergeCell ref="F276:H277"/>
    <mergeCell ref="D700:E702"/>
    <mergeCell ref="J989:K989"/>
    <mergeCell ref="B338:B341"/>
    <mergeCell ref="G999:G1000"/>
    <mergeCell ref="A1134:L1134"/>
    <mergeCell ref="G1395:G1396"/>
    <mergeCell ref="B142:B145"/>
    <mergeCell ref="F591:H592"/>
    <mergeCell ref="F1193:F1194"/>
    <mergeCell ref="A769:L769"/>
    <mergeCell ref="A1265:A1268"/>
    <mergeCell ref="D1315:E1317"/>
    <mergeCell ref="J125:L126"/>
    <mergeCell ref="A1104:A1107"/>
    <mergeCell ref="J621:K621"/>
    <mergeCell ref="F970:H971"/>
    <mergeCell ref="G1209:G1210"/>
    <mergeCell ref="J857:K857"/>
    <mergeCell ref="J855:L856"/>
    <mergeCell ref="J1155:K1155"/>
    <mergeCell ref="J1153:L1154"/>
    <mergeCell ref="I108:I109"/>
    <mergeCell ref="B771:B774"/>
    <mergeCell ref="B1042:B1045"/>
    <mergeCell ref="A810:A813"/>
    <mergeCell ref="I540:I541"/>
    <mergeCell ref="A49:A52"/>
    <mergeCell ref="A726:A729"/>
    <mergeCell ref="I393:I394"/>
    <mergeCell ref="C49:C52"/>
    <mergeCell ref="C726:C729"/>
    <mergeCell ref="A1404:A1407"/>
    <mergeCell ref="B1404:B1407"/>
    <mergeCell ref="C1404:C1407"/>
    <mergeCell ref="D1381:E1383"/>
    <mergeCell ref="F922:H923"/>
    <mergeCell ref="D591:E593"/>
    <mergeCell ref="F1295:F1296"/>
    <mergeCell ref="F972:F973"/>
    <mergeCell ref="B106:B109"/>
    <mergeCell ref="I1367:I1368"/>
    <mergeCell ref="F999:F1000"/>
    <mergeCell ref="J456:K456"/>
    <mergeCell ref="F225:H226"/>
    <mergeCell ref="B391:B394"/>
    <mergeCell ref="J873:K873"/>
    <mergeCell ref="D1404:E1406"/>
    <mergeCell ref="A1341:L1341"/>
    <mergeCell ref="F619:H620"/>
    <mergeCell ref="B468:B471"/>
    <mergeCell ref="J835:K835"/>
    <mergeCell ref="J639:K639"/>
    <mergeCell ref="A303:L303"/>
    <mergeCell ref="J245:K245"/>
    <mergeCell ref="J555:K555"/>
    <mergeCell ref="A985:L985"/>
    <mergeCell ref="J1369:K1369"/>
    <mergeCell ref="J1356:K1356"/>
    <mergeCell ref="A995:L995"/>
    <mergeCell ref="I922:I923"/>
    <mergeCell ref="G210:G211"/>
    <mergeCell ref="G1329:G1330"/>
    <mergeCell ref="J1458:K1458"/>
    <mergeCell ref="J810:L811"/>
    <mergeCell ref="I987:I988"/>
    <mergeCell ref="A161:L161"/>
    <mergeCell ref="I1456:I1457"/>
    <mergeCell ref="J49:L50"/>
    <mergeCell ref="B481:B484"/>
    <mergeCell ref="J1404:L1405"/>
    <mergeCell ref="A617:L617"/>
    <mergeCell ref="F892:F893"/>
    <mergeCell ref="G924:G925"/>
    <mergeCell ref="I924:I925"/>
    <mergeCell ref="D1265:E1267"/>
    <mergeCell ref="F593:F594"/>
    <mergeCell ref="A454:A457"/>
    <mergeCell ref="I1209:I1210"/>
    <mergeCell ref="F1419:F1420"/>
    <mergeCell ref="C454:C457"/>
    <mergeCell ref="I619:I620"/>
    <mergeCell ref="A106:A109"/>
    <mergeCell ref="A373:A376"/>
    <mergeCell ref="A1232:L1232"/>
    <mergeCell ref="F750:F751"/>
    <mergeCell ref="C1442:C1445"/>
    <mergeCell ref="J1234:L1235"/>
    <mergeCell ref="J142:L143"/>
    <mergeCell ref="A123:L123"/>
    <mergeCell ref="A1440:L1440"/>
    <mergeCell ref="F538:H539"/>
    <mergeCell ref="A552:L552"/>
    <mergeCell ref="B125:B128"/>
    <mergeCell ref="C922:C925"/>
    <mergeCell ref="A276:A279"/>
    <mergeCell ref="B855:B858"/>
    <mergeCell ref="A1013:L1013"/>
    <mergeCell ref="C1014:C1017"/>
    <mergeCell ref="G421:G422"/>
    <mergeCell ref="B1153:B1156"/>
    <mergeCell ref="C1456:C1459"/>
    <mergeCell ref="A537:L537"/>
    <mergeCell ref="F639:F640"/>
    <mergeCell ref="G942:G943"/>
    <mergeCell ref="I871:I872"/>
    <mergeCell ref="B1221:B1224"/>
    <mergeCell ref="G892:G893"/>
    <mergeCell ref="F307:F308"/>
    <mergeCell ref="F1430:H1431"/>
    <mergeCell ref="I637:I638"/>
    <mergeCell ref="I1106:I1107"/>
    <mergeCell ref="J454:L455"/>
    <mergeCell ref="A47:L47"/>
    <mergeCell ref="J373:L374"/>
    <mergeCell ref="A22:L22"/>
    <mergeCell ref="A86:A89"/>
    <mergeCell ref="J1029:L1030"/>
    <mergeCell ref="C142:C145"/>
    <mergeCell ref="B1442:B1445"/>
    <mergeCell ref="J787:K787"/>
    <mergeCell ref="A1064:L1064"/>
    <mergeCell ref="I676:I677"/>
    <mergeCell ref="J637:L638"/>
    <mergeCell ref="F1305:F1306"/>
    <mergeCell ref="J437:L438"/>
    <mergeCell ref="A940:A943"/>
    <mergeCell ref="C940:C943"/>
    <mergeCell ref="I1406:I1407"/>
    <mergeCell ref="F1432:F1433"/>
    <mergeCell ref="J924:K924"/>
    <mergeCell ref="D1191:E1193"/>
    <mergeCell ref="F245:F246"/>
    <mergeCell ref="C871:C874"/>
    <mergeCell ref="C1042:C1045"/>
    <mergeCell ref="A907:A910"/>
    <mergeCell ref="F1014:H1015"/>
    <mergeCell ref="F1344:F1345"/>
    <mergeCell ref="B49:B52"/>
    <mergeCell ref="B997:B1000"/>
    <mergeCell ref="C208:C211"/>
    <mergeCell ref="F1138:F1139"/>
    <mergeCell ref="A590:L590"/>
    <mergeCell ref="C1029:C1032"/>
    <mergeCell ref="J1395:K1395"/>
    <mergeCell ref="A832:L832"/>
    <mergeCell ref="A304:L304"/>
    <mergeCell ref="A1301:L1301"/>
    <mergeCell ref="C637:C640"/>
    <mergeCell ref="D481:E483"/>
    <mergeCell ref="G144:G145"/>
    <mergeCell ref="A888:L888"/>
    <mergeCell ref="A986:L986"/>
    <mergeCell ref="A1428:L1428"/>
    <mergeCell ref="A467:L467"/>
    <mergeCell ref="C1342:C1345"/>
    <mergeCell ref="G307:G308"/>
    <mergeCell ref="A1415:L1415"/>
    <mergeCell ref="A996:L996"/>
    <mergeCell ref="A1365:L1365"/>
    <mergeCell ref="G1472:G1473"/>
    <mergeCell ref="A162:L162"/>
    <mergeCell ref="B700:B703"/>
    <mergeCell ref="D1207:E1209"/>
    <mergeCell ref="I890:I891"/>
    <mergeCell ref="I2:I3"/>
    <mergeCell ref="F1354:H1355"/>
    <mergeCell ref="F1356:F1357"/>
    <mergeCell ref="F1458:F1459"/>
    <mergeCell ref="J144:K144"/>
    <mergeCell ref="D810:E812"/>
    <mergeCell ref="B1234:B1237"/>
    <mergeCell ref="I1223:I1224"/>
    <mergeCell ref="J1138:K1138"/>
    <mergeCell ref="J163:L164"/>
    <mergeCell ref="J940:L941"/>
    <mergeCell ref="I1088:I1089"/>
    <mergeCell ref="G498:G499"/>
    <mergeCell ref="J294:L295"/>
    <mergeCell ref="F70:F71"/>
    <mergeCell ref="I498:I499"/>
    <mergeCell ref="J890:L891"/>
    <mergeCell ref="A243:A246"/>
    <mergeCell ref="D320:E322"/>
    <mergeCell ref="I470:I471"/>
    <mergeCell ref="J871:L872"/>
    <mergeCell ref="F1207:H1208"/>
    <mergeCell ref="F1178:H1179"/>
    <mergeCell ref="I391:I392"/>
    <mergeCell ref="J210:K210"/>
    <mergeCell ref="A997:A1000"/>
    <mergeCell ref="C997:C1000"/>
    <mergeCell ref="A1248:L1248"/>
    <mergeCell ref="A1441:L1441"/>
    <mergeCell ref="J748:L749"/>
    <mergeCell ref="F924:F925"/>
    <mergeCell ref="F208:H209"/>
    <mergeCell ref="I1354:I1355"/>
    <mergeCell ref="A259:L259"/>
    <mergeCell ref="C953:C956"/>
    <mergeCell ref="A495:L495"/>
    <mergeCell ref="G1419:G1420"/>
    <mergeCell ref="F419:H420"/>
    <mergeCell ref="J70:K70"/>
    <mergeCell ref="F1367:H1368"/>
    <mergeCell ref="G1356:G1357"/>
    <mergeCell ref="F456:F457"/>
    <mergeCell ref="A1314:L1314"/>
    <mergeCell ref="B785:B788"/>
    <mergeCell ref="F873:F874"/>
    <mergeCell ref="D225:E227"/>
    <mergeCell ref="A724:L724"/>
    <mergeCell ref="A353:L353"/>
    <mergeCell ref="F357:F358"/>
    <mergeCell ref="A480:L480"/>
    <mergeCell ref="A294:A297"/>
    <mergeCell ref="G516:G517"/>
    <mergeCell ref="A125:A128"/>
    <mergeCell ref="F1381:H1382"/>
    <mergeCell ref="J357:K357"/>
    <mergeCell ref="I1178:I1179"/>
    <mergeCell ref="F835:F836"/>
    <mergeCell ref="A48:L48"/>
    <mergeCell ref="A319:L319"/>
    <mergeCell ref="B987:B990"/>
    <mergeCell ref="F243:H244"/>
    <mergeCell ref="F421:F422"/>
    <mergeCell ref="J1329:K1329"/>
    <mergeCell ref="J305:L306"/>
    <mergeCell ref="F1369:F1370"/>
    <mergeCell ref="G1193:G1194"/>
    <mergeCell ref="J1191:L1192"/>
    <mergeCell ref="I702:I703"/>
    <mergeCell ref="I773:I774"/>
    <mergeCell ref="G1180:G1181"/>
    <mergeCell ref="I1180:I1181"/>
    <mergeCell ref="A869:L869"/>
    <mergeCell ref="F942:F943"/>
    <mergeCell ref="J997:L998"/>
    <mergeCell ref="I419:I420"/>
    <mergeCell ref="C748:C751"/>
    <mergeCell ref="A1221:A1224"/>
    <mergeCell ref="D785:E787"/>
    <mergeCell ref="A1121:A1124"/>
    <mergeCell ref="C468:C471"/>
    <mergeCell ref="F787:F788"/>
    <mergeCell ref="D437:E439"/>
    <mergeCell ref="A1219:L1219"/>
    <mergeCell ref="A635:L635"/>
    <mergeCell ref="B1303:B1306"/>
    <mergeCell ref="B355:B358"/>
    <mergeCell ref="C514:C517"/>
    <mergeCell ref="F189:F190"/>
    <mergeCell ref="J2:L3"/>
    <mergeCell ref="F338:H339"/>
    <mergeCell ref="J421:K421"/>
    <mergeCell ref="A1392:L1392"/>
    <mergeCell ref="A938:L938"/>
    <mergeCell ref="D1121:E1123"/>
    <mergeCell ref="I210:I211"/>
    <mergeCell ref="J942:K942"/>
    <mergeCell ref="B940:B943"/>
    <mergeCell ref="A1027:L1027"/>
    <mergeCell ref="A1220:L1220"/>
    <mergeCell ref="G1432:G1433"/>
    <mergeCell ref="G593:G594"/>
    <mergeCell ref="A185:L185"/>
    <mergeCell ref="G835:G836"/>
    <mergeCell ref="A305:A308"/>
    <mergeCell ref="I593:I594"/>
    <mergeCell ref="C305:C308"/>
    <mergeCell ref="F771:H772"/>
    <mergeCell ref="B871:B874"/>
    <mergeCell ref="J1419:K1419"/>
    <mergeCell ref="I68:I69"/>
    <mergeCell ref="G1369:G1370"/>
    <mergeCell ref="B1029:B1032"/>
    <mergeCell ref="G1344:G1345"/>
    <mergeCell ref="D86:E88"/>
    <mergeCell ref="F1121:H1122"/>
    <mergeCell ref="J750:K750"/>
    <mergeCell ref="B637:B640"/>
    <mergeCell ref="J1221:L1222"/>
    <mergeCell ref="C163:C166"/>
    <mergeCell ref="J1106:K1106"/>
    <mergeCell ref="A770:L770"/>
    <mergeCell ref="G51:G52"/>
    <mergeCell ref="A2:A5"/>
    <mergeCell ref="A1303:A1306"/>
    <mergeCell ref="I51:I52"/>
    <mergeCell ref="C2:C5"/>
    <mergeCell ref="C1303:C1306"/>
    <mergeCell ref="I1104:I1105"/>
    <mergeCell ref="J68:L69"/>
    <mergeCell ref="J514:L515"/>
    <mergeCell ref="J516:K516"/>
    <mergeCell ref="C890:C893"/>
    <mergeCell ref="F1472:F1473"/>
    <mergeCell ref="I1193:I1194"/>
    <mergeCell ref="D373:E375"/>
    <mergeCell ref="A1234:A1237"/>
    <mergeCell ref="G1458:G1459"/>
    <mergeCell ref="D907:E909"/>
    <mergeCell ref="I1404:I1405"/>
    <mergeCell ref="A1280:A1283"/>
    <mergeCell ref="A1086:L1086"/>
    <mergeCell ref="G165:G166"/>
    <mergeCell ref="A1151:L1151"/>
    <mergeCell ref="F1417:H1418"/>
    <mergeCell ref="D23:E25"/>
    <mergeCell ref="C68:C71"/>
    <mergeCell ref="A417:L417"/>
    <mergeCell ref="J307:K307"/>
    <mergeCell ref="B305:B308"/>
    <mergeCell ref="J987:L988"/>
    <mergeCell ref="I748:I749"/>
    <mergeCell ref="G1251:G1252"/>
    <mergeCell ref="A354:L354"/>
    <mergeCell ref="A1380:L1380"/>
    <mergeCell ref="J165:K165"/>
    <mergeCell ref="C1104:C1107"/>
    <mergeCell ref="G296:G297"/>
    <mergeCell ref="G750:G751"/>
    <mergeCell ref="B294:B297"/>
    <mergeCell ref="I296:I297"/>
    <mergeCell ref="J907:L908"/>
    <mergeCell ref="A418:L418"/>
    <mergeCell ref="J892:K892"/>
    <mergeCell ref="I483:I484"/>
    <mergeCell ref="J1303:L1304"/>
    <mergeCell ref="B2:B5"/>
    <mergeCell ref="B890:B893"/>
    <mergeCell ref="I1315:I1316"/>
    <mergeCell ref="D1029:E1031"/>
    <mergeCell ref="D833:E835"/>
    <mergeCell ref="D305:E307"/>
    <mergeCell ref="J23:L24"/>
    <mergeCell ref="D243:E245"/>
    <mergeCell ref="I227:I228"/>
    <mergeCell ref="D276:E278"/>
    <mergeCell ref="J1236:K1236"/>
    <mergeCell ref="I1417:I1418"/>
    <mergeCell ref="J1223:K1223"/>
    <mergeCell ref="G456:G457"/>
    <mergeCell ref="D468:E470"/>
    <mergeCell ref="B1088:B1091"/>
    <mergeCell ref="I456:I457"/>
    <mergeCell ref="C1178:C1181"/>
    <mergeCell ref="D1354:E1356"/>
    <mergeCell ref="J1280:L1281"/>
    <mergeCell ref="D163:E165"/>
    <mergeCell ref="F1016:F1017"/>
    <mergeCell ref="J481:L482"/>
    <mergeCell ref="A1206:L1206"/>
    <mergeCell ref="C987:C990"/>
    <mergeCell ref="A23:A26"/>
    <mergeCell ref="A274:L274"/>
    <mergeCell ref="A372:L372"/>
    <mergeCell ref="F1180:F1181"/>
    <mergeCell ref="A1293:A1296"/>
    <mergeCell ref="J278:K278"/>
    <mergeCell ref="D1327:E1329"/>
    <mergeCell ref="A67:L67"/>
    <mergeCell ref="A1264:L1264"/>
    <mergeCell ref="G787:G788"/>
    <mergeCell ref="C1280:C1283"/>
    <mergeCell ref="G88:G89"/>
    <mergeCell ref="A186:L186"/>
    <mergeCell ref="A1012:L1012"/>
    <mergeCell ref="A672:L672"/>
    <mergeCell ref="F1104:H1105"/>
    <mergeCell ref="A275:L275"/>
    <mergeCell ref="C1417:C1420"/>
    <mergeCell ref="A536:L536"/>
    <mergeCell ref="A771:A774"/>
    <mergeCell ref="A809:L809"/>
    <mergeCell ref="A1247:L1247"/>
    <mergeCell ref="J1472:K1472"/>
    <mergeCell ref="I674:I675"/>
    <mergeCell ref="J1406:K1406"/>
    <mergeCell ref="C1327:C1330"/>
    <mergeCell ref="J1180:K1180"/>
    <mergeCell ref="G375:G376"/>
    <mergeCell ref="J1249:L1250"/>
    <mergeCell ref="I375:I376"/>
    <mergeCell ref="I909:I910"/>
    <mergeCell ref="A481:A484"/>
    <mergeCell ref="I1207:I1208"/>
    <mergeCell ref="F1106:F1107"/>
    <mergeCell ref="C481:C484"/>
    <mergeCell ref="D1042:E1044"/>
    <mergeCell ref="F516:F517"/>
    <mergeCell ref="A66:L66"/>
    <mergeCell ref="I700:I701"/>
    <mergeCell ref="A187:A190"/>
    <mergeCell ref="I1430:I1431"/>
    <mergeCell ref="F726:H727"/>
    <mergeCell ref="D1221:E1223"/>
    <mergeCell ref="I1234:I1235"/>
    <mergeCell ref="A698:L698"/>
    <mergeCell ref="D49:E51"/>
    <mergeCell ref="D1342:E1344"/>
    <mergeCell ref="J1293:L1294"/>
    <mergeCell ref="A1152:L1152"/>
    <mergeCell ref="B907:B910"/>
    <mergeCell ref="F51:F52"/>
    <mergeCell ref="C1066:C1069"/>
    <mergeCell ref="J1432:K1432"/>
    <mergeCell ref="F855:H856"/>
    <mergeCell ref="B437:B440"/>
    <mergeCell ref="F1153:H1154"/>
    <mergeCell ref="A141:L141"/>
    <mergeCell ref="C674:C677"/>
    <mergeCell ref="A725:L725"/>
    <mergeCell ref="G108:G109"/>
    <mergeCell ref="A206:L206"/>
    <mergeCell ref="A1325:L1325"/>
    <mergeCell ref="G322:G323"/>
    <mergeCell ref="G1031:G1032"/>
    <mergeCell ref="G393:G394"/>
    <mergeCell ref="I322:I323"/>
    <mergeCell ref="I1031:I1032"/>
    <mergeCell ref="A224:L224"/>
    <mergeCell ref="G1267:G1268"/>
    <mergeCell ref="B1327:B1330"/>
    <mergeCell ref="G1123:G1124"/>
    <mergeCell ref="I1267:I1268"/>
    <mergeCell ref="I1123:I1124"/>
    <mergeCell ref="A435:L435"/>
    <mergeCell ref="F165:F166"/>
    <mergeCell ref="I88:I89"/>
    <mergeCell ref="I726:I727"/>
    <mergeCell ref="A1454:L1454"/>
    <mergeCell ref="B68:B71"/>
    <mergeCell ref="J785:L786"/>
    <mergeCell ref="D1303:E1305"/>
    <mergeCell ref="A1191:A1194"/>
    <mergeCell ref="A1153:A1156"/>
    <mergeCell ref="J1031:K1031"/>
    <mergeCell ref="C23:C26"/>
    <mergeCell ref="F1251:F1252"/>
    <mergeCell ref="J187:L188"/>
    <mergeCell ref="J1267:K1267"/>
    <mergeCell ref="I728:I729"/>
    <mergeCell ref="I833:I834"/>
    <mergeCell ref="D771:E773"/>
    <mergeCell ref="C1293:C1296"/>
    <mergeCell ref="J1066:L1067"/>
    <mergeCell ref="F498:F499"/>
    <mergeCell ref="A785:A788"/>
    <mergeCell ref="C785:C788"/>
    <mergeCell ref="B163:B166"/>
    <mergeCell ref="J674:L675"/>
    <mergeCell ref="A260:A263"/>
    <mergeCell ref="C260:C263"/>
    <mergeCell ref="F810:H811"/>
    <mergeCell ref="F1317:F1318"/>
    <mergeCell ref="F1404:H1405"/>
    <mergeCell ref="B1249:B1252"/>
    <mergeCell ref="D619:E621"/>
    <mergeCell ref="A746:L746"/>
    <mergeCell ref="F1267:F1268"/>
    <mergeCell ref="B208:B211"/>
    <mergeCell ref="I225:I226"/>
    <mergeCell ref="I1344:I1345"/>
    <mergeCell ref="A1102:L1102"/>
    <mergeCell ref="B748:B751"/>
    <mergeCell ref="G1138:G1139"/>
    <mergeCell ref="A390:L390"/>
    <mergeCell ref="I439:I440"/>
    <mergeCell ref="A512:L512"/>
    <mergeCell ref="B953:B956"/>
    <mergeCell ref="I1265:I1266"/>
    <mergeCell ref="B23:B26"/>
    <mergeCell ref="I25:I26"/>
    <mergeCell ref="A1313:L1313"/>
    <mergeCell ref="A355:A358"/>
    <mergeCell ref="G773:G774"/>
    <mergeCell ref="B514:B517"/>
    <mergeCell ref="A85:L85"/>
    <mergeCell ref="G1044:G1045"/>
    <mergeCell ref="I454:I455"/>
    <mergeCell ref="F142:H143"/>
    <mergeCell ref="I1044:I1045"/>
    <mergeCell ref="A1402:L1402"/>
    <mergeCell ref="F1406:F1407"/>
    <mergeCell ref="J1344:K1344"/>
    <mergeCell ref="B1315:B1318"/>
    <mergeCell ref="I810:I811"/>
    <mergeCell ref="A553:A556"/>
    <mergeCell ref="J1265:L1266"/>
    <mergeCell ref="C553:C556"/>
    <mergeCell ref="D355:E357"/>
    <mergeCell ref="J227:K227"/>
    <mergeCell ref="A1014:A1017"/>
    <mergeCell ref="A1456:A1459"/>
    <mergeCell ref="J260:L261"/>
    <mergeCell ref="A1379:L1379"/>
    <mergeCell ref="A466:L466"/>
    <mergeCell ref="D553:E555"/>
    <mergeCell ref="D1066:E1068"/>
    <mergeCell ref="D922:E924"/>
    <mergeCell ref="A1291:L1291"/>
    <mergeCell ref="B1342:B1345"/>
    <mergeCell ref="D1456:E1458"/>
    <mergeCell ref="F454:H455"/>
    <mergeCell ref="G1106:G1107"/>
    <mergeCell ref="A207:L207"/>
    <mergeCell ref="F106:H107"/>
    <mergeCell ref="A1:L1"/>
    <mergeCell ref="F373:H374"/>
    <mergeCell ref="J322:K322"/>
    <mergeCell ref="J189:K189"/>
    <mergeCell ref="C419:C422"/>
    <mergeCell ref="C1136:C1139"/>
    <mergeCell ref="J355:L356"/>
    <mergeCell ref="F1029:H1030"/>
    <mergeCell ref="F833:H834"/>
    <mergeCell ref="F391:H392"/>
    <mergeCell ref="A142:A145"/>
    <mergeCell ref="I970:I971"/>
    <mergeCell ref="A1468:L1468"/>
    <mergeCell ref="I1395:I1396"/>
    <mergeCell ref="F437:H438"/>
    <mergeCell ref="I338:I339"/>
    <mergeCell ref="F468:H469"/>
    <mergeCell ref="G1406:G1407"/>
    <mergeCell ref="B1066:B1069"/>
    <mergeCell ref="J553:L554"/>
    <mergeCell ref="I1136:I1137"/>
    <mergeCell ref="A437:A440"/>
    <mergeCell ref="J922:L923"/>
    <mergeCell ref="B674:B677"/>
    <mergeCell ref="C437:C440"/>
    <mergeCell ref="A1028:L1028"/>
    <mergeCell ref="F108:F109"/>
    <mergeCell ref="J1016:K1016"/>
    <mergeCell ref="I340:I341"/>
    <mergeCell ref="J1014:L1015"/>
    <mergeCell ref="D1234:E1236"/>
    <mergeCell ref="A871:A874"/>
    <mergeCell ref="A1042:A1045"/>
    <mergeCell ref="A1326:L1326"/>
    <mergeCell ref="J1456:L1457"/>
    <mergeCell ref="F1031:F1032"/>
    <mergeCell ref="F393:F394"/>
    <mergeCell ref="D187:E189"/>
    <mergeCell ref="I144:I145"/>
    <mergeCell ref="A208:A211"/>
    <mergeCell ref="J540:K540"/>
    <mergeCell ref="A1029:A1032"/>
    <mergeCell ref="A1327:A1330"/>
    <mergeCell ref="I106:I107"/>
    <mergeCell ref="J1393:L1394"/>
    <mergeCell ref="I373:I374"/>
    <mergeCell ref="I907:I908"/>
    <mergeCell ref="A1342:A1345"/>
    <mergeCell ref="J619:L620"/>
    <mergeCell ref="F320:H321"/>
    <mergeCell ref="J1088:L1089"/>
    <mergeCell ref="J953:L954"/>
    <mergeCell ref="A389:L389"/>
    <mergeCell ref="J108:K108"/>
    <mergeCell ref="F86:H87"/>
    <mergeCell ref="F1136:H1137"/>
    <mergeCell ref="A889:L889"/>
    <mergeCell ref="J393:K393"/>
    <mergeCell ref="G1223:G1224"/>
    <mergeCell ref="A1352:L1352"/>
    <mergeCell ref="A293:L293"/>
    <mergeCell ref="A1041:L1041"/>
    <mergeCell ref="A163:A166"/>
    <mergeCell ref="J702:K702"/>
    <mergeCell ref="A747:L747"/>
    <mergeCell ref="F871:H872"/>
    <mergeCell ref="B260:B263"/>
    <mergeCell ref="F1042:H1043"/>
    <mergeCell ref="D1153:E1155"/>
    <mergeCell ref="J1042:L1043"/>
    <mergeCell ref="G1317:G1318"/>
    <mergeCell ref="I320:I321"/>
    <mergeCell ref="G1444:G1445"/>
    <mergeCell ref="A1249:A1252"/>
    <mergeCell ref="J208:L209"/>
    <mergeCell ref="J1327:L1328"/>
    <mergeCell ref="C1249:C1252"/>
    <mergeCell ref="I1444:I1445"/>
    <mergeCell ref="A1120:L1120"/>
    <mergeCell ref="D142:E144"/>
    <mergeCell ref="B591:B594"/>
    <mergeCell ref="I86:I87"/>
    <mergeCell ref="I555:I556"/>
    <mergeCell ref="I1381:I1382"/>
    <mergeCell ref="J1342:L1343"/>
    <mergeCell ref="F1209:F1210"/>
    <mergeCell ref="J470:K470"/>
    <mergeCell ref="D294:E296"/>
    <mergeCell ref="A953:A956"/>
    <mergeCell ref="A496:A499"/>
    <mergeCell ref="A551:L551"/>
    <mergeCell ref="A1429:L1429"/>
    <mergeCell ref="C496:C499"/>
    <mergeCell ref="I1282:I1283"/>
    <mergeCell ref="D1393:E1395"/>
    <mergeCell ref="F227:F228"/>
    <mergeCell ref="G1383:G1384"/>
    <mergeCell ref="I1383:I1384"/>
    <mergeCell ref="I855:I856"/>
    <mergeCell ref="A1315:A1318"/>
    <mergeCell ref="J88:K88"/>
    <mergeCell ref="C1315:C1318"/>
    <mergeCell ref="A890:A893"/>
    <mergeCell ref="B553:B556"/>
    <mergeCell ref="A1065:L1065"/>
    <mergeCell ref="B922:B925"/>
    <mergeCell ref="F305:H306"/>
    <mergeCell ref="A104:L104"/>
    <mergeCell ref="B1280:B1283"/>
    <mergeCell ref="C320:C323"/>
    <mergeCell ref="F812:F813"/>
    <mergeCell ref="J1209:K1209"/>
    <mergeCell ref="D1367:E1369"/>
    <mergeCell ref="G702:G703"/>
    <mergeCell ref="I1470:I1471"/>
    <mergeCell ref="A831:L831"/>
    <mergeCell ref="F997:H998"/>
    <mergeCell ref="G1236:G1237"/>
    <mergeCell ref="B538:B541"/>
    <mergeCell ref="B225:B228"/>
    <mergeCell ref="J909:K909"/>
    <mergeCell ref="I1236:I1237"/>
    <mergeCell ref="J1251:K1251"/>
    <mergeCell ref="A468:A471"/>
    <mergeCell ref="B1265:B1268"/>
    <mergeCell ref="B619:B622"/>
    <mergeCell ref="F2:H3"/>
    <mergeCell ref="I437:I438"/>
    <mergeCell ref="J498:K498"/>
    <mergeCell ref="J496:L497"/>
    <mergeCell ref="A906:L906"/>
    <mergeCell ref="D1014:E1016"/>
    <mergeCell ref="G873:G874"/>
    <mergeCell ref="A1393:A1396"/>
    <mergeCell ref="C1393:C1396"/>
    <mergeCell ref="J1317:K1317"/>
    <mergeCell ref="J1315:L1316"/>
    <mergeCell ref="F540:F541"/>
    <mergeCell ref="J1444:K1444"/>
    <mergeCell ref="F125:H126"/>
    <mergeCell ref="J483:K483"/>
    <mergeCell ref="D68:E70"/>
    <mergeCell ref="I245:I246"/>
    <mergeCell ref="C1088:C1091"/>
    <mergeCell ref="I997:I998"/>
    <mergeCell ref="A1470:A1473"/>
    <mergeCell ref="F4:F5"/>
    <mergeCell ref="I481:I482"/>
    <mergeCell ref="C1470:C1473"/>
    <mergeCell ref="J51:K51"/>
    <mergeCell ref="A1189:L1189"/>
    <mergeCell ref="D953:E955"/>
    <mergeCell ref="F1221:H1222"/>
    <mergeCell ref="A1302:L1302"/>
    <mergeCell ref="A920:L920"/>
    <mergeCell ref="J1381:L1382"/>
    <mergeCell ref="A292:L292"/>
    <mergeCell ref="J468:L469"/>
    <mergeCell ref="A699:L699"/>
    <mergeCell ref="B1293:B1296"/>
    <mergeCell ref="B970:B973"/>
    <mergeCell ref="A1233:L1233"/>
    <mergeCell ref="B1456:B1459"/>
    <mergeCell ref="I1458:I1459"/>
    <mergeCell ref="A223:L223"/>
    <mergeCell ref="A636:L636"/>
    <mergeCell ref="I125:I126"/>
    <mergeCell ref="F1442:H1443"/>
    <mergeCell ref="F322:F323"/>
    <mergeCell ref="B1393:B1396"/>
    <mergeCell ref="F1223:F1224"/>
    <mergeCell ref="D208:E210"/>
    <mergeCell ref="J1178:L1179"/>
    <mergeCell ref="G127:G128"/>
    <mergeCell ref="D2:E4"/>
    <mergeCell ref="D748:E750"/>
    <mergeCell ref="I127:I128"/>
    <mergeCell ref="A1455:L1455"/>
    <mergeCell ref="I621:I622"/>
    <mergeCell ref="J1470:L1471"/>
    <mergeCell ref="I857:I858"/>
    <mergeCell ref="F987:H988"/>
    <mergeCell ref="I1221:I1222"/>
    <mergeCell ref="F470:F471"/>
    <mergeCell ref="B373:B376"/>
    <mergeCell ref="A318:L318"/>
    <mergeCell ref="I750:I751"/>
    <mergeCell ref="C1381:C1384"/>
    <mergeCell ref="A591:A594"/>
    <mergeCell ref="B187:B190"/>
    <mergeCell ref="F355:H356"/>
    <mergeCell ref="F1303:H1304"/>
    <mergeCell ref="A618:L618"/>
    <mergeCell ref="C125:C128"/>
    <mergeCell ref="A783:L783"/>
    <mergeCell ref="A970:A973"/>
    <mergeCell ref="A854:L854"/>
    <mergeCell ref="B496:B499"/>
    <mergeCell ref="F989:F990"/>
    <mergeCell ref="F23:H24"/>
    <mergeCell ref="F700:H701"/>
    <mergeCell ref="I260:I261"/>
    <mergeCell ref="A952:L952"/>
    <mergeCell ref="I873:I874"/>
    <mergeCell ref="G227:G228"/>
    <mergeCell ref="A939:L939"/>
    <mergeCell ref="F1234:H1235"/>
    <mergeCell ref="I276:I277"/>
    <mergeCell ref="A1178:A1181"/>
    <mergeCell ref="G639:G640"/>
    <mergeCell ref="F1280:H1281"/>
    <mergeCell ref="I639:I640"/>
    <mergeCell ref="A905:L905"/>
    <mergeCell ref="I49:I50"/>
    <mergeCell ref="A870:L870"/>
    <mergeCell ref="I1068:I1069"/>
    <mergeCell ref="A922:A925"/>
    <mergeCell ref="F481:H482"/>
    <mergeCell ref="G278:G279"/>
    <mergeCell ref="I278:I279"/>
    <mergeCell ref="A987:A990"/>
    <mergeCell ref="B320:B323"/>
    <mergeCell ref="G812:G813"/>
    <mergeCell ref="F25:F26"/>
    <mergeCell ref="F702:F703"/>
    <mergeCell ref="D496:E498"/>
    <mergeCell ref="F773:F774"/>
    <mergeCell ref="I812:I813"/>
    <mergeCell ref="D1178:E1180"/>
    <mergeCell ref="D855:E857"/>
    <mergeCell ref="I1303:I1304"/>
    <mergeCell ref="I999:I1000"/>
    <mergeCell ref="F1236:F1237"/>
    <mergeCell ref="B86:B89"/>
    <mergeCell ref="A225:A228"/>
    <mergeCell ref="J1383:K1383"/>
    <mergeCell ref="B1381:B1384"/>
    <mergeCell ref="F637:H638"/>
    <mergeCell ref="J1104:L1105"/>
    <mergeCell ref="A619:A622"/>
    <mergeCell ref="G1305:G1306"/>
    <mergeCell ref="C619:C622"/>
    <mergeCell ref="A242:L242"/>
    <mergeCell ref="I1305:I1306"/>
    <mergeCell ref="C1265:C1268"/>
    <mergeCell ref="F483:F484"/>
    <mergeCell ref="F1444:F1445"/>
    <mergeCell ref="J970:L971"/>
    <mergeCell ref="I1280:I1281"/>
    <mergeCell ref="A1353:L1353"/>
    <mergeCell ref="C276:C279"/>
    <mergeCell ref="C810:C813"/>
    <mergeCell ref="B1178:B1181"/>
    <mergeCell ref="G540:G541"/>
    <mergeCell ref="I1138:I1139"/>
    <mergeCell ref="D1430:E1432"/>
    <mergeCell ref="B1470:B1473"/>
    <mergeCell ref="F1068:F1069"/>
    <mergeCell ref="G909:G910"/>
    <mergeCell ref="J340:K340"/>
    <mergeCell ref="D1417:E1419"/>
    <mergeCell ref="G4:G5"/>
    <mergeCell ref="I4:I5"/>
    <mergeCell ref="D514:E516"/>
    <mergeCell ref="C970:C973"/>
    <mergeCell ref="A1292:L1292"/>
    <mergeCell ref="F1191:H1192"/>
    <mergeCell ref="I262:I263"/>
    <mergeCell ref="F1293:H1294"/>
    <mergeCell ref="A337:L337"/>
    <mergeCell ref="J225:L226"/>
    <mergeCell ref="D1442:E1444"/>
    <mergeCell ref="A637:A640"/>
    <mergeCell ref="A1066:A1069"/>
    <mergeCell ref="A538:A541"/>
    <mergeCell ref="C538:C541"/>
    <mergeCell ref="D260:E262"/>
    <mergeCell ref="J591:L592"/>
    <mergeCell ref="J1417:L1418"/>
    <mergeCell ref="J276:L277"/>
    <mergeCell ref="D987:E989"/>
    <mergeCell ref="J812:K812"/>
  </mergeCells>
  <pageMargins left="0.511811024" right="0.511811024" top="0.787401575" bottom="0.787401575" header="0.31496062" footer="0.31496062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7"/>
  <sheetViews>
    <sheetView topLeftCell="A102" workbookViewId="0">
      <selection activeCell="C128" sqref="C128"/>
    </sheetView>
  </sheetViews>
  <sheetFormatPr baseColWidth="8" defaultRowHeight="15"/>
  <cols>
    <col width="25.28515625" customWidth="1" style="436" min="1" max="1"/>
    <col width="13.140625" customWidth="1" style="436" min="2" max="2"/>
    <col width="25.5703125" customWidth="1" style="436" min="8" max="8"/>
    <col width="17" customWidth="1" style="436" min="11" max="11"/>
    <col width="13.5703125" customWidth="1" style="436" min="12" max="12"/>
    <col width="24.85546875" customWidth="1" style="436" min="13" max="13"/>
  </cols>
  <sheetData>
    <row r="1" ht="29.25" customHeight="1" s="436" thickBot="1">
      <c r="A1" s="696" t="inlineStr">
        <is>
          <t>PLANILHA CONTROLE DE ESTOQUE</t>
        </is>
      </c>
      <c r="B1" s="697" t="n"/>
      <c r="C1" s="697" t="n"/>
      <c r="D1" s="697" t="n"/>
      <c r="E1" s="697" t="n"/>
      <c r="F1" s="697" t="n"/>
      <c r="G1" s="697" t="n"/>
      <c r="H1" s="697" t="n"/>
      <c r="I1" s="697" t="n"/>
      <c r="J1" s="697" t="n"/>
      <c r="K1" s="697" t="n"/>
      <c r="L1" s="697" t="n"/>
      <c r="M1" s="698" t="n"/>
    </row>
    <row r="2" ht="21.75" customHeight="1" s="436" thickBot="1">
      <c r="A2" s="699" t="inlineStr">
        <is>
          <t xml:space="preserve">021 - DENISE FURTADO DE SOUZA - ME </t>
        </is>
      </c>
      <c r="B2" s="697" t="n"/>
      <c r="C2" s="697" t="n"/>
      <c r="D2" s="697" t="n"/>
      <c r="E2" s="697" t="n"/>
      <c r="F2" s="697" t="n"/>
      <c r="G2" s="697" t="n"/>
      <c r="H2" s="697" t="n"/>
      <c r="I2" s="697" t="n"/>
      <c r="J2" s="697" t="n"/>
      <c r="K2" s="697" t="n"/>
      <c r="L2" s="697" t="n"/>
      <c r="M2" s="698" t="n"/>
    </row>
    <row r="3" ht="27" customHeight="1" s="436" thickBot="1">
      <c r="A3" s="700" t="inlineStr">
        <is>
          <t xml:space="preserve"> FARINHA DE TRIGO TIPO: 1 - 50 KG</t>
        </is>
      </c>
      <c r="B3" s="697" t="n"/>
      <c r="C3" s="697" t="n"/>
      <c r="D3" s="697" t="n"/>
      <c r="E3" s="697" t="n"/>
      <c r="F3" s="697" t="n"/>
      <c r="G3" s="697" t="n"/>
      <c r="H3" s="697" t="n"/>
      <c r="I3" s="697" t="n"/>
      <c r="J3" s="697" t="n"/>
      <c r="K3" s="697" t="n"/>
      <c r="L3" s="697" t="n"/>
      <c r="M3" s="698" t="n"/>
    </row>
    <row r="4">
      <c r="A4" s="643" t="inlineStr">
        <is>
          <t>DATA</t>
        </is>
      </c>
      <c r="B4" s="633" t="inlineStr">
        <is>
          <t>N.F.</t>
        </is>
      </c>
      <c r="C4" s="633" t="inlineStr">
        <is>
          <t>TIPO</t>
        </is>
      </c>
      <c r="D4" s="633" t="inlineStr">
        <is>
          <t>PREÇO UNITÁRIO</t>
        </is>
      </c>
      <c r="E4" s="701" t="n"/>
      <c r="F4" s="633" t="inlineStr">
        <is>
          <t>QUANTIDADE / KG</t>
        </is>
      </c>
      <c r="H4" s="701" t="n"/>
      <c r="I4" s="632" t="inlineStr">
        <is>
          <t>PREÇO</t>
        </is>
      </c>
      <c r="J4" s="632" t="inlineStr">
        <is>
          <t>VALORES</t>
        </is>
      </c>
      <c r="L4" s="701" t="n"/>
      <c r="M4" s="702" t="n"/>
    </row>
    <row r="5" ht="15.75" customHeight="1" s="436" thickBot="1">
      <c r="A5" s="703" t="n"/>
      <c r="B5" s="704" t="n"/>
      <c r="C5" s="704" t="n"/>
      <c r="D5" s="703" t="n"/>
      <c r="E5" s="701" t="n"/>
      <c r="F5" s="705" t="n"/>
      <c r="G5" s="706" t="n"/>
      <c r="H5" s="707" t="n"/>
      <c r="I5" s="704" t="n"/>
      <c r="J5" s="703" t="n"/>
      <c r="L5" s="701" t="n"/>
      <c r="M5" s="704" t="n"/>
    </row>
    <row r="6" ht="15.75" customHeight="1" s="436" thickBot="1">
      <c r="A6" s="703" t="n"/>
      <c r="B6" s="704" t="n"/>
      <c r="C6" s="704" t="n"/>
      <c r="D6" s="705" t="n"/>
      <c r="E6" s="707" t="n"/>
      <c r="F6" s="708" t="inlineStr">
        <is>
          <t>ENTRADA</t>
        </is>
      </c>
      <c r="G6" s="3" t="inlineStr">
        <is>
          <t>SAÍDA</t>
        </is>
      </c>
      <c r="H6" s="640" t="inlineStr">
        <is>
          <t>SALDO EM 31/08/2018</t>
        </is>
      </c>
      <c r="I6" s="633" t="inlineStr">
        <is>
          <t>MÉDIO</t>
        </is>
      </c>
      <c r="J6" s="652" t="inlineStr">
        <is>
          <t>SALDO EM 30/11/2017</t>
        </is>
      </c>
      <c r="K6" s="706" t="n"/>
      <c r="L6" s="17" t="n"/>
      <c r="M6" s="695" t="n"/>
    </row>
    <row r="7" ht="15.75" customHeight="1" s="436" thickBot="1">
      <c r="A7" s="705" t="n"/>
      <c r="B7" s="695" t="n"/>
      <c r="C7" s="695" t="n"/>
      <c r="D7" s="3" t="inlineStr">
        <is>
          <t>C/ICMS</t>
        </is>
      </c>
      <c r="E7" s="3" t="inlineStr">
        <is>
          <t>S/ICMS</t>
        </is>
      </c>
      <c r="F7" s="695" t="n"/>
      <c r="G7" s="695" t="n"/>
      <c r="H7" s="18" t="n"/>
      <c r="I7" s="695" t="n"/>
      <c r="J7" s="645" t="inlineStr">
        <is>
          <t>ENTRADA</t>
        </is>
      </c>
      <c r="K7" s="633" t="inlineStr">
        <is>
          <t>SAÍDA / CMV</t>
        </is>
      </c>
      <c r="L7" s="633" t="inlineStr">
        <is>
          <t>SALDO</t>
        </is>
      </c>
      <c r="M7" s="631" t="inlineStr">
        <is>
          <t>ICMS S/VENDAS</t>
        </is>
      </c>
    </row>
    <row r="8">
      <c r="A8" s="30" t="n"/>
      <c r="B8" s="31" t="n"/>
      <c r="C8" s="31" t="n"/>
      <c r="D8" s="32" t="n"/>
      <c r="E8" s="32" t="n"/>
      <c r="F8" s="33" t="n"/>
      <c r="G8" s="33" t="n">
        <v>0</v>
      </c>
      <c r="H8" s="33" t="n"/>
      <c r="I8" s="32" t="n"/>
      <c r="J8" s="709">
        <f>F8*I8</f>
        <v/>
      </c>
      <c r="K8" s="709" t="n">
        <v>0</v>
      </c>
      <c r="L8" s="710">
        <f>J8-K8</f>
        <v/>
      </c>
      <c r="M8" s="1" t="n"/>
    </row>
    <row r="9">
      <c r="A9" s="92" t="n">
        <v>43357</v>
      </c>
      <c r="B9" s="93" t="inlineStr">
        <is>
          <t>2379</t>
        </is>
      </c>
      <c r="C9" s="96" t="n"/>
      <c r="D9" s="97" t="n">
        <v>92.25</v>
      </c>
      <c r="E9" s="97" t="n"/>
      <c r="F9" s="98" t="n">
        <v>83</v>
      </c>
      <c r="G9" s="98" t="n"/>
      <c r="H9" s="98" t="n">
        <v>83</v>
      </c>
      <c r="I9" s="36" t="n"/>
      <c r="J9" s="711" t="n"/>
      <c r="K9" s="709">
        <f>G9*D9</f>
        <v/>
      </c>
      <c r="L9" s="710" t="n"/>
      <c r="M9" s="1" t="n"/>
    </row>
    <row r="10">
      <c r="A10" s="30" t="n">
        <v>43393</v>
      </c>
      <c r="B10" s="31" t="inlineStr">
        <is>
          <t>6084</t>
        </is>
      </c>
      <c r="C10" s="31" t="n"/>
      <c r="D10" s="32" t="n">
        <v>100</v>
      </c>
      <c r="E10" s="32" t="n"/>
      <c r="F10" s="33" t="n"/>
      <c r="G10" s="33" t="n">
        <v>20</v>
      </c>
      <c r="H10" s="37">
        <f>H9-G10</f>
        <v/>
      </c>
      <c r="I10" s="32" t="n"/>
      <c r="J10" s="711" t="n"/>
      <c r="K10" s="709">
        <f>G10*D10</f>
        <v/>
      </c>
      <c r="L10" s="710" t="n"/>
      <c r="M10" s="1" t="n"/>
    </row>
    <row r="11">
      <c r="A11" s="30" t="n">
        <v>43228</v>
      </c>
      <c r="B11" s="31" t="n"/>
      <c r="C11" s="31" t="n"/>
      <c r="D11" s="32" t="n"/>
      <c r="E11" s="32" t="n"/>
      <c r="F11" s="33" t="n"/>
      <c r="G11" s="33" t="n"/>
      <c r="H11" s="37">
        <f>H10-G11</f>
        <v/>
      </c>
      <c r="I11" s="32" t="n"/>
      <c r="J11" s="711" t="n"/>
      <c r="K11" s="709" t="n"/>
      <c r="L11" s="710" t="n"/>
      <c r="M11" s="1" t="n"/>
    </row>
    <row r="12">
      <c r="A12" s="30" t="n">
        <v>43234</v>
      </c>
      <c r="B12" s="31" t="n"/>
      <c r="C12" s="35" t="n"/>
      <c r="D12" s="36" t="n"/>
      <c r="E12" s="36" t="n"/>
      <c r="F12" s="37" t="n"/>
      <c r="G12" s="37" t="n"/>
      <c r="H12" s="37">
        <f>H11-G12</f>
        <v/>
      </c>
      <c r="I12" s="36" t="n"/>
      <c r="J12" s="711" t="n"/>
      <c r="K12" s="709">
        <f>G12*D12</f>
        <v/>
      </c>
      <c r="L12" s="710" t="n"/>
      <c r="M12" s="1" t="n"/>
    </row>
    <row r="13">
      <c r="A13" s="30" t="n">
        <v>43207</v>
      </c>
      <c r="B13" s="31" t="n"/>
      <c r="C13" s="35" t="n"/>
      <c r="D13" s="36" t="n"/>
      <c r="E13" s="36" t="n"/>
      <c r="F13" s="37" t="n"/>
      <c r="G13" s="37" t="n"/>
      <c r="H13" s="37">
        <f>H12-G13</f>
        <v/>
      </c>
      <c r="I13" s="36" t="n"/>
      <c r="J13" s="711" t="n"/>
      <c r="K13" s="709">
        <f>G13*D13</f>
        <v/>
      </c>
      <c r="L13" s="710" t="n"/>
      <c r="M13" s="1" t="n"/>
    </row>
    <row r="14">
      <c r="A14" s="30" t="n">
        <v>43212</v>
      </c>
      <c r="B14" s="31" t="n"/>
      <c r="C14" s="35" t="n"/>
      <c r="D14" s="36" t="n"/>
      <c r="E14" s="36" t="n"/>
      <c r="F14" s="37" t="n"/>
      <c r="G14" s="37" t="n"/>
      <c r="H14" s="37">
        <f>H13-G14</f>
        <v/>
      </c>
      <c r="I14" s="36" t="n"/>
      <c r="J14" s="711" t="n"/>
      <c r="K14" s="709">
        <f>G14*D14</f>
        <v/>
      </c>
      <c r="L14" s="710" t="n"/>
      <c r="M14" s="1" t="n"/>
    </row>
    <row r="15">
      <c r="A15" s="30" t="n">
        <v>43214</v>
      </c>
      <c r="B15" s="31" t="n"/>
      <c r="C15" s="35" t="n"/>
      <c r="D15" s="36" t="n"/>
      <c r="E15" s="36" t="n"/>
      <c r="F15" s="37" t="n"/>
      <c r="G15" s="37" t="n"/>
      <c r="H15" s="37">
        <f>H14-G15</f>
        <v/>
      </c>
      <c r="I15" s="36" t="n"/>
      <c r="J15" s="711" t="n"/>
      <c r="K15" s="709">
        <f>G15*D15</f>
        <v/>
      </c>
      <c r="L15" s="710" t="n"/>
      <c r="M15" s="1" t="n"/>
    </row>
    <row r="16">
      <c r="A16" s="30" t="n"/>
      <c r="B16" s="31" t="n"/>
      <c r="C16" s="35" t="n"/>
      <c r="D16" s="36" t="n"/>
      <c r="E16" s="36" t="n"/>
      <c r="F16" s="37" t="n"/>
      <c r="G16" s="37" t="n"/>
      <c r="H16" s="37">
        <f>H15-G16</f>
        <v/>
      </c>
      <c r="I16" s="36" t="n"/>
      <c r="J16" s="711" t="n"/>
      <c r="K16" s="709" t="n"/>
      <c r="L16" s="710" t="n"/>
      <c r="M16" s="1" t="n"/>
    </row>
    <row r="17">
      <c r="A17" s="30" t="n"/>
      <c r="B17" s="31" t="n"/>
      <c r="C17" s="35" t="n"/>
      <c r="D17" s="36" t="n"/>
      <c r="E17" s="36" t="n"/>
      <c r="F17" s="37" t="n"/>
      <c r="G17" s="37" t="n"/>
      <c r="H17" s="37">
        <f>H16-G17</f>
        <v/>
      </c>
      <c r="I17" s="36" t="n"/>
      <c r="J17" s="711" t="n"/>
      <c r="K17" s="709" t="n"/>
      <c r="L17" s="710" t="n"/>
      <c r="M17" s="1" t="n"/>
    </row>
    <row r="19" ht="15.75" customHeight="1" s="436" thickBot="1"/>
    <row r="20" ht="21.75" customHeight="1" s="436" thickBot="1">
      <c r="A20" s="699" t="inlineStr">
        <is>
          <t xml:space="preserve">021 - DENISE FURTADO DE SOUZA - ME </t>
        </is>
      </c>
      <c r="B20" s="697" t="n"/>
      <c r="C20" s="697" t="n"/>
      <c r="D20" s="697" t="n"/>
      <c r="E20" s="697" t="n"/>
      <c r="F20" s="697" t="n"/>
      <c r="G20" s="697" t="n"/>
      <c r="H20" s="697" t="n"/>
      <c r="I20" s="697" t="n"/>
      <c r="J20" s="697" t="n"/>
      <c r="K20" s="697" t="n"/>
      <c r="L20" s="697" t="n"/>
      <c r="M20" s="698" t="n"/>
    </row>
    <row r="21" ht="27" customHeight="1" s="436" thickBot="1">
      <c r="A21" s="700" t="inlineStr">
        <is>
          <t xml:space="preserve"> FARINHA DE TRIGO TIPO: 1 - 50 KG</t>
        </is>
      </c>
      <c r="B21" s="697" t="n"/>
      <c r="C21" s="697" t="n"/>
      <c r="D21" s="697" t="n"/>
      <c r="E21" s="697" t="n"/>
      <c r="F21" s="697" t="n"/>
      <c r="G21" s="697" t="n"/>
      <c r="H21" s="697" t="n"/>
      <c r="I21" s="697" t="n"/>
      <c r="J21" s="697" t="n"/>
      <c r="K21" s="697" t="n"/>
      <c r="L21" s="697" t="n"/>
      <c r="M21" s="698" t="n"/>
    </row>
    <row r="22">
      <c r="A22" s="643" t="inlineStr">
        <is>
          <t>DATA</t>
        </is>
      </c>
      <c r="B22" s="633" t="inlineStr">
        <is>
          <t>N.F.</t>
        </is>
      </c>
      <c r="C22" s="633" t="inlineStr">
        <is>
          <t>TIPO</t>
        </is>
      </c>
      <c r="D22" s="633" t="inlineStr">
        <is>
          <t>PREÇO UNITÁRIO</t>
        </is>
      </c>
      <c r="E22" s="701" t="n"/>
      <c r="F22" s="633" t="inlineStr">
        <is>
          <t>QUANTIDADE / KG</t>
        </is>
      </c>
      <c r="H22" s="701" t="n"/>
      <c r="I22" s="632" t="inlineStr">
        <is>
          <t>PREÇO</t>
        </is>
      </c>
      <c r="J22" s="632" t="inlineStr">
        <is>
          <t>VALORES</t>
        </is>
      </c>
      <c r="L22" s="701" t="n"/>
      <c r="M22" s="702" t="n"/>
    </row>
    <row r="23" ht="15.75" customHeight="1" s="436" thickBot="1">
      <c r="A23" s="703" t="n"/>
      <c r="B23" s="704" t="n"/>
      <c r="C23" s="704" t="n"/>
      <c r="D23" s="703" t="n"/>
      <c r="E23" s="701" t="n"/>
      <c r="F23" s="705" t="n"/>
      <c r="G23" s="706" t="n"/>
      <c r="H23" s="707" t="n"/>
      <c r="I23" s="704" t="n"/>
      <c r="J23" s="703" t="n"/>
      <c r="L23" s="701" t="n"/>
      <c r="M23" s="704" t="n"/>
    </row>
    <row r="24" ht="15.75" customHeight="1" s="436" thickBot="1">
      <c r="A24" s="703" t="n"/>
      <c r="B24" s="704" t="n"/>
      <c r="C24" s="704" t="n"/>
      <c r="D24" s="705" t="n"/>
      <c r="E24" s="707" t="n"/>
      <c r="F24" s="708" t="inlineStr">
        <is>
          <t>ENTRADA</t>
        </is>
      </c>
      <c r="G24" s="3" t="inlineStr">
        <is>
          <t>SAÍDA</t>
        </is>
      </c>
      <c r="H24" s="640" t="inlineStr">
        <is>
          <t>SALDO EM 31/10/2018</t>
        </is>
      </c>
      <c r="I24" s="633" t="inlineStr">
        <is>
          <t>MÉDIO</t>
        </is>
      </c>
      <c r="J24" s="652" t="inlineStr">
        <is>
          <t>SALDO EM 30/11/2017</t>
        </is>
      </c>
      <c r="K24" s="706" t="n"/>
      <c r="L24" s="17" t="n"/>
      <c r="M24" s="695" t="n"/>
    </row>
    <row r="25" ht="15.75" customHeight="1" s="436" thickBot="1">
      <c r="A25" s="705" t="n"/>
      <c r="B25" s="695" t="n"/>
      <c r="C25" s="695" t="n"/>
      <c r="D25" s="3" t="inlineStr">
        <is>
          <t>C/ICMS</t>
        </is>
      </c>
      <c r="E25" s="3" t="inlineStr">
        <is>
          <t>S/ICMS</t>
        </is>
      </c>
      <c r="F25" s="695" t="n"/>
      <c r="G25" s="695" t="n"/>
      <c r="H25" s="18" t="n"/>
      <c r="I25" s="695" t="n"/>
      <c r="J25" s="645" t="inlineStr">
        <is>
          <t>ENTRADA</t>
        </is>
      </c>
      <c r="K25" s="633" t="inlineStr">
        <is>
          <t>SAÍDA / CMV</t>
        </is>
      </c>
      <c r="L25" s="633" t="inlineStr">
        <is>
          <t>SALDO</t>
        </is>
      </c>
      <c r="M25" s="631" t="inlineStr">
        <is>
          <t>ICMS S/VENDAS</t>
        </is>
      </c>
    </row>
    <row r="26">
      <c r="A26" s="30" t="n"/>
      <c r="B26" s="31" t="n"/>
      <c r="C26" s="31" t="n"/>
      <c r="D26" s="32" t="n"/>
      <c r="E26" s="32" t="n"/>
      <c r="F26" s="33" t="n"/>
      <c r="G26" s="33" t="n">
        <v>0</v>
      </c>
      <c r="H26" s="33" t="n"/>
      <c r="I26" s="32" t="n"/>
      <c r="J26" s="709">
        <f>F26*I26</f>
        <v/>
      </c>
      <c r="K26" s="709" t="n">
        <v>0</v>
      </c>
      <c r="L26" s="710">
        <f>J26-K26</f>
        <v/>
      </c>
      <c r="M26" s="1" t="n"/>
    </row>
    <row r="27">
      <c r="A27" s="92" t="n">
        <v>43405</v>
      </c>
      <c r="B27" s="93" t="n"/>
      <c r="C27" s="96" t="n"/>
      <c r="D27" s="97" t="n"/>
      <c r="E27" s="97" t="n"/>
      <c r="F27" s="98" t="n"/>
      <c r="G27" s="98" t="n"/>
      <c r="H27" s="98" t="n">
        <v>63</v>
      </c>
      <c r="I27" s="36" t="n"/>
      <c r="J27" s="711" t="n"/>
      <c r="K27" s="709">
        <f>G27*D27</f>
        <v/>
      </c>
      <c r="L27" s="710" t="n"/>
      <c r="M27" s="1" t="n"/>
    </row>
    <row r="28">
      <c r="A28" s="92" t="n">
        <v>43405</v>
      </c>
      <c r="B28" s="93" t="inlineStr">
        <is>
          <t>2395</t>
        </is>
      </c>
      <c r="C28" s="93" t="n"/>
      <c r="D28" s="94" t="n">
        <v>92.2</v>
      </c>
      <c r="E28" s="94" t="n"/>
      <c r="F28" s="95" t="n">
        <v>100</v>
      </c>
      <c r="G28" s="95" t="n"/>
      <c r="H28" s="98" t="n">
        <v>163</v>
      </c>
      <c r="I28" s="32" t="n"/>
      <c r="J28" s="711" t="n"/>
      <c r="K28" s="709" t="n"/>
      <c r="L28" s="710" t="n"/>
      <c r="M28" s="1" t="n"/>
    </row>
    <row r="29">
      <c r="A29" s="30" t="n">
        <v>43410</v>
      </c>
      <c r="B29" s="31" t="inlineStr">
        <is>
          <t>6116</t>
        </is>
      </c>
      <c r="C29" s="31" t="n"/>
      <c r="D29" s="32" t="n">
        <v>100</v>
      </c>
      <c r="E29" s="32" t="n"/>
      <c r="F29" s="33" t="n"/>
      <c r="G29" s="33" t="n">
        <v>15</v>
      </c>
      <c r="H29" s="37">
        <f>H28-G29</f>
        <v/>
      </c>
      <c r="I29" s="32" t="n"/>
      <c r="J29" s="711" t="n"/>
      <c r="K29" s="709">
        <f>G29*D29</f>
        <v/>
      </c>
      <c r="L29" s="710" t="n"/>
      <c r="M29" s="1" t="n"/>
    </row>
    <row r="30">
      <c r="A30" s="30" t="n">
        <v>43426</v>
      </c>
      <c r="B30" s="31" t="inlineStr">
        <is>
          <t>6156</t>
        </is>
      </c>
      <c r="C30" s="31" t="n"/>
      <c r="D30" s="32" t="n">
        <v>100</v>
      </c>
      <c r="E30" s="32" t="n"/>
      <c r="F30" s="33" t="n"/>
      <c r="G30" s="33" t="n">
        <v>50</v>
      </c>
      <c r="H30" s="37">
        <f>H29-G30</f>
        <v/>
      </c>
      <c r="I30" s="32" t="n"/>
      <c r="J30" s="711" t="n"/>
      <c r="K30" s="709" t="n"/>
      <c r="L30" s="710" t="n"/>
      <c r="M30" s="1" t="n"/>
    </row>
    <row r="31">
      <c r="A31" s="30" t="n">
        <v>43234</v>
      </c>
      <c r="B31" s="31" t="n"/>
      <c r="C31" s="35" t="n"/>
      <c r="D31" s="36" t="n"/>
      <c r="E31" s="36" t="n"/>
      <c r="F31" s="37" t="n"/>
      <c r="G31" s="37" t="n"/>
      <c r="H31" s="37">
        <f>H30-G31</f>
        <v/>
      </c>
      <c r="I31" s="36" t="n"/>
      <c r="J31" s="711" t="n"/>
      <c r="K31" s="709">
        <f>G31*D31</f>
        <v/>
      </c>
      <c r="L31" s="710" t="n"/>
      <c r="M31" s="1" t="n"/>
    </row>
    <row r="32">
      <c r="A32" s="30" t="n">
        <v>43207</v>
      </c>
      <c r="B32" s="31" t="n"/>
      <c r="C32" s="35" t="n"/>
      <c r="D32" s="36" t="n"/>
      <c r="E32" s="36" t="n"/>
      <c r="F32" s="37" t="n"/>
      <c r="G32" s="37" t="n"/>
      <c r="H32" s="37">
        <f>H31-G32</f>
        <v/>
      </c>
      <c r="I32" s="36" t="n"/>
      <c r="J32" s="711" t="n"/>
      <c r="K32" s="709">
        <f>G32*D32</f>
        <v/>
      </c>
      <c r="L32" s="710" t="n"/>
      <c r="M32" s="1" t="n"/>
    </row>
    <row r="33">
      <c r="A33" s="30" t="n">
        <v>43212</v>
      </c>
      <c r="B33" s="31" t="n"/>
      <c r="C33" s="35" t="n"/>
      <c r="D33" s="36" t="n"/>
      <c r="E33" s="36" t="n"/>
      <c r="F33" s="37" t="n"/>
      <c r="G33" s="37" t="n"/>
      <c r="H33" s="37">
        <f>H32-G33</f>
        <v/>
      </c>
      <c r="I33" s="36" t="n"/>
      <c r="J33" s="711" t="n"/>
      <c r="K33" s="709">
        <f>G33*D33</f>
        <v/>
      </c>
      <c r="L33" s="710" t="n"/>
      <c r="M33" s="1" t="n"/>
    </row>
    <row r="42" ht="15.75" customHeight="1" s="436" thickBot="1"/>
    <row r="43" ht="21.75" customHeight="1" s="436" thickBot="1">
      <c r="A43" s="699" t="inlineStr">
        <is>
          <t xml:space="preserve">021 - DENISE FURTADO DE SOUZA - ME </t>
        </is>
      </c>
      <c r="B43" s="697" t="n"/>
      <c r="C43" s="697" t="n"/>
      <c r="D43" s="697" t="n"/>
      <c r="E43" s="697" t="n"/>
      <c r="F43" s="697" t="n"/>
      <c r="G43" s="697" t="n"/>
      <c r="H43" s="697" t="n"/>
      <c r="I43" s="697" t="n"/>
      <c r="J43" s="697" t="n"/>
      <c r="K43" s="697" t="n"/>
      <c r="L43" s="697" t="n"/>
      <c r="M43" s="698" t="n"/>
    </row>
    <row r="44" ht="27" customHeight="1" s="436" thickBot="1">
      <c r="A44" s="700" t="inlineStr">
        <is>
          <t xml:space="preserve"> FARINHA DE TRIGO TIPO: 1 - 50 KG</t>
        </is>
      </c>
      <c r="B44" s="697" t="n"/>
      <c r="C44" s="697" t="n"/>
      <c r="D44" s="697" t="n"/>
      <c r="E44" s="697" t="n"/>
      <c r="F44" s="697" t="n"/>
      <c r="G44" s="697" t="n"/>
      <c r="H44" s="697" t="n"/>
      <c r="I44" s="697" t="n"/>
      <c r="J44" s="697" t="n"/>
      <c r="K44" s="697" t="n"/>
      <c r="L44" s="697" t="n"/>
      <c r="M44" s="698" t="n"/>
    </row>
    <row r="45">
      <c r="A45" s="643" t="inlineStr">
        <is>
          <t>DATA</t>
        </is>
      </c>
      <c r="B45" s="633" t="inlineStr">
        <is>
          <t>N.F.</t>
        </is>
      </c>
      <c r="C45" s="633" t="inlineStr">
        <is>
          <t>TIPO</t>
        </is>
      </c>
      <c r="D45" s="633" t="inlineStr">
        <is>
          <t>PREÇO UNITÁRIO</t>
        </is>
      </c>
      <c r="E45" s="701" t="n"/>
      <c r="F45" s="633" t="inlineStr">
        <is>
          <t>QUANTIDADE / KG</t>
        </is>
      </c>
      <c r="H45" s="701" t="n"/>
      <c r="I45" s="632" t="inlineStr">
        <is>
          <t>PREÇO</t>
        </is>
      </c>
      <c r="J45" s="632" t="inlineStr">
        <is>
          <t>VALORES</t>
        </is>
      </c>
      <c r="L45" s="701" t="n"/>
      <c r="M45" s="702" t="n"/>
    </row>
    <row r="46" ht="15.75" customHeight="1" s="436" thickBot="1">
      <c r="A46" s="703" t="n"/>
      <c r="B46" s="704" t="n"/>
      <c r="C46" s="704" t="n"/>
      <c r="D46" s="703" t="n"/>
      <c r="E46" s="701" t="n"/>
      <c r="F46" s="705" t="n"/>
      <c r="G46" s="706" t="n"/>
      <c r="H46" s="707" t="n"/>
      <c r="I46" s="704" t="n"/>
      <c r="J46" s="703" t="n"/>
      <c r="L46" s="701" t="n"/>
      <c r="M46" s="704" t="n"/>
    </row>
    <row r="47" ht="15.75" customHeight="1" s="436" thickBot="1">
      <c r="A47" s="703" t="n"/>
      <c r="B47" s="704" t="n"/>
      <c r="C47" s="704" t="n"/>
      <c r="D47" s="705" t="n"/>
      <c r="E47" s="707" t="n"/>
      <c r="F47" s="708" t="inlineStr">
        <is>
          <t>ENTRADA</t>
        </is>
      </c>
      <c r="G47" s="3" t="inlineStr">
        <is>
          <t>SAÍDA</t>
        </is>
      </c>
      <c r="H47" s="640" t="n"/>
      <c r="I47" s="633" t="inlineStr">
        <is>
          <t>MÉDIO</t>
        </is>
      </c>
      <c r="J47" s="652" t="inlineStr">
        <is>
          <t>SALDO EM 30/11/2017</t>
        </is>
      </c>
      <c r="K47" s="706" t="n"/>
      <c r="L47" s="17" t="n"/>
      <c r="M47" s="695" t="n"/>
    </row>
    <row r="48" ht="15.75" customHeight="1" s="436" thickBot="1">
      <c r="A48" s="705" t="n"/>
      <c r="B48" s="695" t="n"/>
      <c r="C48" s="695" t="n"/>
      <c r="D48" s="3" t="inlineStr">
        <is>
          <t>C/ICMS</t>
        </is>
      </c>
      <c r="E48" s="3" t="inlineStr">
        <is>
          <t>S/ICMS</t>
        </is>
      </c>
      <c r="F48" s="695" t="n"/>
      <c r="G48" s="695" t="n"/>
      <c r="H48" s="18" t="inlineStr">
        <is>
          <t>SALDO EM 30/10/2018</t>
        </is>
      </c>
      <c r="I48" s="695" t="n"/>
      <c r="J48" s="645" t="inlineStr">
        <is>
          <t>ENTRADA</t>
        </is>
      </c>
      <c r="K48" s="633" t="inlineStr">
        <is>
          <t>SAÍDA / CMV</t>
        </is>
      </c>
      <c r="L48" s="633" t="inlineStr">
        <is>
          <t>SALDO</t>
        </is>
      </c>
      <c r="M48" s="631" t="inlineStr">
        <is>
          <t>ICMS S/VENDAS</t>
        </is>
      </c>
    </row>
    <row r="49">
      <c r="A49" s="30" t="n"/>
      <c r="B49" s="31" t="n"/>
      <c r="C49" s="31" t="n"/>
      <c r="D49" s="32" t="n"/>
      <c r="E49" s="32" t="n"/>
      <c r="F49" s="33" t="n"/>
      <c r="G49" s="33" t="n">
        <v>0</v>
      </c>
      <c r="H49" s="33" t="n"/>
      <c r="I49" s="32" t="n"/>
      <c r="J49" s="709">
        <f>F49*I49</f>
        <v/>
      </c>
      <c r="K49" s="709" t="n">
        <v>0</v>
      </c>
      <c r="L49" s="710">
        <f>J49-K49</f>
        <v/>
      </c>
      <c r="M49" s="1" t="n"/>
    </row>
    <row r="50">
      <c r="A50" s="92" t="n">
        <v>43435</v>
      </c>
      <c r="B50" s="93" t="n"/>
      <c r="C50" s="96" t="n"/>
      <c r="D50" s="97" t="n"/>
      <c r="E50" s="97" t="n"/>
      <c r="F50" s="98" t="n"/>
      <c r="G50" s="98" t="n"/>
      <c r="H50" s="98" t="n">
        <v>98</v>
      </c>
      <c r="I50" s="36" t="n"/>
      <c r="J50" s="711" t="n"/>
      <c r="K50" s="709">
        <f>G50*D50</f>
        <v/>
      </c>
      <c r="L50" s="710" t="n"/>
      <c r="M50" s="1" t="n"/>
    </row>
    <row r="51">
      <c r="A51" s="30" t="n">
        <v>43410</v>
      </c>
      <c r="B51" s="31" t="inlineStr">
        <is>
          <t>6116</t>
        </is>
      </c>
      <c r="C51" s="31" t="n"/>
      <c r="D51" s="32" t="n"/>
      <c r="E51" s="32" t="n"/>
      <c r="F51" s="33" t="n"/>
      <c r="G51" s="33" t="n"/>
      <c r="H51" s="37">
        <f>H50-G51</f>
        <v/>
      </c>
      <c r="I51" s="32" t="n"/>
      <c r="J51" s="711" t="n"/>
      <c r="K51" s="709">
        <f>G51*D51</f>
        <v/>
      </c>
      <c r="L51" s="710" t="n"/>
      <c r="M51" s="1" t="n"/>
    </row>
    <row r="52">
      <c r="A52" s="30" t="n">
        <v>43426</v>
      </c>
      <c r="B52" s="31" t="inlineStr">
        <is>
          <t>6156</t>
        </is>
      </c>
      <c r="C52" s="31" t="n"/>
      <c r="D52" s="32" t="n"/>
      <c r="E52" s="32" t="n"/>
      <c r="F52" s="33" t="n"/>
      <c r="G52" s="33" t="n"/>
      <c r="H52" s="37">
        <f>H51-G52</f>
        <v/>
      </c>
      <c r="I52" s="32" t="n"/>
      <c r="J52" s="711" t="n"/>
      <c r="K52" s="709" t="n"/>
      <c r="L52" s="710" t="n"/>
      <c r="M52" s="1" t="n"/>
    </row>
    <row r="53">
      <c r="A53" s="30" t="n">
        <v>43234</v>
      </c>
      <c r="B53" s="31" t="n"/>
      <c r="C53" s="35" t="n"/>
      <c r="D53" s="36" t="n"/>
      <c r="E53" s="36" t="n"/>
      <c r="F53" s="37" t="n"/>
      <c r="G53" s="37" t="n"/>
      <c r="H53" s="37">
        <f>H52-G53</f>
        <v/>
      </c>
      <c r="I53" s="36" t="n"/>
      <c r="J53" s="711" t="n"/>
      <c r="K53" s="709">
        <f>G53*D53</f>
        <v/>
      </c>
      <c r="L53" s="710" t="n"/>
      <c r="M53" s="1" t="n"/>
    </row>
    <row r="54">
      <c r="A54" s="30" t="n">
        <v>43207</v>
      </c>
      <c r="B54" s="31" t="n"/>
      <c r="C54" s="35" t="n"/>
      <c r="D54" s="36" t="n"/>
      <c r="E54" s="36" t="n"/>
      <c r="F54" s="37" t="n"/>
      <c r="G54" s="37" t="n"/>
      <c r="H54" s="37">
        <f>H53-G54</f>
        <v/>
      </c>
      <c r="I54" s="36" t="n"/>
      <c r="J54" s="711" t="n"/>
      <c r="K54" s="709">
        <f>G54*D54</f>
        <v/>
      </c>
      <c r="L54" s="710" t="n"/>
      <c r="M54" s="1" t="n"/>
    </row>
    <row r="55">
      <c r="A55" s="30" t="n">
        <v>43212</v>
      </c>
      <c r="B55" s="31" t="n"/>
      <c r="C55" s="35" t="n"/>
      <c r="D55" s="36" t="n"/>
      <c r="E55" s="36" t="n"/>
      <c r="F55" s="37" t="n"/>
      <c r="G55" s="37" t="n"/>
      <c r="H55" s="37">
        <f>H54-G55</f>
        <v/>
      </c>
      <c r="I55" s="36" t="n"/>
      <c r="J55" s="711" t="n"/>
      <c r="K55" s="709">
        <f>G55*D55</f>
        <v/>
      </c>
      <c r="L55" s="710" t="n"/>
      <c r="M55" s="1" t="n"/>
    </row>
    <row r="61" ht="15.75" customHeight="1" s="436" thickBot="1"/>
    <row r="62" ht="21.75" customHeight="1" s="436" thickBot="1">
      <c r="A62" s="699" t="inlineStr">
        <is>
          <t xml:space="preserve">021 - DENISE FURTADO DE SOUZA - ME </t>
        </is>
      </c>
      <c r="B62" s="697" t="n"/>
      <c r="C62" s="697" t="n"/>
      <c r="D62" s="697" t="n"/>
      <c r="E62" s="697" t="n"/>
      <c r="F62" s="697" t="n"/>
      <c r="G62" s="697" t="n"/>
      <c r="H62" s="697" t="n"/>
      <c r="I62" s="697" t="n"/>
      <c r="J62" s="697" t="n"/>
      <c r="K62" s="697" t="n"/>
      <c r="L62" s="697" t="n"/>
      <c r="M62" s="698" t="n"/>
    </row>
    <row r="63" ht="27" customHeight="1" s="436" thickBot="1">
      <c r="A63" s="700" t="inlineStr">
        <is>
          <t xml:space="preserve"> FARINHA DE TRIGO TIPO: 1 - 50 KG</t>
        </is>
      </c>
      <c r="B63" s="697" t="n"/>
      <c r="C63" s="697" t="n"/>
      <c r="D63" s="697" t="n"/>
      <c r="E63" s="697" t="n"/>
      <c r="F63" s="697" t="n"/>
      <c r="G63" s="697" t="n"/>
      <c r="H63" s="697" t="n"/>
      <c r="I63" s="697" t="n"/>
      <c r="J63" s="697" t="n"/>
      <c r="K63" s="697" t="n"/>
      <c r="L63" s="697" t="n"/>
      <c r="M63" s="698" t="n"/>
    </row>
    <row r="64">
      <c r="A64" s="643" t="inlineStr">
        <is>
          <t>DATA</t>
        </is>
      </c>
      <c r="B64" s="633" t="inlineStr">
        <is>
          <t>N.F.</t>
        </is>
      </c>
      <c r="C64" s="633" t="inlineStr">
        <is>
          <t>TIPO</t>
        </is>
      </c>
      <c r="D64" s="633" t="inlineStr">
        <is>
          <t>PREÇO UNITÁRIO</t>
        </is>
      </c>
      <c r="E64" s="701" t="n"/>
      <c r="F64" s="633" t="inlineStr">
        <is>
          <t>QUANTIDADE / KG</t>
        </is>
      </c>
      <c r="H64" s="701" t="n"/>
      <c r="I64" s="632" t="inlineStr">
        <is>
          <t>PREÇO</t>
        </is>
      </c>
      <c r="J64" s="632" t="inlineStr">
        <is>
          <t>VALORES</t>
        </is>
      </c>
      <c r="L64" s="701" t="n"/>
      <c r="M64" s="702" t="n"/>
    </row>
    <row r="65" ht="15.75" customHeight="1" s="436" thickBot="1">
      <c r="A65" s="703" t="n"/>
      <c r="B65" s="704" t="n"/>
      <c r="C65" s="704" t="n"/>
      <c r="D65" s="703" t="n"/>
      <c r="E65" s="701" t="n"/>
      <c r="F65" s="705" t="n"/>
      <c r="G65" s="706" t="n"/>
      <c r="H65" s="707" t="n"/>
      <c r="I65" s="704" t="n"/>
      <c r="J65" s="703" t="n"/>
      <c r="L65" s="701" t="n"/>
      <c r="M65" s="704" t="n"/>
    </row>
    <row r="66" ht="15.75" customHeight="1" s="436" thickBot="1">
      <c r="A66" s="703" t="n"/>
      <c r="B66" s="704" t="n"/>
      <c r="C66" s="704" t="n"/>
      <c r="D66" s="705" t="n"/>
      <c r="E66" s="707" t="n"/>
      <c r="F66" s="708" t="inlineStr">
        <is>
          <t>ENTRADA</t>
        </is>
      </c>
      <c r="G66" s="3" t="inlineStr">
        <is>
          <t>SAÍDA</t>
        </is>
      </c>
      <c r="H66" s="640" t="n"/>
      <c r="I66" s="633" t="inlineStr">
        <is>
          <t>MÉDIO</t>
        </is>
      </c>
      <c r="J66" s="652" t="inlineStr">
        <is>
          <t>SALDO EM 30/11/2017</t>
        </is>
      </c>
      <c r="K66" s="706" t="n"/>
      <c r="L66" s="17" t="n"/>
      <c r="M66" s="695" t="n"/>
    </row>
    <row r="67" ht="15.75" customHeight="1" s="436" thickBot="1">
      <c r="A67" s="705" t="n"/>
      <c r="B67" s="695" t="n"/>
      <c r="C67" s="695" t="n"/>
      <c r="D67" s="3" t="inlineStr">
        <is>
          <t>C/ICMS</t>
        </is>
      </c>
      <c r="E67" s="3" t="inlineStr">
        <is>
          <t>S/ICMS</t>
        </is>
      </c>
      <c r="F67" s="695" t="n"/>
      <c r="G67" s="695" t="n"/>
      <c r="H67" s="18" t="inlineStr">
        <is>
          <t>SALDO EM 31/12/2018</t>
        </is>
      </c>
      <c r="I67" s="695" t="n"/>
      <c r="J67" s="645" t="inlineStr">
        <is>
          <t>ENTRADA</t>
        </is>
      </c>
      <c r="K67" s="633" t="inlineStr">
        <is>
          <t>SAÍDA / CMV</t>
        </is>
      </c>
      <c r="L67" s="633" t="inlineStr">
        <is>
          <t>SALDO</t>
        </is>
      </c>
      <c r="M67" s="631" t="inlineStr">
        <is>
          <t>ICMS S/VENDAS</t>
        </is>
      </c>
    </row>
    <row r="68">
      <c r="A68" s="30" t="n"/>
      <c r="B68" s="31" t="n"/>
      <c r="C68" s="31" t="n"/>
      <c r="D68" s="32" t="n"/>
      <c r="E68" s="32" t="n"/>
      <c r="F68" s="33" t="n"/>
      <c r="G68" s="33" t="n">
        <v>0</v>
      </c>
      <c r="H68" s="33" t="n"/>
      <c r="I68" s="32" t="n"/>
      <c r="J68" s="709">
        <f>F68*I68</f>
        <v/>
      </c>
      <c r="K68" s="709" t="n">
        <v>0</v>
      </c>
      <c r="L68" s="710">
        <f>J68-K68</f>
        <v/>
      </c>
      <c r="M68" s="1" t="n"/>
    </row>
    <row r="69">
      <c r="A69" s="92" t="n">
        <v>43435</v>
      </c>
      <c r="B69" s="93" t="n"/>
      <c r="C69" s="96" t="n"/>
      <c r="D69" s="97" t="n"/>
      <c r="E69" s="97" t="n"/>
      <c r="F69" s="98" t="n"/>
      <c r="G69" s="98" t="n"/>
      <c r="H69" s="98" t="n">
        <v>98</v>
      </c>
      <c r="I69" s="36" t="n"/>
      <c r="J69" s="711" t="n"/>
      <c r="K69" s="709">
        <f>G69*D69</f>
        <v/>
      </c>
      <c r="L69" s="710" t="n"/>
      <c r="M69" s="1" t="n"/>
    </row>
    <row r="70">
      <c r="A70" s="30" t="n">
        <v>43488</v>
      </c>
      <c r="B70" s="31" t="inlineStr">
        <is>
          <t>6288</t>
        </is>
      </c>
      <c r="C70" s="31" t="n"/>
      <c r="D70" s="32" t="n">
        <v>120</v>
      </c>
      <c r="E70" s="32" t="n"/>
      <c r="F70" s="33" t="n"/>
      <c r="G70" s="33" t="n">
        <v>20</v>
      </c>
      <c r="H70" s="37">
        <f>H69-G70</f>
        <v/>
      </c>
      <c r="I70" s="32" t="n"/>
      <c r="J70" s="711" t="n"/>
      <c r="K70" s="709">
        <f>G70*D70</f>
        <v/>
      </c>
      <c r="L70" s="710" t="n"/>
      <c r="M70" s="1" t="n"/>
    </row>
    <row r="71">
      <c r="A71" s="30" t="n">
        <v>43426</v>
      </c>
      <c r="B71" s="31" t="inlineStr">
        <is>
          <t>6156</t>
        </is>
      </c>
      <c r="C71" s="31" t="n"/>
      <c r="D71" s="32" t="n"/>
      <c r="E71" s="32" t="n"/>
      <c r="F71" s="33" t="n"/>
      <c r="G71" s="33" t="n"/>
      <c r="H71" s="37">
        <f>H70-G71</f>
        <v/>
      </c>
      <c r="I71" s="32" t="n"/>
      <c r="J71" s="711" t="n"/>
      <c r="K71" s="709" t="n"/>
      <c r="L71" s="710" t="n"/>
      <c r="M71" s="1" t="n"/>
    </row>
    <row r="72">
      <c r="A72" s="30" t="n">
        <v>43234</v>
      </c>
      <c r="B72" s="31" t="n"/>
      <c r="C72" s="35" t="n"/>
      <c r="D72" s="36" t="n"/>
      <c r="E72" s="36" t="n"/>
      <c r="F72" s="37" t="n"/>
      <c r="G72" s="37" t="n"/>
      <c r="H72" s="37">
        <f>H71-G72</f>
        <v/>
      </c>
      <c r="I72" s="36" t="n"/>
      <c r="J72" s="711" t="n"/>
      <c r="K72" s="709">
        <f>G72*D72</f>
        <v/>
      </c>
      <c r="L72" s="710" t="n"/>
      <c r="M72" s="1" t="n"/>
    </row>
    <row r="73">
      <c r="A73" s="30" t="n">
        <v>43207</v>
      </c>
      <c r="B73" s="31" t="n"/>
      <c r="C73" s="35" t="n"/>
      <c r="D73" s="36" t="n"/>
      <c r="E73" s="36" t="n"/>
      <c r="F73" s="37" t="n"/>
      <c r="G73" s="37" t="n"/>
      <c r="H73" s="37">
        <f>H72-G73</f>
        <v/>
      </c>
      <c r="I73" s="36" t="n"/>
      <c r="J73" s="711" t="n"/>
      <c r="K73" s="709">
        <f>G73*D73</f>
        <v/>
      </c>
      <c r="L73" s="710" t="n"/>
      <c r="M73" s="1" t="n"/>
    </row>
    <row r="74">
      <c r="A74" s="30" t="n">
        <v>43212</v>
      </c>
      <c r="B74" s="31" t="n"/>
      <c r="C74" s="35" t="n"/>
      <c r="D74" s="36" t="n"/>
      <c r="E74" s="36" t="n"/>
      <c r="F74" s="37" t="n"/>
      <c r="G74" s="37" t="n"/>
      <c r="H74" s="37">
        <f>H73-G74</f>
        <v/>
      </c>
      <c r="I74" s="36" t="n"/>
      <c r="J74" s="711" t="n"/>
      <c r="K74" s="709">
        <f>G74*D74</f>
        <v/>
      </c>
      <c r="L74" s="710" t="n"/>
      <c r="M74" s="1" t="n"/>
    </row>
    <row r="79" ht="15.75" customHeight="1" s="436" thickBot="1"/>
    <row r="80" ht="21.75" customHeight="1" s="436" thickBot="1">
      <c r="A80" s="699" t="inlineStr">
        <is>
          <t xml:space="preserve">021 - DENISE FURTADO DE SOUZA - ME </t>
        </is>
      </c>
      <c r="B80" s="697" t="n"/>
      <c r="C80" s="697" t="n"/>
      <c r="D80" s="697" t="n"/>
      <c r="E80" s="697" t="n"/>
      <c r="F80" s="697" t="n"/>
      <c r="G80" s="697" t="n"/>
      <c r="H80" s="697" t="n"/>
      <c r="I80" s="697" t="n"/>
      <c r="J80" s="697" t="n"/>
      <c r="K80" s="697" t="n"/>
      <c r="L80" s="697" t="n"/>
      <c r="M80" s="698" t="n"/>
    </row>
    <row r="81" ht="27" customHeight="1" s="436" thickBot="1">
      <c r="A81" s="700" t="inlineStr">
        <is>
          <t xml:space="preserve"> FARINHA DE TRIGO TIPO: 1 - 50 KG</t>
        </is>
      </c>
      <c r="B81" s="697" t="n"/>
      <c r="C81" s="697" t="n"/>
      <c r="D81" s="697" t="n"/>
      <c r="E81" s="697" t="n"/>
      <c r="F81" s="697" t="n"/>
      <c r="G81" s="697" t="n"/>
      <c r="H81" s="697" t="n"/>
      <c r="I81" s="697" t="n"/>
      <c r="J81" s="697" t="n"/>
      <c r="K81" s="697" t="n"/>
      <c r="L81" s="697" t="n"/>
      <c r="M81" s="698" t="n"/>
    </row>
    <row r="82">
      <c r="A82" s="643" t="inlineStr">
        <is>
          <t>DATA</t>
        </is>
      </c>
      <c r="B82" s="633" t="inlineStr">
        <is>
          <t>N.F.</t>
        </is>
      </c>
      <c r="C82" s="633" t="inlineStr">
        <is>
          <t>TIPO</t>
        </is>
      </c>
      <c r="D82" s="633" t="inlineStr">
        <is>
          <t>PREÇO UNITÁRIO</t>
        </is>
      </c>
      <c r="E82" s="701" t="n"/>
      <c r="F82" s="633" t="inlineStr">
        <is>
          <t>QUANTIDADE / KG</t>
        </is>
      </c>
      <c r="H82" s="701" t="n"/>
      <c r="I82" s="632" t="inlineStr">
        <is>
          <t>PREÇO</t>
        </is>
      </c>
      <c r="J82" s="632" t="inlineStr">
        <is>
          <t>VALORES</t>
        </is>
      </c>
      <c r="L82" s="701" t="n"/>
      <c r="M82" s="702" t="n"/>
    </row>
    <row r="83" ht="15.75" customHeight="1" s="436" thickBot="1">
      <c r="A83" s="703" t="n"/>
      <c r="B83" s="704" t="n"/>
      <c r="C83" s="704" t="n"/>
      <c r="D83" s="703" t="n"/>
      <c r="E83" s="701" t="n"/>
      <c r="F83" s="705" t="n"/>
      <c r="G83" s="706" t="n"/>
      <c r="H83" s="707" t="n"/>
      <c r="I83" s="704" t="n"/>
      <c r="J83" s="703" t="n"/>
      <c r="L83" s="701" t="n"/>
      <c r="M83" s="704" t="n"/>
    </row>
    <row r="84" ht="15.75" customHeight="1" s="436" thickBot="1">
      <c r="A84" s="703" t="n"/>
      <c r="B84" s="704" t="n"/>
      <c r="C84" s="704" t="n"/>
      <c r="D84" s="705" t="n"/>
      <c r="E84" s="707" t="n"/>
      <c r="F84" s="708" t="inlineStr">
        <is>
          <t>ENTRADA</t>
        </is>
      </c>
      <c r="G84" s="3" t="inlineStr">
        <is>
          <t>SAÍDA</t>
        </is>
      </c>
      <c r="H84" s="640" t="n"/>
      <c r="I84" s="633" t="inlineStr">
        <is>
          <t>MÉDIO</t>
        </is>
      </c>
      <c r="J84" s="652" t="inlineStr">
        <is>
          <t>SALDO EM 30/11/2017</t>
        </is>
      </c>
      <c r="K84" s="706" t="n"/>
      <c r="L84" s="17" t="n"/>
      <c r="M84" s="695" t="n"/>
    </row>
    <row r="85" ht="15.75" customHeight="1" s="436" thickBot="1">
      <c r="A85" s="705" t="n"/>
      <c r="B85" s="695" t="n"/>
      <c r="C85" s="695" t="n"/>
      <c r="D85" s="3" t="inlineStr">
        <is>
          <t>C/ICMS</t>
        </is>
      </c>
      <c r="E85" s="3" t="inlineStr">
        <is>
          <t>S/ICMS</t>
        </is>
      </c>
      <c r="F85" s="695" t="n"/>
      <c r="G85" s="695" t="n"/>
      <c r="H85" s="18" t="inlineStr">
        <is>
          <t>SALDO EM 31/01/2019</t>
        </is>
      </c>
      <c r="I85" s="695" t="n"/>
      <c r="J85" s="645" t="inlineStr">
        <is>
          <t>ENTRADA</t>
        </is>
      </c>
      <c r="K85" s="633" t="inlineStr">
        <is>
          <t>SAÍDA / CMV</t>
        </is>
      </c>
      <c r="L85" s="633" t="inlineStr">
        <is>
          <t>SALDO</t>
        </is>
      </c>
      <c r="M85" s="631" t="inlineStr">
        <is>
          <t>ICMS S/VENDAS</t>
        </is>
      </c>
    </row>
    <row r="86">
      <c r="A86" s="30" t="n"/>
      <c r="B86" s="31" t="n"/>
      <c r="C86" s="31" t="n"/>
      <c r="D86" s="32" t="n"/>
      <c r="E86" s="32" t="n"/>
      <c r="F86" s="33" t="n"/>
      <c r="G86" s="33" t="n">
        <v>0</v>
      </c>
      <c r="H86" s="33" t="n"/>
      <c r="I86" s="32" t="n"/>
      <c r="J86" s="709">
        <f>F86*I86</f>
        <v/>
      </c>
      <c r="K86" s="709" t="n">
        <v>0</v>
      </c>
      <c r="L86" s="710">
        <f>J86-K86</f>
        <v/>
      </c>
      <c r="M86" s="1" t="n"/>
    </row>
    <row r="87">
      <c r="A87" s="92" t="n">
        <v>43435</v>
      </c>
      <c r="B87" s="93" t="n"/>
      <c r="C87" s="96" t="n"/>
      <c r="D87" s="97" t="n"/>
      <c r="E87" s="97" t="n"/>
      <c r="F87" s="98" t="n"/>
      <c r="G87" s="98" t="n"/>
      <c r="H87" s="98" t="n">
        <v>78</v>
      </c>
      <c r="I87" s="36" t="n"/>
      <c r="J87" s="711" t="n"/>
      <c r="K87" s="709">
        <f>G87*D87</f>
        <v/>
      </c>
      <c r="L87" s="710" t="n"/>
      <c r="M87" s="1" t="n"/>
    </row>
    <row r="88">
      <c r="A88" s="30" t="n">
        <v>43502</v>
      </c>
      <c r="B88" s="31" t="inlineStr">
        <is>
          <t>6314</t>
        </is>
      </c>
      <c r="C88" s="31" t="n"/>
      <c r="D88" s="32" t="n">
        <v>120</v>
      </c>
      <c r="E88" s="32" t="n"/>
      <c r="F88" s="33" t="n"/>
      <c r="G88" s="33" t="n">
        <v>20</v>
      </c>
      <c r="H88" s="37">
        <f>H87-G88</f>
        <v/>
      </c>
      <c r="I88" s="32" t="n"/>
      <c r="J88" s="711" t="n"/>
      <c r="K88" s="709">
        <f>G88*D88</f>
        <v/>
      </c>
      <c r="L88" s="710" t="n"/>
      <c r="M88" s="1" t="n"/>
    </row>
    <row r="89">
      <c r="A89" s="30" t="n">
        <v>43516</v>
      </c>
      <c r="B89" s="31" t="inlineStr">
        <is>
          <t>6348</t>
        </is>
      </c>
      <c r="C89" s="31" t="n"/>
      <c r="D89" s="32" t="n">
        <v>120</v>
      </c>
      <c r="E89" s="32" t="n"/>
      <c r="F89" s="33" t="n"/>
      <c r="G89" s="33" t="n">
        <v>20</v>
      </c>
      <c r="H89" s="37">
        <f>H88-G89</f>
        <v/>
      </c>
      <c r="I89" s="32" t="n"/>
      <c r="J89" s="711" t="n"/>
      <c r="K89" s="709" t="n"/>
      <c r="L89" s="710" t="n"/>
      <c r="M89" s="1" t="n"/>
    </row>
    <row r="90">
      <c r="A90" s="30" t="n">
        <v>43234</v>
      </c>
      <c r="B90" s="31" t="n"/>
      <c r="C90" s="35" t="n"/>
      <c r="D90" s="36" t="n"/>
      <c r="E90" s="36" t="n"/>
      <c r="F90" s="37" t="n"/>
      <c r="G90" s="37" t="n"/>
      <c r="H90" s="37">
        <f>H89-G90</f>
        <v/>
      </c>
      <c r="I90" s="36" t="n"/>
      <c r="J90" s="711" t="n"/>
      <c r="K90" s="709">
        <f>G90*D90</f>
        <v/>
      </c>
      <c r="L90" s="710" t="n"/>
      <c r="M90" s="1" t="n"/>
    </row>
    <row r="91">
      <c r="A91" s="30" t="n">
        <v>43207</v>
      </c>
      <c r="B91" s="31" t="n"/>
      <c r="C91" s="35" t="n"/>
      <c r="D91" s="36" t="n"/>
      <c r="E91" s="36" t="n"/>
      <c r="F91" s="37" t="n"/>
      <c r="G91" s="37" t="n"/>
      <c r="H91" s="37">
        <f>H90-G91</f>
        <v/>
      </c>
      <c r="I91" s="36" t="n"/>
      <c r="J91" s="711" t="n"/>
      <c r="K91" s="709">
        <f>G91*D91</f>
        <v/>
      </c>
      <c r="L91" s="710" t="n"/>
      <c r="M91" s="1" t="n"/>
    </row>
    <row r="96" ht="15.75" customHeight="1" s="436" thickBot="1"/>
    <row r="97" ht="21.75" customHeight="1" s="436" thickBot="1">
      <c r="A97" s="699" t="inlineStr">
        <is>
          <t xml:space="preserve">021 - DENISE FURTADO DE SOUZA - ME </t>
        </is>
      </c>
      <c r="B97" s="697" t="n"/>
      <c r="C97" s="697" t="n"/>
      <c r="D97" s="697" t="n"/>
      <c r="E97" s="697" t="n"/>
      <c r="F97" s="697" t="n"/>
      <c r="G97" s="697" t="n"/>
      <c r="H97" s="697" t="n"/>
      <c r="I97" s="697" t="n"/>
      <c r="J97" s="697" t="n"/>
      <c r="K97" s="697" t="n"/>
      <c r="L97" s="697" t="n"/>
      <c r="M97" s="698" t="n"/>
    </row>
    <row r="98" ht="27" customHeight="1" s="436" thickBot="1">
      <c r="A98" s="700" t="inlineStr">
        <is>
          <t xml:space="preserve"> FARINHA DE TRIGO TIPO: 1 - 50 KG</t>
        </is>
      </c>
      <c r="B98" s="697" t="n"/>
      <c r="C98" s="697" t="n"/>
      <c r="D98" s="697" t="n"/>
      <c r="E98" s="697" t="n"/>
      <c r="F98" s="697" t="n"/>
      <c r="G98" s="697" t="n"/>
      <c r="H98" s="697" t="n"/>
      <c r="I98" s="697" t="n"/>
      <c r="J98" s="697" t="n"/>
      <c r="K98" s="697" t="n"/>
      <c r="L98" s="697" t="n"/>
      <c r="M98" s="698" t="n"/>
    </row>
    <row r="99">
      <c r="A99" s="643" t="inlineStr">
        <is>
          <t>DATA</t>
        </is>
      </c>
      <c r="B99" s="633" t="inlineStr">
        <is>
          <t>N.F.</t>
        </is>
      </c>
      <c r="C99" s="633" t="inlineStr">
        <is>
          <t>TIPO</t>
        </is>
      </c>
      <c r="D99" s="633" t="inlineStr">
        <is>
          <t>PREÇO UNITÁRIO</t>
        </is>
      </c>
      <c r="E99" s="701" t="n"/>
      <c r="F99" s="633" t="inlineStr">
        <is>
          <t>QUANTIDADE / KG</t>
        </is>
      </c>
      <c r="H99" s="701" t="n"/>
      <c r="I99" s="632" t="inlineStr">
        <is>
          <t>PREÇO</t>
        </is>
      </c>
      <c r="J99" s="632" t="inlineStr">
        <is>
          <t>VALORES</t>
        </is>
      </c>
      <c r="L99" s="701" t="n"/>
      <c r="M99" s="702" t="n"/>
    </row>
    <row r="100" ht="15.75" customHeight="1" s="436" thickBot="1">
      <c r="A100" s="703" t="n"/>
      <c r="B100" s="704" t="n"/>
      <c r="C100" s="704" t="n"/>
      <c r="D100" s="703" t="n"/>
      <c r="E100" s="701" t="n"/>
      <c r="F100" s="705" t="n"/>
      <c r="G100" s="706" t="n"/>
      <c r="H100" s="707" t="n"/>
      <c r="I100" s="704" t="n"/>
      <c r="J100" s="703" t="n"/>
      <c r="L100" s="701" t="n"/>
      <c r="M100" s="704" t="n"/>
    </row>
    <row r="101" ht="15.75" customHeight="1" s="436" thickBot="1">
      <c r="A101" s="703" t="n"/>
      <c r="B101" s="704" t="n"/>
      <c r="C101" s="704" t="n"/>
      <c r="D101" s="705" t="n"/>
      <c r="E101" s="707" t="n"/>
      <c r="F101" s="708" t="inlineStr">
        <is>
          <t>ENTRADA</t>
        </is>
      </c>
      <c r="G101" s="3" t="inlineStr">
        <is>
          <t>SAÍDA</t>
        </is>
      </c>
      <c r="H101" s="640" t="n"/>
      <c r="I101" s="633" t="inlineStr">
        <is>
          <t>MÉDIO</t>
        </is>
      </c>
      <c r="J101" s="652" t="inlineStr">
        <is>
          <t>SALDO EM 30/11/2017</t>
        </is>
      </c>
      <c r="K101" s="706" t="n"/>
      <c r="L101" s="17" t="n"/>
      <c r="M101" s="695" t="n"/>
    </row>
    <row r="102" ht="15.75" customHeight="1" s="436" thickBot="1">
      <c r="A102" s="705" t="n"/>
      <c r="B102" s="695" t="n"/>
      <c r="C102" s="695" t="n"/>
      <c r="D102" s="3" t="inlineStr">
        <is>
          <t>C/ICMS</t>
        </is>
      </c>
      <c r="E102" s="3" t="inlineStr">
        <is>
          <t>S/ICMS</t>
        </is>
      </c>
      <c r="F102" s="695" t="n"/>
      <c r="G102" s="695" t="n"/>
      <c r="H102" s="18" t="inlineStr">
        <is>
          <t>SALDO EM 28/02/2019</t>
        </is>
      </c>
      <c r="I102" s="695" t="n"/>
      <c r="J102" s="645" t="inlineStr">
        <is>
          <t>ENTRADA</t>
        </is>
      </c>
      <c r="K102" s="633" t="inlineStr">
        <is>
          <t>SAÍDA / CMV</t>
        </is>
      </c>
      <c r="L102" s="633" t="inlineStr">
        <is>
          <t>SALDO</t>
        </is>
      </c>
      <c r="M102" s="631" t="inlineStr">
        <is>
          <t>ICMS S/VENDAS</t>
        </is>
      </c>
    </row>
    <row r="103">
      <c r="A103" s="30" t="n"/>
      <c r="B103" s="31" t="n"/>
      <c r="C103" s="31" t="n"/>
      <c r="D103" s="32" t="n"/>
      <c r="E103" s="32" t="n"/>
      <c r="F103" s="33" t="n"/>
      <c r="G103" s="33" t="n">
        <v>0</v>
      </c>
      <c r="H103" s="33" t="n"/>
      <c r="I103" s="32" t="n"/>
      <c r="J103" s="709">
        <f>F103*I103</f>
        <v/>
      </c>
      <c r="K103" s="709" t="n">
        <v>0</v>
      </c>
      <c r="L103" s="710">
        <f>J103-K103</f>
        <v/>
      </c>
      <c r="M103" s="1" t="n"/>
    </row>
    <row r="104">
      <c r="A104" s="92" t="n">
        <v>43525</v>
      </c>
      <c r="B104" s="93" t="n"/>
      <c r="C104" s="96" t="n"/>
      <c r="D104" s="97" t="n"/>
      <c r="E104" s="97" t="n"/>
      <c r="F104" s="98" t="n"/>
      <c r="G104" s="98" t="n"/>
      <c r="H104" s="98" t="n">
        <v>38</v>
      </c>
      <c r="I104" s="36" t="n"/>
      <c r="J104" s="711" t="n"/>
      <c r="K104" s="709">
        <f>G104*D104</f>
        <v/>
      </c>
      <c r="L104" s="710" t="n"/>
      <c r="M104" s="1" t="n"/>
    </row>
    <row r="105">
      <c r="A105" s="30" t="n">
        <v>43536</v>
      </c>
      <c r="B105" s="31" t="inlineStr">
        <is>
          <t>6384</t>
        </is>
      </c>
      <c r="C105" s="31" t="n"/>
      <c r="D105" s="32" t="n">
        <v>120</v>
      </c>
      <c r="E105" s="32" t="n"/>
      <c r="F105" s="33" t="n"/>
      <c r="G105" s="33" t="n">
        <v>20</v>
      </c>
      <c r="H105" s="37">
        <f>H104-G105</f>
        <v/>
      </c>
      <c r="I105" s="32" t="n"/>
      <c r="J105" s="711" t="n"/>
      <c r="K105" s="709">
        <f>G105*D105</f>
        <v/>
      </c>
      <c r="L105" s="710" t="n"/>
      <c r="M105" s="1" t="n"/>
    </row>
    <row r="106">
      <c r="A106" s="30" t="n">
        <v>43516</v>
      </c>
      <c r="B106" s="31" t="n"/>
      <c r="C106" s="31" t="n"/>
      <c r="D106" s="32" t="n">
        <v>120</v>
      </c>
      <c r="E106" s="32" t="n"/>
      <c r="F106" s="33" t="n"/>
      <c r="G106" s="33" t="n"/>
      <c r="H106" s="37">
        <f>H105-G106</f>
        <v/>
      </c>
      <c r="I106" s="32" t="n"/>
      <c r="J106" s="711" t="n"/>
      <c r="K106" s="709" t="n"/>
      <c r="L106" s="710" t="n"/>
      <c r="M106" s="1" t="n"/>
    </row>
    <row r="107">
      <c r="A107" s="30" t="n">
        <v>43234</v>
      </c>
      <c r="B107" s="31" t="n"/>
      <c r="C107" s="35" t="n"/>
      <c r="D107" s="36" t="n"/>
      <c r="E107" s="36" t="n"/>
      <c r="F107" s="37" t="n"/>
      <c r="G107" s="37" t="n"/>
      <c r="H107" s="37">
        <f>H106-G107</f>
        <v/>
      </c>
      <c r="I107" s="36" t="n"/>
      <c r="J107" s="711" t="n"/>
      <c r="K107" s="709">
        <f>G107*D107</f>
        <v/>
      </c>
      <c r="L107" s="710" t="n"/>
      <c r="M107" s="1" t="n"/>
    </row>
    <row r="108">
      <c r="A108" s="30" t="n">
        <v>43207</v>
      </c>
      <c r="B108" s="31" t="n"/>
      <c r="C108" s="35" t="n"/>
      <c r="D108" s="36" t="n"/>
      <c r="E108" s="36" t="n"/>
      <c r="F108" s="37" t="n"/>
      <c r="G108" s="37" t="n"/>
      <c r="H108" s="37">
        <f>H107-G108</f>
        <v/>
      </c>
      <c r="I108" s="36" t="n"/>
      <c r="J108" s="711" t="n"/>
      <c r="K108" s="709">
        <f>G108*D108</f>
        <v/>
      </c>
      <c r="L108" s="710" t="n"/>
      <c r="M108" s="1" t="n"/>
    </row>
    <row r="114" ht="15.75" customHeight="1" s="436" thickBot="1"/>
    <row r="115" ht="21.75" customHeight="1" s="436" thickBot="1">
      <c r="A115" s="699" t="inlineStr">
        <is>
          <t xml:space="preserve">021 - DENISE FURTADO DE SOUZA - ME </t>
        </is>
      </c>
      <c r="B115" s="697" t="n"/>
      <c r="C115" s="697" t="n"/>
      <c r="D115" s="697" t="n"/>
      <c r="E115" s="697" t="n"/>
      <c r="F115" s="697" t="n"/>
      <c r="G115" s="697" t="n"/>
      <c r="H115" s="697" t="n"/>
      <c r="I115" s="697" t="n"/>
      <c r="J115" s="697" t="n"/>
      <c r="K115" s="697" t="n"/>
      <c r="L115" s="697" t="n"/>
      <c r="M115" s="698" t="n"/>
    </row>
    <row r="116" ht="27" customHeight="1" s="436" thickBot="1">
      <c r="A116" s="700" t="inlineStr">
        <is>
          <t xml:space="preserve"> FARINHA DE TRIGO TIPO: 1 - 50 KG</t>
        </is>
      </c>
      <c r="B116" s="697" t="n"/>
      <c r="C116" s="697" t="n"/>
      <c r="D116" s="697" t="n"/>
      <c r="E116" s="697" t="n"/>
      <c r="F116" s="697" t="n"/>
      <c r="G116" s="697" t="n"/>
      <c r="H116" s="697" t="n"/>
      <c r="I116" s="697" t="n"/>
      <c r="J116" s="697" t="n"/>
      <c r="K116" s="697" t="n"/>
      <c r="L116" s="697" t="n"/>
      <c r="M116" s="698" t="n"/>
    </row>
    <row r="117">
      <c r="A117" s="643" t="inlineStr">
        <is>
          <t>DATA</t>
        </is>
      </c>
      <c r="B117" s="633" t="inlineStr">
        <is>
          <t>N.F.</t>
        </is>
      </c>
      <c r="C117" s="633" t="inlineStr">
        <is>
          <t>TIPO</t>
        </is>
      </c>
      <c r="D117" s="633" t="inlineStr">
        <is>
          <t>PREÇO UNITÁRIO</t>
        </is>
      </c>
      <c r="E117" s="701" t="n"/>
      <c r="F117" s="633" t="inlineStr">
        <is>
          <t>QUANTIDADE / KG</t>
        </is>
      </c>
      <c r="H117" s="701" t="n"/>
      <c r="I117" s="632" t="inlineStr">
        <is>
          <t>PREÇO</t>
        </is>
      </c>
      <c r="J117" s="632" t="inlineStr">
        <is>
          <t>VALORES</t>
        </is>
      </c>
      <c r="L117" s="701" t="n"/>
      <c r="M117" s="702" t="n"/>
    </row>
    <row r="118" ht="15.75" customHeight="1" s="436" thickBot="1">
      <c r="A118" s="703" t="n"/>
      <c r="B118" s="704" t="n"/>
      <c r="C118" s="704" t="n"/>
      <c r="D118" s="703" t="n"/>
      <c r="E118" s="701" t="n"/>
      <c r="F118" s="705" t="n"/>
      <c r="G118" s="706" t="n"/>
      <c r="H118" s="707" t="n"/>
      <c r="I118" s="704" t="n"/>
      <c r="J118" s="703" t="n"/>
      <c r="L118" s="701" t="n"/>
      <c r="M118" s="704" t="n"/>
    </row>
    <row r="119" ht="15.75" customHeight="1" s="436" thickBot="1">
      <c r="A119" s="703" t="n"/>
      <c r="B119" s="704" t="n"/>
      <c r="C119" s="704" t="n"/>
      <c r="D119" s="705" t="n"/>
      <c r="E119" s="707" t="n"/>
      <c r="F119" s="708" t="inlineStr">
        <is>
          <t>ENTRADA</t>
        </is>
      </c>
      <c r="G119" s="3" t="inlineStr">
        <is>
          <t>SAÍDA</t>
        </is>
      </c>
      <c r="H119" s="640" t="n"/>
      <c r="I119" s="633" t="inlineStr">
        <is>
          <t>MÉDIO</t>
        </is>
      </c>
      <c r="J119" s="652" t="inlineStr">
        <is>
          <t>SALDO EM 30/11/2017</t>
        </is>
      </c>
      <c r="K119" s="706" t="n"/>
      <c r="L119" s="17" t="n"/>
      <c r="M119" s="695" t="n"/>
    </row>
    <row r="120" ht="15.75" customHeight="1" s="436" thickBot="1">
      <c r="A120" s="705" t="n"/>
      <c r="B120" s="695" t="n"/>
      <c r="C120" s="695" t="n"/>
      <c r="D120" s="3" t="inlineStr">
        <is>
          <t>C/ICMS</t>
        </is>
      </c>
      <c r="E120" s="3" t="inlineStr">
        <is>
          <t>S/ICMS</t>
        </is>
      </c>
      <c r="F120" s="695" t="n"/>
      <c r="G120" s="695" t="n"/>
      <c r="H120" s="18" t="inlineStr">
        <is>
          <t>SALDO EM 28/02/2019</t>
        </is>
      </c>
      <c r="I120" s="695" t="n"/>
      <c r="J120" s="645" t="inlineStr">
        <is>
          <t>ENTRADA</t>
        </is>
      </c>
      <c r="K120" s="633" t="inlineStr">
        <is>
          <t>SAÍDA / CMV</t>
        </is>
      </c>
      <c r="L120" s="633" t="inlineStr">
        <is>
          <t>SALDO</t>
        </is>
      </c>
      <c r="M120" s="631" t="inlineStr">
        <is>
          <t>ICMS S/VENDAS</t>
        </is>
      </c>
    </row>
    <row r="121">
      <c r="A121" s="30" t="n"/>
      <c r="B121" s="31" t="n"/>
      <c r="C121" s="31" t="n"/>
      <c r="D121" s="32" t="n"/>
      <c r="E121" s="32" t="n"/>
      <c r="F121" s="33" t="n"/>
      <c r="G121" s="33" t="n">
        <v>0</v>
      </c>
      <c r="H121" s="33" t="n"/>
      <c r="I121" s="32" t="n"/>
      <c r="J121" s="709">
        <f>F121*I121</f>
        <v/>
      </c>
      <c r="K121" s="709" t="n">
        <v>0</v>
      </c>
      <c r="L121" s="710">
        <f>J121-K121</f>
        <v/>
      </c>
      <c r="M121" s="1" t="n"/>
    </row>
    <row r="122">
      <c r="A122" s="92" t="n">
        <v>43556</v>
      </c>
      <c r="B122" s="93" t="n"/>
      <c r="C122" s="96" t="n"/>
      <c r="D122" s="97" t="n"/>
      <c r="E122" s="97" t="n"/>
      <c r="F122" s="98" t="n"/>
      <c r="G122" s="98" t="n"/>
      <c r="H122" s="98" t="n">
        <v>18</v>
      </c>
      <c r="I122" s="36" t="n"/>
      <c r="J122" s="711" t="n"/>
      <c r="K122" s="709">
        <f>G122*D122</f>
        <v/>
      </c>
      <c r="L122" s="710" t="n"/>
      <c r="M122" s="1" t="n"/>
    </row>
    <row r="123">
      <c r="A123" s="30" t="n">
        <v>43536</v>
      </c>
      <c r="B123" s="31" t="inlineStr">
        <is>
          <t>6384</t>
        </is>
      </c>
      <c r="C123" s="31" t="n"/>
      <c r="D123" s="32" t="n">
        <v>120</v>
      </c>
      <c r="E123" s="32" t="n"/>
      <c r="F123" s="33" t="n"/>
      <c r="G123" s="33" t="n"/>
      <c r="H123" s="37">
        <f>H122-G123</f>
        <v/>
      </c>
      <c r="I123" s="32" t="n"/>
      <c r="J123" s="711" t="n"/>
      <c r="K123" s="709">
        <f>G123*D123</f>
        <v/>
      </c>
      <c r="L123" s="710" t="n"/>
      <c r="M123" s="1" t="n"/>
    </row>
    <row r="124">
      <c r="A124" s="30" t="n">
        <v>43640</v>
      </c>
      <c r="B124" s="31" t="inlineStr">
        <is>
          <t>6601</t>
        </is>
      </c>
      <c r="C124" s="31" t="n"/>
      <c r="D124" s="32" t="n">
        <v>100</v>
      </c>
      <c r="E124" s="32" t="n"/>
      <c r="F124" s="33" t="n"/>
      <c r="G124" s="33" t="n">
        <v>10</v>
      </c>
      <c r="H124" s="37">
        <f>H123-G124</f>
        <v/>
      </c>
      <c r="I124" s="32" t="n"/>
      <c r="J124" s="711" t="n"/>
      <c r="K124" s="709" t="n"/>
      <c r="L124" s="710" t="n"/>
      <c r="M124" s="1" t="n"/>
    </row>
    <row r="125">
      <c r="A125" s="30" t="n">
        <v>43656</v>
      </c>
      <c r="B125" s="31" t="inlineStr">
        <is>
          <t>6635</t>
        </is>
      </c>
      <c r="C125" s="35" t="n"/>
      <c r="D125" s="36" t="n">
        <v>100</v>
      </c>
      <c r="E125" s="36" t="n"/>
      <c r="F125" s="37" t="n"/>
      <c r="G125" s="37" t="n">
        <v>8</v>
      </c>
      <c r="H125" s="37">
        <f>H124-G125</f>
        <v/>
      </c>
      <c r="I125" s="36" t="n"/>
      <c r="J125" s="711" t="n"/>
      <c r="K125" s="709">
        <f>G125*D125</f>
        <v/>
      </c>
      <c r="L125" s="710" t="n"/>
      <c r="M125" s="1" t="n"/>
    </row>
    <row r="126">
      <c r="A126" s="30" t="n">
        <v>43207</v>
      </c>
      <c r="B126" s="31" t="n"/>
      <c r="C126" s="35" t="n"/>
      <c r="D126" s="36" t="n"/>
      <c r="E126" s="36" t="n"/>
      <c r="F126" s="37" t="n"/>
      <c r="G126" s="37" t="n"/>
      <c r="H126" s="37">
        <f>H125-G126</f>
        <v/>
      </c>
      <c r="I126" s="36" t="n"/>
      <c r="J126" s="711" t="n"/>
      <c r="K126" s="709">
        <f>G126*D126</f>
        <v/>
      </c>
      <c r="L126" s="710" t="n"/>
      <c r="M126" s="1" t="n"/>
    </row>
    <row r="127">
      <c r="G127" s="201" t="n"/>
      <c r="H127" t="inlineStr">
        <is>
          <t> </t>
        </is>
      </c>
    </row>
  </sheetData>
  <mergeCells count="99">
    <mergeCell ref="D82:E84"/>
    <mergeCell ref="F84:F85"/>
    <mergeCell ref="A97:M97"/>
    <mergeCell ref="C64:C67"/>
    <mergeCell ref="A45:A48"/>
    <mergeCell ref="C45:C48"/>
    <mergeCell ref="A81:M81"/>
    <mergeCell ref="F101:F102"/>
    <mergeCell ref="A44:M44"/>
    <mergeCell ref="M4:M6"/>
    <mergeCell ref="J82:L83"/>
    <mergeCell ref="D45:E47"/>
    <mergeCell ref="F47:F48"/>
    <mergeCell ref="J117:L118"/>
    <mergeCell ref="F45:H46"/>
    <mergeCell ref="M82:M84"/>
    <mergeCell ref="I82:I83"/>
    <mergeCell ref="C82:C85"/>
    <mergeCell ref="J4:L5"/>
    <mergeCell ref="A22:A25"/>
    <mergeCell ref="G84:G85"/>
    <mergeCell ref="I84:I85"/>
    <mergeCell ref="J45:L46"/>
    <mergeCell ref="I6:I7"/>
    <mergeCell ref="I99:I100"/>
    <mergeCell ref="A2:M2"/>
    <mergeCell ref="F64:H65"/>
    <mergeCell ref="M45:M47"/>
    <mergeCell ref="G101:G102"/>
    <mergeCell ref="I45:I46"/>
    <mergeCell ref="I101:I102"/>
    <mergeCell ref="F82:H83"/>
    <mergeCell ref="A117:A120"/>
    <mergeCell ref="A64:A67"/>
    <mergeCell ref="A62:M62"/>
    <mergeCell ref="A20:M20"/>
    <mergeCell ref="C4:C7"/>
    <mergeCell ref="C22:C25"/>
    <mergeCell ref="D99:E101"/>
    <mergeCell ref="J119:K119"/>
    <mergeCell ref="J101:K101"/>
    <mergeCell ref="A98:M98"/>
    <mergeCell ref="F99:H100"/>
    <mergeCell ref="F22:H23"/>
    <mergeCell ref="J99:L100"/>
    <mergeCell ref="D117:E119"/>
    <mergeCell ref="B4:B7"/>
    <mergeCell ref="B64:B67"/>
    <mergeCell ref="D64:E66"/>
    <mergeCell ref="M99:M101"/>
    <mergeCell ref="A82:A85"/>
    <mergeCell ref="B45:B48"/>
    <mergeCell ref="F24:F25"/>
    <mergeCell ref="F117:H118"/>
    <mergeCell ref="A116:M116"/>
    <mergeCell ref="J22:L23"/>
    <mergeCell ref="F4:H5"/>
    <mergeCell ref="A63:M63"/>
    <mergeCell ref="J64:L65"/>
    <mergeCell ref="A115:M115"/>
    <mergeCell ref="I47:I48"/>
    <mergeCell ref="J24:K24"/>
    <mergeCell ref="F66:F67"/>
    <mergeCell ref="G6:G7"/>
    <mergeCell ref="B82:B85"/>
    <mergeCell ref="G24:G25"/>
    <mergeCell ref="M64:M66"/>
    <mergeCell ref="I24:I25"/>
    <mergeCell ref="A1:M1"/>
    <mergeCell ref="B99:B102"/>
    <mergeCell ref="J66:K66"/>
    <mergeCell ref="A4:A7"/>
    <mergeCell ref="A80:M80"/>
    <mergeCell ref="A21:M21"/>
    <mergeCell ref="F119:F120"/>
    <mergeCell ref="F6:F7"/>
    <mergeCell ref="B22:B25"/>
    <mergeCell ref="G66:G67"/>
    <mergeCell ref="I66:I67"/>
    <mergeCell ref="A43:M43"/>
    <mergeCell ref="D22:E24"/>
    <mergeCell ref="J84:K84"/>
    <mergeCell ref="A99:A102"/>
    <mergeCell ref="I22:I23"/>
    <mergeCell ref="J6:K6"/>
    <mergeCell ref="B117:B120"/>
    <mergeCell ref="M117:M119"/>
    <mergeCell ref="C117:C120"/>
    <mergeCell ref="C99:C102"/>
    <mergeCell ref="I117:I118"/>
    <mergeCell ref="I4:I5"/>
    <mergeCell ref="I64:I65"/>
    <mergeCell ref="D4:E6"/>
    <mergeCell ref="J47:K47"/>
    <mergeCell ref="G119:G120"/>
    <mergeCell ref="I119:I120"/>
    <mergeCell ref="M22:M24"/>
    <mergeCell ref="G47:G48"/>
    <mergeCell ref="A3:M3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2026-10-12T16:49:27Z</dcterms:modified>
</cp:coreProperties>
</file>